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19200" windowHeight="6200" tabRatio="837"/>
  </bookViews>
  <sheets>
    <sheet name="DSR Vol 1 and II" sheetId="50" r:id="rId1"/>
  </sheets>
  <externalReferences>
    <externalReference r:id="rId2"/>
    <externalReference r:id="rId3"/>
  </externalReferences>
  <definedNames>
    <definedName name="_xlnm._FilterDatabase" localSheetId="0" hidden="1">'DSR Vol 1 and II'!$A$1:$B$4494</definedName>
    <definedName name="\z">#N/A</definedName>
    <definedName name="date">[1]Input!$C$11</definedName>
    <definedName name="try">[2]Input!$C$11</definedName>
    <definedName name="_xlnm.Print_Area" localSheetId="0">'DSR Vol 1 and II'!$A$1:$D$4494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<sst xmlns="http://schemas.openxmlformats.org/spreadsheetml/2006/main" count="12674" uniqueCount="6126">
  <si>
    <t>2.0 EARTH WORK</t>
  </si>
  <si>
    <t>Item NO.</t>
  </si>
  <si>
    <t>Description</t>
  </si>
  <si>
    <t>Unit</t>
  </si>
  <si>
    <t>Rate</t>
  </si>
  <si>
    <t>DSR-2016 rate</t>
  </si>
  <si>
    <t>% Above</t>
  </si>
  <si>
    <t>Earth work in surface excavation not exceeding 30 cm in depth but exceeding 1.5 m in width as well as 10 sqm on plan including getting out and disposal of excavated earth upto 50 m and lift upto 1.5 m, as directed by Engineer-in- Charge:</t>
  </si>
  <si>
    <t>NC</t>
  </si>
  <si>
    <t>2.1.1</t>
  </si>
  <si>
    <t>All kinds of soil</t>
  </si>
  <si>
    <t>sqm</t>
  </si>
  <si>
    <t>Earth work by mechinical / manual means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for all lift  :</t>
  </si>
  <si>
    <t>2.2.1</t>
  </si>
  <si>
    <t>cum</t>
  </si>
  <si>
    <t>Banking excavated earth by mechanical / manual means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for all lift :</t>
  </si>
  <si>
    <t>2.3.1</t>
  </si>
  <si>
    <t>Deduct for not rolling with power roller of minimum 8 tonnes for banking excavated earth in layers not exceeding 20 cm in depth.</t>
  </si>
  <si>
    <t>Deduct for not watering the excavated earth for banking</t>
  </si>
  <si>
    <t>Earth work in excavation by mechanical means (Hydraulic excavator)/manual means over areas (exceeding 30 cm in depth, 1.5 m in width as well as 10 sqm on plan) including getting out and disposal of excavated earth lead upto 50 m and for all lift, as directed by Engineer-in-charge.</t>
  </si>
  <si>
    <t>2.6.1</t>
  </si>
  <si>
    <t>Earth work in excavation by mechanical means (Hydraulic excavator)/manual means over areas (exceeding 30 cm in depth, 1.5 m in width as well as 10 sqm on plan) including getting out and disposal of excavated earth lead upto 50 m and lift upto 1.5 m, as directed by Engineer-in-charge.</t>
  </si>
  <si>
    <t>2.7.1</t>
  </si>
  <si>
    <t>Ordinary rock</t>
  </si>
  <si>
    <t>2.7.2</t>
  </si>
  <si>
    <t>Hard rock (requiring blasting)</t>
  </si>
  <si>
    <t>2.7.3</t>
  </si>
  <si>
    <t>Hard rock (blasting prohibited)</t>
  </si>
  <si>
    <t xml:space="preserve">Earth work in excavation by mechanical means (Hydraulic excavator) / manual means in foundation trenches or drains (not exceeding 1.5 m in width or 10 sqm on plan), including dressing of sides and ramming of bottoms, for all lift, including getting out the excavated soil and disposal of surplus excavated soil as directed, within a lead of 50 m. </t>
  </si>
  <si>
    <t>2.8.1</t>
  </si>
  <si>
    <t>All kinds of soil.</t>
  </si>
  <si>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t>
  </si>
  <si>
    <t>2.9.1</t>
  </si>
  <si>
    <t>2.9.2</t>
  </si>
  <si>
    <t>2.9.3</t>
  </si>
  <si>
    <t>Excavating trenches by mechinical / manual means of required width for pipes, cables, etc including excavation for sockets, and dressing of sides, ramming of bottoms, for all depth, including getting out the excavated soil, and then returning the soil as required, in layers not exceeding 20 cm in depth, including consolidating each deposited layer by ramming, watering, etc. and disposing of surplus excavated soil as directed, within a lead of 50 m :</t>
  </si>
  <si>
    <t>2.10.1</t>
  </si>
  <si>
    <t>2.10.1.1</t>
  </si>
  <si>
    <t>Pipes, cables etc, not exceeding 80 mm dia.</t>
  </si>
  <si>
    <t>metre</t>
  </si>
  <si>
    <t>2.10.1.2</t>
  </si>
  <si>
    <t>Pipes, cables etc. exceeding 80 mm dia. but not exceeding 300 mm dia</t>
  </si>
  <si>
    <t>2.10.1.3</t>
  </si>
  <si>
    <t>Pipes, cables etc. exceeding 300 mm dia but not exceeding 600 mm</t>
  </si>
  <si>
    <t>Deleted</t>
  </si>
  <si>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t>
  </si>
  <si>
    <t>2.13.1</t>
  </si>
  <si>
    <t>Ordinary rock :</t>
  </si>
  <si>
    <t>2.13.1.1</t>
  </si>
  <si>
    <t>Pipes, cables etc. not exceeding 80 mm dia</t>
  </si>
  <si>
    <t>2.13.1.2</t>
  </si>
  <si>
    <t>Pipes, cables etc. exceeding 80 mm dia but not exceeding 300 mm dia</t>
  </si>
  <si>
    <t>2.13.1.3</t>
  </si>
  <si>
    <t>Pipes, cables exceeding 300 mm dia but not exceeding 600 mm dia</t>
  </si>
  <si>
    <t>2.13.2</t>
  </si>
  <si>
    <t>2.13.2.1</t>
  </si>
  <si>
    <t>2.13.2.2</t>
  </si>
  <si>
    <t>2.13.2.3</t>
  </si>
  <si>
    <t>Pipes, cables etc. exceeding 300 mm dia but not exceeding 600 mm dia</t>
  </si>
  <si>
    <t>2.13.3</t>
  </si>
  <si>
    <t>2.13.3.1</t>
  </si>
  <si>
    <t>2.13.3.2</t>
  </si>
  <si>
    <t>2.13.3.3</t>
  </si>
  <si>
    <t>Extra for excavating trenches for pipes, cables, etc. in ordinary/hard rock exceeding 1.5 m in depth but not exceeding 3 m. (Rate is over corresponding basic item for depth upto 1.5 metre)</t>
  </si>
  <si>
    <t>2.14.1</t>
  </si>
  <si>
    <t>2.14.1.1</t>
  </si>
  <si>
    <t>2.14.1.2</t>
  </si>
  <si>
    <t>2.14.2</t>
  </si>
  <si>
    <t>2.14.2.1</t>
  </si>
  <si>
    <t>2.14.2.2</t>
  </si>
  <si>
    <t>2.14.3</t>
  </si>
  <si>
    <t>2.14.3.1</t>
  </si>
  <si>
    <t>2.14.3.2</t>
  </si>
  <si>
    <t>Extra for excavating trenches for pipes, cables, etc. in ordinary/hard rock exceeding 3m in depth but not exceeding 4.5 m. (Rate is over corresponding basic item for depth upto 1.5 metre)</t>
  </si>
  <si>
    <t>2.15.1</t>
  </si>
  <si>
    <t>2.15.1.1</t>
  </si>
  <si>
    <t>Close timbering in trenches including strutting, shoring and packing cavities (wherever required) complete. (Measurements to be taken of the face area timbered).</t>
  </si>
  <si>
    <t>2.16.1</t>
  </si>
  <si>
    <t>Depth not exceeding 1.5 m</t>
  </si>
  <si>
    <t>2.16.2</t>
  </si>
  <si>
    <t>Depth exceeding 1.5 m but not exceeding 3 m</t>
  </si>
  <si>
    <t>2.16.3</t>
  </si>
  <si>
    <t>Depth exceeding 3 m but not exceeding 4.5 m</t>
  </si>
  <si>
    <t>Close timbering in case of shafts, wells, cesspits, manholes and the like including strutting, shoring and packing cavities (wherever required) etc. complete. (Measurements to be taken of the face area timbered).</t>
  </si>
  <si>
    <t>2.17.1</t>
  </si>
  <si>
    <t>2.17.2</t>
  </si>
  <si>
    <t>2.17.3</t>
  </si>
  <si>
    <t>Close timbering over areas including strutting, shoring and packing cavities (wherever required) etc. complete. (Measurements to be taken of the face area timbered):</t>
  </si>
  <si>
    <t>2.18.1</t>
  </si>
  <si>
    <t>2.18.2</t>
  </si>
  <si>
    <t>2.18.3</t>
  </si>
  <si>
    <t>Extra for planking, strutting and packing materials for cavities (in close timbering) if required to be left permanently in position. (Face area of timber permanently left to be measured).</t>
  </si>
  <si>
    <t>Open timbering in trenches including strutting and shoring complete (measurements to be taken of the face area timbered):</t>
  </si>
  <si>
    <t>2.20.1</t>
  </si>
  <si>
    <t>2.20.2</t>
  </si>
  <si>
    <t>2.20.3</t>
  </si>
  <si>
    <t>Open timbering in case of shafts, wells, cesspits, manholes and the like including strutting and shoring complete (Measurements to be taken of the face area timbered):</t>
  </si>
  <si>
    <t>2.21.1</t>
  </si>
  <si>
    <t>2.21.2</t>
  </si>
  <si>
    <t>2.21.3</t>
  </si>
  <si>
    <t>Open timbering over areas including strutting, shoring etc. complete. (Measurements to be taken of the face area timbered):</t>
  </si>
  <si>
    <t>2.22.1</t>
  </si>
  <si>
    <t>2.22.2</t>
  </si>
  <si>
    <t>2.22.3</t>
  </si>
  <si>
    <t>Extra for planking and strutting in open timbering if required to be left permanently in position. (Face area of the timber permanently left to be measured).</t>
  </si>
  <si>
    <t>Extra rates for quantities of works, executed:</t>
  </si>
  <si>
    <t>2.24.1</t>
  </si>
  <si>
    <t>In or under water and/or liquid mud, including pumping out water as required</t>
  </si>
  <si>
    <t>metre depth</t>
  </si>
  <si>
    <t>2.24.2</t>
  </si>
  <si>
    <t>In or under foul position, including pumping out water as required</t>
  </si>
  <si>
    <t>Note for item no. 2.24:- The extra percentage rate is applicable in respect of each item but limited to quantities of work executed in these difficult conditions. The unit, namely, metre depth, to be considered for payment, shall be the depth measured from the sub soil water level up to the centre of gravity of the qty executed in difficult conditions. The depth shall be reckoned correct to 0.10 m, 0.05 m or more shall be taken as 0.10 m and less than 0.05 m ignored.</t>
  </si>
  <si>
    <t>Filling available excavated earth (excluding rock) in trenches, plinth, sides of foundations etc. in layers not exceeding 20cm in depth, consolidating each deposited layer by ramming and watering, lead up to 50 and for all lift.</t>
  </si>
  <si>
    <t>2.25(a)</t>
  </si>
  <si>
    <t>Excavating, supplying, stacking and filling of local earth (including royalty) by mechanical transport upto a lead of 5km also including ramming and watering of the earth in layers not exceeding 20 cm in foundation trenches, plinth, sides of foundation etc. complete for all lift.</t>
  </si>
  <si>
    <t>Extra for every additional lift of 1.5 m or part thereof in excavation / banking excavated or stacked materials.</t>
  </si>
  <si>
    <t>2.26.1</t>
  </si>
  <si>
    <t>2.26.2</t>
  </si>
  <si>
    <t>Ordinary or hard rock</t>
  </si>
  <si>
    <t>Supplying and filling in plinth with  sand under floors, including watering, ramming, consolidating and dressing complete.</t>
  </si>
  <si>
    <t>Surface dressing of the ground including removing vegetation and in-equalities not exceeding 15 cm deep and disposal of rubbish, lead up to 50 m and lift up to 1.5 m.</t>
  </si>
  <si>
    <t>2.28.1</t>
  </si>
  <si>
    <t>Ploughing the existing ground to a depth of 15 cm to 25 cm and watering the same.</t>
  </si>
  <si>
    <t>2.29.1</t>
  </si>
  <si>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t>
  </si>
  <si>
    <t>2.30.1</t>
  </si>
  <si>
    <t>each</t>
  </si>
  <si>
    <t>2.30.2</t>
  </si>
  <si>
    <t>2.30.3</t>
  </si>
  <si>
    <t>2.30.4</t>
  </si>
  <si>
    <t>Clearing jungle including uprooting of rank vegetation, grass, brush wood, trees and saplings of girth up to 30 cm measured at a height of 1 m above ground level and removal of rubbish up to a distance of 50 m outside the periphery of the area cleared.</t>
  </si>
  <si>
    <t>Clearing grass and removal of the rubbish up to a distance of 50 m outside the periphery of the area cleared.</t>
  </si>
  <si>
    <t>Felling trees of the girth (measured at a height of 1 m above ground level), including cutting of trunks and branches, removing the roots and stacking of serviceable material and disposal of unserviceable material.</t>
  </si>
  <si>
    <t>2.33.1</t>
  </si>
  <si>
    <t>Beyond 30 cm girth upto and including 60 cm girth</t>
  </si>
  <si>
    <t>2.33.2</t>
  </si>
  <si>
    <t>Beyond 60 cm girth upto and including 120 cm girth</t>
  </si>
  <si>
    <t>2.33.3</t>
  </si>
  <si>
    <t>Beyond 120 cm girth upto and including 240 cm girth</t>
  </si>
  <si>
    <t>2.33.4</t>
  </si>
  <si>
    <t>Above 240 cm girth</t>
  </si>
  <si>
    <t>Supplying chemical emulsion in sealed containers including delivery as specified.</t>
  </si>
  <si>
    <t>2.34.1</t>
  </si>
  <si>
    <t>Chlorpyriphos/ Lindane emulsifiable concentrate of 20%</t>
  </si>
  <si>
    <t>litre</t>
  </si>
  <si>
    <t>Diluting and injecting chemical emulsion for POST-CONSTRUCTIONAL anti-termite treatment (excluding the cost of chemical emulsion) :</t>
  </si>
  <si>
    <t>2.35.1</t>
  </si>
  <si>
    <t>Along external wall where the apron is not provided using chemical emulsion @ 7.5 litres / sqm of the vertical surface of the substructure to a depth of 300mm including excavation channel along the wall &amp; rodding etc. complete:</t>
  </si>
  <si>
    <t>2.35.1.1</t>
  </si>
  <si>
    <t>With Chlorpyriphos/ Lindane E.C. 20% with 1% concentration</t>
  </si>
  <si>
    <t>2.35.2</t>
  </si>
  <si>
    <t>Along the external wall below concrete or masonry apron using chemical emulsion @ 2.25 litres per linear metre including drilling and plugging holes etc.:</t>
  </si>
  <si>
    <t>2.35.2.1</t>
  </si>
  <si>
    <t>2.35.3</t>
  </si>
  <si>
    <t>Treatment of soil under existing floors using chemical emulsion @ one litre per hole, 300 mm apart including drilling 12 mm diameter holes and plugging with cement mortar 1 :2 (1 cement : 2 Coarse sand) to match the existing floor:</t>
  </si>
  <si>
    <t>2.35.3.1</t>
  </si>
  <si>
    <t>With Chlorpyriphos/Lindane E.C. 20% with 1% concentration</t>
  </si>
  <si>
    <t>2.35.4</t>
  </si>
  <si>
    <t>Treatment of existing masonry using chemical emulsion @ one litre per hole at 300 mm interval including drilling holes at 45 degree and plugging them with cement mortar 1:2 (1 cement : 2 coarse sand) to the full depth of the hole :</t>
  </si>
  <si>
    <t>2.35.4.1</t>
  </si>
  <si>
    <t>2.35.5</t>
  </si>
  <si>
    <t>Treatment at points of contact of wood work by chemical emulsion Chlorpyriphos/ Lindane (in oil or kerosene based solution) @ 0.5 litres per hole by drilling 6 mm dia holes at downward angle of 45 degree at 150 mm centre to centre and sealing the same.</t>
  </si>
  <si>
    <t>Extra for levelling &amp; neatly dressing of disposed soil completely as directed by Engineer-in-charge.</t>
  </si>
  <si>
    <t>Supply and stacking of Fly ash conforming to IRC- 58 at site, including carriage, loading , unloading &amp; stacking up to any lead (measured stacks will be reduced by 20% for payment).</t>
  </si>
  <si>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-in-charge, including compacting each layer by rolling/ ramming and watering, all complete as per drawing and direction of Engineer -in - charge.</t>
  </si>
  <si>
    <t>3.0 MORTAR</t>
  </si>
  <si>
    <t>Code No</t>
  </si>
  <si>
    <t xml:space="preserve">Unit </t>
  </si>
  <si>
    <t>Cement mortar 1:1 (1 cement : 1 fine sand)</t>
  </si>
  <si>
    <t>Cement mortar 1:2 (1 cement : 2 fine sand).</t>
  </si>
  <si>
    <t xml:space="preserve"> Cement mortar 1:3 (1 cement : 3 fine sand).</t>
  </si>
  <si>
    <t>Cement mortar 1:4 (1 cement : 4 fine sand).</t>
  </si>
  <si>
    <t>Cement mortar 1:5 (1 cement : 5 fine sand).</t>
  </si>
  <si>
    <t>Cement mortar 1:6 (1 cement : 6 fine sand).</t>
  </si>
  <si>
    <t>Cement mortar 1:2 (1 cement : 2 coarse sand).</t>
  </si>
  <si>
    <t>Cement mortar 1:3 (1 cement : 3 coarse sand).</t>
  </si>
  <si>
    <t>Cement mortar 1:4 (1 cement : 4 coarse sand).</t>
  </si>
  <si>
    <t>Cement mortar 1:5 (1 cement : 5 coarse sand).</t>
  </si>
  <si>
    <t>Cement mortar 1:6 (1 cement : 6 coarse sand).</t>
  </si>
  <si>
    <t>Cement mortar 1:2 (1 cement : 2 stone dust).</t>
  </si>
  <si>
    <t>Cement mortar 1:2 (1 cement : 2 marble dust).</t>
  </si>
  <si>
    <t>Cement mortar 1:5 (1 cement : 5 marble dust).</t>
  </si>
  <si>
    <t>White cement mortar 1:2 (1 white cement : 2 marble dust).</t>
  </si>
  <si>
    <t>White cement mortar 1:3 (1 white cement : 3 marble dust).</t>
  </si>
  <si>
    <t>White cement mortar 1:5 (1 white cement : 5 marble dust).</t>
  </si>
  <si>
    <t>Mud mortar</t>
  </si>
  <si>
    <t>Mortar in lime, surkhi (50% red and  50% light yellow) and marble dust 1:1.5:0.5</t>
  </si>
  <si>
    <t>4.0 CONCRETE WORK</t>
  </si>
  <si>
    <t>CEMENT CONCRETE (CAST IN SITU)</t>
  </si>
  <si>
    <t>Providing and laying in position cement concrete of specified grade excluding the cost of centering and shuttering - All work up to plinth level :</t>
  </si>
  <si>
    <t>4.1.2</t>
  </si>
  <si>
    <t>1:1½:3 (1 Cement: 1½ coarse sand (zone-III) derived from natural sources : 3 graded stone aggregate 20 mm nominal size derived from natural sources)</t>
  </si>
  <si>
    <t>4.1.2A</t>
  </si>
  <si>
    <t>1:1.5:3 (1 Cement: 1.5 coarse sand (zone-III)  including manufactured sand derived from Recycled Concrete Aggregate (RCA) upto 25% : 3 graded stone aggregate 20 mm nominal size including Recycled Concrete Aggregate (RCA) upto 25%).</t>
  </si>
  <si>
    <t>4.1.3</t>
  </si>
  <si>
    <t>1:2:4 (1 cement : 2 coarse sand (zone-III) derived from natural sources : 4 graded stone aggregate 20 mm nominal size derived from natural sources)</t>
  </si>
  <si>
    <t>4.1.3A</t>
  </si>
  <si>
    <t>1:2:4 (1 cement : 2 coarse sand (zone-III)  including manufactured sand derived from Recycled Concrete Aggregate  (RCA) upto 25% : 4 graded stone aggregate 20 mm nominal size including Recycled Concrete Aggregate (RCA) upto 25%)</t>
  </si>
  <si>
    <t>4.1.4</t>
  </si>
  <si>
    <t>1:2:4 (1 Cement : 2 coarse sand (zone-III) derived from natural sources : 4 graded stone aggregate 40 mm nominal size derived from natural sources)</t>
  </si>
  <si>
    <t>4.1.5</t>
  </si>
  <si>
    <t>1:3:6 (1 Cement : 3 coarse sand (zone-III) derived from natural sources : 6 graded stone aggregate 20 mm nominal size derived from natural sources)</t>
  </si>
  <si>
    <t>4.1.5A</t>
  </si>
  <si>
    <t>1:3:6 (1 Cement : 3 manufactured sand derived from Recycled Concrete Aggregate (RCA)  : 6 graded stone aggregate 20 mm nominal size Recycled Concrete Aggregate (RCA) )</t>
  </si>
  <si>
    <t>4.1.5B</t>
  </si>
  <si>
    <t>1:3:6 (1 cement : 3 manufactured sand derived from Recycled concrete Aggregate (RCA) : 6 graded stone aggregate 20 mm nominal size Recycled Aggregate (RA) )</t>
  </si>
  <si>
    <t>4.1.6</t>
  </si>
  <si>
    <t>1:3:6 (1 Cement : 3 coarse sand (zone-III) derived from natural sources : 6 graded stone aggregate 40 mm nominal size derived from natural sources)</t>
  </si>
  <si>
    <t>4.1.6A</t>
  </si>
  <si>
    <t>1:3:6 (1 Cement : 3 manufactured sand derived from Recycled Concrete Aggregate (RCA)  : 6 graded stone aggregate 40 mm nominal size Recycled Aggregate (RA) )</t>
  </si>
  <si>
    <t>4.1.8</t>
  </si>
  <si>
    <t>1:4:8 (1 Cement : 4 coarse sand (zone-III) derived from natural sources : 8 graded stone aggregate 40 mm nominal size derived from natural sources)</t>
  </si>
  <si>
    <t>4.1.8A</t>
  </si>
  <si>
    <t>1:4:8 (1 cement : 4 manufactured sand derived from Recycled Concrete Aggregate (RCA) : 8 graded stone aggregate 40 mm nominal size Recycled Aggregate (RA)</t>
  </si>
  <si>
    <t>4.1.10</t>
  </si>
  <si>
    <t>1:5:10 (1 cement : 5 coarse sand (zone-III) derived from natural sources : 10 graded stone aggregate 40 mm nominal size derived from natural sources)</t>
  </si>
  <si>
    <t>4.1.10A</t>
  </si>
  <si>
    <t>1:5:10 (1 cement : 5 manufactured sand derived from Recycled Concrete Aggregate (RCA) : 10 graded stone aggregate 40 mm nominal size Recycled Aggregate (RA) )</t>
  </si>
  <si>
    <t>4.1.11</t>
  </si>
  <si>
    <t>1:5:10 (1 cement : 5 fine sand derived from natural sources : 10 graded stone aggregate 40 mm nominal size derived from natural sources)</t>
  </si>
  <si>
    <t>4.1.12</t>
  </si>
  <si>
    <t>1:2:3½:9 (1 ordinary portland cement : 2 Fly ash : 3½ coarse sand (zone-III) derived from natural sources : 9 graded stone aggregate 40 mm nominal size derived from natural sources)</t>
  </si>
  <si>
    <t>4.1.12A</t>
  </si>
  <si>
    <t>1:2:3½:9 (1 ordinary portland cement : 2 Fly ash : 3½ manufactured sand derived from Recycled Concrete Aggregate (RCA) : 9 graded stone aggregate 40 mm nominal size Recycled Aggregate (RA) )</t>
  </si>
  <si>
    <t>4.1.13</t>
  </si>
  <si>
    <t>1:2½:4:11 (1 ordinary portland cement : 2½ fly ash : 4 coarse sand(zone-III) derived from natural sources : 11 graded stone aggregate 40 mm nominal size derived from natural sources)</t>
  </si>
  <si>
    <t>4.1.13A</t>
  </si>
  <si>
    <t>1:2½:4:11 (1 ordinary portland cement : 2½ fly ash : 4 manufactured sand derived from Recycled Concrete Aggregate (RCA) :11 graded stone aggregate 40 mm nominal size Recycled Aggregate (RA) )</t>
  </si>
  <si>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t>
  </si>
  <si>
    <t>4.2.2</t>
  </si>
  <si>
    <t>1:1½:3 (1 cement : 1½ coarse sand (zone-III) derived from natural sources : 3 graded stone aggregate 20 mm nominal size derived from natural sources).</t>
  </si>
  <si>
    <t>4.2.2A</t>
  </si>
  <si>
    <t>1:1½:3 (1 cement : 1½ coarse sand (zone-III)  including manufactured sand derived from Recycled Concrete Aggregate (RCA) upto 25% : 3 graded stone aggregate 20 mm nominal size including Recycled Concrete Aggregate (RCA) upto 25%) ).</t>
  </si>
  <si>
    <t>4.2.3</t>
  </si>
  <si>
    <t>1:2:4 (1 Cement : 2 coarse sand (zone-III) derived from natural sources : 4 graded stone aggregate 20 mm nominal size derived from natural sources)</t>
  </si>
  <si>
    <t>4.2.3A</t>
  </si>
  <si>
    <t>1:2:4 (1 Cement : 2 coarse sand (zone-III)  including manufactured sand derived from Recycled Concrete Aggregate (RCA) upto 25% : 4 graded stone aggregate 20 mm nominal size including Recycled Concrete Aggregate (RCA) upto 25%)).</t>
  </si>
  <si>
    <t>4.2.5</t>
  </si>
  <si>
    <t>1:3:6 (1 cement : 3 coarse sand (zone-III) derived from natural sources : 6 graded stone aggregate 20 mm nominal size derived from natural sources)</t>
  </si>
  <si>
    <t>4.2.5A</t>
  </si>
  <si>
    <t>1:3:6 (1 cement : 3 manufactured sand derived from Recycled Concrete Aggregate (RCA) : 6 graded stone aggregate 20 mm nominal size Recycled Concrete Aggregate (RCA))</t>
  </si>
  <si>
    <t>4.2.5B</t>
  </si>
  <si>
    <t>1:3:6 (1 cement : 3 manufactured sand derived from Recycled Concrete Aggregate (RCA) : 6 graded stone aggregate 20 mm nominal size Recycled Aggregate (RA))</t>
  </si>
  <si>
    <t>4.2.8</t>
  </si>
  <si>
    <t>1:5:10 (1 cement : 5 coarse sand (zone-III) derived from natural sources : 10 graded stone aggregate 40 mm nominal size derived from natural sources).</t>
  </si>
  <si>
    <t>4.2.8A</t>
  </si>
  <si>
    <t>1:5:10 (1 cement : 5 manufactured sand derived from Recycled Concrete Aggregate (RCA) : 10 graded stone aggregate 40 mm nominal size Recycled Aggregate (RA))</t>
  </si>
  <si>
    <t>Centering and shuttering including strutting, propping etc. and removal of form work for :</t>
  </si>
  <si>
    <t>4.3.1</t>
  </si>
  <si>
    <t>Foundations, footings, bases for columns</t>
  </si>
  <si>
    <t>4.3.2</t>
  </si>
  <si>
    <t>Retaining walls, return walls, walls (any thickness) including attached pilasters, buttresses, plinth and string courses fillets, kerbs and steps etc.</t>
  </si>
  <si>
    <t>4.3.3</t>
  </si>
  <si>
    <t>Columns, piers, abutments, pillars, posts and struts</t>
  </si>
  <si>
    <t>Providing and laying cement concrete in kerbs, steps and the like at or near ground level excluding the cost of centering, shuttering and finishing.</t>
  </si>
  <si>
    <t>4.4.1</t>
  </si>
  <si>
    <t>1:1½:3 (1 Cement: 1½ coarse sand(zone-III) derived from natural sources : 3 graded stone aggregate 20 mm nominal size derived from natural sources)</t>
  </si>
  <si>
    <t>4.4.1A</t>
  </si>
  <si>
    <t>1:1.5:3 (1 cement: 1.5 coarse sand (zone-III) including manufactured sand derived from Recycled Concrete Aggregate (RCA) upto 25% : 3 graded stone aggregate 20 mm nominal size including Recycled Concrete Aggregate (RCA) upto 25%)).</t>
  </si>
  <si>
    <t>CEMENT CONCRETE PRECAST</t>
  </si>
  <si>
    <t>Providing and fixing up to floor five level precast cement concrete string or lacing courses, copings, bed plates, anchor blocks, plain window sills, shelves, louvers, steps, stair cases, etc., including hoisting and setting in position with cement mortar 1:3 (1 Cement : 3 coarse sand), cost of required Centering complete.</t>
  </si>
  <si>
    <t>4.5.1</t>
  </si>
  <si>
    <t>1:1.5:3 (1 cement : 1.5 coarse sand(zone-III) derived from natural sources : 3 graded stone aggregate 20mm nominal size derived from natural sources)</t>
  </si>
  <si>
    <t>4.5.1A</t>
  </si>
  <si>
    <t>1:1.5:3 (1 cement : 1.5 coarse sand (zone-III) including manufactured sand derived from Recycled Concrete Aggregate  (RCA) upto 25% : 3 graded stone aggregate 20mm nominal size including Recycled Concrete Aggregate (RCA) upto 25%))</t>
  </si>
  <si>
    <t>Providing and fixing at or near ground level precast cement concrete in kerbs, edgings etc. as per approved pattern and setting in position with cement mortar 1:3 (1 Cement : 3 coarse sand), including the cost of required centering, shuttering complete.</t>
  </si>
  <si>
    <t>4.6.1</t>
  </si>
  <si>
    <t>1:1½:3 (1 Cement: 1½ coarse sand(zone-III) derived from natural sources: 3 graded stone aggregate 20 mm nominal size derived from natural sources).</t>
  </si>
  <si>
    <t>4.6.1A</t>
  </si>
  <si>
    <t>1:1.5:3 (1 Cement: 1.5 coarse sand (zone-III) including manufactured sand derived from Recycled Concrete Aggregate  (RCA) upto 25% : 3 graded stone aggregate 20 mm nominal size including Recycled Concrete Aggregate (RCA) upto 25%))</t>
  </si>
  <si>
    <t>Providing and fixing up to floor five level precast cement concrete solid block, including hoisting and setting in position with cement mortar 1:3 (1 cement : 3 coarse sand), cost of required centering, shuttering complete :</t>
  </si>
  <si>
    <t>4.7.1</t>
  </si>
  <si>
    <t>1:1½:3 (1 Cement: 1½ coarse sand(zone-III) derived from natural sources : 3 graded stone aggregate 20 mm nominal size derived from natural sources).</t>
  </si>
  <si>
    <t>4.7.1A</t>
  </si>
  <si>
    <t>1:1.5:3 (1 Cement: 1.5 coarse sand (zone-III) including manufactured sand derived from Recycled Concrete Aggregate  (RCA) upto 25% : 3 graded stone aggregate 20 mm nominal size including (Recycled Concrete Aggregate (RCA) upto 25%)).</t>
  </si>
  <si>
    <t>Providing and fixing up to floor five level precast cement concrete hollow block, including hoisting and setting in position with cement mortar 1:3 (1 cement : 3 coarse sand), cost of required centering, shuttering complete.</t>
  </si>
  <si>
    <t>4.8.1</t>
  </si>
  <si>
    <t>1:1½:3 (1 Cement: 1½ coarse sand (zone-III) derived from natural sources : 3 graded stone aggregate 20 mm nominal size derived from natural sources) .</t>
  </si>
  <si>
    <t>4.8.1A</t>
  </si>
  <si>
    <t>1:1.5:3 (1 Cement: 1.5 coarse sand (zone-III) ncluding manufactured sand derived from  Recycled Concrete Aggregate (RCA) upto 25% : 3 graded stone aggregate 20 mm nominal size including (Recycled Concrete Aggregate (RCA) upto 25%)).</t>
  </si>
  <si>
    <t>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coarse sand (zone-III) derived from natural sources : 6 graded stone aggregate 20 mm nominal size derived from natural sources), including necessary excavation of size 250x250x450mm deep for the same in bitumen/concrete pavement at specified spacing.</t>
  </si>
  <si>
    <t>4.9 A</t>
  </si>
  <si>
    <t>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manufactured sand derived from  Recycled Concrete Aggregate (RCA) : 6 graded stone aggregate 20 mm nominal size (Recycled Concrete Aggregate (RCA)), including necessary excavation of size 250x250x450mm deep for the same in bitumen/ concrete pavement at specified spacing</t>
  </si>
  <si>
    <t>4.9 B</t>
  </si>
  <si>
    <t>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manufactured sand derived from Recycled Concrete Aggregate (RCA) : 6 graded stone aggregate 20 mm nominal size (Recycled Aggregate (RA), including necessary excavation of size 250x250x450mm deep for the same in bitumen/ concrete pavement at specified spacing</t>
  </si>
  <si>
    <t>DAMP-PROOF COURSE</t>
  </si>
  <si>
    <t>Providing and laying damp-proof course 40mm thick with cement concrete 1:2:4 (1 cement : 2 coarse sand (zone-III) derived from natural sources : 4 graded stone aggregate 12.5mm nominal size derived from natural sources)</t>
  </si>
  <si>
    <t>4.10A</t>
  </si>
  <si>
    <t>Providing and laying damp-proof course 40mm thick with cement concrete 1:2:4 (1 cement : 2 coarse sand (zone-III) including manufactured sand derived from Recycled Concrete Aggregate (RCA) upto 25% : 4 graded stone aggregate 12.5mm nominal size including (Recycled Concrete Aggregate (RCA) upto 25%))</t>
  </si>
  <si>
    <t xml:space="preserve">Providing and laying damp-proof course 50mm thick with cement concrete 1:2:4 (1 cement : 2 coarse sand (zone-III) derived from natural sources : 4 graded stone aggregate 20mm nominal size derived from natural sources). </t>
  </si>
  <si>
    <t>4.11A</t>
  </si>
  <si>
    <t>Providing and laying damp-proof course 50mm thick with cement concrete 1:2:4 (1 cement : 2 coarse sand (zone-III) ncluding manufactured sand derived from Recycled Concrete Aggregate  (RCA) upto 25% : 4 graded stone aggregate 20mm nominal size (Recycled Concrete Aggregate (RCA) upto 25%))</t>
  </si>
  <si>
    <t>Extra for providing and mixing water proofing material in cement concrete work in doses by weight of cement as per manufacturer's specification.</t>
  </si>
  <si>
    <t>per bag of 50kg cement used</t>
  </si>
  <si>
    <t>Providing &amp; applying a coat of residual petroleum bitumen of grade of VG-10 of approved quality using 1.7kg per square metre on damp proof course after cleaning the surface with brushes and finally with apiece of cloth lightly soaked in kerosene oil.</t>
  </si>
  <si>
    <t>MISCELLANEOUS</t>
  </si>
  <si>
    <t>Extra for concrete work in superstructure above floor V level for each four floors or part thereof by mechnical means.</t>
  </si>
  <si>
    <t>Extra for laying concrete in or under water and/or liquid mud including cost of pumping or bailing out water and removing slush etc. complete.</t>
  </si>
  <si>
    <t>cum per metre depth</t>
  </si>
  <si>
    <t>Note for item No. 4.15 :- The quantity will be calculated by multiplying the depth measured from the sub-soil water level up to centre of gravity of concrete under sub-soil water level with quantity of concrete in cum executed under sub-soil water. The depth of centre of gravity shall be reckoned correct to 0.1m. 0.05m or more shall be taken as 0.1m and less than 0.05m ignored.</t>
  </si>
  <si>
    <t>Extra for laying concrete in or under foul positions.</t>
  </si>
  <si>
    <t>Making plinth protection 50mm thick of cement concrete 1:3:6 (1 cement : 3 coarse sand (zone-III) derived from natural sources : 6 graded stone aggregate 20 mm nominal size derived from natural sources) over 75mm thick bed of dry brick ballast 40 mm nominal size, well rammed and consolidated and grouted with fine sand, including necessary excavation, levelling &amp; dressing &amp; finishing the top smooth.</t>
  </si>
  <si>
    <t>4.17A</t>
  </si>
  <si>
    <t>Making plinth protection 50mm thick of cement concrete 1:3:6 (1 cement : 3 manufactured sand derived from Recycled Concrete Aggregate (RCA) : 6 graded stone aggregate 20 mm nominal size Recycled Concrete Aggregate (RCA) over 75mm thick bed of dry brick ballast 40 mm nominal size, well rammed and consolidated and grouted with fine sand, including necessary excavation, levelling &amp; dressing &amp; finishing the top smooth</t>
  </si>
  <si>
    <t>4.17B</t>
  </si>
  <si>
    <t>Making plinth protection 50mm thick of cement concrete 1:3:6 (1 cement : 3 manufactured sand derived from Recycled Concrete Aggregate (RCA) : 6 graded stone aggregate 20 mm nominal size Recycled Aggregate (RA) over 75mm thick bed of dry brick ballast 40 mm nominal size, well rammed and consolidated and grouted with fine sand, including necessary excavation, levelling &amp; dressing &amp; finishing the top smooth</t>
  </si>
  <si>
    <t>Extra for addition of synthetic Polyester triangular fibre of length 12mm, effective diameter 10-40 microns and specific gravity of 1.34 to 1.40 in cement concrete/RCC/Flooring/water retaining structures by using 125gms of synthetic Polyester triangular fibre for 50 Kg cement used as per directions of Engineer-in-Charge.</t>
  </si>
  <si>
    <t>per bag of 50kg of cement</t>
  </si>
  <si>
    <t>Providing and laying in position ready mixed or site batched  design mix cement concrete for plain cement concrete work; using coarse aggregate and fine aggregate derived from natural sources,  Portland Pozzolana/Ordinary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t>
  </si>
  <si>
    <t>4.20.1</t>
  </si>
  <si>
    <t>All works upto plinth level :</t>
  </si>
  <si>
    <t>4.20.1.1</t>
  </si>
  <si>
    <t xml:space="preserve">Concrete of M10 grade with minimum cement content of 220 kg /cum </t>
  </si>
  <si>
    <t>4.20.1.2</t>
  </si>
  <si>
    <t>Concrete of M15 grade with minimum cement content of 240 kg /cum</t>
  </si>
  <si>
    <t>4.20.1.3</t>
  </si>
  <si>
    <t>Concrete of M20 grade with minimum cement content of 270 kg /cum</t>
  </si>
  <si>
    <t>4.20.1.4</t>
  </si>
  <si>
    <t>Concrete of M25 grade with minimum cement content of 300 kg /cum</t>
  </si>
  <si>
    <t>4.20.2</t>
  </si>
  <si>
    <t>All works above plinth and upto floor V level</t>
  </si>
  <si>
    <t>4.20.2.1</t>
  </si>
  <si>
    <t>Concrete of M10 grade with minimum cement  content of 220 kg /cum</t>
  </si>
  <si>
    <t>4.20.2.2</t>
  </si>
  <si>
    <t>4.20.2.3</t>
  </si>
  <si>
    <t>4.20.2.4</t>
  </si>
  <si>
    <t>4.20A</t>
  </si>
  <si>
    <t>Providing and laying in position ready mixed  or site batched design mix cement concrete for plain cement concrete work;  using  coarse aggregate  and  fine aggregate derived from natural sources and using  recycled concrete aggregate (RCA)  as coarse aggregate and fine aggregate within the  permissible utilization,  Portland  Pozzolana /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t>
  </si>
  <si>
    <t>4.20A.1</t>
  </si>
  <si>
    <t xml:space="preserve">All works upto plinth level </t>
  </si>
  <si>
    <t>4.20A.1.1</t>
  </si>
  <si>
    <t xml:space="preserve">Concrete of M10 grade with minimum cement content of 220 kg /cum.
(Note: The permissible utilization of Recycled Concrete Aggregate (RCA) as coarse aggregate and fine aggregate is 100% each).
</t>
  </si>
  <si>
    <t>4.20A.1.2</t>
  </si>
  <si>
    <t xml:space="preserve">Concrete of M15 grade with minimum cement content of 240 kg /cum. 
(Note: The permissible utilization of Recycled Concrete Aggregate (RCA) as coarse aggregate and fine aggregate is 25% each).
</t>
  </si>
  <si>
    <t>4.20A.1.3</t>
  </si>
  <si>
    <t xml:space="preserve">Concrete of M20 grade with minimum cement content of 270 kg /cum.
 (Note: The permissible utilization of Recycled Concrete Aggregate (RCA) as coarse aggregate and fine aggregate is 25% each).
</t>
  </si>
  <si>
    <t>4.20A.1.4</t>
  </si>
  <si>
    <t xml:space="preserve">Concrete of M25 grade with minimum cement content of 300 kg /cum.
(Note: The permissible utilization of Recycled Concrete Aggregate (RCA) as coarse aggregate and fine aggregate is 25% each).
</t>
  </si>
  <si>
    <t>4.20A.2</t>
  </si>
  <si>
    <t>4.20A.2.1</t>
  </si>
  <si>
    <t>4.20A.2.2</t>
  </si>
  <si>
    <t xml:space="preserve">Concrete of M15 grade with minimum cement content of 240 kg /cum. 
 (Note: The permissible utilization of Recycled Concrete Aggregate (RCA) as coarse aggregate and fine aggregate is 25% each).
</t>
  </si>
  <si>
    <t>4.20A.2.3</t>
  </si>
  <si>
    <t xml:space="preserve">Concrete of M20 grade with minimum cement content of 270 kg /cum. 
 (Note: The permissible utilization of Recycled Concrete Aggregate (RCA) as coarse aggregate and fine aggregate is 25% each).
</t>
  </si>
  <si>
    <t>4.20A.2.4</t>
  </si>
  <si>
    <t xml:space="preserve">Concrete of M25 grade with minimum cement content of 300 kg /cum.    
(Note: The permissible utilization of Recycled Concrete Aggregate (RCA) as coarse aggregate and fine aggregate is 25% each).
</t>
  </si>
  <si>
    <t>5.0 REINFORCED CEMENT CONCRETE</t>
  </si>
  <si>
    <t>CAST IN SITU</t>
  </si>
  <si>
    <t>Providing and laying in position specified grade of reinforced cement concrete, excluding the cost of centering, shuttering, finishing and reinforcement - All work up to plinth level :</t>
  </si>
  <si>
    <t>5.1.2</t>
  </si>
  <si>
    <t>1:1.5:3 (1 cement : 1.5 coarse sand (zone-III) derived from natural sources : 3 graded stone aggregate 20 mm nominal size derived from natural sources)</t>
  </si>
  <si>
    <t>5.1.2A</t>
  </si>
  <si>
    <t>1:1.5:3 (1 cement : 1.5 coarse sand(zone-III) incuding manufactured sand derived from Recycled Concrete Aggregate (RCA) upto 20% : 3 graded stone aggregate 20 mm nominal size of Recycled Concrete Aggregate (RCA) upto 20%.</t>
  </si>
  <si>
    <t>5.1.3</t>
  </si>
  <si>
    <t>5.1.3A</t>
  </si>
  <si>
    <t>1:2:4 (1 cement : 2 coarse sand incuding manufactured sand derived from Recycled Concrete Aggregate (RCA) upto 20% : 4 graded stone aggregate 20 mm nominal size of Recycled Concrete Aggregate (RCA) upto 20%).</t>
  </si>
  <si>
    <t>Reinforced cement concrete work in walls (any thickness), including attached pilasters, buttresses, plinth and string courses, fillets, columns, pillars, piers, abutments, posts and struts etc. above plinth level up to floor five level, excluding cost of centering, shuttering, finishing and reinforcement :</t>
  </si>
  <si>
    <t>5.2.2</t>
  </si>
  <si>
    <t>1:1.5:3 (1 cement : 1.5 coarse sand(zone-III) derived from natural sources : 3 graded stone aggregate 20 mm nominal size derived from natural sources)</t>
  </si>
  <si>
    <t>5.2.2A</t>
  </si>
  <si>
    <t>1:1.5:3 (1 cement : 1.5 coarse sand incuding manufactured sand derived from Recycled Concrete Aggregate  (RCA) upto 20% : 3 graded stone aggregate 20 mm nominal size including Recycled Concrete Aggregate (RCA) upto 20%</t>
  </si>
  <si>
    <t>Reinforced cement concrete work in beams, suspended floors, roofs having slope up to 15° landings, balconies, shelves, chajjas, lintels, bands, plain window sills, staircases and spiral stair cases above plinth level up to floor five level, excluding the cost of centering, shuttering, finishing and reinforcement with 1:1.5:3 (1 cement : 1.5 coarse sand(zone-III) derived from natural sources : 3 graded stone aggregate 20 mm nominal size derived from natural sources).</t>
  </si>
  <si>
    <t>5.3A</t>
  </si>
  <si>
    <t>Reinforced cement concrete work in beams, suspended floors, roofs having slope up to 15° landings, balconies, shelves, chajjas, lintels, bands, plain window sills, staircases and spiral staircases above plinth level up to floor five level excluding the cost of centering, shuttering, finishing and reinforcement, with 1:1.5:3 (1 cement : 1.5 coarse sand incuding manufactured sand derived from Recycled Concrete Aggregate (RCA) upto 20%: 3 graded stone aggregate 20 mm nominal size including Recycled Concrete Aggregate (RCA) upto 20%)</t>
  </si>
  <si>
    <t>Providing and laying reinforced cement concrete in kerbs, steps and the like at or near ground level excluding the cost of centering, shuttering, finishing and reinforcement with 1:1.5:3 (1 cement : 1.5 coarse sand(zone-III) derived from natural sources : 3 graded stone aggregate 20 mm nominal size derived from natural sources).</t>
  </si>
  <si>
    <t>5.4A</t>
  </si>
  <si>
    <t>Providing and laying reinforced cement concrete in kerbs, steps and the like at or near ground level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</si>
  <si>
    <t>Reinforced cement concrete work in arches, archribs, domes, vaults, shells, folded plate and roofs having slope more than 15° up to floor five level, excluding the cost of centering, shuttering, finishing and reinforcement with 1:1.5:3 (1 cement : 1.5 coarse sand (zone-III) derived from natural sources : 3 graded stone aggregate 20 mm nominal size derived from natural sources).</t>
  </si>
  <si>
    <t>5.5A</t>
  </si>
  <si>
    <t>Reinforced cement concrete work in arches, archribs, domes, vaults, shells, folded plate and roofs having slope more than 15° up to floor five level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</si>
  <si>
    <t>Reinforced cement concrete work in chimneys, shafts, up to floor five level, excluding the cost of centering, shuttering, finishing and reinforcement with 1:1.5:3 (1 cement : 1.5 coarse sand(zone-III) derived from natural sources : 3 graded stone aggregate 20 mm nominal size derived from natural sources).</t>
  </si>
  <si>
    <t>5.6A</t>
  </si>
  <si>
    <t>Reinforced cement concrete work in chimneys, shafts, up to floor five level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</si>
  <si>
    <t>Reinforced cement concrete work in well-steining, excluding the cost of centering, shuttering, finishing and reinforcement with 1:1.5:3 (1 cement : 1.5 coarse sand(zone-III)  derived from natural sources : 3 graded stone aggregate 20 mm nominal size derived from natural sources).</t>
  </si>
  <si>
    <t>5.7A</t>
  </si>
  <si>
    <t>Reinforced cement concrete work in well-steining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</si>
  <si>
    <t>Reinforced cement concrete work in vertical and horizontal fins individually or forming box louvers, facias and eaves boards above plinth level up to floor five level, excluding the cost of centering, shuttering, finishing and reinforcement with 1:1.5:3 (1 cement : 1.5 coarse sand(zone-III) derived from natural sources : 3 graded stone aggregate 20mm nominal size derived from natural sources).</t>
  </si>
  <si>
    <t>5.8A</t>
  </si>
  <si>
    <t>Reinforced cement concrete work in vertical and horizontal fins individually or forming box louvers, facias and eaves boards above plinth level up to floor five level excluding the cost of centering, shuttering, finishing and reinforcement, with 1:1.5:3 (1 cement : 1.5 coarse sand incuding manufactured sand derived from Recycled Concrete Aggregate (RCA) upto 20% : 3 graded stone aggregate 20 mm nominal size including Recycled Concrete Aggregate (RCA) upto 20%).</t>
  </si>
  <si>
    <t>FORM WORK</t>
  </si>
  <si>
    <t>Centering and shuttering including strutting, propping etc. and removal of form for</t>
  </si>
  <si>
    <t>5.9.1</t>
  </si>
  <si>
    <t>Foundations, footings, bases of columns, etc. for mass concrete</t>
  </si>
  <si>
    <t>5.9.2</t>
  </si>
  <si>
    <t>Walls (any thickness) including attached pilasters, butteresses, plinth and string courses etc.</t>
  </si>
  <si>
    <t>5.9.3</t>
  </si>
  <si>
    <t>Suspended floors, roofs, landings, balconies and access platform</t>
  </si>
  <si>
    <t>5.9.4</t>
  </si>
  <si>
    <t>Shelves (Cast in situ)</t>
  </si>
  <si>
    <t>5.9.5</t>
  </si>
  <si>
    <t>Lintels, beams, plinth beams, girders, bressumers and cantilevers</t>
  </si>
  <si>
    <t>5.9.6</t>
  </si>
  <si>
    <t>Columns, Pillars, Piers, Abutments, Posts and Struts</t>
  </si>
  <si>
    <t>5.9.7</t>
  </si>
  <si>
    <t>Stairs, (excluding landings) except spiral-staircases</t>
  </si>
  <si>
    <t>5.9.8</t>
  </si>
  <si>
    <t>Spiral staircases (including landing)</t>
  </si>
  <si>
    <t>5.9.9</t>
  </si>
  <si>
    <t>Arches, domes, vaults up to 6 m span</t>
  </si>
  <si>
    <t>5.9.10</t>
  </si>
  <si>
    <t>Extra for arches, domes, vaults exceeding 6 m span</t>
  </si>
  <si>
    <t>5.9.11</t>
  </si>
  <si>
    <t>Chimneys and shafts</t>
  </si>
  <si>
    <t>5.9.12</t>
  </si>
  <si>
    <t>Well steining</t>
  </si>
  <si>
    <t>5.9.13</t>
  </si>
  <si>
    <t xml:space="preserve">Vertical and horizontal fins individually or forming box louvers band, facias and eaves boards </t>
  </si>
  <si>
    <t>5.9.14</t>
  </si>
  <si>
    <t>Extra for shuttering in circular work (20% of respective centering and shuttering items)</t>
  </si>
  <si>
    <t>5.9.15</t>
  </si>
  <si>
    <t>Small lintels not exceeding 1.5 m clear span, moulding as in cornices, window sills, string courses, bands, copings, bed plates, anchor blocks and the like</t>
  </si>
  <si>
    <t>5.9.16</t>
  </si>
  <si>
    <t>Edges of slabs and breaks in floors and walls</t>
  </si>
  <si>
    <t>5.9.16.1</t>
  </si>
  <si>
    <t>Under 20 cm wide</t>
  </si>
  <si>
    <t>5.9.16.2</t>
  </si>
  <si>
    <t>Above 20 cm wide</t>
  </si>
  <si>
    <t>5.9.17</t>
  </si>
  <si>
    <t>Cornices and mouldings</t>
  </si>
  <si>
    <t>5.9.18</t>
  </si>
  <si>
    <t>Small surfaces such as cantilever ends, brackets and ends of steps, caps and bases to pilasters and columns and the like</t>
  </si>
  <si>
    <t>5.9.19</t>
  </si>
  <si>
    <t>Weather shade, Chajjas, corbels etc., including edges</t>
  </si>
  <si>
    <t>5.9.20</t>
  </si>
  <si>
    <t>Suspended floors, roofs, landings, balconies and access platform with water proof ply 12 mm thick</t>
  </si>
  <si>
    <t>5.9.21</t>
  </si>
  <si>
    <t>Lintels, beams, plinth beams, girders, bressumers and cantilevers with water proof ply 12 mm thick</t>
  </si>
  <si>
    <t>Providing and fixing tie bolt, spring coil and plastic cone in wall shuttering complete as per the direction of Engineer-in-charge.</t>
  </si>
  <si>
    <t>5.10.1</t>
  </si>
  <si>
    <t>12 mm dia. &amp; 100 mm length</t>
  </si>
  <si>
    <t>each set</t>
  </si>
  <si>
    <t>5.10.2</t>
  </si>
  <si>
    <t>12 mm dia. &amp; 150 mm length</t>
  </si>
  <si>
    <t>5.10.3</t>
  </si>
  <si>
    <t>20 mm dia. &amp; 150 mm length</t>
  </si>
  <si>
    <t>5.10.4</t>
  </si>
  <si>
    <t>20 mm dia.&amp; 225 mm length</t>
  </si>
  <si>
    <t>Extra for additional height in centering, shuttering where ever required with adequate bracing, propping etc., including cost of de-shuttering and decentering at all levels, over a height of 3.5 m, for every additional height of 1 metre or part thereof (Plan area to be measured).</t>
  </si>
  <si>
    <t>5.11.1</t>
  </si>
  <si>
    <t>Suspended floors, roofs, landing, beams and balconies (Plan area to be measured)</t>
  </si>
  <si>
    <t>PRE-CAST RCC</t>
  </si>
  <si>
    <t>Providing, hoisting and fixing above plinth level up to floor five level precast reinforced cement concrete work in string courses, bands, copings, bed plates, anchor blocks, plain window sills and the like, including the cost of required centering, shuttering but , excluding cost of reinforcement with 1:1.5:3 (1 cement : 1.5 coarse sand(zone-III) derived from natural sources : 3 graded stone aggregate 20 mm nominal size derived from natural sources).</t>
  </si>
  <si>
    <t>5.12A</t>
  </si>
  <si>
    <t>Providing, hoisting and fixing above plinth level up to floor five level precast reinforced cement concrete work in string courses, bands, copings, bed plates, anchor blocks, plain window sills and the like, including the cost of required centering, shuttering but excluding cost of reinforcement, with 1:1.5:3 (1 cement : 1.5 coarse sand incuding manufactured sand derived from Recycled Concrete Aggregate (RCA) upto 20% : 3 graded stone aggregate 20 mm nominal size Recycled Concrete Aggregate (RCA) upto 20%).</t>
  </si>
  <si>
    <t>Providing, hoisting and fixing up to floor five level precast reinforced cement concrete in small lintels not exceeding 1.5m clear span up to floor five level, including the cost of required centering, shuttering but , excluding the cost of reinforcement with 1:1.5:3 (1 cement : 1.5 coarse sand (zone-III) derived from natural sources : 3 graded stone aggregate 20 mm nominal size derived from natural sources).</t>
  </si>
  <si>
    <t>5.13A</t>
  </si>
  <si>
    <t>Providing, hoisting and fixing up to floor five level precast reinforced cement concrete in small lintels not exceeding 1.5 m clear span up to floor five level, including the cost of required centering, shuttering but excluding the cost of reinforcement, with 1:1.5:3 (1 cement : 1.5 coarse sand incuding manufactured sand derived from Recycled Concrete Aggregate (RCA) upto 20% : 3 graded stone aggregate 20 mm nominal size including Recycled Concrete Aggregate (RCA) upto 20%).</t>
  </si>
  <si>
    <t>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sand(zone-III)  derived from natural sources : 3 graded stone aggregate 20 mm nominal size derived from natural sources).</t>
  </si>
  <si>
    <t>5.14A</t>
  </si>
  <si>
    <t>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 incuding manufactured sand derived from Recycled Concrete Aggregate (RCA) upto 20% : 3 graded stone aggregate 20 mm nominal size including Recycled Concrete Aggregate (RCA) upto 20%).</t>
  </si>
  <si>
    <t>Providing, transporting, hoisting and fixing above plinth level up to floor five level precast reinforced cement concrete in lintels, beams and bressumers, including setting in cement mortar 1:3 (1 cement : 3 coarse sand), cost of required centering and shuttering but , excluding the cost of reinforcement, with 1:1.5:3 (1 cement : 1.5 coarse sand(zone-III) derived from natural sources : 3 graded stone aggregate 20 mm nominal size derived from natural sources)</t>
  </si>
  <si>
    <t>5.15A</t>
  </si>
  <si>
    <t>Providing, transporting, hoisting and fixing above plinth level up to floor five level precast reinforced cement concrete in lintels, beams and bressumers including setting in cement mortar 1:3 (1 cement : 3 coarse sand), cost of required centering and shuttering but excluding the cost of reinforcement with, 1:1.5:3 (1 cement : 1.5 coarse sand incuding manufactured sand derived from Recycled Concrete Aggregate (RCA) upto 20% : 3 graded stone aggregate 20 mm nominal size including Recycled Concrete Aggregate (RCA) upto 20%).</t>
  </si>
  <si>
    <t>Providing, transporting, hoisting and fixing above plinth level up to floor five level precast reinforced cement concrete in shelves, including setting in cement mortar 1:3 (1cement : 3 coarse sand), cost of required centering, shuttering and finishing with neat cement punning on exposed surfaces but , excluding the cost of reinforcement, with 1:1.5:3 (1 cement : 1.5 coarse sand(zone-III)  derived from natural sources : 3 graded stone aggregate 20 mm nominal size derived from natural sources).</t>
  </si>
  <si>
    <t>5.16A</t>
  </si>
  <si>
    <t>Providing, transporting, hoisting and fixing above plinth level up to floor five level precast reinforced cement concrete in shelves including setting in cement mortar 1:3 (1 cement : 3 coarse sand), cost of required centering, shuttering and finishing with neat cement punning on exposed surfaces but excluding the cost of reinforcement, with 1:1.5:3 (1 cement : 1.5 coarse sand incuding manufactured sand derived from Recycled Concrete Aggregate (RCA) upto 20% : 3 graded stone aggregate 20 mm nominal size  including Recycled Concrete Aggregate (RCA) upto 20%).</t>
  </si>
  <si>
    <t>Providing, transporting, hoisting and fixing above plinth level up to floor five level precast reinforced cement concrete in vertical &amp; horizontal fins, individually or forming box louvers, setting in cement mortar 1:2 (1 cement : 2 coarse sand), including the cost of required centering, shuttering but , excluding the cost of reinforcement, with 1:1.5:3 (1 cement : 1.5 coarse sand(zone-III) derived from natural sources : 3 graded stone aggregate 20 mm nominal size derived from natural sources).</t>
  </si>
  <si>
    <t>5.17A</t>
  </si>
  <si>
    <t xml:space="preserve">Providing, transporting, hoisting and fixing above plinth level up to floor five level precast reinforced cement concrete in vertical &amp; horizontal fins individually or forming box louvers setting in cement mortar 1:2 (1 cement : 2 coarse sand), including the cost of required centering, shuttering but excluding the cost of reinforcement, with 1:1.5:3 (1 cement : 1.5 coarse sand incuding manufactured sand derived from Recycled Concrete Aggregate (RCA) upto 20% : 3 graded stone aggregate 20 mm nominal size including Recycled Concrete Aggregate (RCA) upto 20%). </t>
  </si>
  <si>
    <t>Providing precast cement concrete Jali 1:2:4 (1 cement : 2 coarse sand(zone-III) : 4 graded stone aggregate 6mm nominal size ), reinforced with 1.6 mm dia mild steel wire, including centering and shuttering, roughening cleaning, fixing and finishing in cement mortar 1:3 (1 cement: 3 fine sand) etc. complete, excluding plastering of the jambs, sills and soffits.</t>
  </si>
  <si>
    <t>5.18.1</t>
  </si>
  <si>
    <t>50 mm thick</t>
  </si>
  <si>
    <t>5.18.2</t>
  </si>
  <si>
    <t>40 mm thick</t>
  </si>
  <si>
    <t>5.18.3</t>
  </si>
  <si>
    <t>25 mm thick</t>
  </si>
  <si>
    <t>ENCASING ROLLED STEEL SECTION</t>
  </si>
  <si>
    <t>Encasing rolled steel sections, in beams and columns, with cement concrete 1:1.5:3 (1 cement : 1.5 coarse sand (zone-III) derived from natural sources : 3 graded stone aggregate 20 mm nominal size derived from natural sources) including centering and shuttering complete but , excluding cost of reinforcement.</t>
  </si>
  <si>
    <t>5.19A</t>
  </si>
  <si>
    <t xml:space="preserve">Encasing rolled steel sections, in beams and columns, with cement concrete 1:1.5:3 (1 cement : 1.5 coarse sand incuding manufactured sand derived from Recycled Concrete Aggregate (RCA) upto 20%: 3 graded stone aggregate 20 mm nominal size Recycled Concrete Aggregate (RCA) upto 20%) including centering and shuttering complete but excluding cost of reinforcement. </t>
  </si>
  <si>
    <t>Encasing rolled steel section in grillages with cement concrete 1:1.5:3 (1 cement : 1.5 coarse sand (zone-III) derived from natural sources : 3 graded stone aggregate 20 mm nominal size derived from natural sources) including centering and shuttering but, excluding cost of expanded metal and hangers.</t>
  </si>
  <si>
    <t>5.20A</t>
  </si>
  <si>
    <t xml:space="preserve">Encasing rolled steel section in grillages with cement concrete 1:1.5:3 (1 cement : 1.5 coarse sand incuding manufactured sand derived from Recycled Concrete Aggregate (RCA) upto 20% : 3 graded stone aggregate 20 mm nominal size Recycled Concrete Aggregate (RCA) upto 20%), including centering and shuttering but excluding cost of expanded metal and hangers. </t>
  </si>
  <si>
    <t>Extra for providing and fixing expanded metal mesh of size 20x60 mm and strands 3.25 mm wide 1.6 mm thick weighing 3.64 kg per sqm for encasing of rolled steel sections in beams, columns and grillages, excluding cost of hangers.</t>
  </si>
  <si>
    <t>STEEL REINFORCEMENT</t>
  </si>
  <si>
    <t>Steel reinforcement for R.C.C. work including straightening, cutting, bending, placing in position and binding all complete upto plinth level.</t>
  </si>
  <si>
    <t>5.22.1</t>
  </si>
  <si>
    <t>Mild steel and Medium Tensile steel bars</t>
  </si>
  <si>
    <t>kg</t>
  </si>
  <si>
    <t>5.22.2</t>
  </si>
  <si>
    <t>Hard drawn steel wire</t>
  </si>
  <si>
    <t>5.22.3</t>
  </si>
  <si>
    <t>Cold twisted bars</t>
  </si>
  <si>
    <t>5.22.4</t>
  </si>
  <si>
    <t>Hot rolled deformed bars</t>
  </si>
  <si>
    <t>5.22.5</t>
  </si>
  <si>
    <t>Hard drawn steel wire fabric</t>
  </si>
  <si>
    <t>5.22.6</t>
  </si>
  <si>
    <t>Thermo-Mechanically Treated bars of grade Fe-500D or more.</t>
  </si>
  <si>
    <t>5.22A</t>
  </si>
  <si>
    <t>Steel reinforcement for R.C.C. work including straightening, cutting, bending, placing in position and binding all complete above plinth level.</t>
  </si>
  <si>
    <t>5.22A.1</t>
  </si>
  <si>
    <t>5.22A.2</t>
  </si>
  <si>
    <t>5.22A.3</t>
  </si>
  <si>
    <t>5.22A.4</t>
  </si>
  <si>
    <t>5.22A.5</t>
  </si>
  <si>
    <t>5.22A.6</t>
  </si>
  <si>
    <t>5.22B</t>
  </si>
  <si>
    <t>Steel reinforcement for R.C.C. work ready to use "cut and bend" rebars of approved make from factory/workshop to construction site including placing in position and binding all complete upto plinth level.</t>
  </si>
  <si>
    <t>5.22B.1</t>
  </si>
  <si>
    <t>5.22C</t>
  </si>
  <si>
    <t>Steel reinforcement for R.C.C. work ready to use "cut and bend" rebars of approved make from factory/workshop to construction site including placing in position and binding all complete above plinth level.</t>
  </si>
  <si>
    <t>5.22C.1</t>
  </si>
  <si>
    <t>Smooth finishing of the exposed surface of R.C.C. work with 6 mm thick cement mortar 1:3 (1 Cement : 3 fine sand).</t>
  </si>
  <si>
    <t>Extra for rendering smooth the top of suspended floors, landings and staircases (treads and risers) with cement mortar 1:2 (1 cement : 2 coarse sand), including a floating coat of neat cement and protecting the surface with a layer of 7.5 cm of earth laid over 15 mm of fine sand in case of suspended floor and bricks laid in mud mortar in case of landings and steps, including subsequent removal and cleaning of the same.</t>
  </si>
  <si>
    <t>Providing and fixing in position copper plate as per design for expansion joints.</t>
  </si>
  <si>
    <t>Providing and filling in position, blown bitumen in expansion joints.</t>
  </si>
  <si>
    <t>Providing and filling in position bitumen mix filler of proportion 80 kg. of hot bitumen, 1 kg. of cement and 0.25 cubic metre of coarse sand for expansion joints.</t>
  </si>
  <si>
    <t>Providing and fixing in position 12mm thick bitumen impregnated fiber board conforming to IS: 1838, including cost of primer, sealing compound Grade-A in expansion joints.</t>
  </si>
  <si>
    <t>per cm depth per 100m</t>
  </si>
  <si>
    <t>Providing and fixing sheet covering over expansion joints with iron screws as per design.</t>
  </si>
  <si>
    <t>5.29.1</t>
  </si>
  <si>
    <t>Non-asbestos 6 mm thick fibre cement board, Type-A, Category-III   as per IS: 14862:2000</t>
  </si>
  <si>
    <t>5.29.1.1</t>
  </si>
  <si>
    <t>150mm wide</t>
  </si>
  <si>
    <t>5.29.1.2</t>
  </si>
  <si>
    <t>200mm wide</t>
  </si>
  <si>
    <t>5.29.2</t>
  </si>
  <si>
    <t>Aluminium fluted strips 3.15 mm thick.</t>
  </si>
  <si>
    <t>5.29.2.1</t>
  </si>
  <si>
    <t>150 mm wide</t>
  </si>
  <si>
    <t>5.29.2.2</t>
  </si>
  <si>
    <t>200 mm wide</t>
  </si>
  <si>
    <t>5.29.3</t>
  </si>
  <si>
    <t>Cement bonded wood particle board 6mm thick as per IS : 14276</t>
  </si>
  <si>
    <t>5.29.3.1</t>
  </si>
  <si>
    <t>5.29.3.2</t>
  </si>
  <si>
    <t>Add for plaster drip course/ groove in plastered surface or moulding to R.C.C. projections.</t>
  </si>
  <si>
    <t>Extra for laying reinforced cement concrete in or under water and/ or liquid mud, including cost of pumping or bailing out water and removing slush etc., complete.</t>
  </si>
  <si>
    <t>Note For Item No. 5.31:- The quantity will be calculated by multiplying the depth measured from the subsoil water level up to the centre of gravity of the R.C.C. under subsoil water with the quantity of R.C.C. in cubic metre executed under subsoil water. The depth of centre of gravity shall be reckoned correct to 0.1 m. 0.05 m or more shall be taken as 0.1 m and less than 0.05 m ignored. No extra payment shall be made for placing reinforcement or centering &amp; shuttering under sub - soil water conditions.</t>
  </si>
  <si>
    <t>Extra for laying reinforced cement concrete in or under foul positions.</t>
  </si>
  <si>
    <t>DESIGN MIX CONCRETE</t>
  </si>
  <si>
    <t xml:space="preserve">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t>
  </si>
  <si>
    <t>5.33.1</t>
  </si>
  <si>
    <t xml:space="preserve">All works upto plinth level
</t>
  </si>
  <si>
    <t>5.33.1.1</t>
  </si>
  <si>
    <t>Concrete of M25 grade with  minimum cement content of 330 kg /cum</t>
  </si>
  <si>
    <t>5.33.1.2</t>
  </si>
  <si>
    <t>Concrete of M30 grade with  minimum cement  content of 350 kg /cum</t>
  </si>
  <si>
    <t>5.33.1.3</t>
  </si>
  <si>
    <t>Concrete of M35 grade with  minimum cement  content of 370 kg /cum</t>
  </si>
  <si>
    <t>5.33.1.4</t>
  </si>
  <si>
    <t>Concrete of M40 grade with  minimum cement  content of 390 kg/cum</t>
  </si>
  <si>
    <t>5.33.1.5</t>
  </si>
  <si>
    <t>Concrete of M50 grade with  minimum cement  content of 410 kg/cum</t>
  </si>
  <si>
    <t>5.33.2</t>
  </si>
  <si>
    <t xml:space="preserve">All works above plinth level upto floor V level
</t>
  </si>
  <si>
    <t>5.33.2.1</t>
  </si>
  <si>
    <t>Concrete of M25 grade with  minimum cement  content of 330 kg /cum</t>
  </si>
  <si>
    <t>5.33.2.2</t>
  </si>
  <si>
    <t>5.33.2.3</t>
  </si>
  <si>
    <t>5.33.2.4</t>
  </si>
  <si>
    <t>Concrete of M40 grade with  minimum cement  content of 390 kg /cum</t>
  </si>
  <si>
    <t>5.33.2.5</t>
  </si>
  <si>
    <t>Concrete of M50 grade with  minimum cement content of 410 kg /cum</t>
  </si>
  <si>
    <t>5.33A</t>
  </si>
  <si>
    <t xml:space="preserve">Providing and laying in position ready mixed or site batched design mix  cement concrete for reinforced cement concrete work;  using coarse aggregate and fine aggregate derived from natural sources and using recycled concrete aggregate (RCA) as coarse aggregate and fine aggregate within permissible utilization of  20% each,  Portland Pozzolana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t>
  </si>
  <si>
    <t>5.33A.1</t>
  </si>
  <si>
    <t xml:space="preserve">All works upto plinth level
</t>
  </si>
  <si>
    <t>5.33A.1.1</t>
  </si>
  <si>
    <t>Concrete of M25 grade with minimum  cement  content of 330 kg /cum</t>
  </si>
  <si>
    <t>5.33A.2</t>
  </si>
  <si>
    <t xml:space="preserve">All works above plinth level up to floor V level
</t>
  </si>
  <si>
    <t>5.33A.2.1</t>
  </si>
  <si>
    <t>Concrete of M25 grade with minimum cement content of 330 kg /cum</t>
  </si>
  <si>
    <t xml:space="preserve">Add for using extra cement in the items of design mix over and above the specified cement content therein. </t>
  </si>
  <si>
    <t>quintal</t>
  </si>
  <si>
    <t>Providing and placing in position precast reinforced cement concrete waffle units, square or rectangular, as per design and shape for floors and roofs in 1:1½:3 (1 Cement : 1½ coarse sand (zone-III) derived from natural sources : 3 graded stone aggregate 10 mm nominal size derived from natural sources),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t>
  </si>
  <si>
    <t>5.36A</t>
  </si>
  <si>
    <t xml:space="preserve">Providing and placing in position precast reinforced cement concrete waffle units, square or rectangular as per design and shape for floors and roofs in 1:1.5:3 (1 cement : 1.5 coarse sand incuding manufactured sand derived from Recycled Concrete Aggregate (RCA) upto 20% : 3 graded stone aggregate 10 mm nominal size including Recycled Concrete Aggregate (RCA) upto 20%),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 </t>
  </si>
  <si>
    <t>Extra for R.C.C./ B.M.C/ R.M.C. work above floor V level for each four floors or part thereof.</t>
  </si>
  <si>
    <t>Supplying and applying pre tested and approved water based concrete curing compound to concrete/ masonry surface, all as per manufacturer’s specification and direction of Engineer-in-charge.</t>
  </si>
  <si>
    <t>5.41.1</t>
  </si>
  <si>
    <t>Non pigmented wet curing compound</t>
  </si>
  <si>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t>
  </si>
  <si>
    <t>5.42.1</t>
  </si>
  <si>
    <t>Coupler for 16 mm diameter reinforcement bar</t>
  </si>
  <si>
    <t>5.42.2</t>
  </si>
  <si>
    <t>Coupler for 20 mm diameter reinforcement bar</t>
  </si>
  <si>
    <t>5.42.3</t>
  </si>
  <si>
    <t>Coupler for 25 mm diameter reinforcement bar</t>
  </si>
  <si>
    <t>5.42.4</t>
  </si>
  <si>
    <t>Coupler for 28 mm diameter reinforcement bar</t>
  </si>
  <si>
    <t>5.42.5</t>
  </si>
  <si>
    <t>Coupler for 32 mm diameter reinforcement bar</t>
  </si>
  <si>
    <t>Providing and fixing in position Stainless steel Grade 304 plate-1.0 mm thick as per design for expansion joints.</t>
  </si>
  <si>
    <t>5.43.1</t>
  </si>
  <si>
    <t>200 mm wide.</t>
  </si>
  <si>
    <t>5.43.2</t>
  </si>
  <si>
    <t>300 mm wide.</t>
  </si>
  <si>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 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-in-Charge. (Material shall confirm to ASTM 6063).</t>
  </si>
  <si>
    <t>5.44.1</t>
  </si>
  <si>
    <t>Floor Joint of 100 mm gap</t>
  </si>
  <si>
    <t>5.44.2</t>
  </si>
  <si>
    <t>Floor Joint of 150 mm gap</t>
  </si>
  <si>
    <t>5.44.3</t>
  </si>
  <si>
    <t>Floor Joint of 200 mm gap</t>
  </si>
  <si>
    <t>Providing and fixing of expansion joint system related with wall joint (internal/external)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confirm to ASTM 6063).</t>
  </si>
  <si>
    <t>5.45.1</t>
  </si>
  <si>
    <t>Wall Joint of 100 mm gap</t>
  </si>
  <si>
    <t>5.45.2</t>
  </si>
  <si>
    <t>Wall Joint of 150 mm gap</t>
  </si>
  <si>
    <t>5.45.3</t>
  </si>
  <si>
    <t>Wall Joint of 200 mm gap</t>
  </si>
  <si>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 universal aluminum base member designed to accommodate various project conditions and roof treatments. The cover plate shall be designed of width and thickness required to satisfy movement and loading requirements and secured to base members by utilizing manufacturer’s pre-engineered self-centering arrangement that freely rotates / moves in all directions. The Self centering arrangement shall exhibit circular sphere ends that lock and slide inside the corresponding aluminum extrusion cavity to allow freedom of movement and flexure in all directions including vertical displacement. The Joint System shall resists damage or deterioration from the impact of falling ice, exposure to UV, airborne contaminants and occasional foot traffic from maintenance personnel. Provision of Moisture Barrier Membrane in the Joint System to have water tight joint is mandatory requirement. (Material shall confirm to ASTM 6063).</t>
  </si>
  <si>
    <t>5.46.1</t>
  </si>
  <si>
    <t>Roof Joint of 100 mm gap</t>
  </si>
  <si>
    <t>5.46.2</t>
  </si>
  <si>
    <t>Roof Joint of 150 mm gap</t>
  </si>
  <si>
    <t>5.46.3</t>
  </si>
  <si>
    <t>Roof Joint of 200 mm gap</t>
  </si>
  <si>
    <t>Providing and fixing in position factory made precast RCC M-40 door and window frame fixing with hold fast embedded in 1:3:6 concrete block , having excellent smooth finish as per IS: 6523 with reinforcement of 3 Nos, 6 mm dia main bars tied with 3 mm M.S stirrups placed @ 200 mm C/C and 6 numbers high strength polymer blocks of required size for fixing hinges including providing 6 no specially designed M.S. galvanised sleeves for accomodating 6 mm dia fully threaded bolts for fixing hold fast on vertical members, providing suitable arrangement for recieving sliding door bolts and tower bolt etc. all complete, as per the direction of Engineer-in-charge. The frame shall be measured in running metre correct to two places of decimal.</t>
  </si>
  <si>
    <t>5.47.1</t>
  </si>
  <si>
    <t>Door frame 125 mmx  60 mm</t>
  </si>
  <si>
    <t>5.47.2</t>
  </si>
  <si>
    <t>Door frame 100 mmx 60 mm</t>
  </si>
  <si>
    <t>5.47.3</t>
  </si>
  <si>
    <t>Door frame 85 mmx60 mm</t>
  </si>
  <si>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t>
  </si>
  <si>
    <t>Note:- Cement content considered in this item is 480 Kg./ Cum. Excess/ less cement used as per design mix is payable/ recoverable separately.</t>
  </si>
  <si>
    <t>5.48.1</t>
  </si>
  <si>
    <t>Reinforced Cement Concrete -M-50</t>
  </si>
  <si>
    <t>5.48.2</t>
  </si>
  <si>
    <t>Reinforced Cement Concrete -M-60</t>
  </si>
  <si>
    <t>5.48.3</t>
  </si>
  <si>
    <t>Extra for using M-50/ M-60 Grade Self-compacting Cement Concrete</t>
  </si>
  <si>
    <t>Constructing cast-in situ RCC diaphragm wall by providing and laying machine batched, machine mixed, self compacting, ready mix reinforced cement concrete, tramie controlled, of M 30 grade using minimum 400 kg cement per cum of concrete including providing and mixing required admixtures in recommended proportions as per IS : 9103, as approved by the Engineer-in-charge, for achieving 150- 200mm slump, for diaphragm wall having thickness as per approved structural design not exceeding 600 mm, in pannels of required depth and lengths as per approved drawing, including constructing necessary guide walls as required and as specified including boring in all kinds of soils and rocks, including working in or under water and / or liquid mud, in foul conditions and pumping or bailing out of water and removing slush, including disposal of earth/ rock / slush etc. for all leads and all lifts, including preparing, providing and re-circulating bentonite slurry in the trench as and when required for all depths, including agitating bentonite slurry during trenching etc., providing and fixing stop ends or form tubes, upto the required depth of diaphragm wall including extracting the same after casting, including chipping off the bentonite adulterated concrete or unsound concrete up to the cut off level for obtaining the sound concrete, dressing undulations on the exposed face of diaphragm wall after excavation by chipping / chiseling etc. including filling the depression/ cavities with sound concrete etc. complete and as directed by the Engineer-in-charge, including providing recess for bearing plates and fixing insert boxes for inclined rock anchors etc. complete as per the specifications and approved design and as directed by the Engineer-in-charge, but excluding the cost of reinforcement and inserts. (rates include cost of all inputs of labour, material and T &amp; P, cost of handling, lifting &amp; placing in position the reinforcement cage in the trench, including the additional cost of welding the reinforcement bars etc. involved in the work and all other incidental expenditure for completing the work as directed by the Engineer-in-charge), However, the actual area of the diaphragm wall, correct to two places of decimal, from design bottom level to the design cut off level (including portion anchored in the rock upto the design bottom level) only shall be measured for payment.</t>
  </si>
  <si>
    <t>(rates include cost of all inputs of labour, material and T &amp; P, cost of handling, lifting &amp; placing in position the reinforcement cage in the trench, including the additional cost of welding the reinforcement bars etc. involved in the work and all other incidental expenditure for completing the work as directed by the Engineer-in-charge), However, the actual area of the diaphragm wall, correct to two places of decimal, from design bottom level to the design cut off level (including portion anchored in the rock upto the design bottom level) only shall be measured for payment.Excess/less cement used for design mix including the extra cement required for under water concreting is payable / recoverable separately.</t>
  </si>
  <si>
    <t>6.0 BRICKWORK</t>
  </si>
  <si>
    <t>Brick work with common burnt clay F.P.S. (non modular) bricks of class designation 7.5 in foundation and plinth in:</t>
  </si>
  <si>
    <t>6.1.1</t>
  </si>
  <si>
    <t>Cement mortar 1:4 (1 cement : 4 coarse sand)</t>
  </si>
  <si>
    <t>6.1.2</t>
  </si>
  <si>
    <t>Cement mortar 1:6 (1 cement : 6 coarse sand)</t>
  </si>
  <si>
    <t>Brick work with common burnt clay modular bricks of class designation 7.5 in foundation and plinth in:</t>
  </si>
  <si>
    <t>6.2.1</t>
  </si>
  <si>
    <t>6.2.2</t>
  </si>
  <si>
    <t>Cement Mortar 1:6 (1 cement : 6 coarse sand).</t>
  </si>
  <si>
    <t>Brick work with common burnt clay machine moulded perforated bricks of class designation 12.5 conforming to IS: 2222 in superstructure above plinth level up to floor five level in cement mortar 1:6 (1 cement : 6 coarse sand) :</t>
  </si>
  <si>
    <t>6.3.1</t>
  </si>
  <si>
    <t>With F.P.S.(non modular) bricks</t>
  </si>
  <si>
    <t>6.3.2</t>
  </si>
  <si>
    <t>With Modular bricks</t>
  </si>
  <si>
    <t>Brick work with common burnt clay F.P.S. (non modular) bricks of class designation 7.5 in superstructure above plinth level up to floor V level in all shapes and sizes in :</t>
  </si>
  <si>
    <t>6.4.1</t>
  </si>
  <si>
    <t>6.4.2</t>
  </si>
  <si>
    <t>Extra for brick work / AAC block masonry / Tile brick masonry  in superstructure above floor V level, for each four floors or part thereof by mechanical means.</t>
  </si>
  <si>
    <t>Extra for forming cavity 5 cm to 11.5 cm wide in cavity walls with necessary weep and vent holes including use of cores and cost of providing and fixing bitumastic coated M .S. ties 300 mm long of 25x3 mm section at not less than 3 ties per sqm as per approved design.</t>
  </si>
  <si>
    <t>Providing half brick masonry with common burnt clay F.P.S. (non modular) bricks of class designation 7.5 in cement mortar 1:3 (1 Cement : 3 coarse sand) in superstructure for closing cavity 5 to 7.5 cm wide in cavity wall complete with 10cm / 11.4 cm wide bitumen felt type 3 grade 1.</t>
  </si>
  <si>
    <t>Brick work 7 cm thick with common burnt clay F.P.S. (non modular) brick of class designation 7.5 in cement mortar 1:3 (1 cement : 3 coarse sand) in superstructure above plinth level and upto floor five level.</t>
  </si>
  <si>
    <t>Brick work in plain arches in superstructure above plinth level and upto floor five level including centering and shuttering complete for span up to 6 metres with common burnt clay F.P.S. (non modular) bricks of class designation 7.5 in cement mortar 1:3 (1 cement : 3 coarse sand).</t>
  </si>
  <si>
    <t>Brick work in gauged arches in superstructure above plinth level and upto floor five level in cement mortar 1:3 (1 cement : 3 coarse sand) including centering and shuttering complete, for span up to 6 meters with common burnt clay F.P.S. (non modular) bricks of class designation 7.5.</t>
  </si>
  <si>
    <t>Extra for additional cost of centering for arches exceeding 6m span including all shuttering, bolting, wedging and removal (Area of the soffit to be measured).</t>
  </si>
  <si>
    <t>HALF BRICK MASONRY</t>
  </si>
  <si>
    <t>Half brick masonry with common burnt clay F.P.S. (non modular) bricks of class designation 7.5 in foundations and plinth in :</t>
  </si>
  <si>
    <t>6.12.1</t>
  </si>
  <si>
    <t>Cement mortar 1:3 (1 cement : 3 coarse sand)</t>
  </si>
  <si>
    <t>6.12.2</t>
  </si>
  <si>
    <t>cement mortar 1:4 (1 cement : 4 coarse sand)</t>
  </si>
  <si>
    <t>Half brick masonry with common burnt clay F.P.S. (non modular) bricks of class designation 7.5 in superstructure above plinth level up to floor V level.</t>
  </si>
  <si>
    <t>6.13.1</t>
  </si>
  <si>
    <t>Cement mortar 1:3 (1 cement :3 coarse sand)</t>
  </si>
  <si>
    <t>6.13.2</t>
  </si>
  <si>
    <t>Cement mortar 1:4 (1 cement :4 coarse sand)</t>
  </si>
  <si>
    <t>Extra for half brick masonry in superstructure, above floor V level for every four floors or part thereof by mechanical means.</t>
  </si>
  <si>
    <t>Extra for providing and placing in position 2 Nos 6mm dia. M.S. bars at every third course of half brick masonry.</t>
  </si>
  <si>
    <t>BRICK TILE WORK</t>
  </si>
  <si>
    <t>Tile brick masonry with common burnt clay F.P.S. (non modular) tile bricks of class designation 10 in foundation and plinth in:</t>
  </si>
  <si>
    <t>6.16.1</t>
  </si>
  <si>
    <t>6.16.2</t>
  </si>
  <si>
    <t>Tile brick masonry with common burnt clay machine moulded tile bricks of class designation 12.5 conforming to IS : 2690 (Part I) in foundation and plinth in cement mortar 1:6 (1 cement : 6 coarse sand).</t>
  </si>
  <si>
    <t>Tile brick masonry with common burnt clay F.P.S. (non modular) tile bricks of class designation 10 in superstructure above plinth level up to floor V level in cement mortar 1:6 (1 cement : 6 coarse sand).</t>
  </si>
  <si>
    <t>Tile brick masonry with common burnt clay F.P.S. (non modular) tile bricks of class designation 10 in plain arch work in superstructure above plinth and upto floor five level in cement mortar 1:4 (1 cement : 4 coarse sand) including centering and shuttering complete.</t>
  </si>
  <si>
    <t>Tile brick masonry with common burnt clay F.P.S. (non modular) tile bricks of class designation 10 in gauged arch work in superstructure above plinth and upto floor five level in cement mortar 1:4 (1 cement : 4 coarse sand) including centering and shuttering complete.</t>
  </si>
  <si>
    <t>Tile brick masonry work 5 cm thick with common burnt clay F.P.S. (non modular) tile bricks of class designation 10 in cement mortar 1:3 (1 cement : 3 coarse sand) in superstructure above plinth and upto floor five level.</t>
  </si>
  <si>
    <t>HONEY COMB WORK</t>
  </si>
  <si>
    <t>Honey-comb brick work 10 / 11.4 cm thick with common burnt clay bricks of class designation 7.5 in super structure above plinth level upto floor V level with cement mortar 1:4 (1 cement : 4 coarse sand).</t>
  </si>
  <si>
    <t>Extra for laying brick work in or under water and/or liquid mud including cost of pumping or bailing out water and removing slush etc. complete.</t>
  </si>
  <si>
    <t>NOTE :- The quantity will be calculated by multiplying the depth measured from sub - soil water level up to the centre of gravity of brick work under sub - soil water with the quantity of brick work in cum. executed under the sub - soil water. The depth of centre of gravity shall be reckoned correct to 0.1 m, 0.05 m or more shall be taken as 0.1 m and less than 0.05 m ignored.</t>
  </si>
  <si>
    <t>Extra for laying brick work in or under foul position.</t>
  </si>
  <si>
    <t>EXPOSED BRICK WALL</t>
  </si>
  <si>
    <t>Brick work with common burnt clay selected F.P.S. (non modular) bricks of class designation 7.5 in exposed brick work including making horizontal and vertical grooves 10 mm wide 12 mm deep complete in cement mortar 1:6 (1 cement : 6 coarse sand)</t>
  </si>
  <si>
    <t>6.26.1</t>
  </si>
  <si>
    <t>From ground level upto plinth level</t>
  </si>
  <si>
    <t>6.26.2</t>
  </si>
  <si>
    <t>Above plinth level upto floor V level</t>
  </si>
  <si>
    <t>Brick work with common burnt clay modular bricks of class designation 7.5 in exposed brick work including making horizontal and vertical grooves 10mm wide 12 mm deep complete in cement mortar 1:6 (1 cement : 6 coarse sand).</t>
  </si>
  <si>
    <t>6.27.1</t>
  </si>
  <si>
    <t>6.27.2</t>
  </si>
  <si>
    <t>Brick work with common burnt clay machine moulded modular bricks of class designation 12.5 in exposed brick work including making horizontal and vertical grooves 10 mm wide 12 mm deep complete in cement mortar 1:6 (1 cement : 6 coarse sand).</t>
  </si>
  <si>
    <t>6.28.1</t>
  </si>
  <si>
    <t>6.28.2</t>
  </si>
  <si>
    <t>Brick work with common burnt clay machine moulded F.P.S. (non modular) bricks of class designation 12.5 in exposed brick work including making horizontal and vertical grooves 10 mm wide 12 mm deep complete in cement mortar 1:6 (1 cement : 6 coarse sand).</t>
  </si>
  <si>
    <t>6.29.1</t>
  </si>
  <si>
    <t>6.29.2</t>
  </si>
  <si>
    <t>Brick work with common burnt clay machine moulded perforated F.P.S. (non modular) bricks of class designation 12.5 conforming IS : 2222 in exposed brick work including making horizontal and vertical grooves 10mm wide 12 mm deep complete in cement mortar 1:6 (1 cement : 6 coarse sand).</t>
  </si>
  <si>
    <t>6.30.1</t>
  </si>
  <si>
    <t>6.30.2</t>
  </si>
  <si>
    <t>Brick work with common burnt clay machine moulded perforated modular bricks of class designation 12.5 conforming to IS : 2222 in exposed brick work including making horizontal and vertical grooves 10 mm wide 12mm deep complete in cement mortar 1:6 (1 cement : 6 coarse sand).</t>
  </si>
  <si>
    <t>6.31.1</t>
  </si>
  <si>
    <t>6.31.2</t>
  </si>
  <si>
    <t>Brick work with clay flyash F.P.S. (non modular) brick of class designation 7.5 in superstructure above plinth level up to floor five level in :</t>
  </si>
  <si>
    <t>6.32.1</t>
  </si>
  <si>
    <t>6.32.2</t>
  </si>
  <si>
    <t>Brick work with non modular fly ash bricks conforming to IS:12894, class designation 10 average compressive strength in super structure above plinth level up to floor V level in :</t>
  </si>
  <si>
    <t>6.34.1</t>
  </si>
  <si>
    <t>6.34.2</t>
  </si>
  <si>
    <t>Cement mortar 1:6 (1 cement : 6 Coarse sand)</t>
  </si>
  <si>
    <t>Brick work with modular calcium silicate bricks machine moulded conforming to IS:4139, class designation 10 average compressive strength in super structure above plinth level up to floor V level in :</t>
  </si>
  <si>
    <t>6.35.1</t>
  </si>
  <si>
    <t>6.35.2</t>
  </si>
  <si>
    <t>Brick work with modular extruded brunt fly ash clay sewer bricks (Conforming to IS: 4885 ) in cement mortar 1:4 (1 cement : 4 coarse sand) in foundation and plinth :</t>
  </si>
  <si>
    <t>6.36.1</t>
  </si>
  <si>
    <t>Cement Mortar 1:4 ( 1 cement : 4 coarse sand)</t>
  </si>
  <si>
    <t>Brick work with modular extruded brunt fly ash clay sewer bricks (conforming to IS : 4885) in arches in foundation and plinth in cement mortar 1:3 ( 1 cement : 3 fine sand).</t>
  </si>
  <si>
    <t>Providing and laying Autoclaved Aerated concrete(AAC) blocks masonry 100 mm/ 125 mm thick with Grade-1 AAC blocks of density 551 to 650 kg/cum conforming to IS:2185 (Part 3) in super structure above plinth level up to floor V level in cement mortar 1:4 (1 cement : 4 coarse sand ). The rate includes providing and placing in position 2 Nos 6 mm dia M.S. bars at every third course of masonry work.</t>
  </si>
  <si>
    <t>Providing and laying Gypsum panel partitions 100 mm thick with water proof Gypsum panels of size 666x500x100 mm, made of calcite phosphor Gypsum fixed with tongue and groove edges and jointed with bonding plaster as per manufacturer’s specifications in superstructure above plinth level up to floor V level. Gypsum blocks will have a minimum compressive strength of 9.3 kg/cm2</t>
  </si>
  <si>
    <t>Extra for Gypsum panel Partitions in superstructure above floor V level for every four floors or part thereof.</t>
  </si>
  <si>
    <t>Brick edging 7cm wide 11.4 cm deep to plinth protection with common burnt clay F.P.S. (non modular) bricks of class designation 7.5 including grouting with cement mortar 1:4 (1 cement : 4 fine sand).</t>
  </si>
  <si>
    <t>Half brick masonry with non modular fly ash bricks of class designation 10, conformingio IS :12894, in super structure above plinth and upto floor V level.</t>
  </si>
  <si>
    <t>6.45.1</t>
  </si>
  <si>
    <t>Cement mortar 1 : 3 (1 cement : 3 coarse sand)</t>
  </si>
  <si>
    <t>6.45.2</t>
  </si>
  <si>
    <t>Cement mortar 1 : 4 (1 cement : 4 coarse sand)</t>
  </si>
  <si>
    <t>Providing and laying Autoclaved Aerated concrete(AAC) blocks  masonry with 150mm to 300 mm thick  with Grade-1 AAC blocks of density 551 to 650 kg/cum conforming to IS:2185 (Part 3)  in super structure above plinth level up to floor V level with RCC band at sill level and lintel level with approved block laying polymer modified adhesive mortar all complete as per direction of Engineer-in-Charge. (The payment of RCC band and reinforcement shall be made for seperately).</t>
  </si>
  <si>
    <t>7.0 STONE WORK</t>
  </si>
  <si>
    <t>RANDOM RUBBLE MASONRY</t>
  </si>
  <si>
    <t>Random rubble masonry with hard stone in foundation and plinth including levelling up with cement concrete 1:6:12 (1 cement : 6 coarse sand : 12 graded stone aggregate 20 mm nominal size) upto plinth level with :</t>
  </si>
  <si>
    <t>7.1.1</t>
  </si>
  <si>
    <t>Cement mortar 1:6 (1 cement : 6 coarse sand) (Timber to be supplied by department free of cost and Dash fasteners, hold fast lugs and screws etc. shall be paid for separately)</t>
  </si>
  <si>
    <t>Random rubble masonry with hard stone in superstructure above plinth level and upto floor five level, including leveling up with cement concrete 1:6:12 (1 cement : 6 coarse sand : 12 graded stone aggregate 20 mm nominal size) at window sills, ceiling level and the like.</t>
  </si>
  <si>
    <t>7.2.1</t>
  </si>
  <si>
    <t>Extra for random rubble masonry with hard stone in :</t>
  </si>
  <si>
    <t>7.4.1</t>
  </si>
  <si>
    <t>Square or rectangular pillars</t>
  </si>
  <si>
    <t>7.4.2</t>
  </si>
  <si>
    <t>Circular pillars</t>
  </si>
  <si>
    <t>Extra for random rubble masonry with hard stone curved on plan for a mean radius not exceeding 6 m.</t>
  </si>
  <si>
    <t>COURSED RUBBLE MASONRY</t>
  </si>
  <si>
    <t>Coursed rubble masonry (first sort) with hard stone in foundation and plinth with :</t>
  </si>
  <si>
    <t>7.6.1</t>
  </si>
  <si>
    <t>Coursed rubble masonry (second sort) with hard stone in foundation &amp; plinth with :</t>
  </si>
  <si>
    <t>7.7.1</t>
  </si>
  <si>
    <t>Coursed rubble masonry with hard stone (first or second sort) in superstructure above plinth level and upto floor five level.</t>
  </si>
  <si>
    <t>7.8.1</t>
  </si>
  <si>
    <t>Masonry work (first sort), in cement mortar 1:6 (1 cement : 6 coarse sand)</t>
  </si>
  <si>
    <t>7.8.2</t>
  </si>
  <si>
    <t>Masonry work (second sort), in cement mortar 1:6 (1 cement: 6 coarse sand)</t>
  </si>
  <si>
    <t>Extra for coursed rubble masonry with hard stone (first or second sort) in:</t>
  </si>
  <si>
    <t>7.10.1</t>
  </si>
  <si>
    <t>7.10.2</t>
  </si>
  <si>
    <t>Extra for coursed rubble masonry with hard stone (first or second sort) curved on plan for a mean radius not exceeding 6 m.</t>
  </si>
  <si>
    <t>ASHLAR MASONRY</t>
  </si>
  <si>
    <t>Stone work in plain ashlar in super structure upto floor five level in cement mortar 1:6 (1 cement : 6 coarse sand) including pointing with cement mortar 1:2 (1 white cement : 2 stone dust) with an admixture of pigment matching the stone shade :</t>
  </si>
  <si>
    <t>7.12.1</t>
  </si>
  <si>
    <t>One face dressed</t>
  </si>
  <si>
    <t>7.12.1.1</t>
  </si>
  <si>
    <t>Red sand stone</t>
  </si>
  <si>
    <t>7.12.1.2</t>
  </si>
  <si>
    <t>White sand stone</t>
  </si>
  <si>
    <t>7.12.2</t>
  </si>
  <si>
    <t>Both face dressed</t>
  </si>
  <si>
    <t>7.12.2.1</t>
  </si>
  <si>
    <t>7.12.2.2</t>
  </si>
  <si>
    <t>Stone work plain ashlar in arches in super structure upto floor V level in cement mortar 1:3 (1 cement : 3 coarse sand) including centering, shuttering and pointing with white cement mortar 1:2 (1 white cement : 2 stone dust) with an admixture of pigment matching the stone shade.</t>
  </si>
  <si>
    <t>7.13.1</t>
  </si>
  <si>
    <t>7.13.1.1</t>
  </si>
  <si>
    <t>7.13.1.2</t>
  </si>
  <si>
    <t>7.13.2</t>
  </si>
  <si>
    <t>7.13.2.1</t>
  </si>
  <si>
    <t>7.13.2.2</t>
  </si>
  <si>
    <t>Stone work plain ashlar in domes , in super structure upto floor V level in cement mortar 1:3 (1 cement : 3 coarse sand) including centering, shuttering and pointing with white cement mortar 1:2 (1 white cement : 2 stone dust) with an admixture of pigment matching the stone shade.</t>
  </si>
  <si>
    <t>7.14.1</t>
  </si>
  <si>
    <t>7.14.1.1</t>
  </si>
  <si>
    <t>7.14.1.2</t>
  </si>
  <si>
    <t>7.14.2</t>
  </si>
  <si>
    <t>7.14.2.1</t>
  </si>
  <si>
    <t>7.14.2.2</t>
  </si>
  <si>
    <t>Stone work ashlar punched (ordinary) in superstructure upto floor five level in cement mortar 1:6 (1 white cement : 6 coarse sand) including pointing with white cement mortar 1:2 (1 white cement : 2 stone dust) with an admixture of pigment matching the stone shade.</t>
  </si>
  <si>
    <t>7.15.1</t>
  </si>
  <si>
    <t>7.15.1.1</t>
  </si>
  <si>
    <t>7.15.1.2</t>
  </si>
  <si>
    <t>7.15.2</t>
  </si>
  <si>
    <t>Both faced punched</t>
  </si>
  <si>
    <t>7.15.2.1</t>
  </si>
  <si>
    <t>7.15.2.2</t>
  </si>
  <si>
    <t>Extra for stone work, random rubble / coursed rubble masonry / ashlar masonry above floor V level for every four floors or part thereof by mechnical means.</t>
  </si>
  <si>
    <t>Extra for plain ashlar or ashlar punched in :</t>
  </si>
  <si>
    <t>7.17.1</t>
  </si>
  <si>
    <t>Extra for stone work; plain ashlar or ashlar punched curved on plan with a mean radius not exceeding 6 m.</t>
  </si>
  <si>
    <t>Extra for additional cost of centering for arches exceeding 6m span including all strutting, bolting, wedging etc. and removal (area of soffit to be measured).</t>
  </si>
  <si>
    <t>SUNK, MOULDED, CARVED ASHLAR MASONRY</t>
  </si>
  <si>
    <t>Stone work ashlar sunk or moulded or sunk and moulded upto floor five level in cement mortar 1:6 (1 cement : 6 coarse sand) including pointing with white cement mortar 1:2 (1 white cement : 2 stone dust) with an admixture of pigment matching the stone shade :</t>
  </si>
  <si>
    <t>7.20.1</t>
  </si>
  <si>
    <t>7.20.2</t>
  </si>
  <si>
    <t>Extra for stone work ashlar sunk or moulded or sunk and moulded or carved in :</t>
  </si>
  <si>
    <t>7.21.1</t>
  </si>
  <si>
    <t>Triangular or Square or rectangular pillars</t>
  </si>
  <si>
    <t>7.21.2</t>
  </si>
  <si>
    <t>Circular or polygonal pillars</t>
  </si>
  <si>
    <t>Extra for stone work ashlar sunk or moulded in cornices.</t>
  </si>
  <si>
    <t>per metre per cm girth (60cm deep)</t>
  </si>
  <si>
    <t>MISCELLANEOUS STONE WORK</t>
  </si>
  <si>
    <t>Extra for stone work (veneer work) curved on plan with a mean radius not exceeding 6 m.</t>
  </si>
  <si>
    <t>Providing and fixing stone dowels 10x5x2.50 cm cut to double wedge shape as per design in cement mortar 1:2 (1 cement : 2 coarse sand), including making the necessary chases.</t>
  </si>
  <si>
    <t>Providing and fixing sloping chajja of stone 40 mm thick and upto 80 cm wide beyond the wall as measured along the slope in cement mortar 1:4 (1 cement : 4 coarse sand) with 12 mm diameter anchoring steel bar, 45 cm long, fixed in each stone and supported on and including with bricks cove in cement mortar 1:4 (1 cement : 4 coarse sand), including pointing in cement mortar 1:2 (1 white cement : 2 stone dust) with an admixture of pigment matching the stone shade :</t>
  </si>
  <si>
    <t>7.28.1</t>
  </si>
  <si>
    <t>Red sand stone :</t>
  </si>
  <si>
    <t>7.28.1.1</t>
  </si>
  <si>
    <t>With common burnt clay F.P.S.(non modular) bricks of class designation 7.5</t>
  </si>
  <si>
    <t>7.28.2</t>
  </si>
  <si>
    <t>White sand stone :</t>
  </si>
  <si>
    <t>7.28.2.1</t>
  </si>
  <si>
    <t>Providing and fixing horizontal chajja of stone 40 mm thick and upto 80 cm projection in cement mortar 1:4 (1 cement : 4 coarse sand), including pointing in white cement mortar 1:2 (1 white cement : 2 stone dust) with an admixture of pigment matching the stone shade :</t>
  </si>
  <si>
    <t>7.29.1</t>
  </si>
  <si>
    <t>7.29.2</t>
  </si>
  <si>
    <t>30 mm red sand stone sun-shade (chisel-dressed) supported on red sand stone brackets, fixed in walls with cement mortar 1:4 (1 cement : 4 coarse sand), including finishing complete.</t>
  </si>
  <si>
    <t>Providing and fixing red sand stone brackets 55x22.5x45 cm sunk and moulded including providing and fixing with 4 Nos gun metal cramp 25x6 mm 30 cm long</t>
  </si>
  <si>
    <t>Stone work, plain in copings, cornices, string courses and plinth courses, upto 75 mm thick in Cement mortar 1:6 (1 cement : 6 coarse sand), including pointing with white cement mortar 1:2 (1 white cement : 2 stone dust) with an admixture of pigment matching the stone shade.</t>
  </si>
  <si>
    <t>7.32.1</t>
  </si>
  <si>
    <t>7.32.2</t>
  </si>
  <si>
    <t>Providing and fixing stone jali 40 mm thick throughout in cement mortar 1:3 (1 cement : 3 coarse sand), including pointing in white cement mortar 1:2 (1 white cement : 2 stone dust) with an admixture of pigment, matching the stone shade, jali slab without any chamfers etc.</t>
  </si>
  <si>
    <t>7.33.1</t>
  </si>
  <si>
    <t>7.33.2</t>
  </si>
  <si>
    <t>Extra for laying stone work in or under water and/or liquid mud including cost of pumping or bailing out water and removing slush etc. complete.</t>
  </si>
  <si>
    <t>NOTE :- The quantity will be calculated by multiplying the depth measured from sub-soil water level up to the centre of gravity of stone work under sub - water with the quantity of stone work in cum  executed under the sub-soil water. The depth of centre of gravity shall be reckoned correct to 0.1 m, 0.05 m or more shall be taken as 0.1 m and less than 0.05 m ignored.</t>
  </si>
  <si>
    <t>Extra for laying stone work in or under foul condition.</t>
  </si>
  <si>
    <t>Stone tile work for wall lining upto 10 m height with special adhesive over 12 mm thick bed of cement mortar 1:3 (1 cement : 3 coarse sand), including pointing in white cement with an admixture of pigment to match the stone shade.</t>
  </si>
  <si>
    <t>7.38.1</t>
  </si>
  <si>
    <t>8mm thick (mirror polished and machine cut edge)</t>
  </si>
  <si>
    <t>7.38.1.1</t>
  </si>
  <si>
    <t>Granite stone of any colour and shade</t>
  </si>
  <si>
    <t>7.38.1.2</t>
  </si>
  <si>
    <t>Raj Nagar plain white marble/ Udaipur green marble/ Zebra black marble</t>
  </si>
  <si>
    <t xml:space="preserve">8. CLADDING WORK  </t>
  </si>
  <si>
    <t>Marble work gang saw cut (polished and machine cut) of thickness 18 mm for wall lining (veneer work), backing filled with a grout of average 12 mm thick in cement mortar 1:3 (1 cement : 3 coarse sand), including pointing with white cement mortar 1:2 (1 white cement : 2 marble dust) with an admixture of pigment to match the marble shade (To be secured to the backing by means of cramps, which shall be paid for separately).</t>
  </si>
  <si>
    <t>8.1.1</t>
  </si>
  <si>
    <t>Raj Nagar Plain white marble/ Udaipur green marble/ Zebra black marble.</t>
  </si>
  <si>
    <t>8.1.1.1</t>
  </si>
  <si>
    <t>Area of slab upto 0.50 sqm</t>
  </si>
  <si>
    <t>8.1.1.2</t>
  </si>
  <si>
    <t>Area of slab over 0.50 sqm</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</si>
  <si>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of edges to give high gloss finish etc. complete at all levels.</t>
  </si>
  <si>
    <t>8.2.1</t>
  </si>
  <si>
    <t>Raj Nagar Plain white marble/ Udaipur green marble/ Zebra black marble</t>
  </si>
  <si>
    <t>8.2.1.1</t>
  </si>
  <si>
    <t>8.2.1.2</t>
  </si>
  <si>
    <t>8.2.2</t>
  </si>
  <si>
    <t>Granite stone slab of colour black, Cherry/Ruby red</t>
  </si>
  <si>
    <t>8.2.2.1</t>
  </si>
  <si>
    <t>8.2.2.2</t>
  </si>
  <si>
    <t>8.2.3</t>
  </si>
  <si>
    <t>Granite stone slab of all colour and texture except black, Cherry/Ruby red</t>
  </si>
  <si>
    <t>8.2.3.1</t>
  </si>
  <si>
    <t>8.2.3.2</t>
  </si>
  <si>
    <t>Providing edge moulding to 18 mm thick marble stone counters, Vanities etc., including machine polishing to edge to give high gloss finish etc. complete as per design approved by Engineer-in-Charge.</t>
  </si>
  <si>
    <t>8.3.1</t>
  </si>
  <si>
    <t>Marble work</t>
  </si>
  <si>
    <t>8.3.2</t>
  </si>
  <si>
    <t>Granite work</t>
  </si>
  <si>
    <t>Extra for fixing marble /granite stone, over and above corresponding basic item, in facia and drops of width upto 150 mm with epoxy resin based adhesive, including cleaning etc. complete.</t>
  </si>
  <si>
    <t>Extra for providing opening of required size &amp; shape for wash basin/ kitchen sink in kitchen platform, vanity counter and similar location in marble/ Granite/ stone work, including necessary holes for pillar taps etc. including moulding, rubbing and polishing of cut edges etc. complete.</t>
  </si>
  <si>
    <t>Mirror polishing on marble work/Granite work/stone work where ever required to give high gloss finish complete.</t>
  </si>
  <si>
    <t>Providing and fixing cramps of required size &amp; shape in RCC/ CC / Brick masonry backing with cement mortar 1:2 ( 1 cement :2 coarse sand), including drilling necessary hole in stones and embedding the cramp in the hole (fastener to be paid separately).</t>
  </si>
  <si>
    <t>8.7.1</t>
  </si>
  <si>
    <t>Gunmetal cramps</t>
  </si>
  <si>
    <t>8.7.2</t>
  </si>
  <si>
    <t>Stainless steel cramps</t>
  </si>
  <si>
    <t>Providing and fixing expansion hold fasteners on C.C. /R.C.C./Brick masonry surface backing including drilling necessary holes and the cost of bolt etc complete.</t>
  </si>
  <si>
    <t>8.8.1</t>
  </si>
  <si>
    <t>Wedge expansion type</t>
  </si>
  <si>
    <t>8.8.1.1</t>
  </si>
  <si>
    <t>Fastener with threaded dia 6 mm</t>
  </si>
  <si>
    <t>8.8.1.2</t>
  </si>
  <si>
    <t>Fastener with threaded dia 10 mm</t>
  </si>
  <si>
    <t>8.8.1.3</t>
  </si>
  <si>
    <t>Fastener with threaded dia 12 mm</t>
  </si>
  <si>
    <t>Stone tile (polished) work for wall lining over 12 mm thick bed of cement mortar 1:3 (1 cement : 3 coarse sand) and cement slurry @ 3.3 kg/sqm including pointing in white cement complete.</t>
  </si>
  <si>
    <t>8.9.1</t>
  </si>
  <si>
    <t>8mm thick</t>
  </si>
  <si>
    <t>8.9.1.1</t>
  </si>
  <si>
    <t>Raj nagar plain white marble/ Udaipur green marble/ Zebra black marble</t>
  </si>
  <si>
    <t>8.9.1.2</t>
  </si>
  <si>
    <t>Granite of any colour and shade</t>
  </si>
  <si>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Engineer-in-charge and finished smooth.</t>
  </si>
  <si>
    <t>8.10.1</t>
  </si>
  <si>
    <t>White Agaria Marble Stone</t>
  </si>
  <si>
    <t>8.10.2</t>
  </si>
  <si>
    <t>Granite Stone of approved shade</t>
  </si>
  <si>
    <t>Providing and fixing machine cut, mirror/ eggshell polished , Marble stone work for wall lining (veneer work) including dado, skirting, risers of steps etc., in required design and pattern wherever required, stones of different finished surface texture, on 12 mm (average) thick cement mortar 1:3 (1 cement : 3 coarse sand) laid and jointed with white cement slurry @ 3.3 kg/sqm including pointing with white cement slurry admixed with pigment of matching shade, including rubbing, curing, polishing etc. all complete as per Architectural drawings, and as directed by the Engineer-in-Charge.</t>
  </si>
  <si>
    <t>8.11.1</t>
  </si>
  <si>
    <t>18 mm thick Italian Marble stone slab,Perlato, Rosso verona, Fire Red or Dark Emperadore etc.</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</si>
  <si>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t>
  </si>
  <si>
    <t>8.14.1</t>
  </si>
  <si>
    <t>Red sand stone - exposed face fine dressed with rough backing.</t>
  </si>
  <si>
    <t>7.23.1</t>
  </si>
  <si>
    <t>8.14.1.1</t>
  </si>
  <si>
    <t>70 mm thick</t>
  </si>
  <si>
    <t>7.23.1.1</t>
  </si>
  <si>
    <t>8.14.1.2</t>
  </si>
  <si>
    <t>60 mm thick</t>
  </si>
  <si>
    <t>7.23.1.2</t>
  </si>
  <si>
    <t>8.14.1.3</t>
  </si>
  <si>
    <t>7.23.1.3</t>
  </si>
  <si>
    <t>8.14.1.4</t>
  </si>
  <si>
    <t>7.23.1.4</t>
  </si>
  <si>
    <t>8.14.1.5</t>
  </si>
  <si>
    <t>30 mm thick</t>
  </si>
  <si>
    <t>7.23.1.5</t>
  </si>
  <si>
    <t>8.14.2</t>
  </si>
  <si>
    <t>Red sand stone - Exposed face machine cut and table rubbed with rough backing.</t>
  </si>
  <si>
    <t>7.23.2</t>
  </si>
  <si>
    <t>8.14.2.1</t>
  </si>
  <si>
    <t>7.23.2.1</t>
  </si>
  <si>
    <t>8.14.2.2</t>
  </si>
  <si>
    <t>7.23.2.2</t>
  </si>
  <si>
    <t>8.14.2.3</t>
  </si>
  <si>
    <t>7.23.2.3</t>
  </si>
  <si>
    <t>8.14.2.4</t>
  </si>
  <si>
    <t>7.23.2.4</t>
  </si>
  <si>
    <t>8.14.2.5</t>
  </si>
  <si>
    <t>7.23.2.5</t>
  </si>
  <si>
    <t>8.14.3</t>
  </si>
  <si>
    <t>White sand stone - exposed face fine dressed with rough backing .</t>
  </si>
  <si>
    <t>7.23.3</t>
  </si>
  <si>
    <t>8.14.3.1</t>
  </si>
  <si>
    <t>7.23.3.1</t>
  </si>
  <si>
    <t>8.14.3.2</t>
  </si>
  <si>
    <t>7.23.3.2</t>
  </si>
  <si>
    <t>8.14.3.3</t>
  </si>
  <si>
    <t>7.23.3.3</t>
  </si>
  <si>
    <t>8.14.3.4</t>
  </si>
  <si>
    <t>7.23.3.4</t>
  </si>
  <si>
    <t>8.14.3.5</t>
  </si>
  <si>
    <t>7.23.3.5</t>
  </si>
  <si>
    <t>8.14.4</t>
  </si>
  <si>
    <t>White sand stone - Exposed face machine cut and table rubbed with rough backing.</t>
  </si>
  <si>
    <t>7.23.4</t>
  </si>
  <si>
    <t>8.14.4.1</t>
  </si>
  <si>
    <t>7.23.4.1</t>
  </si>
  <si>
    <t>8.14.4.2</t>
  </si>
  <si>
    <t>7.23.4.2</t>
  </si>
  <si>
    <t>8.14.4.3</t>
  </si>
  <si>
    <t>7.23.4.3</t>
  </si>
  <si>
    <t>8.14.4.4</t>
  </si>
  <si>
    <t>7.23.4.4</t>
  </si>
  <si>
    <t>8.14.4.5</t>
  </si>
  <si>
    <t>7.23.4.5</t>
  </si>
  <si>
    <t>8.14.5</t>
  </si>
  <si>
    <t>Gang saw cut stone</t>
  </si>
  <si>
    <t>7.23.5</t>
  </si>
  <si>
    <t>8.14.5.1</t>
  </si>
  <si>
    <t>30mm thick White sand stone</t>
  </si>
  <si>
    <t>7.23.5.1</t>
  </si>
  <si>
    <t>8.14.5.2</t>
  </si>
  <si>
    <t>30mm thick Red sand stone</t>
  </si>
  <si>
    <t>7.23.5.2</t>
  </si>
  <si>
    <t>Providing and fixing stainless steel cramps of required size and shape for anchoring stone wall lining to the backing or securing adjacent stones in stone wall lining in cement mortar 1:2 (1 cement : 2 coarse sand), including making the necessary chases in stone and holes in walls wherever required.</t>
  </si>
  <si>
    <t>Providing and fixing copper pins 7.5 cm long 6 mm diameter for securing adjacent stones in stone wall lining in cement mortar 1:2 (1 cement : 2 coarse sand), including making the necessary chases.</t>
  </si>
  <si>
    <t>Wall lining butch work upto 10m height with Dholpur stone 40 mm thick rough facing on the exposed surface with stone strips of minimum length 300 mm and required width, including embedding every tenth layer and bottom most layer in masonry or concrete after making necessary chases of size 75x75 mm and by providing layer of 75 mm thick strips i/c 12 mm thick bed of cement mortar 1:3 (1 Cement : 3 coarse sand) i/c ruled pointing in cement mortar 1:2 (1 white cement : 2 stone dust) with an admixture of pigment to match the shade of stone complete as per direction of Engineer-in-charge.</t>
  </si>
  <si>
    <t>Stone work (machine cut edges in veneer work) for wall lining upto 10 m height, backing filled with a grout of 12 mm thick cement mortar 1:3 (1 Cement : 3 coarse sand) and jointed with Cement mortar 1:2 (1 cement : 2 stone dust), including grinding with hand grinder on joints, rubbing and polishing complete. (To be secured to the backing and the sides by means of cramps and pins which shall be paid for separately).</t>
  </si>
  <si>
    <t>8.18.1</t>
  </si>
  <si>
    <t>Prepolished kota stone slabs on exposed face.</t>
  </si>
  <si>
    <t>7.37.1</t>
  </si>
  <si>
    <t>8.18.1.1</t>
  </si>
  <si>
    <t>7.37.1.1</t>
  </si>
  <si>
    <t>Extra for stone work for wall lining on exterior walls of height more than 10 m from ground level for every additional height of 3 m or part there of.</t>
  </si>
  <si>
    <t>STONE WORK DRY CLADDING</t>
  </si>
  <si>
    <t>Providing and fixing dry cladding upto 10 metre heights with 30mm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t>
  </si>
  <si>
    <t>8.20.1</t>
  </si>
  <si>
    <t>Red sand stone - 30mm thick gang saw cut stone</t>
  </si>
  <si>
    <t>7.40.1</t>
  </si>
  <si>
    <t>8.20.2</t>
  </si>
  <si>
    <t>White sand stone - 30mm thick gang saw cut stone</t>
  </si>
  <si>
    <t>7.40.2</t>
  </si>
  <si>
    <t>Providing and fixing structural steel frame (for dry cladding with 30 mm thick gang saw cut with machine cut edges sand stone) on walls at all heights using M.S. square/ rectangular tube in the required pattern as per architectural drawing, including cost of cutting, bending, welding etc. The frame work shall be fixed to the wall with the help of M.S. brackets/ lugs of angle iron/ flats etc. which shall be welded to the frame and embedded in brick wall with cement concrete block 1:2:4 (1 cement :2 coarse sand :4 graded stone aggregate 20 mm nominal size) of size 300x230x300 mm, including cost of necessary centring and shuttering and with approved expansion hold fasteners on CC/RCC surface, including drilling necessary holes. Approved cramps/ pins etc. shall be welded to the frame work to support stone cladding, the steel work will be given a priming coat of Zinc primer as approved by Engineer-in-charge and painted with two or more coats of epoxy paint (Shop drawings shall be submitted by the contractor to the Engineer-in-charge for approval before execution). The frame work shall be fixed in true horizontal &amp; vertical lines/planes. (Only structural steel frame work shall be measured for the purpose of payment, stainless steel cramps shall be paid for separately and nothing extra shall be paid).</t>
  </si>
  <si>
    <t>Providing and fixing adjustable stainless steel cramps of approved quality, required shape and size, adjustable with stainless steel nuts, bolts and washer (total weight not less than 260 gms), for dry stone cladding fixed on frame work at suitable location, including making necessary recesses in stone slab, drilling required holes etc complete as per direction of the Engineer-in-charge.</t>
  </si>
  <si>
    <t>Providing 50x50x50 mm 2nd class teak wood plugs including cutting brick work and fixing in cement mortar 1:3 (1 cement : 3 fine sand) and making good the walls etc.</t>
  </si>
  <si>
    <t>Providing and fixing expandable fasteners of specified size with necessary plastic sleeves and galvanised M.S. screws including drilling holes in masonry work /CC/ R.C.C. and making good etc. complete.</t>
  </si>
  <si>
    <t>8.24.1</t>
  </si>
  <si>
    <t>25 mm long</t>
  </si>
  <si>
    <t>9.33.1</t>
  </si>
  <si>
    <t>8.24.2</t>
  </si>
  <si>
    <t>32 mm long</t>
  </si>
  <si>
    <t>9.33.2</t>
  </si>
  <si>
    <t>8.24.3</t>
  </si>
  <si>
    <t>40 mm long</t>
  </si>
  <si>
    <t>9.33.3</t>
  </si>
  <si>
    <t>8.24.4</t>
  </si>
  <si>
    <t>50 mm long</t>
  </si>
  <si>
    <t>9.33.4</t>
  </si>
  <si>
    <t>Providing and fixing 2nd class teak wood plain lining tongued and grooved, including wooden plugs complete with necessary screws and priming coat on unexposed surface.</t>
  </si>
  <si>
    <t>8.25.1</t>
  </si>
  <si>
    <t>9.34.1</t>
  </si>
  <si>
    <t>8.25.2</t>
  </si>
  <si>
    <t>9.34.2</t>
  </si>
  <si>
    <t>8.25.3</t>
  </si>
  <si>
    <t>20 mm thick</t>
  </si>
  <si>
    <t>9.34.3</t>
  </si>
  <si>
    <t>8.25.4</t>
  </si>
  <si>
    <t>12 mm thick</t>
  </si>
  <si>
    <t>9.34.4</t>
  </si>
  <si>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t>
  </si>
  <si>
    <t>8.26.1</t>
  </si>
  <si>
    <t>9.35.1</t>
  </si>
  <si>
    <t>8.26.2</t>
  </si>
  <si>
    <t>18 mm thick</t>
  </si>
  <si>
    <t>9.35.2</t>
  </si>
  <si>
    <t>8.26.3</t>
  </si>
  <si>
    <t>9.35.3</t>
  </si>
  <si>
    <t>Providing and fixing specified wood frame work consisting of battens 50x25mm fixed with rawl plug and drilling necessary holes for rawl plug etc. including priming coat complete.</t>
  </si>
  <si>
    <t>8.27.1</t>
  </si>
  <si>
    <t>Kiln seasoned and chemically treated hollock wood</t>
  </si>
  <si>
    <t>9.36.1</t>
  </si>
  <si>
    <t>Providing and fixing plywood 4 mm thick, one side decorative veneer conforming to IS: 1328 (type-1), for plain lining / cladding with necessary screws, including priming coat on unexposed surface with :</t>
  </si>
  <si>
    <t>8.28.1</t>
  </si>
  <si>
    <t>Decorative veneer facings of approved manufacture</t>
  </si>
  <si>
    <t>9.37.1</t>
  </si>
  <si>
    <t>Providing and fixing 4mm thick coir veneer board, ISI marked IS : 14842, plain lining with necessary screws, priming coat on unexposed surface etc., complete.</t>
  </si>
  <si>
    <t>Providing and fixing skirting with Pre-laminated (one side decorative and other side balancing lamination) flat pressed 3 layer or graded particle board (medium density) Grade I, Type II, IS :12823 marked, with necessary fixing arrangements and screws, including drilling necessary holes for rawl plugs etc. and priming coat on unexposed surface complete :</t>
  </si>
  <si>
    <t>8.30.1</t>
  </si>
  <si>
    <t>9.39.1</t>
  </si>
  <si>
    <t>8.30.2</t>
  </si>
  <si>
    <t>9.39.2</t>
  </si>
  <si>
    <t>Providing and fixing Ist quality ceramic glazed wall tiles conforming to IS: 15622 (thickness to be specified by the manufacturer), of approved 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t>
  </si>
  <si>
    <t>Designing, fabricating, testing, installing and fixing in position Curtain Wall with Aluminium Composite Panel Cladding, with open grooves for linear as well as curvilinear portions of the building , for all heights and all levels etc. including:</t>
  </si>
  <si>
    <t>(a) Structural analysis &amp; design and preparation of shop drawings for pressure equalisation or rain screen principle as required, proper drainage of water to make it watertight including checking of all the structural and functional design.</t>
  </si>
  <si>
    <t>(b) Providing, fabricating and supplying and fixing panels of aluminium composite panel cladding in pan shape in metalic colour of approved shades made out of 4mm thick aluminium composite panel material consisting of 3mm thick FR grade mineral core sandwiched between two Aluminium sheets (each 0.5mm thick). The aluminium composite panel cladding sheet shall be coil coated, with Kynar 500 based PVDF / Lumiflon based fluoropolymer resin coating of approved colour and shade on face # 1 and polymer (Service) coating on face # 2 as specified using stainless steel screws, nuts, bolts, washers, cleats, weather silicone sealant, backer rods etc.</t>
  </si>
  <si>
    <t>(c) The fastening brackets of Aluminium alloy 6005 T5 / MS with Hot Dip Galvanised with serrations and serrated washers to arrest the wind load movement, fasteners, SS 316 Pins and anchor bolts of approved make in SS 316, Nylon separators to prevent bi-metallic contacts all complete required to perform as per specification and drawing The item includes cost of all material &amp; labour component, the cost of all mock ups at site, cost of all samples of the individual components for testing in an approved laboratory, field tests on the assembled working curtain wall with aluminium composite panel cladding, cleaning and protection of the curtain wall with aluminium composite panel cladding till the handing over of the building for occupation. Base frame work for ACP cladding is payable under the relevant aluminium item.s The Contractor shall provide curtain wall with aluminium composite panel cladding, having all the performance characteristics all complete , as per the Architectural drawings, as per item description, as specified, as per the approved shop drawings and as directed by the Engineer-in-Charge. However, for the purpose of payment, only the actual area on the external face of the curtain wall with Aluminum Composite Panel Cladding (including width of groove) shall be measured in sqm. up to two decimal places.</t>
  </si>
  <si>
    <t>9.0 WOOD AND P.V.C. WORK</t>
  </si>
  <si>
    <t>FRAMES AND TRUSSES</t>
  </si>
  <si>
    <t>Providing wood work in frames of doors, windows, clerestory windows and other frames, wrought framed and fixed in position with hold fast lugs or with dash fasteners of required dia &amp; length (hold fast lugs or dash fastener shall be paid for separately).</t>
  </si>
  <si>
    <t>9.1.1</t>
  </si>
  <si>
    <t>Second class teak wood</t>
  </si>
  <si>
    <t>9.1.2</t>
  </si>
  <si>
    <t>Sal wood</t>
  </si>
  <si>
    <t>9.1.3</t>
  </si>
  <si>
    <t>Providing laminated veneer lumber conforming to IS:14616 and TAD -15: 2001 (Part B) in factory made frames of doors, windows, clerestory windows and other frames, wrought framed and fixing in position with hold fast lugs or with dash fasteners of required dia &amp; length (hold fast lugs or dash fastener shall be paid for separately).</t>
  </si>
  <si>
    <t>Providing wood work in frames of false ceiling, partitions etc. sawn and fixed in position with necessary stainless steel screws etc.</t>
  </si>
  <si>
    <t>9.3.1</t>
  </si>
  <si>
    <t>9.3.2</t>
  </si>
  <si>
    <t>Extra for additional labour for circular works, such as in frames of fan light</t>
  </si>
  <si>
    <t>9.4.1</t>
  </si>
  <si>
    <t>9.4.2</t>
  </si>
  <si>
    <t>9.4.3</t>
  </si>
  <si>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t>
  </si>
  <si>
    <t>9.5.1</t>
  </si>
  <si>
    <t>9.5.1.1</t>
  </si>
  <si>
    <t>35 mm thick shutters</t>
  </si>
  <si>
    <t>9.5.1.2</t>
  </si>
  <si>
    <t>30 mm thick shutters</t>
  </si>
  <si>
    <t>9.5.2</t>
  </si>
  <si>
    <t>9.5.2.1</t>
  </si>
  <si>
    <t>9.5.2.2</t>
  </si>
  <si>
    <t>9.5.3</t>
  </si>
  <si>
    <t>Kiln seasoned selected planks of sheesham wood</t>
  </si>
  <si>
    <t>9.5.3.1</t>
  </si>
  <si>
    <t>9.5.3.2</t>
  </si>
  <si>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t>
  </si>
  <si>
    <t>9.6.1</t>
  </si>
  <si>
    <t>12 mm thick plain grade -1, medium density flat pressed three layer particle board FPT - I or graded wood particle board FPT- I, IS : 3087 marked, bonded with BWP type synthetic resin adhesive as per IS : 848 :</t>
  </si>
  <si>
    <t>9.6.2</t>
  </si>
  <si>
    <t>12 mm thick pre-laminated particle board (decorative lamination on both sides) grade -1, medium density flat pressed, three layer particle board FPT- I or graded wood particle board FPT- I, conforming to IS : 3087, bonded with BWP type synthetic resin adhesive as per IS : 848 and pre-laminated conforming to IS : 12823, Grade 1, Type - II marked :</t>
  </si>
  <si>
    <t>9.6.3</t>
  </si>
  <si>
    <t>12 mm thick one side Pre-laminated particle board (decorative lamination on one side and other sides balancing lamination) grade -1, medium density flat pressed, three layer particle board FPT - I or graded wood particle board FPT-1 conforming to IS : 3087 bonded with BWP type synthetic resin adhesive as per IS : 848 and pre-laminated conforming to IS : 12823, Grade -1, Type II marked :</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</si>
  <si>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</si>
  <si>
    <t>9.7.1</t>
  </si>
  <si>
    <t>9.7.2</t>
  </si>
  <si>
    <t>9.7.3</t>
  </si>
  <si>
    <t>Ply wood 5 ply, 9 mm thick</t>
  </si>
  <si>
    <t>9.7.3.1</t>
  </si>
  <si>
    <t>Decorative plywood both side decorative veneer (Type - I) conforming to IS 1328 BWR type</t>
  </si>
  <si>
    <t>9.7.3.2</t>
  </si>
  <si>
    <t>Decorative plywood one side decorative veneer and commercial veneer on other face (Type 1) conforming to IS 1328 BWR Type</t>
  </si>
  <si>
    <t>9.7.4</t>
  </si>
  <si>
    <t>Ply wood 7 ply, 9 mm thick</t>
  </si>
  <si>
    <t>9.7.4.1</t>
  </si>
  <si>
    <t>9.7.5</t>
  </si>
  <si>
    <t>Particle Board 12 mm thick</t>
  </si>
  <si>
    <t>9.7.5.1</t>
  </si>
  <si>
    <t>Plain particle board flat pressed, 3 layer or graded wood particle board medium density Grade I, IS : 3087 marked</t>
  </si>
  <si>
    <t>9.7.5.2</t>
  </si>
  <si>
    <t>Veneered flat pressed three layer or graded wood particle board with commercial veneering on both sides conforming to IS:3097, grade I</t>
  </si>
  <si>
    <t>9.7.5.3</t>
  </si>
  <si>
    <t>Pre-laminated particle board with decorative lamination on one side and balancing lamination on other side, Grade I, Type II IS: 12823 marked</t>
  </si>
  <si>
    <t>9.7.5.4</t>
  </si>
  <si>
    <t>Pre-laminated particle board with decorative lamination on both sides, Grade I, Type II, IS:12823 marked</t>
  </si>
  <si>
    <t>9.7.6</t>
  </si>
  <si>
    <t>Coir Veneer Board (conforming to IS 14842)</t>
  </si>
  <si>
    <t>9.7.6.1</t>
  </si>
  <si>
    <t>9.7.7</t>
  </si>
  <si>
    <t>Float glass panes</t>
  </si>
  <si>
    <t>9.7.7.1</t>
  </si>
  <si>
    <t>4 mm thick glass pane (weight not less than 10kg/sqm).</t>
  </si>
  <si>
    <t>9.7.7.2</t>
  </si>
  <si>
    <t>5.0 mm thick glass panes (weight not less than 12.50 kg/sqm).</t>
  </si>
  <si>
    <t>9.7.8</t>
  </si>
  <si>
    <t>Fly proof stainless steel grade 304 wire gauge with 0.5 mm dia. wire and 1.4mm wide aperture with matching wood beading</t>
  </si>
  <si>
    <t>Providing and fixing glazed shutters for doors, windows and clerestory windows using 4 mm thick float glass panes (weight not less than 10 kg per sqm) fixing with ISI marked M.S. pressed butt hinges bright finished of required size with necessary screws.</t>
  </si>
  <si>
    <t>9.9.1</t>
  </si>
  <si>
    <t>9.9.1.1</t>
  </si>
  <si>
    <t>35 mm thick</t>
  </si>
  <si>
    <t>9.9.1.2</t>
  </si>
  <si>
    <t>9.9.2</t>
  </si>
  <si>
    <t>9.9.2.1</t>
  </si>
  <si>
    <t>9.9.2.2</t>
  </si>
  <si>
    <t>9.9.3</t>
  </si>
  <si>
    <t>9.9.3.1</t>
  </si>
  <si>
    <t>9.9.3.2</t>
  </si>
  <si>
    <t>Providing and fixing factory made laminated veneer lumber glazed shutter conforming to IS: 14616 and TADS 15:2001 (Part B), using 4 mm thick float glass panes for doors, windows and clerestory windows, fixing with butt hinges of required size with necessary screws, all as per directions of Engineer-in-charge (Note:- Butt hinges and necessary screws shall be paid separately)</t>
  </si>
  <si>
    <t>9.10.1</t>
  </si>
  <si>
    <t>Extra for providing heavy sheet float glass panes instead of ordinary float glass in glazed doors, windows and clerestory window shutters. (Area of opening for glass panes excluding portion inside rebate shall be measured)</t>
  </si>
  <si>
    <t>9.11.1</t>
  </si>
  <si>
    <t>5.0 mm thick  (weight not less than 12.50 kg per sqm) instead of 4 mm thick  (weight not less than 10 kg per sqm).</t>
  </si>
  <si>
    <t>Extra for providing frosted glass panes 4 mm thick (weight not less than 10 kg per sqm) instead of ordinary float glass panes 4 mm thick  (weight not less than 10 kg per sqm) in doors, windows and clerestory window shutters. (Area of opening for glass panes excluding portion inside rebate shall be measured).</t>
  </si>
  <si>
    <t>Deduct for providing pin headed glass panes instead of ordinary float glass panes weighing 4 mm thick  (weight not less than 10 kg per sqm) in doors, windows and clerestory windows shutters (Area of opening for glass panes excluding portion inside rebate shall be measured).</t>
  </si>
  <si>
    <t>Extra for providing ISI marked Stainless Steel butt hinges instead of M.S. pressed butt hinges bright finished of required size with necessary screws. (Shutter area to be measured).</t>
  </si>
  <si>
    <t>Deduct for not providing hinges in doors, windows or clerestory window shutters with :</t>
  </si>
  <si>
    <t>9.15.1</t>
  </si>
  <si>
    <t xml:space="preserve"> ISI marked Stainless steel butt hinges with stainless steel screws :</t>
  </si>
  <si>
    <t>9.15.1.1</t>
  </si>
  <si>
    <t>For 2nd class teak wood and other class of wood shutters</t>
  </si>
  <si>
    <t>9.15.2</t>
  </si>
  <si>
    <t>ISI marked M.S. pressed butt hinges bright finished of required size with necessary screws.</t>
  </si>
  <si>
    <t>9.15.2.1</t>
  </si>
  <si>
    <t>Providing and fixing 25 mm thick shutters for cup board etc. :</t>
  </si>
  <si>
    <t>9.16.1</t>
  </si>
  <si>
    <t>Panelled or panelled &amp; glazed shutters :</t>
  </si>
  <si>
    <t>9.16.1.1</t>
  </si>
  <si>
    <t>Second class teak wood including ISI marked anodised aluminium butt hinges with necessary screws</t>
  </si>
  <si>
    <t>9.16.1.2</t>
  </si>
  <si>
    <t>Second class teak wood including ISI marked nickel plated bright finished M.S. piano hinges with necessary screws</t>
  </si>
  <si>
    <t>9.16.2</t>
  </si>
  <si>
    <t>Glazed shutters :</t>
  </si>
  <si>
    <t>9.16.2.1</t>
  </si>
  <si>
    <t>Second class teak wood including ISI marked anodized aluminium butt hinges with necessary screws</t>
  </si>
  <si>
    <t>9.16.2.2</t>
  </si>
  <si>
    <t>Providing and fixing flat pressed three layer particle or graded  plain wood board medium density exterior grade (Grade I) FPT-I, conforming and marked  to frame, backing or studding with screws etc. complete (Frames, backing or studding to be paid separately):</t>
  </si>
  <si>
    <t>9.17.1</t>
  </si>
  <si>
    <t>9.17.2</t>
  </si>
  <si>
    <t>Providing and fixing Pre-laminated flat pressed 3 layer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(fittings to be paid separately).</t>
  </si>
  <si>
    <t>9.18.1</t>
  </si>
  <si>
    <t>9.18.2</t>
  </si>
  <si>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t>
  </si>
  <si>
    <t>9.20.1</t>
  </si>
  <si>
    <t>35 mm thick including ISI marked Stainless Steel butt hinges with necessary screws</t>
  </si>
  <si>
    <t>9.20.2</t>
  </si>
  <si>
    <t>30 mm thick including ISI marked Stainless Steel butt hinges with necessary screws</t>
  </si>
  <si>
    <t>9.20.3</t>
  </si>
  <si>
    <t>25 mm thick (for cupboard) including ISI marked nickel plated bright finished M.S. Piano hinges IS : 3818 marked with necessary screws</t>
  </si>
  <si>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t>
  </si>
  <si>
    <t>9.21.1</t>
  </si>
  <si>
    <t>9.21.2</t>
  </si>
  <si>
    <t>9.21.3</t>
  </si>
  <si>
    <t>25 mm thick (for cupboard) including ISI marked nickel plated bright finished M.S. piano hinges with necessary screws</t>
  </si>
  <si>
    <t>Extra for Providing and fixing flush doors with decorative veneering instead of non decorative ISI marked flush door shutters conforming to IS: 2202 (Part I)</t>
  </si>
  <si>
    <t>9.22.1</t>
  </si>
  <si>
    <t>On one side only</t>
  </si>
  <si>
    <t>Extra for providing lipping with 2nd class teak wood battens 25 mm minimum depth on all edges of flush door shutters (over all area of door shutter to be measured).</t>
  </si>
  <si>
    <t>Extra for providing vision panel not exceeding 0.1 sqm in all type of flush doors (cost of glass excluded) (overall area of door shutter to be measured):</t>
  </si>
  <si>
    <t>9.24.1</t>
  </si>
  <si>
    <t>Rectangular or square</t>
  </si>
  <si>
    <t>9.24.2</t>
  </si>
  <si>
    <t>Circular</t>
  </si>
  <si>
    <t>Extra if louvers (not exceeding 0.2 sqm) are provided in flush door shutters (overall area of door shutters to be measured).</t>
  </si>
  <si>
    <t>9.25.1</t>
  </si>
  <si>
    <t>Decorative type door</t>
  </si>
  <si>
    <t>Extra for cutting rebate in flush door shutters (Total area of the shutter to be measured).</t>
  </si>
  <si>
    <t>Providing and fixing wire gauge shutters using galvanized M.S. wire gauge of average width of aperture 1.4 mm in both directions with wire of dia 0.63 mm, for doors, windows and clerestory windows with hinges and necessary screws :</t>
  </si>
  <si>
    <t>9.27.1</t>
  </si>
  <si>
    <t>9.27.1.1</t>
  </si>
  <si>
    <t>with ISI marked M.S. pressed butt hinges bright finished of required size</t>
  </si>
  <si>
    <t xml:space="preserve">9.27.1.1.1 </t>
  </si>
  <si>
    <t>9.27.1.1.2</t>
  </si>
  <si>
    <t>9.27.1.1.3</t>
  </si>
  <si>
    <t>Kiln seasoned selected class of sheesham wood</t>
  </si>
  <si>
    <t>9.27.1.2</t>
  </si>
  <si>
    <t>With ISI marked stainless steel butt hinges of required size</t>
  </si>
  <si>
    <t>9.27.1.2.1</t>
  </si>
  <si>
    <t>9.27.1.2.2</t>
  </si>
  <si>
    <t>9.27.1.2.3</t>
  </si>
  <si>
    <t>9.27.2</t>
  </si>
  <si>
    <t>9.27.2.1</t>
  </si>
  <si>
    <t>9.27.2.1.1</t>
  </si>
  <si>
    <t>9.27.2.1.2</t>
  </si>
  <si>
    <t>9.27.2.1.3</t>
  </si>
  <si>
    <t>9.27.2.2</t>
  </si>
  <si>
    <t>9.27.2.2.1</t>
  </si>
  <si>
    <t>9.27.2.2.2</t>
  </si>
  <si>
    <t>9.27.2.2.3</t>
  </si>
  <si>
    <t>Providing and fixing wire gauge laminated veneer lumber shutters conforming to IS : 14616, and as per TADS 15 :2001 (Part B) using galvanised wire gauge with average width of aperture 1.4 mm in both directions with wire of dia 0.63 mm as per IS :1568, for doors, windows and clerestory windows, fixing with butt hinges of required size with necessary screws, as per directions of Engineer-in-charge: (Note:- Butt hinges and necessary screws shall be paid separately)</t>
  </si>
  <si>
    <t>9.31.1</t>
  </si>
  <si>
    <t>9.31.2</t>
  </si>
  <si>
    <t>MISCELLANEOUS-WOOD WORK</t>
  </si>
  <si>
    <t>Providing and fixing wooden moulded beading to door and window frames with iron screws, plugs and priming coat on unexposed surface etc. complete :</t>
  </si>
  <si>
    <t>9.40.1</t>
  </si>
  <si>
    <t>2nd class teak wood</t>
  </si>
  <si>
    <t>9.40.1.1</t>
  </si>
  <si>
    <t>50x12 mm</t>
  </si>
  <si>
    <t>9.40.1.2</t>
  </si>
  <si>
    <t>50 x 20 mm</t>
  </si>
  <si>
    <t>9.40.2</t>
  </si>
  <si>
    <t>9.40.2.1</t>
  </si>
  <si>
    <t>9.40.2.2</t>
  </si>
  <si>
    <t>50x20 mm</t>
  </si>
  <si>
    <t>Providing and fixing plain jaffri of 35x10 mm laths placed 35 mm apart (frames to be paid separately), including fixing 50x12 mm beading complete with :</t>
  </si>
  <si>
    <t>9.41.1</t>
  </si>
  <si>
    <t>Providing and fixing 18 mm thick, 150 mm wide pelmet of flat pressed three layer or graded plain wood particle board medium density grade I, ISI marked and conforming to IS : 3087 marked, including top cover of 6 mm commercial ply wood conforming to IS: 303 BWR grade, nickel plated M.S. pipe 20 mm dia ( heavy type) curtain rod with nickel plated brackets, including fixing with 25x3 mm M.S. flat 10 cm long fixed to pelmet with hollock wood cleats of size 100 mm x 40 mm x 40 mm on both inner side of pelmet and rawl plugs 75 mm long etc. all complete.</t>
  </si>
  <si>
    <t>Providing and fixing 18 mm thick, 150 mm wide pelmet of coir veneer board ISI marked IS : 14842, including top cover of 6 mm coir veneer board, nickle plated M.S. Pipe 20 mm dia. (heavy type) curtain rod with nickel plated brackets, including fixing with 25x3 mm M.S. Flat 10 cm long fixed to pelmet with hollock wood cleats of size 100 mm x 40 mm x 40 mm on both inner side of pelmet and rawl plugs 75 mm long etc. all complete.</t>
  </si>
  <si>
    <t>Extra for using veneered particle board conforming to IS 3097 Grade I, in item of pelmet 18mm thick 150mm wide.</t>
  </si>
  <si>
    <t>9.44.1</t>
  </si>
  <si>
    <t>Non decorative veneer on both sides</t>
  </si>
  <si>
    <t>9.44.2</t>
  </si>
  <si>
    <t>Particle board with decorative veneering on both sides</t>
  </si>
  <si>
    <t>Providing and fixing teak wood lipping of size 25x3 mm in pelmet.</t>
  </si>
  <si>
    <t>Providing and fixing chromium plated brass curtain rod having wall thickness of 1.25mm with two chromium plated brass brackets fixed with C.P. brass screws and  PVC sleeves etc., wherever necessary complete :</t>
  </si>
  <si>
    <t>9.46.1</t>
  </si>
  <si>
    <t>12 mm dia</t>
  </si>
  <si>
    <t>9.46.2</t>
  </si>
  <si>
    <t>20 mm dia</t>
  </si>
  <si>
    <t>9.46.3</t>
  </si>
  <si>
    <t>25 mm dia</t>
  </si>
  <si>
    <t>Providing and fixing nickel plated M.S. pipe curtain rods with nickel plated brackets :</t>
  </si>
  <si>
    <t>9.47.1</t>
  </si>
  <si>
    <t>20 mm dia (heavy type)</t>
  </si>
  <si>
    <t>9.47.2</t>
  </si>
  <si>
    <t>25 mm dia (heavy type)</t>
  </si>
  <si>
    <t>Providing and fixing M.S. grills of required pattern in frames of windows etc. with M.S. flats, square or round bars etc. including priming coat with approved steel primer all complete.</t>
  </si>
  <si>
    <t>9.48.1</t>
  </si>
  <si>
    <t>Fixed to steel windows by welding</t>
  </si>
  <si>
    <t>9.48.2</t>
  </si>
  <si>
    <t>Fixed to openings /wooden frames with rawl plugs screws etc.</t>
  </si>
  <si>
    <t>Providing and fixing expanded metal 20x60 mm strands 3.25 mm wide and 1.6mm thick for windows etc. including 62 x19 mm beading of second  class teak wood and priming coat with approved steel primer all complete.</t>
  </si>
  <si>
    <t>Providing and fixing hard drawn steel wire fabric 75x25 mm mesh of weight not less than 7.75 Kg per sqm to window frames etc. including 62x19 mm beading of second class teak wood and priming coat with approved steel primer all complete.</t>
  </si>
  <si>
    <t>Providing and fixing fly proof galvanized M.S. wire gauge to windows and clerestory windows using wire gauge with average width of aperture 1.4 mm in both directions with wire of dia 0.63 mm all complete.</t>
  </si>
  <si>
    <t>9.51.1</t>
  </si>
  <si>
    <t>With second class teak wood beading 62X19 mm</t>
  </si>
  <si>
    <t>9.51.2</t>
  </si>
  <si>
    <t>With 12 mm mild steel U beading</t>
  </si>
  <si>
    <t>Deduct for fixing 75x25 mm hard drawn steel wire fabric of weight not less than 7.75 Kg per sqm in panelled and glazed door and window shutter instead of glass sheet 4 mm thick (weight not less than 10 kg per sqm)</t>
  </si>
  <si>
    <t>Providing 40x5 mm flat iron hold fast 400 mm long including fixing to frame with 10 mm diameter bolts, nuts and wooden plugs and embedding in cement concrete block 300x100x150mm 1:3:6 mix (1 cement : 3 coarse sand : 6 graded stone aggregate 20mm nominal size).</t>
  </si>
  <si>
    <t>Providing beams including hoisting, fixing in position and applying wood preservative for the unexposed surfaces, etc. complete with :</t>
  </si>
  <si>
    <t>9.54.1</t>
  </si>
  <si>
    <t>9.54.2</t>
  </si>
  <si>
    <t>Hollock wood</t>
  </si>
  <si>
    <t>BRIGHT FINISHED M.S. FITTINGS</t>
  </si>
  <si>
    <t>Providing and fixing ISI marked IS:1341 M.S. pressed butt hinges bright finished with necessary screws etc. complete :</t>
  </si>
  <si>
    <t>9.55.1</t>
  </si>
  <si>
    <t>125x65x2.12 mm</t>
  </si>
  <si>
    <t>9.55.2</t>
  </si>
  <si>
    <t>100x58x1.90 mm</t>
  </si>
  <si>
    <t>9.55.3</t>
  </si>
  <si>
    <t>75x47x1.70 mm</t>
  </si>
  <si>
    <t>9.55.4</t>
  </si>
  <si>
    <t>50x37x1.50 mm</t>
  </si>
  <si>
    <t>Providing and fixing ISI marked, IS : 1341, M.S. heavy weight bright finished butt hinges with necessary screws etc. complete :</t>
  </si>
  <si>
    <t>9.56.1</t>
  </si>
  <si>
    <t>125x90x4.00 mm</t>
  </si>
  <si>
    <t>9.56.2</t>
  </si>
  <si>
    <t>100x75x3.50 mm</t>
  </si>
  <si>
    <t>9.56.3</t>
  </si>
  <si>
    <t>75x60x3.10 mm</t>
  </si>
  <si>
    <t>9.56.4</t>
  </si>
  <si>
    <t>50x40x2.50 mm</t>
  </si>
  <si>
    <t>Note: - In coastal areas, M.S. heavy weight butt hinges or stainless steel hinges shall be used.</t>
  </si>
  <si>
    <t>COPER OXIDISED MILD STEEL FITTINGS (COPPER OXIDISED AS PER IS: 1378)</t>
  </si>
  <si>
    <t>Providing and fixing ISI marked IS:1341 oxidised M.S. pressed butt hinges with necessary screws etc. complete. (Copper oxidised as per IS 1378)</t>
  </si>
  <si>
    <t>9.57.1</t>
  </si>
  <si>
    <t>9.57.2</t>
  </si>
  <si>
    <t>9.57.3</t>
  </si>
  <si>
    <t>9.57.4</t>
  </si>
  <si>
    <t>Providing and fixing ISI marked  IS: 1341 oxidised M.S. pressed Parliamentary hinges with necessary screws etc. complete (Copper oxidised as per IS 1378)</t>
  </si>
  <si>
    <t>9.58.1</t>
  </si>
  <si>
    <t>150x125x27x2.80 mm</t>
  </si>
  <si>
    <t>9.58.2</t>
  </si>
  <si>
    <t>125x125x27x2.80 mm</t>
  </si>
  <si>
    <t>9.58.3</t>
  </si>
  <si>
    <t>100x125x27x2.80 mm</t>
  </si>
  <si>
    <t>9.58.4</t>
  </si>
  <si>
    <t>75x100x20x2.24 mm</t>
  </si>
  <si>
    <t>Providing and fixing ISI marked oxidised M.S. single acting spring hinges with necessary screws etc. complete (Copper oxidised as per IS 1378)</t>
  </si>
  <si>
    <t>9.59.1</t>
  </si>
  <si>
    <t>150 mm</t>
  </si>
  <si>
    <t>9.59.2</t>
  </si>
  <si>
    <t>125 mm</t>
  </si>
  <si>
    <t>9.59.3</t>
  </si>
  <si>
    <t>100 mm</t>
  </si>
  <si>
    <t>Providing and fixing  ISI marked IS: 453 oxidised M.S. double acting spring hinges with necessary screws etc. complete (Copper oxidised as per IS 1378)</t>
  </si>
  <si>
    <t>9.60.1</t>
  </si>
  <si>
    <t>9.60.2</t>
  </si>
  <si>
    <t>9.60.3</t>
  </si>
  <si>
    <t>Providing M.S. Piano hinges ISI marked IS : 3818 finished with nickel chromium plating grade 1 as per IS: 1068 and fixing with necessary screws etc., complete.</t>
  </si>
  <si>
    <t>9.61.1</t>
  </si>
  <si>
    <t>Overall width 35 mm</t>
  </si>
  <si>
    <t>9.61.2</t>
  </si>
  <si>
    <t>Overall width 50 mm</t>
  </si>
  <si>
    <t>9.61.3</t>
  </si>
  <si>
    <t>Overall width 65 mm</t>
  </si>
  <si>
    <t>Providing and fixing ISI marked oxidised M.S. sliding door bolts with nuts and screws etc. complete (Copper oxidised as per IS 1378)</t>
  </si>
  <si>
    <t>9.62.1</t>
  </si>
  <si>
    <t>300x16 mm</t>
  </si>
  <si>
    <t>9.62.2</t>
  </si>
  <si>
    <t>250x16 mm</t>
  </si>
  <si>
    <t>Providing and fixing ISI marked oxidised M.S. tower bolt black finish, (Barrel type) with necessary screws etc. complete (Copper oxidised as per IS 1378)</t>
  </si>
  <si>
    <t>9.63.1</t>
  </si>
  <si>
    <t>250x10 mm</t>
  </si>
  <si>
    <t>9.63.2</t>
  </si>
  <si>
    <t>200x10 mm</t>
  </si>
  <si>
    <t>9.63.3</t>
  </si>
  <si>
    <t>150x10 mm</t>
  </si>
  <si>
    <t>9.63.4</t>
  </si>
  <si>
    <t>100x10 mm</t>
  </si>
  <si>
    <t>Providing and fixing ISI marked 85x42 mm oxidised M.S. pull bolt lock conforming to IS : 7534 with necessary screws bolts, nut and washers etc. complete (Copper oxidised as per IS 1378).</t>
  </si>
  <si>
    <t>Providing and fixing ISI marked oxidised M.S. door latches conforming to IS:5930 with screws etc. complete (Copper oxidised as per IS 1378)</t>
  </si>
  <si>
    <t>9.65.1</t>
  </si>
  <si>
    <t>300x20x6 mm</t>
  </si>
  <si>
    <t>9.65.2</t>
  </si>
  <si>
    <t>250x20x6 mm</t>
  </si>
  <si>
    <t>Providing and fixing ISI marked oxidised M.S. handles conforming to IS:4992 with necessary screws etc. complete (Copper oxidised as per IS 1378)</t>
  </si>
  <si>
    <t>9.66.1</t>
  </si>
  <si>
    <t>9.66.2</t>
  </si>
  <si>
    <t>9.66.3</t>
  </si>
  <si>
    <t>75 mm</t>
  </si>
  <si>
    <t>Providing and fixing oxidised M.S. hasp and staple (safety type) conforming to IS : 363 with necessary screws etc. complete (Copper oxidised as per IS 1378)</t>
  </si>
  <si>
    <t>9.67.1</t>
  </si>
  <si>
    <t>9.67.2</t>
  </si>
  <si>
    <t>115 mm</t>
  </si>
  <si>
    <t>9.67.3</t>
  </si>
  <si>
    <t>90 mm</t>
  </si>
  <si>
    <t>Providing and fixing oxidised M.S. casement stays (straight peg type) with necessary screws etc. complete (Copper oxidised as per IS 1378)</t>
  </si>
  <si>
    <t>9.68.1</t>
  </si>
  <si>
    <t>300 mm weighing not less than 330 grams</t>
  </si>
  <si>
    <t>9.68.2</t>
  </si>
  <si>
    <t>250 mm weighing not less than 280 grams</t>
  </si>
  <si>
    <t>9.68.3</t>
  </si>
  <si>
    <t>200 mm weighing not less than 240 grams</t>
  </si>
  <si>
    <t>Providing and fixing oxidised M.S. Safety chain with necessary fixtures for doors, (weighting not less than 450 gms) and Copper oxidised as per IS 1378</t>
  </si>
  <si>
    <t>STAINLESS STEEL FITTINGS</t>
  </si>
  <si>
    <t>Providing and fixing IS : 12817 marked stainless steel butt hinges with stainless steel screws etc. complete :</t>
  </si>
  <si>
    <t>9.70.1</t>
  </si>
  <si>
    <t>125x64x1.90 mm</t>
  </si>
  <si>
    <t>9.70.2</t>
  </si>
  <si>
    <t>100X58X1.90 mm</t>
  </si>
  <si>
    <t>9.70.3</t>
  </si>
  <si>
    <t>75x47x1.80 mm</t>
  </si>
  <si>
    <t>9.70.4</t>
  </si>
  <si>
    <t>Providing and fixing IS : 12817 marked stainless steel butt hinges (heavy weight) with stainless steel screws etc. complete :</t>
  </si>
  <si>
    <t>9.71.1</t>
  </si>
  <si>
    <t>125x64x2.50 mm</t>
  </si>
  <si>
    <t>9.71.2</t>
  </si>
  <si>
    <t>100x60x2.50 mm</t>
  </si>
  <si>
    <t>9.71.3</t>
  </si>
  <si>
    <t>75x50x2.50 mm</t>
  </si>
  <si>
    <t>BRASS FITTINGS</t>
  </si>
  <si>
    <t>Providing and fixing bright finished brass butt hinges with necessary screws etc. complete :</t>
  </si>
  <si>
    <t>9.72.1</t>
  </si>
  <si>
    <t>125x85x5.5 mm (heavy type)</t>
  </si>
  <si>
    <t>9.72.2</t>
  </si>
  <si>
    <t>125x70x4 mm (ordinary type)</t>
  </si>
  <si>
    <t>9.72.3</t>
  </si>
  <si>
    <t>100x85x5.5 mm (heavy type)</t>
  </si>
  <si>
    <t>9.72.4</t>
  </si>
  <si>
    <t>100x70x4 mm (ordinary type)</t>
  </si>
  <si>
    <t>9.72.5</t>
  </si>
  <si>
    <t>75x65x4 mm (heavy type)</t>
  </si>
  <si>
    <t>9.72.6</t>
  </si>
  <si>
    <t>75x40x2.5 mm (ordinary type)</t>
  </si>
  <si>
    <t>9.72.7</t>
  </si>
  <si>
    <t>50x40x2.5 mm (ordinary type)</t>
  </si>
  <si>
    <t>Providing and fixing bright finished brass parliamentary hinges with necessary screws etc. complete :</t>
  </si>
  <si>
    <t>9.73.1</t>
  </si>
  <si>
    <t>150x125x27x5 mm</t>
  </si>
  <si>
    <t>9.73.2</t>
  </si>
  <si>
    <t>125x125x27x5 mm</t>
  </si>
  <si>
    <t>9.73.3</t>
  </si>
  <si>
    <t>100x125x27x5 mm</t>
  </si>
  <si>
    <t>9.73.4</t>
  </si>
  <si>
    <t>75x100x20x3.2 mm</t>
  </si>
  <si>
    <t>Providing and fixing bright finished brass tower bolts (barrel type) with necessary screws etc. complete :</t>
  </si>
  <si>
    <t>9.74.1</t>
  </si>
  <si>
    <t>9.74.2</t>
  </si>
  <si>
    <t>9.74.3</t>
  </si>
  <si>
    <t>9.74.4</t>
  </si>
  <si>
    <t>Providing and fixing bright finished brass door latch with necessary screws etc. complete :</t>
  </si>
  <si>
    <t>9.75.1</t>
  </si>
  <si>
    <t>300x16x5 mm</t>
  </si>
  <si>
    <t>9.75.2</t>
  </si>
  <si>
    <t>250x16x5 mm</t>
  </si>
  <si>
    <t>Providing and fixing bright finished brass 100 mm mortice latch and lock with 6 levers and a pair of lever handles of approved quality with necessary screws etc. complete.</t>
  </si>
  <si>
    <t>Providing and fixing bright finished brass 100 mm mortice latch with one dead bolt and a pair of lever handles of approved quality with necessary screws etc. complete.</t>
  </si>
  <si>
    <t>Providing and fixing bright finished brass night latch of approved quality including necessary screws etc. complete.</t>
  </si>
  <si>
    <t>Providing and fixing special quality bright finished brass cupboard or ward robe locks with four levers of approved quality including necessary screws etc. complete.</t>
  </si>
  <si>
    <t>9.79.1</t>
  </si>
  <si>
    <t>40 mm</t>
  </si>
  <si>
    <t>9.79.2</t>
  </si>
  <si>
    <t>50 mm</t>
  </si>
  <si>
    <t>9.79.3</t>
  </si>
  <si>
    <t>65 mm</t>
  </si>
  <si>
    <t>9.79.4</t>
  </si>
  <si>
    <t>Providing and fixing 50 mm bright finished brass cup board or wardrobe knob of approved quality with necessary screws.</t>
  </si>
  <si>
    <t>Providing and fixing bright finished brass handles with screws etc. complete:</t>
  </si>
  <si>
    <t>9.81.1</t>
  </si>
  <si>
    <t>9.81.2</t>
  </si>
  <si>
    <t>9.81.3</t>
  </si>
  <si>
    <t>Providing and fixing bright finished brass hanging type floor door stopper with necessary screws, etc. complete.</t>
  </si>
  <si>
    <t>Providing and fixing aluminium die cast body tubular type universal hydraulic door closer (having brand logo with ISI, IS : 3564, embossed on the body, door weight upto 35 kg and door width upto 700 mm), with necessary accessories and screws etc. complete.</t>
  </si>
  <si>
    <t>Providing and fixing aluminium extruded section body tubular type universal hydraulic door closer (having brand logo with ISi, IS : 3564, embossed on the body, door weight upto 36 kg to 80 kg and door width from 701 mm to 1000 mm), with double speed adjustment with necessary accessories and screws etc. complete.</t>
  </si>
  <si>
    <t>Providing and fixing bright finished brass casement window fastener with necessary screws etc. complete.</t>
  </si>
  <si>
    <t>Providing and fixing bright finished brass casement stays (straight peg type) with necessary screws etc. complete :</t>
  </si>
  <si>
    <t>9.86.1</t>
  </si>
  <si>
    <t>300 mm weighing not less than 330 gms</t>
  </si>
  <si>
    <t>9.86.2</t>
  </si>
  <si>
    <t>250 mm weighing not less than 280 gms</t>
  </si>
  <si>
    <t>9.86.3</t>
  </si>
  <si>
    <t>200 mm weighing not less than 240 gms</t>
  </si>
  <si>
    <t>Providing and fixing bright finished brass hasp and staple (safety type) with necessary screws etc. complete :</t>
  </si>
  <si>
    <t>9.87.1</t>
  </si>
  <si>
    <t>9.87.2</t>
  </si>
  <si>
    <t>9.87.3</t>
  </si>
  <si>
    <t>CHROMIUM PLATED BRASS FITTINGS</t>
  </si>
  <si>
    <t>Providing and fixing chromium plated brass 100 mm mortice latch and lock with 6 levers and a pair of lever handles of approved quality with necessary screws etc. complete.</t>
  </si>
  <si>
    <t>Providing and fixing chromium plated brass night latch of approved quality including necessary screws etc. complete.</t>
  </si>
  <si>
    <t>Providing and fixing special quality chromium plated brass cupboard locks with six levers of approved quality including necessary screws etc. complete.</t>
  </si>
  <si>
    <t>9.90.1</t>
  </si>
  <si>
    <t>Size 40 mm</t>
  </si>
  <si>
    <t>9.90.2</t>
  </si>
  <si>
    <t>Size 50 mm</t>
  </si>
  <si>
    <t>9.90.3</t>
  </si>
  <si>
    <t>Size 65 mm</t>
  </si>
  <si>
    <t>9.90.4</t>
  </si>
  <si>
    <t>Size 75 mm</t>
  </si>
  <si>
    <t>Providing and fixing chromium plated brass 50 mm cupboard or wardrobe knobs with nuts complete.</t>
  </si>
  <si>
    <t>Providing and fixing chromium plated brass handles with necessary screws etc. complete:</t>
  </si>
  <si>
    <t>9.92.1</t>
  </si>
  <si>
    <t>9.92.2</t>
  </si>
  <si>
    <t>9.92.3</t>
  </si>
  <si>
    <t>Providing and fixing chromium plated brass casement window fastener with necessary screws etc. complete.</t>
  </si>
  <si>
    <t>Providing and fixing chromium plated brass casement stays (straight peg type) with necessary screws etc. complete :</t>
  </si>
  <si>
    <t>9.94.1</t>
  </si>
  <si>
    <t>9.94.2</t>
  </si>
  <si>
    <t>9.94.3</t>
  </si>
  <si>
    <t>ANODISED ALUMINIUM FITTINGS (ALL FITTINGS SHALL BE ISI MARKED)</t>
  </si>
  <si>
    <t>Providing and fixing ISI marked aluminium butt hinges anodised (anodic coating not less than grade AC 10 as per IS: 1868) transparent or dyed to required colour or shade with necessary screws etc. complete:</t>
  </si>
  <si>
    <t>9.95.1</t>
  </si>
  <si>
    <t>125x75x4 mm</t>
  </si>
  <si>
    <t>9.95.2</t>
  </si>
  <si>
    <t>125x63x4 mm</t>
  </si>
  <si>
    <t>9.95.3</t>
  </si>
  <si>
    <t>100x75x4 mm</t>
  </si>
  <si>
    <t>9.95.4</t>
  </si>
  <si>
    <t>100x63x4 mm</t>
  </si>
  <si>
    <t>9.95.5</t>
  </si>
  <si>
    <t>100x63x3.2 mm</t>
  </si>
  <si>
    <t>9.95.6</t>
  </si>
  <si>
    <t>75x63x4 mm</t>
  </si>
  <si>
    <t>9.95.7</t>
  </si>
  <si>
    <t>75x63x3.2 mm</t>
  </si>
  <si>
    <t>9.95.8</t>
  </si>
  <si>
    <t>75x45x3.2 mm</t>
  </si>
  <si>
    <t>Note :- Aluminum hinges shall not be used in wooden shutters, stainless steel hinges shall be preferred.</t>
  </si>
  <si>
    <t>Providing and fixing aluminium sliding door bolts, ISI marked anodised (anodic coating not less than grade AC 10 as per IS : 1868), transparent or dyed to required colour or shade, with nuts and screws etc. complete :</t>
  </si>
  <si>
    <t>9.96.1</t>
  </si>
  <si>
    <t>9.96.2</t>
  </si>
  <si>
    <t>Providing and fixing aluminium tower bolts, ISI marked, anodised (anodic coating not less than grade AC 10 as per IS : 1868 ) transparent or dyed to required colour or shade, with necessary screws etc. complete :</t>
  </si>
  <si>
    <t>9.97.1</t>
  </si>
  <si>
    <t>300x10 mm</t>
  </si>
  <si>
    <t>9.97.2</t>
  </si>
  <si>
    <t>9.97.3</t>
  </si>
  <si>
    <t>9.97.4</t>
  </si>
  <si>
    <t>9.97.5</t>
  </si>
  <si>
    <t>Providing and fixing aluminium pull bolt lock, ISI marked, anodised (anodic coating not less than grade AC 10 as per IS : 1868) transparent or dyed to required colour and shade, with necessary screws bolts, nut and washers etc. complete.</t>
  </si>
  <si>
    <t>Providing and fixing 50 cm long aluminium kicking plate of size 100x3.15 mm, anodised (anodic coating not less than grade AC 10 as per IS : 1868) transparent or dyed to required colour or shade, with necessary screws etc. complete.</t>
  </si>
  <si>
    <t>Providing and fixing aluminium handles, ISI marked, anodised (anodic coating not less than grade AC 10 as per IS : 1868) transparent or dyed to required colour or shade, with necessary screws etc. complete :</t>
  </si>
  <si>
    <t>9.100.1</t>
  </si>
  <si>
    <t>9.100.2</t>
  </si>
  <si>
    <t>9.100.3</t>
  </si>
  <si>
    <t>Providing and fixing aluminium hanging floor door stopper, ISI marked, anodised (anodic coating not less than grade AC 10 as per IS : 1868) transparent or dyed to required colour and shade, with necessary screws etc. complete.</t>
  </si>
  <si>
    <t>9.101.1</t>
  </si>
  <si>
    <t>Single rubber stopper</t>
  </si>
  <si>
    <t>9.101.2</t>
  </si>
  <si>
    <t>Twin rubber stopper</t>
  </si>
  <si>
    <t>Providing and fixing aluminium casement stays, ISI marked, anodised (anodic coating not less than grade AC 10 as per IS : 1868) transparent or dyed to required colour and shade, with necessary screws etc. complete.</t>
  </si>
  <si>
    <t>Providing and fixing bright finished brass 100 mm mortice latch and lock, ISI marked, with six levers and a pair of anodised (anodic coating not less than grade AC 10 as per IS : 1868) aluminium lever handles of approved quality with necessary screws etc. complete.</t>
  </si>
  <si>
    <t>Providing and fixing aluminium tee channels (heavy duty) with rollers &amp; stop end in pelmets as curtain rod.</t>
  </si>
  <si>
    <t>GYPSUM BOARD PARTITIONS</t>
  </si>
  <si>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t>
  </si>
  <si>
    <t>9.105.1</t>
  </si>
  <si>
    <t>75 mm overall thickness partition with 12.5 mm thick double skin fire rated Glass Reinforced Gypsum (GRG) plaster board conforming to IS: 2095: part 3 (Board with BIS certification marks)</t>
  </si>
  <si>
    <t>9.105.2</t>
  </si>
  <si>
    <t>75mm overall thickness partition with 12.5 mm thick double skin tapered edged plain Gypsum plaster board conforming to IS: 2095: (part I): 2011 (Board with BIS certification marks)</t>
  </si>
  <si>
    <t>9.105.3</t>
  </si>
  <si>
    <t>66mm overall thickness Partition with 8mm thick double skin Calcium Silicate Board made with Calcareous &amp; Siliceous materials reinforced with cellulose fiber manufactured through autoclaving process with Compressive Strength 225 kg/sq.cm, Bending Strength 100 kg./ sq.cm</t>
  </si>
  <si>
    <t>9.105.4</t>
  </si>
  <si>
    <t>66mm overall thickness partition using 8mm thick, double skin multipurpose cement board Type-B, Category-III as per IS: 14862 : 2000 reinforced with cellulose fibre manufactured through autoclaving process (High pressure steam cured)  with suitable fibre cement screws</t>
  </si>
  <si>
    <t>9.105.5</t>
  </si>
  <si>
    <t>66 mm overall thickness partition using 8 mm thick double skin multipurpose cement bonded wood particle board manufactured as per IS: 14276 with suitable cement bonded  board screws</t>
  </si>
  <si>
    <t>Providing and fixing PTMT handles with necessary screws etc. complete.</t>
  </si>
  <si>
    <t>9.106.1</t>
  </si>
  <si>
    <t>125x34x24 mm weighing not less than 23 gms</t>
  </si>
  <si>
    <t>9.106.2</t>
  </si>
  <si>
    <t>150x34x24 mm weighing not less than 26 gms</t>
  </si>
  <si>
    <t>Providing and fixing PTMT Butt hinges with necessary screws etc. complete.</t>
  </si>
  <si>
    <t>9.107.1</t>
  </si>
  <si>
    <t>75x60x10 mm fitted with 5.5 mm dia M.S. Bright Bar Rod weighing not less than 34 gms</t>
  </si>
  <si>
    <t>9.107.2</t>
  </si>
  <si>
    <t>100x75x10 mm fitted with 5.5 mm dia MS Bright Bar Rod weighing not less than 53 gms</t>
  </si>
  <si>
    <t>Providing and fixing PTMT Tower Bolts with 12 mm one piece rod inside and necessary screws etc., complete.</t>
  </si>
  <si>
    <t>9.108.1</t>
  </si>
  <si>
    <t>152x42x18 mm weighing not less than 60 gms</t>
  </si>
  <si>
    <t>9.108.2</t>
  </si>
  <si>
    <t>202x42x18 mm weighing not less than 78 gms</t>
  </si>
  <si>
    <t>Providing and fixing PTMT door catcher of length 72 mm and dia. of 42 mm with suitable washers weighing not less than 33 gms</t>
  </si>
  <si>
    <t>Providing and fixing Bamboo jaffery/ fencing consisting of superior quality 25mm dia (Average) half cut bamboo placed vertically and fixed together with three numbers horizontal running members of hollock wood in scantling of section 50X25 mm, fixed with nails and G.I wire on existing support complete as per direction of Engineer-in-charge.</t>
  </si>
  <si>
    <t>Providing and fixing wooden moulded corner beading of triangular shape to the junction of panelling etc. with iron screws, plugs and priming coat on unexposed surface etc. complete 2nd class teak wood.</t>
  </si>
  <si>
    <t>9.111.1</t>
  </si>
  <si>
    <t>50x50 mm (base and height)</t>
  </si>
  <si>
    <t>Providing and fixing 2nd class teak wood lipping/ moulded beading or taj beading of size 18X5 mm fixed with wooden adhesive of approved quality and screws/nails on the edges of the Pre-laminated particle board as per direction of Engineer-in-charge.</t>
  </si>
  <si>
    <t>Providing and fixing bright finished 100 mm mortice lock with 6 levers without pair of handles of approved quality for aluminium door, with necessary screws etc complete as per direction of Engineer- in-charge.</t>
  </si>
  <si>
    <t>Providing and fixing magnetic catcher of approved quality in cupboard / ward robe shutters, including fixing with necessary screws etc. complete.</t>
  </si>
  <si>
    <t>9.114.1</t>
  </si>
  <si>
    <t>Triple strip vertical type</t>
  </si>
  <si>
    <t>9.114.2</t>
  </si>
  <si>
    <t>Double strip (horizontal type)</t>
  </si>
  <si>
    <t>Providing and fixing powder coated telescopic drawer channels 300 mm long with necessary screws etc. complete as per directions of Engineer- in-charge.</t>
  </si>
  <si>
    <t>one set</t>
  </si>
  <si>
    <t>Providing and fixing sliding arrangement in racks/ cupboards/cabinets shutter by with stainless steel rollers to run inside C or E aluminium channel section (The payment of C or E channel shall be made separately)</t>
  </si>
  <si>
    <t>Providing and fixing factory made uPVC door frame made of uPVC extruded sections having an overall dimension as below (tolerance ±1mm),  with wall thickness 2.0 mm (± 0.2 mm), corners of the door frame to be Jointed with galvanized brackets and stainless steel screws, joints mitred and Plastic welded. The hinge side vertical of the frames reinforced by galvanized M.S. tube of size 19 X 19 mm and 1mm (± 0.1 mm) wall thickness and 3 nos. stainless steel hinges fixed to the frame complete as per manufacturer’s specification and direction of Engineer- in-charge</t>
  </si>
  <si>
    <t>9.117.1</t>
  </si>
  <si>
    <t>Extruded section profile size 48x40 mm</t>
  </si>
  <si>
    <t>9.117.2</t>
  </si>
  <si>
    <t>Extruded section profile size 42x50 mm</t>
  </si>
  <si>
    <t>Providing and fixing to existing door frames.</t>
  </si>
  <si>
    <t>9.118.1</t>
  </si>
  <si>
    <t>24 mm thick factory made PVC door shutters made of styles and rails of a uPVC hollow section of size 59x24 mm and wall thickness 2 mm (± 0.2 mm) with inbuilt edging on both sides. The styles and rails mitred and joint at the corners by means of M.S. galvanised/ plastic brackets of size 75x220 mm having wall thickness 1.0 mm and stainless steel screws. The styles of the shutter reinforced by inserting galvanised M.S. tube of size 20x20 mm and 1 mm (± 0.1 mm) wall thickness. The lock rail made up of 'H' section, a uPVC hollow section of size 100x24 mm and 2 mm (± 0.2 mm) wall thickness, 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 inserting horizontally 6 mm galvanised M.S. rod and fastened with nuts and washers, complete as per manufacturer's specification and direction of Engineer-in-charge. (For W.C. and bathroom door shutter).</t>
  </si>
  <si>
    <t>9.118.2</t>
  </si>
  <si>
    <t>30 mm thick factory made Polyvinyl Chloride (PVC) door shutter made of styles and rails of a uPVC hollow section of size 60x30 mm and wall thickness 2 mm (± 0.2 mm), with inbuilt decorative moulding edging on one side. The styles and rails mitred and joint at the corners by means of M.S. galvanised/ plastic brackets of size 75x220 mm having wall thickness 1.0 mm and stainless steel screws. The styles of the shutter reinforced by inserting galvanised M.S. tube of size 25x20 mm and 1 mm (± 0.1 mm) wall thickness. The lock rail made up of 'H' section, a uPVC hollow section of size 100x30 mm and 2 mm (± 0.2 mm) wall thickness fixed to the shutter styles by means of plastic/ galvanised M.S. 'U' cleats. The shutter frame filled with a uPVC multi-chambered single panel of size not less than 620 mm, having over all thickness of 20 mm and 1 mm (± 0.1 mm) wall thickness . The panels filled vertically and tie bar at two places by inserting horizontally 6 mm galvanised M.S. rod and fastened with nuts and washers, complete as per manufacturer's specification and direction of Engineer-in-charge.</t>
  </si>
  <si>
    <t>9.118.3</t>
  </si>
  <si>
    <t>25 mm thick PVC flush door shutters made out of a one piece Multi chamber extruded PVC section of the size of 762 mm X 25 mm or less as per requirement with an average wall thickness of 1 mm (± 0.3 mm). PVC foam end cap of size 23x10 mm are provided on both vertical edges to ensure the overall thickness of 25 mm. M.S. tube having dimensions 19 mm x 19 mm and 1.0 mm (± 0.1 mm) is inserted along the hinge side of the door. Core of the door shutter should be filled with High Density Polyurethane foam. The Top &amp; Bottom edges of the shutter are covered with an end-cap of the size 25 mm X 11 mm. Door shutter shall be reinforced with special polymeric reinforcements as per manufacturer’s specification and direction of Engineer-in-charge to take up necessary hardware and fixtures. Stickers indicating the locations of hardware will be pasted at appropriate places</t>
  </si>
  <si>
    <t>Providing and fixing factory made P.V.C. door frame of size 50x47 mm with awall thickness of 5 mm, made out of extruded 5mm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 in-Charge.</t>
  </si>
  <si>
    <t>Providing and fixing factory made panel PVC door shutter consisting of frame made out of M.S. tubes of 19 gauge thickness and size of 19 mm x 19 mm for styles and 15x15 mm for top &amp; bottom rails. M.S. frame shall have a coat of steel primers of approved make and manufacture. M.S. frame covered with 5 mm thick heat moulded PVC 'C' channel of size 30 mm thickness, 70 mm width out of which 50 mm shall be flat and 20 mm shall be tapered in 45 degree angle on both side forming styles and 5 mm thick, 95 mm wide PVC sheet out of which 75mm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t>
  </si>
  <si>
    <t>9.120.1</t>
  </si>
  <si>
    <t>30 mm thick plain PVC door shutters</t>
  </si>
  <si>
    <t>9.120.2</t>
  </si>
  <si>
    <t>30 mm thick pre laminated PVC door shutters</t>
  </si>
  <si>
    <t>Providing and fixing Fiber Glass Reinforced plastic (FRP) Door Frames of cross-section 90 mm x 45 mm having single rebate of 32 mm x 15 mm to receive shutter of 30 mm thickness. The laminate shall be moulded with fire resistant grade unsaturated polyester resin and chopped mat. Door frame laminate shall be 2mm thick and shall be filled with suitable wooden block in all the three legs. The frame shall be covered with fiber glass from all sides. M.S. stay shall be provided at the bottom to steady the frame.</t>
  </si>
  <si>
    <t>9.122.1</t>
  </si>
  <si>
    <t>30 mm thick Glass Fibre Reinforced Plastic (FRP) panelled door shutter of required colour and approved brand and manufacture, made with fire - retardant grade unsaturated polyester resin, moulded to 3 mm thick FRP laminate for forming hollow rails and styles, with wooden frame and suitable blocks of seasoned wood inside at required places for fixing of fittings, cast monolithically with 5 mm thick FRP laminate for panels conforming to IS: 14856, including fixing to frames.</t>
  </si>
  <si>
    <t>9.122.2</t>
  </si>
  <si>
    <t>30 mm thick Fiberglass Reinforced Plastic (F.R.P.) flush door shutter in different plain and wood finish made with fire retardant grade unsaturated polyester resin, moulded to 3 mm thick FRP laminate all around, with suitable wooden blocks inside at required places for fixing of fittings and polyurethane foam (PUF)/Polystyrene foam to be used as filler material throughout the hollow panel, casted monolithically with testing parameters of F.R.P. laminate conforming to table - 3 of IS: 14856, complete as per direction of Engineer-in-charge.</t>
  </si>
  <si>
    <t xml:space="preserve">Providing and fixing factory made door frame (single rebate) made out of solid foam PVC extruded profile of minimum 60mm width and minimum 30 mm thickness, having homogenous fine cellular structure and integral smooth outer skin. The frame’s vertical and horizontal members to be mitered cut and joined together with  PVC solvent adhesive / cement and both corners strengthened with fully threaded steel screws (of required size) fixed diagonally. The door frame is to be fixed to door jambs using 6 Nos. SS 304 grade minimum 8 mm dia CSK Phillips stainless steel self tapping screws/fasteners with PA6 grade polyamide sleeves both of required size, and gap if any between the door frame and the jamb must be filled with clear silicon, complete as per direction of the Engineer-in-Charge.
</t>
  </si>
  <si>
    <t>9.123A</t>
  </si>
  <si>
    <t>Providing PVC moulding / architrave for door frame made up of extruded solid foam PVC profile having homogenous fine cellular structure with smooth outer integral skin, minimum 30 mm width and minimum 12 mm thick  suitable for fixing to frame. The molding shall be snap fitted in the groove provided in the frame &amp; fixed with PVC solvent adhesive / cement and self tapping screws (of required size) complete as per direction of Engineer-in-Charge.</t>
  </si>
  <si>
    <t>Providing and fixing factory made PVC door shutter made of solid foam PVC profiles of thikness 5mm and 15mm at edges integrally extruded for vertical style and horizontal (top/ bottom/ lock) rails of minimum cross section of 70mmx 28mm, of shape and design as per manufacturer's specifications having homogenous fine cellular structure and smooth integral outer skin, inserted with G.I. 'C' section/ rectangular tube profile of minimum 0.30mm thickness with 120 gsm coating as stiffeners as per manufacturer's specifications Mitred cut joints for styles and rails provided with telescopic polymeric 'L' corners are jointed together using solvent adhesive and strenghtened with fully threaded stainless steel screws (of required size) through  reinforced stiffener with paneling of specified solid foam PVC board/ high pressure laminate of required thickness and of approved design and shade (matching the styles and rails), secured within styles and rails with specially designed solid foam PVC moulded beadings of required size using PVC solvent adhesive/ cement. The finished door shutter including SS hardware, 1 no. ss sliding bolt 200 x 10mm, 1 no. SS tower bolt 200 x 10mm and 2 nos. SS handles 125mm, shall be fixed to frame with 3 nos. stainless steel hinges of minimum size 100x58x1.9mm and stainless steel screws of required size complete as per direction of the Engineer-in-Charge. (Cost of above hardware is inclusive in rates)</t>
  </si>
  <si>
    <t xml:space="preserve"> </t>
  </si>
  <si>
    <t>9.124.1</t>
  </si>
  <si>
    <t>5mm thick solid foam PVC panel of required size with moulded/ extruded beading of appropriate design shape and size as per manufacturer's specifications ( to secure the panel insert tight in place within the style and rails of shutter) matching the colour and shade of shutter frame. 
Non decorative type.</t>
  </si>
  <si>
    <t>9.124.2</t>
  </si>
  <si>
    <t>5mm thick solid foam PVC panel of required size with moulded/ extruded beading of appropriate design shape and size as per manufacturer's specifications ( to secure the panel insert tight in place within the style and rails of shutter) matching the colour and shade of shutter frame. Decorative type.</t>
  </si>
  <si>
    <t>9.124.3</t>
  </si>
  <si>
    <t>3mm thick  high pressure laminate (decorative type) with moulded/ extruded beading of appropriate design shape and size as per manufacturer's specifications ( to secure the panel insert tight in place within the style and rails of shutter) matching the colour and shade of shutter frame. Non decorative type.</t>
  </si>
  <si>
    <t>Providing and fixing 12 mm thick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t>
  </si>
  <si>
    <t>9.126.1</t>
  </si>
  <si>
    <t>Marine plywood conforming to IS: 710</t>
  </si>
  <si>
    <t>9.126.2</t>
  </si>
  <si>
    <t>Fire retardant plywood conforming to IS: 5509</t>
  </si>
  <si>
    <t>Providing &amp; Fixing decorative high pressure laminated sheet of plain / wood grain in gloss / matt/ suede finish with high density protective surface layer and reverse side of adhesive bonding quality conforming to IS : 2046 Type S, including cost of adhesive of approved quality.</t>
  </si>
  <si>
    <t>9.127.1</t>
  </si>
  <si>
    <t>1.5 mm thick</t>
  </si>
  <si>
    <t>9.127.2</t>
  </si>
  <si>
    <t>1.0 mm thick</t>
  </si>
  <si>
    <t>Providing and fixing factory made Fiberglass Reinforced plastics (F.R.P.) chajja 4 mm thick of required colour, size and design made by Resin Transfer Moulding (RTM) Machine Technology, resulting in void free compact laminate in single piece, having smooth gradual slope curvature for easy drainage of water and duly reinforced by 2 nos vertically and 1 nos horizontally 50x2 mm thick M.S. flat with 12 mm in built hole for grouting on the existing wall along with the 50 mm flanges duly inserted and sealed in the wall complete in one single piece casted monolithically, including all necessary fittings . The FRP Chajja should be manufactured using unsaturated Polyester resin as per IS: 6746, duly reinforced with fibre glass chopped strand mat (CSM) as per IS: 11551 complete with protective Gel coat U/V coating on Top for complete resistance from the extreme of temperature, weather &amp; sunlight (Only plan area of chajjas shall be measured for making payment).</t>
  </si>
  <si>
    <t>Providing and fixing cup board shutters 25 mm thick, with Pre-laminated flat pressed three layer particle board or graded wood particle board IS: 12823 marked, exterior grade (Grade l Type ll), having one side decorative lamination and other side balancing lamination, including IInd class teak wood lipping of 25 mm wide x12 mm thick with necessary screws and bright finished stainless steel piano hinges, complete as per direction of the Engineer-in-Charge</t>
  </si>
  <si>
    <t>Providing and fixing cup board shutters with 25 mm thick veneered particle board IS : 3097 marked, exterior grade (Grade I), of approved make, including IInd class teak wood lipping of 25 mm wide x 12 mm thick with necessary screws and bright finished stainless steel piano hinges, complete as per direction of Engineer-in-Charge.</t>
  </si>
  <si>
    <t>9.130.1</t>
  </si>
  <si>
    <t>With decorative veneering on one side and commercial veneering on other side</t>
  </si>
  <si>
    <t>9.130.2</t>
  </si>
  <si>
    <t>With non decorative veneering on both sides</t>
  </si>
  <si>
    <t>Providing and fixing factory made shutters of Pre-laminated particle board flat pressed three layer or graded wood particle board with one side decorative finish and other side balancing lamination conforming to IS: 12823 Grade l Type ll, of approved design, and edges sealed with water resistant paint and lipped with aluminium 'U' type edge beading all- round the shutter, including fixing with angle cleat, grip strip, cadmium plated steel screws, including fixing of aluminium hinges 100x63x4 mm etc. complete as per architectural drawing and direction of Engineer-in-Charge (Cost of 'U' beading and hinges will be paid for separately).</t>
  </si>
  <si>
    <t>9.131.1</t>
  </si>
  <si>
    <t>Providing and fixing aluminum U beading of required size to Pre-laminated/flush door shutter, including fixing etc. complete as per direction of Engineer-in-charge.</t>
  </si>
  <si>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48mm wide jointing tape to provide seamless finish.</t>
  </si>
  <si>
    <t>9.133.1</t>
  </si>
  <si>
    <t>Tapered edge calcium silicate board made with calcareous &amp; siliceous materials reinforced with cellulose fiber manufactured through autoclaving process to give stable crystalline structure with compressive strength 225 kg/ sq.cm, Bending strength 100 kg/sq.cm.</t>
  </si>
  <si>
    <t>9.133.1.1</t>
  </si>
  <si>
    <t>10mm thick</t>
  </si>
  <si>
    <t>9.133.2</t>
  </si>
  <si>
    <t>Multipurpose cement board reinforced with suitable fibre cement screw.</t>
  </si>
  <si>
    <t>9.133.2.1</t>
  </si>
  <si>
    <t>8 mm thick cement fibre board, Type- B, Category- III  as per IS: 14862 : 2000</t>
  </si>
  <si>
    <t>9.133.2.2</t>
  </si>
  <si>
    <t>8 mm thick Cement bonded wood particle board as per IS:14276</t>
  </si>
  <si>
    <t>9.133.3</t>
  </si>
  <si>
    <t>Plain Gypsum plaster board conforming to IS: 2095 Part -1:2011 (Board with BIS certification marks)</t>
  </si>
  <si>
    <t>9.133.3.1</t>
  </si>
  <si>
    <t>12.5 mm thick</t>
  </si>
  <si>
    <t>Providing and fixing wire gauge shutters using stainless steel grade 304 wire gauge with wire of dia 0.5 mm and average width of aperture 1.4 mm in both directions for doors, windows and clerestory windows with necessary screws :</t>
  </si>
  <si>
    <t>9.134.1</t>
  </si>
  <si>
    <t>9.134.1.1</t>
  </si>
  <si>
    <t xml:space="preserve">9.134.1.1.1 </t>
  </si>
  <si>
    <t xml:space="preserve">9.134.1.1.2 </t>
  </si>
  <si>
    <t xml:space="preserve">9.134.1.1.3 </t>
  </si>
  <si>
    <t>9.134.1.2</t>
  </si>
  <si>
    <t xml:space="preserve">9.134.1.2.1 </t>
  </si>
  <si>
    <t xml:space="preserve">9.134.1.2.2 </t>
  </si>
  <si>
    <t xml:space="preserve">9.134.1.2.3 </t>
  </si>
  <si>
    <t>9.134.2</t>
  </si>
  <si>
    <t>9.134.2.1.2</t>
  </si>
  <si>
    <t>with ISI marked M.S. pressed butt hinges bright
finished of required size</t>
  </si>
  <si>
    <t xml:space="preserve">9.134.2.1.1 </t>
  </si>
  <si>
    <t xml:space="preserve"> Kiln seasoned and chemically treated hollock wood</t>
  </si>
  <si>
    <t xml:space="preserve">9.134.2.1.3 </t>
  </si>
  <si>
    <t>9.134.2.2</t>
  </si>
  <si>
    <t xml:space="preserve">9.134.2.2.1 </t>
  </si>
  <si>
    <t xml:space="preserve">9.134.2.2.2  </t>
  </si>
  <si>
    <t xml:space="preserve">9.134.2.2.3 </t>
  </si>
  <si>
    <t>Providing and fixing fly proof stainless steel grade 304 wire gauge, to windows and clerestory windows using wire gauge with average width of aperture 1.4 mm in both directions with wire of dia. 0.50 mm all complete.</t>
  </si>
  <si>
    <t>9.135.1</t>
  </si>
  <si>
    <t>With 2nd class teak wood beading 62X19 mm</t>
  </si>
  <si>
    <t>9.135.2</t>
  </si>
  <si>
    <t>Providing and fixing fire resistant door frame of section 143 x 57 mm having built in rebate made out of 16 SWG G.I. sheet (zinc coating not less than 120 gm/sqm) duly filled with vermuculite based concrete mix, suitable for mounting 60 minutes fire rated door shutters. The frame is fitted with intumuscent fire seal strip of size 10x4 mm (minimum) alround the frame and fixing with dash fastener of approved size and make, including applying a coat of approved brand fire resistant primer etc. complete as per direction of Engineer-in-charge (Dash fastener to be paid for separately).</t>
  </si>
  <si>
    <t>Providing and fixing 50 mm thick glazed fire resistant door shutters of 60 minutes fire rating conforming to IS:3614 (Part-II), tested and certified as per laboratory approved by Engineer-in-charge, with suitable mounting on door frame, consisting of vertical styles, lock rail, top rail 100 mm wide, bottom rail 200 mm wide, made out of 16 SWG G.I.sheet (zinc coating not less than 120 gm/sqm) duly filled FR insulation material and fixing with necessary stainless steel ball bearing hinges of approved make, including applying a coat of approved fire resistant primer etc. all complete as per direction of Engineer-in-charge (panneling to be paid for separately).</t>
  </si>
  <si>
    <t>Providing and fixing glazing in fire resistant door shutters, fixed panels &amp; partitions etc., with G.I. beading made out of 1.6 mm thick G.I. sheet (zinc coating not less than 120 gm/sqm)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NBC 2016, IS 16231 (Part 3):2016  and as per direction of Engineer-in-charge with glass of required thickness having 60 minutes of fire resistance both integrity &amp; radiation control (EW60)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accredits labs as per ISO/IEC 17025 for testing and calibration scopes shall be eligible. The maximum glazing size shall not be more than 1100x2200 mm (w x h) or 2.42 sqm.</t>
  </si>
  <si>
    <t>Providing and fixing panic bar / latch (Double point) fitted with a single body, Trim Latch &amp; Lock on back side of the Panic Latch of reputed brand and manufacture to be approved by the Engineer- in- charge, all complete.</t>
  </si>
  <si>
    <t>Providing and fixing plain lining with necessary screws/nuts &amp; bolts/ nails, including a coat of approved primer on one face, and fixed on wooden /steel frame work, complete as per direction of Engineer-in- charge (Frame work shall be paid for separately).</t>
  </si>
  <si>
    <t>9.140.1</t>
  </si>
  <si>
    <t>12mm thick commercial ply conforming to IS : 1328 BWR type</t>
  </si>
  <si>
    <t>Providing and fixing PVC Door Frame of size 50x47 mm with a wall thickness of 5 mm (± 0.2 mm), made out of single piece extruded PVC profile, with mitred cut joints and joint with 2 nos of PVC bracket of size 190 mm x 100 mm long arms of cross section size 35 x 15 mm &amp; self driven self taping screws, the vertical door profiles to be reinforced with 40x20 mm M.S. rectangular tube of 0.8 mm , including providing EPDM rubber gasket weather seal throughout the frame, including jointing 5 mm PVC frame strip with PVC solvent cement on the back of the profile. The door frame to be fixed to the wall using 8 x100 mm long anchor fasteners complete, all as per manufacturer's specification and direction of Engineer -in- charge.</t>
  </si>
  <si>
    <t>35 mm thick factory made Solid panel PVC Door shutter, made out of single piece extruded soild PVC profiles, 5 mm (± 0.2 mm) thick, having styles &amp; rails (except lock rail) of size 95 mmx 35 mm x 5 mm, out of which 75 mm shall be flat and 20 mm shall be tapered (on both side), having one side thickness of 15 mm integrally extruded on the hinge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x 1 mm at each corner. Single piece extruded 5 mm thick solid PVC Lock rail of size 115 mm x 35 mm, out of which 75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Engineer-in-charge.</t>
  </si>
  <si>
    <t>9.142.1</t>
  </si>
  <si>
    <t>Non decorative finish (matt finish)</t>
  </si>
  <si>
    <t>9.142.2</t>
  </si>
  <si>
    <t>Decorative finish (wood grained finish)</t>
  </si>
  <si>
    <t>Providing and Fixing factory made uPVC door frame, made of uPVC exturded sections, of size 65 mm x 55 mm with wall thickness 2.0 mm (± 0.2 mm), corners of the door frame to be mitred cut and jointed with plastic brackets and stainless steel screws, reinforcing hinge side vertical of the frames with PVC profile of Size 28 mm x 30 mm having wall thickness 2 mm (±0.2 mm), including providing &amp; fixing 3 nos of 125 mm long stainless steel hinges to the frame, fixing the frame with jamb with required number &amp; size of anchor dash fastners, all complete as per manufacturer's specification and direction of Engineer-in-charge.</t>
  </si>
  <si>
    <t>Providing and fixing 37 mm thick factory made PVC door shutter, styles and rails made of PVC hollow section of size 100 mm x 37 mm with wall thickness 2 mm (± 0.2 mm), with inbuilt bead on one side, styles and rails mitered cut and joint at the corners by means of 2 nos of plastic brackets of size 75 mm x 220 mm at each corner and stainless steel screws, reinforcing the hinge side of style by inserting PVC profile of size 28 mm x 30 mm, with wall thickness 2 mm ( ± 0.2 mm). Lockrail of size 100 mm x 37 mm, wall thickness 2 mm (+ 0.2 mm) will be fixed to the vertical styles. Providing with PVC snapfit beads and panel of size 100 mm x 20 mm, and inserting 2 nos tie bar of 6 mm dia and fastening with nuts and washers complete, all as per manufacturer's specification and direction of Engineer-in-charge.</t>
  </si>
  <si>
    <t>Providing and Fixing factory made PVC door frame made of PVC extruded sections of size 75 mm x 53 mm, having wall thickness 2.0 mm (± 0.2 mm). Both verticalssides of the frame reinforced with PVC profile of cross section size 28 mm x 30 mm x 2 mm thickness (± 0.2 mm) and 75 mm 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 in-charge.</t>
  </si>
  <si>
    <t>Providing and fixing 37 mm thick factory made PVC Door shutter, styles and rails made of PVC hollow extruded printed and laminated section having overall dimension 115 mm x 37 mm with wall thickness 2 mm (± 0.2 mm) with inbuilt beading on one side, the styles and rails mitred cut and joint at corners by inserting 2 nos PVC profile reinforcement of size 75 mm x 200 mm long with cross section size of 28 mm x 30 mm having wall thickness 2 mm (± 0.2 mm). Styles, rails and reinforcements to be fusion welded together. Only hinge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 laminated and inserting 2 nos 6 mm dia bright steel rod horizontally with both side threaded and tightened with check nuts and washers complete, all as per manufacturer's specification and direction of engineer-in-charge.</t>
  </si>
  <si>
    <t>9.147A</t>
  </si>
  <si>
    <t xml:space="preserve">Providing and fixing factory made uPVC glazed/wire mesh windows/doors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of approved size and quality, all complete as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 16231 shall be paid  separately. 
</t>
  </si>
  <si>
    <t>Note:- Structural design proof checked from a Government Engineering Institute,  to be provided by the manufacturer for :
(i) Sites  with basic wind speed &gt; 45 m/sec as per IS 875 – Part 3 
(ii)  Sites with structure height more than 20m for all wind speeds</t>
  </si>
  <si>
    <t>9.147.A1</t>
  </si>
  <si>
    <t xml:space="preserve">Two track two panels sliding window with Aluminium channel for roller track, wool pile, nylon rollers with SS 304 body. </t>
  </si>
  <si>
    <t>9.147.A1.1</t>
  </si>
  <si>
    <t>Using R2 series with frame (40mm &amp; above) x (40mm &amp; above) &amp; sash (25mm &amp; above) x (50mm &amp; above) with zinc alloy (zamak) powder coated touch locks with hook (Height upto 1.2 metre).</t>
  </si>
  <si>
    <t>9.147.A1.2</t>
  </si>
  <si>
    <t>Using R3 series with frame (55mm &amp; above) x (40mm &amp; above) &amp; sash (30mm &amp; above) x (55mm &amp; above) with zinc alloy (zamak) powder coated handle on every panel along with multi-point locking system (Height upto 1.8m).</t>
  </si>
  <si>
    <t>9.147.A1.3</t>
  </si>
  <si>
    <t>Using R4 series with frame (64mm &amp; above) x (45mm &amp; above) &amp; sash (44mm &amp; above) x (55mm &amp; above) with zinc alloy (zamak) powder coated handle on every panel along with multi-point locking system (Height above 1.8m).</t>
  </si>
  <si>
    <t>9.147.A2</t>
  </si>
  <si>
    <t xml:space="preserve">Two track four panels sliding windows with Aluminium channel for roller track, wool pile, zinc alloy (zamak) powder coated handle on three panels along with multi-point locking system, nylon rollers with SS 304 body.          </t>
  </si>
  <si>
    <t>9.147.A2.1</t>
  </si>
  <si>
    <t>Using R3 series with frame (55mm &amp; above) x (40mm &amp; above) &amp; sash (30mm &amp; above) x (55mm &amp; above) (Height upto 1.8m).</t>
  </si>
  <si>
    <t>9.147.A2.2</t>
  </si>
  <si>
    <t>Using R4 series with frame (64mm &amp; above) x (45mm &amp; above) &amp; sash (44mm &amp; above) x (55mm &amp; above) (Height above 1.8m).</t>
  </si>
  <si>
    <t>9.147.A3</t>
  </si>
  <si>
    <t xml:space="preserve">Two and half track three panels sliding window with two  glazed &amp; one  wire mesh panels with Aluminium channel for roller track, wool pile, nylon rollers with SS 304 body. </t>
  </si>
  <si>
    <t>9.147.A3.1</t>
  </si>
  <si>
    <t xml:space="preserve">Using R2 series with frame (65mm &amp; above) x (40mm &amp; above) &amp; glazed sash (25mm &amp; above) x (50mm &amp; above) &amp; fly screen sash (18mm &amp; above) x (40mm &amp; above) with zinc alloy (zamak) powder coated touch locks with hook (Height upto 1.2 metre).  </t>
  </si>
  <si>
    <t>9.147.A3.2</t>
  </si>
  <si>
    <t xml:space="preserve">Using R3 series with frame (85mm &amp; above) x (40mm &amp; above) &amp; glazed sash (30mm &amp; above) x (55mm &amp; above) &amp; fly screen sash (20mm &amp; above) x (50mm &amp; above) with zinc alloy (zamak) powder coated handle on every glazed panel along with multi-point locking system. (Height upto 1.8 metre).  </t>
  </si>
  <si>
    <t>9.147.A4</t>
  </si>
  <si>
    <t xml:space="preserve">Three track three panels sliding window with two glazed &amp; one wire mesh panels with Aluminium channel for roller track, wool pile, nylon rollers with SS 304 body. </t>
  </si>
  <si>
    <t>9.147.A4.1</t>
  </si>
  <si>
    <t xml:space="preserve">Using R2 series with frame (70mm &amp; above) x (40mm &amp; above) &amp; both glazed and fly screen sash (25mm &amp; above) x (50mm &amp; above) with zinc alloy (zamak) powder coated touch locks with hook. (Height upto 1.2 metre).  </t>
  </si>
  <si>
    <t>9.147.A4.2</t>
  </si>
  <si>
    <t>Using R3 series with frame (98mm &amp; above) x (40mm &amp; above) &amp; both glazed and fly screen sash (30mm &amp; above) x (55mm &amp; above) with zinc alloy (zamak) powder coated handle on every glazed panel along with multi-point locking system. (Height upto 1.8m).</t>
  </si>
  <si>
    <t>9.147.A4.3</t>
  </si>
  <si>
    <t>Using R4 series with frame (115mm &amp; above) x (45mm &amp; above) &amp; both glazed and fly screen sash (44mm &amp; above) x (55mm &amp; above) with zinc alloy (zamak) powder coated handle on every glazed panel along with multi-point locking system.  (Height above 1.8m)</t>
  </si>
  <si>
    <t xml:space="preserve">9.147.A5 </t>
  </si>
  <si>
    <t xml:space="preserve">Three track three panels sliding window with  Aluminium channel for roller track, wool pile, nylon rollers with SS 304 body. </t>
  </si>
  <si>
    <t>9.147.A5.1</t>
  </si>
  <si>
    <t xml:space="preserve">Using R2 series with frame (70mm &amp; above) x (40mm &amp; above) &amp; sash (25mm &amp; above) x (50mm &amp; above) with zinc alloy (zamak) powder coated touch locks with hook. (Height upto 1.2 metre).  </t>
  </si>
  <si>
    <t>9.147.A5.2</t>
  </si>
  <si>
    <t xml:space="preserve">Using R3 series with frame (98mm &amp; above) x (40mm &amp; above) &amp; sash (30mm &amp; above) x (55mm &amp; above) with zinc alloy (zamak) powder coated handle on two end panels along with multi-point locking system (Height upto 1.8 metre).  </t>
  </si>
  <si>
    <t>9.147.A5.3</t>
  </si>
  <si>
    <t xml:space="preserve">Using R4 series with frame (115mm &amp; above) x (45mm &amp; above) &amp; sash (44mm &amp; above) x (55mm &amp; above) with zinc alloy (zamak) powder coated handle on two end panels along with multi-point locking system. (Height above 1.8 metre).  </t>
  </si>
  <si>
    <t>9.147.B1</t>
  </si>
  <si>
    <t xml:space="preserve">Two track two panels sliding door with Aluminium channel for roller track, wool pile, zinc alloy (zamak) powder coated handle on every panel along with multi-point locking system, adjustable nylon rollers with SS 304 body. </t>
  </si>
  <si>
    <t>9.147.B1.1</t>
  </si>
  <si>
    <t>Using R3 series with frame (55mm &amp; above) x (40mm &amp; above) &amp; sash (30mm &amp; above) x (74mm &amp; above). (Height upto 2.5 metre).</t>
  </si>
  <si>
    <t>9.147.B1.2</t>
  </si>
  <si>
    <t>Using R4 series with frame (64mm &amp; above) x (45mm &amp; above) &amp; sash (44mm &amp; above) x (85mm  &amp; above). (Height above 2.5 metre).</t>
  </si>
  <si>
    <t>9.147.B2</t>
  </si>
  <si>
    <t xml:space="preserve">Two track four panels sliding door with Aluminium channel for roller track, wool pile, zinc alloy (zamak) powder coated handle on three panels along with multi-point locking system, adjustable nylon rollers with SS 304 body. </t>
  </si>
  <si>
    <t>9.147.B2.1</t>
  </si>
  <si>
    <t>9.147.B2.2</t>
  </si>
  <si>
    <t>9.147.B3</t>
  </si>
  <si>
    <t xml:space="preserve">Three track three panels sliding door with two glazed &amp; one  wire mesh panels with Aluminium channel for roller track, wool pile, zinc alloy (zamak) powder coated handle on two panels along with multi-point locking system, adjustable nylon rollers with SS 304 body. </t>
  </si>
  <si>
    <t>9.147.B3.1</t>
  </si>
  <si>
    <t xml:space="preserve">Using R3 series with frame (98mm &amp; above) x (40mm &amp; above) &amp; both glazed and fly screen sash (30mm &amp; above) x (74mm  &amp; above). (Height upto 2.5 metre).  </t>
  </si>
  <si>
    <t>9.147.B3.2</t>
  </si>
  <si>
    <t xml:space="preserve">Using R4 series with frame (115mm &amp; above) x (45mm &amp; above) &amp; both glazed and fly screen sash (44mm &amp; above) x (85mm  &amp; above). (Height above 2.5 metre). </t>
  </si>
  <si>
    <t>9.147.B4</t>
  </si>
  <si>
    <t xml:space="preserve">Three track three panels sliding door with Aluminium channel for roller track, wool pile, zinc alloy (zamak) powder coated handle on two panels along with multi-point locking system, adjustable nylon rollers with SS 304 body. </t>
  </si>
  <si>
    <t>9.147.B4.1</t>
  </si>
  <si>
    <t>Using R3 series with frame (98mm &amp; above) x (40mm &amp; above) &amp; sash (30mm &amp; above) x (74mm  &amp; above). (Height upto 2.5 metre).</t>
  </si>
  <si>
    <t>9.147.B4.2</t>
  </si>
  <si>
    <t>Using R4 series with frame (115mm &amp; above) x (45mm &amp; above) &amp; sash (44mm &amp; above) x (85mm  &amp; above). (Height above 2.5 metre).</t>
  </si>
  <si>
    <t>9.147.C1</t>
  </si>
  <si>
    <t xml:space="preserve">Fixed window / ventilator without mullion / transom. </t>
  </si>
  <si>
    <t>9.147.C1.1</t>
  </si>
  <si>
    <t>Using R1 series with frame (33mm &amp; above ) x (35mm  &amp; above). (Height upto 0.90 metre)</t>
  </si>
  <si>
    <t>9.147.C1.2</t>
  </si>
  <si>
    <t>Using R2 series with frame (39mm  &amp; above ) x (39mm  &amp; above). (Height upto 1.2 metre)</t>
  </si>
  <si>
    <t>9.147.C1.3</t>
  </si>
  <si>
    <t>Using R3 series with frame (55mm  &amp; above ) x (45mm  &amp; above). (Height upto 2.5 metre)</t>
  </si>
  <si>
    <t>9.147.C1.4</t>
  </si>
  <si>
    <t>Using R4 series with frame (64mm  &amp; above ) x (50mm  &amp; above). (Height above 2.5 metre)</t>
  </si>
  <si>
    <t>9.147.C2</t>
  </si>
  <si>
    <t>Fixed window / ventilator with mullion / transom.</t>
  </si>
  <si>
    <t>9.147.C2.1</t>
  </si>
  <si>
    <t>Using R1 series with frame (33mm  &amp; above ) x (35mm  &amp; above) &amp; mullion (33mm &amp; above) x (50mm &amp; above). (Height upto 0.90 metre)</t>
  </si>
  <si>
    <t>9.147.C2.2</t>
  </si>
  <si>
    <t>Using R2 series with frame (39mm  &amp; above ) x (39mm  &amp; above) &amp; mullion (39mm &amp; above) x (60mm &amp; above). (Height upto 1.2 metre)</t>
  </si>
  <si>
    <t>9.147.C2.3</t>
  </si>
  <si>
    <t>Using R3 series with frame (55mm  &amp; above ) x (45mm  &amp; above) &amp; mullion (55mm &amp; above) x (65mm &amp; above). (Height upto 2.5  metre)</t>
  </si>
  <si>
    <t>9.147.C2.4</t>
  </si>
  <si>
    <t>Using R4 series with frame (64mm  &amp; above ) x (50mm  &amp; above) &amp; mullion (64mm &amp; above) x (70mm &amp; above). (Height above 2.5 metre)</t>
  </si>
  <si>
    <t>9.147.D1</t>
  </si>
  <si>
    <t>Ventilator Casement window single panel with or without fixed panel with S.S. 304 friction hinges as per size and weight of sash, single point locking zinc alloy (zamak) powder coated handles.</t>
  </si>
  <si>
    <t>9.147.D1.1</t>
  </si>
  <si>
    <t>Using R1 series with frame (33mm  &amp; above ) x (35mm  &amp; above) &amp; sash /mullion (33mm &amp; above) x (50 mm &amp; above). (Height upto 0.90 metre).</t>
  </si>
  <si>
    <t>9.147.D1.2</t>
  </si>
  <si>
    <t xml:space="preserve">Using R2 series with frame (39mm &amp; above ) x (39mm  &amp; above) &amp; sash /mullion (39mm &amp; above) x (60mm &amp; above). (Height upto 1.2 metre) </t>
  </si>
  <si>
    <t>9.147.D1.3</t>
  </si>
  <si>
    <t xml:space="preserve">Using R3 series with frame (55mm  &amp; above ) x (45mm  &amp; above) &amp; sash /mullion (55mm &amp; above) x (65mm &amp; above). (Height above 1.2 metre) </t>
  </si>
  <si>
    <t>9.147.E1</t>
  </si>
  <si>
    <t>Casement window single panel with S.S. 304 friction hinges as per size and weight of sash, multi-point locking system, zinc alloy (zamak) powder coated handles.</t>
  </si>
  <si>
    <t>9.147.E1.1</t>
  </si>
  <si>
    <t>Using R2 series with frame (39mm &amp; above) x (39mm  &amp; above) &amp; sash (39mm &amp; above) x (60mm &amp; above). (Height upto 1.2 metre)</t>
  </si>
  <si>
    <t>9.147.E1.2</t>
  </si>
  <si>
    <t>Using R3 series with frame (55mm &amp; above ) x (45mm  &amp; above) &amp; sash (55mm &amp; above) x (65mm &amp; above). (Height upto 1.8 metre)</t>
  </si>
  <si>
    <t>9.147.E1.3</t>
  </si>
  <si>
    <t>Using R4 series with frame (64mm &amp; above) x (50mm  &amp; above) &amp; sash (64mm &amp; above) x (70mm &amp; above). (Height above 1.8 metre)</t>
  </si>
  <si>
    <t>9.147.E2</t>
  </si>
  <si>
    <t xml:space="preserve">Casement window double panels with fixed mullion with S.S. 304 friction hinges as per size and weight of sash, multi-point locking system, zinc alloy (zamak) powder coated handles. </t>
  </si>
  <si>
    <t>9.147.E2.1</t>
  </si>
  <si>
    <t xml:space="preserve">Using R2 series with frame (39mm &amp; above) x (39mm  &amp; above) &amp; sash (39mm &amp; above) x (60mm &amp; above) &amp; mullion (39mm &amp; above) x (60mm &amp; above). (Height upto 1.2 metre).  </t>
  </si>
  <si>
    <t>9.147.E2.2</t>
  </si>
  <si>
    <t xml:space="preserve">Using R3 series with frame (55mm &amp; above) x (45mm  &amp; above) &amp; sash (55mm &amp; above) x (65mm &amp; above) &amp; mullion (55mm &amp; above) x (65mm &amp; above). (Height upto 1.8 metre).  </t>
  </si>
  <si>
    <t>9.147.E2.3</t>
  </si>
  <si>
    <t xml:space="preserve">Using R4 series with frame (64mm  &amp; above) x (50mm  &amp; above) &amp; sash (64mm &amp; above) x (70mm &amp; above) &amp; mullion (64mm &amp; above) x (70mm &amp; above). (Height above 1.8 metre).  </t>
  </si>
  <si>
    <t>9.147.E3</t>
  </si>
  <si>
    <t xml:space="preserve">Casement window double panels with French (False) Mullion with S.S. 304 friction hinges as per size and weight of sash, multi-point locking system, zinc alloy (zamak) powder coated handles. </t>
  </si>
  <si>
    <t>9.147.E3.1</t>
  </si>
  <si>
    <t xml:space="preserve">Using R2 series with frame (39mm &amp; above) x (39mm  &amp; above) &amp; sash (39mm &amp; above) x (60mm &amp; above) &amp; French (False) mullion (39mm &amp; above) x (60mm &amp; above). (Height upto 1.2 metre).  </t>
  </si>
  <si>
    <t>9.147.E3.2</t>
  </si>
  <si>
    <t xml:space="preserve">Using R3 series with frame (55mm  &amp; above) x (45mm  &amp; above) &amp; sash (55mm &amp; above) x (65mm &amp; above) &amp; French (False) mullion (55mm &amp; above) x (60mm &amp; above). (Height upto 1.8 metre).  </t>
  </si>
  <si>
    <t>9.147.E3.3</t>
  </si>
  <si>
    <t xml:space="preserve">Using R4 series with frame (64mm  &amp; above) x (50mm  &amp; above) &amp; sash (64mm &amp; above) x (70mm &amp; above) &amp; French (False) mullion (64mm &amp; above) x (60mm &amp; above) . (Height above 1.8 metre).  </t>
  </si>
  <si>
    <t>9.147.E4</t>
  </si>
  <si>
    <t>Casement cum fixed panel window having one single casement panel &amp; one fixed panel with S.S 304 friction hinges as per size and weight of sash, multi-point locking system, zinc alloy (zamak) powder coated handles.</t>
  </si>
  <si>
    <t>9.147.E4.1</t>
  </si>
  <si>
    <t>Using R2 series with frame (39mm &amp; above ) x (39mm  &amp; above) &amp; sash (39mm &amp; above) x (60mm &amp; above) &amp; mullion (39mm &amp; above) x (60mm &amp; above). (Height upto 1.2 metre; each openable shutter upto 0.8m width)</t>
  </si>
  <si>
    <t>9.147.E4.2</t>
  </si>
  <si>
    <t>Using R3 series with frame (55mm &amp; above ) x (45mm  &amp; above) &amp; sash (55mm &amp; above) x (65mm &amp; above) &amp; mullion (55mm &amp; above) x (65mm &amp; above). (Height upto 1.8 metre; each openable shutter upto 0.8m width)</t>
  </si>
  <si>
    <t>9.147.E4.3</t>
  </si>
  <si>
    <t>Using R4 series with frame (64mm &amp; above) x (50mm  &amp; above) &amp; sash (64mm &amp; above) x (70mm &amp; above) &amp; mullion (64mm &amp; above) x (70mm &amp; above). (Height above 1.8 metre; each openable shutter upto 0.8m width)</t>
  </si>
  <si>
    <t>9.147.E5</t>
  </si>
  <si>
    <t>Casement cum fixed panel window having single casement panel at both ends &amp; middle fixed panel with S.S 304 friction hinges as per size and weight of sash, multi-point locking system, zinc alloy (zamak) powder coated handles.</t>
  </si>
  <si>
    <t>9.147.E5.1</t>
  </si>
  <si>
    <t>Using R2 series with frame (39mm &amp; above) x (39mm  &amp; above) &amp; sash (39mm &amp; above) x (60mm &amp; above) &amp; mullion (39mm &amp; above) x (60mm &amp; above). (Height upto 1.2 metre; each openable shutter upto 0.8m width)</t>
  </si>
  <si>
    <t>9.147.E5.2</t>
  </si>
  <si>
    <t>Using R3 series with frame (55mm &amp; above) x (45mm  &amp; above) &amp; sash (55mm &amp; above) x (65mm &amp; above) &amp; mullion (55mm &amp; above) x (65mm &amp; above). (Height upto 1.8 metre; each openable shutter upto 0.8m width)</t>
  </si>
  <si>
    <t>9.147.E5.3</t>
  </si>
  <si>
    <t>Using R4 series with frame (64mm  &amp; above ) x (50mm  &amp; above) &amp; sash (64mm &amp; above) x (70mm &amp; above) &amp; mullion (64mm &amp; above) x (70mm &amp; above). (Height above 1.8 metre; each openable shutter upto 0.8m width)</t>
  </si>
  <si>
    <t xml:space="preserve">9.147.E6 </t>
  </si>
  <si>
    <t>Casement Window with Double Rebate Frame with one Side Hung Glazed Panel and one Side Hung wire mesh Panel with S.S. 304 friction hinges as per size and weight of sash,  multi-point locking system, zinc alloy (zamak) powder coated handles on both glazed and fly screen panel</t>
  </si>
  <si>
    <t>9.147.E6.1</t>
  </si>
  <si>
    <t>Using R3 series with frame (110mm &amp; above) x (45mm  &amp; above) &amp; glazed sash (55mm &amp; above) x (65mm &amp; above) &amp; fly screen sash (30mm &amp; above) x (55mm &amp; above) &amp;  metal grill (if required to be paid separately). (Height upto 1.8 metre)</t>
  </si>
  <si>
    <t>9.147.E7</t>
  </si>
  <si>
    <t>Casement Window with Double Rebate Frame with two Side Hung Glazed Panel and two Side Hung wire mesh Panel and Fixed Mullion with S.S. 304 friction hinges as per size and weight of sash,  multi-point locking system, zinc alloy (zamak) powder coated handles on both glazed and fly screen panel.</t>
  </si>
  <si>
    <t>9.147.E7.1</t>
  </si>
  <si>
    <t>Using R3 series with frame (110mm &amp; above) x (45mm  &amp; above) &amp; glazed sash (55mm &amp; above) x (65mm &amp; above) &amp; fly screen sash (30mm &amp; above) x (55mm &amp; above) &amp; mullion (55mm &amp; above) x (65mm &amp; above) &amp;  metal grill (if required to be paid separately). (Height upto 1.8 metre)</t>
  </si>
  <si>
    <t>9.147.E8</t>
  </si>
  <si>
    <t>Casement Window with Double Rebate Frame with two Side Hung Glazed Panel on outside and two Side Hung wire mesh Panel on inside and French (False) Mullion with S.S. 304 friction hinges as per size and weight of sash,  multi-point locking system, zinc alloy (zamak) powder coated handles with shoot bolt on both glazed and fly screen panel.</t>
  </si>
  <si>
    <t>9.147.E8.1</t>
  </si>
  <si>
    <t>Using R3 series with frame (110mm &amp; above) x (45mm  &amp; above) &amp; glazed sash (55mm &amp; above) x (65mm &amp; above) &amp; fly screen sash (30mm &amp; above) x (55mm &amp; above) &amp; French (False) mullion (55mm &amp; above) x (60mm &amp; above) &amp;  metal grill (if required to be paid separately). (Height upto 1.8 metre).</t>
  </si>
  <si>
    <t xml:space="preserve">9.147.F1 </t>
  </si>
  <si>
    <t xml:space="preserve">Casement door single panel with zinc alloy (zamak) 3D hinges, multi-point locking system with cylinder, zinc alloy (zamak) powder coated handles on both sides. </t>
  </si>
  <si>
    <t>9.147.F1.1</t>
  </si>
  <si>
    <t xml:space="preserve">Using R3 series with frame (55 mm &amp; above) x (50mm &amp; above) &amp; sash (55 mm &amp; above) x (85mm &amp; above) (Height upto 2.5 metre). </t>
  </si>
  <si>
    <t>9.147.F1.2</t>
  </si>
  <si>
    <t>Using R4 series with frame (64 mm &amp; above) x (55mm &amp; above) &amp; sash (64 mm &amp; above) x (100mm &amp; above). (Height above 2.5 metre).</t>
  </si>
  <si>
    <t xml:space="preserve">9.147.F2 </t>
  </si>
  <si>
    <t xml:space="preserve">Casement door double panel with French (False) Mullion with zinc alloy (zamak) 3D hinges, multi-point locking system with cylinder, zinc alloy (zamak) powder coated handles on both sides. </t>
  </si>
  <si>
    <t>9.147.F2.1</t>
  </si>
  <si>
    <t>Using R3 series with frame (55 mm &amp; above) x (50mm &amp; above) &amp; sash (55 mm &amp; above) x (85mm &amp; above) &amp; French (False) mullion (55 mm &amp; above) x (60mm &amp; above). (Height upto 2.5 metre).</t>
  </si>
  <si>
    <t>9.147.F2.2</t>
  </si>
  <si>
    <t>Using R4 series with frame (64 mm &amp; above) x (55mm &amp; above) &amp; sash (64 mm &amp; above) x (100mm &amp; above) &amp; French (False) mullion (64 mm &amp; above) x (60mm &amp; above). (Height above 2.5 metre).</t>
  </si>
  <si>
    <t xml:space="preserve">9.147.F3 </t>
  </si>
  <si>
    <t>Casement Door with Double Rebate Frame with one Side Hung Glazed Panel and one Side Hung wire mesh Panel with  zinc alloy (zamak) 3D hinges, multi-point locking system with cylinder, zinc alloy (zamak) powder coated handles on both sides of glazed panel and zinc alloy (Zamak) powder coated handle along with multi-point locking system on one side of fly screen panel.</t>
  </si>
  <si>
    <t>9.147.F3.1</t>
  </si>
  <si>
    <t>Using R3 series with frame (110mm &amp; above) x (45mm &amp; above) &amp; glazed sash (55mm &amp; above) x (85mm &amp; above) &amp; fly screen sash (55mm &amp; above) x (65mm &amp; above). (Height upto 2.5 metre).</t>
  </si>
  <si>
    <t>Providing and fixing stainless steel (SS-304 grade) friction hinges to the side/top hung uPVC windows, of approved quality, with necessary stainless steel screws etc. as per direction of Engineer-in-charge.</t>
  </si>
  <si>
    <t>9.148.1</t>
  </si>
  <si>
    <t>200 x 19 x 1.9 mm</t>
  </si>
  <si>
    <t>9.148.2</t>
  </si>
  <si>
    <t>250 x 19 x 1.9 mm</t>
  </si>
  <si>
    <t>9.148.3</t>
  </si>
  <si>
    <t>300 x 19 x 1.9 mm</t>
  </si>
  <si>
    <t>9.148.4</t>
  </si>
  <si>
    <t>350 x 19 x 1.9 mm</t>
  </si>
  <si>
    <t>9.148.5</t>
  </si>
  <si>
    <t>400 x 19 x 1.9 mm</t>
  </si>
  <si>
    <t>Providing and fixing casement handle made of zinc alloyed (white powder coated) for uPVC casement window with necessary screws etc. complete.</t>
  </si>
  <si>
    <t>Providing and fixing zinc alloyed (white powder coated) touch lock for uPVC sliding window with necessary screws etc. complete.</t>
  </si>
  <si>
    <t>Providing and fixing steel roller for uPVC sliding window with necessary screws etc. complete.</t>
  </si>
  <si>
    <t>Providing and fixing steel roller for uPVC sliding door with necessary screws etc. complete.</t>
  </si>
  <si>
    <t>Providing and fixing steel (white power coated) crescent lock for uPVC sliding window/ door with necessary screws etc. complete.</t>
  </si>
  <si>
    <t>Providing and fixing frame work for partitions/ wall lining etc. made of 50x50x1.6 mm hollow MS tube, placed along the walls, ceiling and floor in a grid pattern with spacing @ 60 cm centre to centre both ways (vertically &amp; horizontally) or at required spacing near opening, with necessary welding at junctions and fixing the frame to wall/ ceiling/ floors with steel dash fasteners of 8 mm dia, 75 mm long bolt, including making provision for opening for doors, windows, electrical conduits, switch boards etc., including providing with two coats of approved steel primer etc. complete, all as per direction of Engineer-in-charge.</t>
  </si>
  <si>
    <t>Providing and fixing panelling or paneling and glazing in panelled or panelled and glazed shutters for doors, windows and clerestory windows ( area of opening for panel inserts excluding portion inside grooves or rebated to be measured). Panelling for panelled and glazed shutters 25mm to 40mm thick: Pre-laminated with decorative lamination on both side exterior Grade - I MDF Board 12 mm thick confirming to IS:14587</t>
  </si>
  <si>
    <t>Providing and fixing Pre -laminated medium density fibre board exterior grade (Grade-I) IS:14587:1998 marked, to frame, backing or studding with screws etc. complete ( Frames, backing or studding to be paid separately).</t>
  </si>
  <si>
    <t>9.156.1</t>
  </si>
  <si>
    <t>Pre-laminated with decorative lamination on both side exterior Grade - I MDF Board 12 mm thick confirming to IS:14587</t>
  </si>
  <si>
    <t>9.156.2</t>
  </si>
  <si>
    <t>Pre-laminated with decorative lamination on both side exterior Grade - I MDF Board 18 mm thick confirming to IS:14587</t>
  </si>
  <si>
    <t>Providing and fixing Pre-laminated medium density fibre board IS: 14587:1998 marked, with one side decorative lamination other side balancing lamination Grade-I(exterior grade) in shelves with screws and fittings wherever required, edges to be sealed with PVC edge bending tape 2.00 mm thick of approved brand (fittings to be paid separately).</t>
  </si>
  <si>
    <t>9.157.1</t>
  </si>
  <si>
    <t>Pre-laminated with decorative lamination one side and other side balancing lamination exterior Grade - I MDF Board 18 mm thick confirming to IS:14587</t>
  </si>
  <si>
    <t>9.157.2</t>
  </si>
  <si>
    <t>Pre-laminated with decorative lamination one side and other side balancing lamination exterior Grade - I MDF Board 25 mm thick confirming to IS:14587</t>
  </si>
  <si>
    <t>Providing and fixing in wall lining medium density fibre board IS: 14587:1998 marked, Pre-laminated one side decorative lamination and other side balancing lamination, with necessary fixing arrangement and screws etc. complete.</t>
  </si>
  <si>
    <t>9.158.1</t>
  </si>
  <si>
    <t>12 mm thick.</t>
  </si>
  <si>
    <t>9.158.2</t>
  </si>
  <si>
    <t>18 mm thick.</t>
  </si>
  <si>
    <t>9.158.3</t>
  </si>
  <si>
    <t>25 mm thick.</t>
  </si>
  <si>
    <t>Providing and fixing 25mm thick pre-laminated medium density fibre board exterior grade ( Grade-I) IS:14587:1998 marked with one side decorative and other side balancing lamination for cupboard shutters edges to be sealed with PVC edge bending tape 2.00 mm thick of approved brand including ISI marked nickel plated bright finishing M.S. piano hinges conforming to IS:3818 marked with necessary screw etc all complete.</t>
  </si>
  <si>
    <t>Providing and fixing skirting with Pre-laminated medium density fibre board exterior grade (Grade-I) conforming to IS: 14587:1998 marked, with (one side decorative and other side balancing lamination and edges to be sealed with PVC edge bending tape 2.00 mm thick of approved brand  with necessary fixing arrangements and screws, including drilling necessary holes for rawl plugs etc. all complete.</t>
  </si>
  <si>
    <t>9.160.1</t>
  </si>
  <si>
    <t>9.160.2</t>
  </si>
  <si>
    <t>Providing and fixing fire resistant door frame of section  50 x 60 mm on horizontal side &amp; 35 x 60 mm on vertical sides having built in rebate made out of 1.6 mm thick GI sheet ( Zinc coating not less than 120gm/sqm) suitable for mounting 120 minutes Fire Rated Glazed Door Shutters. The frame shall be filled with mineral wool Insulation having density minimum 96Kg/sqm . The frame will have a provision of G.I. anchor fastners 14 nos ( 5 each on vertical style &amp; 4 on horizontal style of size M10 x 80 )  suitable for fixing in the opening along with factory made template for SS ball bearing hinges of Size 100x89x3mm for fixing of fire rated glazed shutter . The frame shall be finished with a approved fire resistant primer or powder coating of not less than 30 micron in desired shade as per the directions of Engineer - in- Charge . (Cost of SS ball bearing hinges is excluded).</t>
  </si>
  <si>
    <t>Providing and fixing 60 mm thick glazed fire resistant door shutters of 120 minutes Fire rating confirming to IS:3614 (Part II) or EN1634-1:1999, tested and certified as per laboratory approved by Engineer-in-Charge, with suitable mounting on door frame, consisting of vertical styles,  top rail  &amp; side rail 60 mm x 60 mm wide and bottom rail of 110 mm x 60 mm made out of 1.6mm thick  G.I. sheet (zinc coating not less than 120gm/sqm) duly filled mineral wool insulation having density minimum 96 kg/cum and fixing with necessary stainless steel ball bearing hinges of size 100x89x3mm of approved make, including applying a coat of approved fire resistant primer or powder coating not less than 30 micron  etc all complete as per direction of Engineer-in-Charge (panelling to be paid for seperately).</t>
  </si>
  <si>
    <t xml:space="preserve"> Providing and fixing non load bearing fixed frame for fire resistant glazed partition for 120 minutes fire rating, made out to a profile of dimension 60mm x 70 mm of 1.6 mm thick galvanised steel sheet as per test evidence suitable for fixing fire rated glass for 120 minutes of both integrity &amp; radiation control (EW120) &amp; minimum 20 minutes of insulation (EI20).The profile has to be fixed to the supporting construction by means of anchor fasteners of size M10 x 80, every 150 mm from the edges and every 500 mm (approx) c/c. Linear measurement of frame shall be measured for payment. The frame shall be filled with mineral wool insulation of density minimum 96kg/ cum and finished with a approved fire resistant primer or powder coating of not less than 30 micron in desired shade as per NBC 2016, IS 16231 (Part 3):2016 and directions of Engineer - in- Charge.</t>
  </si>
  <si>
    <t xml:space="preserve">Providing and fixing glazing in fire resistant door shutters, fixed panels &amp; partitions etc., with G.I. beading made out of 1.6 mm thick G.I. sheet (zinc coating not less than 120 gm/sqm)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NBC 2016, IS 16231 (Part 3):2016  and as per direction of Engineer-in-Charge with  glass of required thickness having 120 minutes of fire resistance both integrity &amp; radiation control (EW120)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accredits labs as per ISO/IEC 17025 for testing and calibration scopes shall be eligible. The maximum glazing size shall not be more than 1100x2200 mm (w x h) or 2.42 sqm. </t>
  </si>
  <si>
    <t>Providing and fixing bright /matt finished Stainless Steel handles of approved quality &amp; make with necessary screws etc all complete.</t>
  </si>
  <si>
    <t>9.165.1</t>
  </si>
  <si>
    <t>9.165.2</t>
  </si>
  <si>
    <t>100mm</t>
  </si>
  <si>
    <t>9.165.3</t>
  </si>
  <si>
    <t>Providing and fixing 18mm thick both sides Pre-laminated cement bonded wood particle board as per IS : 15786:2008 of approved brand and shade with suitable full threaded steel screws etc. in partitions, boxes, shelves, racks and cupboard, kitchen cabinet under kitchen counter etc. all complete as per direction of Engineer-in-charge (Note: Fittings to be paid separately).</t>
  </si>
  <si>
    <t>9.166.1</t>
  </si>
  <si>
    <t>Providing and fixing 6mm thick both sides Pre-laminated cement bonded wood particle board as per IS : 15786:2008 of approved brand and shade with suitable full threaded steel screws etc. on the backing of racks, drawer, cupboard, kitchen cabinet under kitchen counter etc. all complete as per direction of Engineer-in-charge.</t>
  </si>
  <si>
    <t xml:space="preserve">Providing and fixing cupboard shutter with 19mm thick one side decorative and other side balancing lamination factory pressed BWP grade marine ply as per IS 710 of approved brand including 2mm thick PVC edge banding tape with hot glue by edge bending machine etc. with auto closing spring loaded hinges (hydraulic type) etc. complete as per direction of Engineer-in-charge.(Payment of providing and fixing auto closing hinges shall be paid separately) </t>
  </si>
  <si>
    <t xml:space="preserve">Providing and fixing 19mm thick both side balancing lamination factory pressed BWP grade marine ply as per IS 710 of approved brand boxes,shelves,racks,almirah,cupboard and drawer etc. including necessary nails,screws etc.  complete as per direction of Engineer-in-charge. </t>
  </si>
  <si>
    <t>Providing and fixing stainless steel fancy handle of approved make fixed with SS screws etc. complete as per direction of Engineer-in-charge.</t>
  </si>
  <si>
    <t>9.170.1</t>
  </si>
  <si>
    <t>200 mm</t>
  </si>
  <si>
    <t>Providing and fixing stainless steel soft closing spring hinges at 0 degree hinges (hydraulic type) of approved make/brand to cupboard shutters with full threaded steel screws including making necessary recess in board and finished etc. complete as per direction of Engineer-in-charge.</t>
  </si>
  <si>
    <t>Providing and fixing stainless steel soft closing heavy type telescopic drawer channels of approved make 500 mm long with screws etc. complete as per directions of Engineer- in-charge.</t>
  </si>
  <si>
    <t>Providing and fixing ready made 304 grade stainless steel Modular kitchen basket and accessories such as right angle basket (Plain Cup &amp; Saucer, plant, Partition, Bottle rack, Thali, Cutlery) kitchen utensil  basket, Dinner set basket, kitchen grain basket, Multipurpose basket as per site requirement including finishing (wherever required) and fittings. The same shall be fixed with necessary stainless steel nuts &amp; bolts, Stainless Steel screws &amp; telescopic channel etc. as per direction of Engineer-in-charge. (For payment purpose only weight of Stainless steel basket shall be considered excluding weight of all fixing accessories such as nuts, bolts, fasteners telescopic basket channels etc. Payment of providing and fixing telescopic channel shall be paid separately)</t>
  </si>
  <si>
    <t>Providing and fixing 2mm thick 16 to 19mm wide PVC edge binding tape of approved quality for cupboard/wardrobe shutters including necessary synthetic resin hot pressed to edges on binding machine etc. complete as per directions of Engineer- in-charge.</t>
  </si>
  <si>
    <t>10.0 STEEL WORK</t>
  </si>
  <si>
    <t>Structural steel work in single section, fixed with or without connecting plate, including cutting, hoisting, fixing in position and applying a priming coat of approved steel primer all complete.</t>
  </si>
  <si>
    <t>Structural steel work riveted, bolted or welded in built up sections, trusses and framed work, including cutting, hoisting, fixing in position and applying a priming coat of approved steel primer all complete.</t>
  </si>
  <si>
    <t>Providing and fixing in position collapsible steel shutters with vertical channels 20x10x2 mm and braced with flat iron diagonals 20x5 mm size, with top and bottom rail of T-iron 40x40x6 mm, with 40 mm dia steel pulleys, complete with bolts, nuts, locking arrangement, stoppers, handles, including applying a priming coat of approved steel primer.</t>
  </si>
  <si>
    <t>Providing and fixing 1 mm thick M.S. sheet sliding-shutters, with frame and diagonal braces of 40x40x6 mm angle iron, 3 mm M.S. gusset plates at the junctions and corners, 25 mm dia pulley, 40x40x6 mm angle and T- iron guide at the top and bottom respectively, including applying a priming coat of approved steel primer</t>
  </si>
  <si>
    <t>Providing and fixing 1mm thick M.S. sheet door with frame of 40x40x6 mm angle iron and 3 mm M.S. gusset plates at the junctions and corners, all necessary fittings complete, including applying a priming coat of approved steel primer.</t>
  </si>
  <si>
    <t>10.5.1</t>
  </si>
  <si>
    <t>Using M.S. angels 40x40x6 mm for diagonal braces</t>
  </si>
  <si>
    <t>10.5.2</t>
  </si>
  <si>
    <t>Using flats 30x6mm for diagonal braces and central cross piece</t>
  </si>
  <si>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t>
  </si>
  <si>
    <t>10.6.1</t>
  </si>
  <si>
    <t>80x1.25 mm M.S. laths with 1.25 mm thick top cover</t>
  </si>
  <si>
    <t>10.6.2</t>
  </si>
  <si>
    <t>80x1.20 mm M.S. laths with 1.20 mm thick top cover</t>
  </si>
  <si>
    <t>10.6.3</t>
  </si>
  <si>
    <t>80x0.90 mm M.S. laths with 0.90 mm thick top cover</t>
  </si>
  <si>
    <t>Providing and fixing ball bearing for rolling shutters.</t>
  </si>
  <si>
    <t>Extra for providing mechanical device chain and crank operation for operating rolling shutters.</t>
  </si>
  <si>
    <t>10.8.1</t>
  </si>
  <si>
    <t>Exceeding 10.00 sqm and upto 16.80 sqm in the area</t>
  </si>
  <si>
    <t>10.8.2</t>
  </si>
  <si>
    <t>Exceeding 16.80 sqm in area</t>
  </si>
  <si>
    <t>Extra for providing grilled rolling shutters manufactured out of 8 mm dia M.S. bar instead of laths as per design approved by Engineer-in- charge, (area of grill to be measured).</t>
  </si>
  <si>
    <t>Fixing standard steel glazed doors, windows and ventilators in walls, including fixing of float glass panes with glazing clips and special metal-sash putty of approved make, or metal beading with screws, (only steel windows, glass panes cut to size and glazing clips or metal beading with screws, shall be supplied by department free of cost.</t>
  </si>
  <si>
    <t>10.10.1</t>
  </si>
  <si>
    <t>Fixing with 15x3 mm lugs 10 cm long embedded in cement concrete block 15x10x10 cm of C.C. 1:3:6 (1 Cement : 3 coarse sand : 6 graded stone aggregate 20 mm nominal size)</t>
  </si>
  <si>
    <t>10.10.2</t>
  </si>
  <si>
    <t>Fixing with carbon steel galvanised dash fastener of required dia and size (to be paid for separately)</t>
  </si>
  <si>
    <t>Providing and fixing factory made ISI marked steel glazed doors, windows and ventilators, side /top /centre hung, with beading and all members such as F7D,F4B, K11 B and K12 B etc. complete of standard rolled steel sections, joints mitred and flash butt welded and sash bars tenoned and riveted, including providing and fixing of hinges, pivots, priming coat of approved steel primer, but excluding the cost of other fittings,glass panes  complete all as per approved design, (sectional weight of only steel members shall be measured for payment).</t>
  </si>
  <si>
    <t>10.11.1</t>
  </si>
  <si>
    <t>10.11.2</t>
  </si>
  <si>
    <t>Extra for providing and fixing steel beading of size 10 x 10 x 1.6 mm (box type), approved shape and section with screws instead of glazing clips and metal sash putty, in steel doors, windows, ventilators and composite units.</t>
  </si>
  <si>
    <t>Providing and fixing T-iron frames for doors, windows and ventilators of mild steel Tee-sections, joints mitred and welded, including fixing of necessary butt hinges and screws and applying a priming coat of approved steel primer.</t>
  </si>
  <si>
    <t>10.13.1</t>
  </si>
  <si>
    <t>Fixing with 15x3 mm lugs 10 cm long embedded in cement concrete block 15x10x10 cm of C.C. 1:3:6 (1 Cement : 3 coarse sand : 6 graded stone aggregate 20 mm nominal size).</t>
  </si>
  <si>
    <t>10.13.2</t>
  </si>
  <si>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t>
  </si>
  <si>
    <t>10.14.1</t>
  </si>
  <si>
    <t>Profile B</t>
  </si>
  <si>
    <t>10.14.1.1</t>
  </si>
  <si>
    <t>Fixing with adjustable lugs with split end tail to each jamb</t>
  </si>
  <si>
    <t>10.14.1.2</t>
  </si>
  <si>
    <t>10.14.2</t>
  </si>
  <si>
    <t>Profile C</t>
  </si>
  <si>
    <t>10.14.2.1</t>
  </si>
  <si>
    <t>10.14.2.2</t>
  </si>
  <si>
    <t>10.14.3</t>
  </si>
  <si>
    <t>Profile E</t>
  </si>
  <si>
    <t>10.14.3.1</t>
  </si>
  <si>
    <t>10.14.3.2</t>
  </si>
  <si>
    <t>Providing and fixing M.S. Tubular frames for doors, windows, ventilators and cupboard with rectangular/ L-Type sections, made of 1.60 mm thick M.S. Sheet, joints mitred, welded and grinded finish, with profiles of required size, including fixing of necessary butt hinges and screws and applying a priming coat of approved steel primer.</t>
  </si>
  <si>
    <t>10.15.1</t>
  </si>
  <si>
    <t>10.15.2</t>
  </si>
  <si>
    <t>Steel work in built up tubular (round, square or rectangular hollow tubes etc.) trusses etc., including cutting, hoisting, fixing in position and applying a priming coat of approved steel primer, including welding and bolted with special shaped washers etc. complete.</t>
  </si>
  <si>
    <t>10.16.1</t>
  </si>
  <si>
    <t>Hot finished welded type tubes</t>
  </si>
  <si>
    <t>10.16.2</t>
  </si>
  <si>
    <t>Hot finished seamless type tubes</t>
  </si>
  <si>
    <t>10.16.3</t>
  </si>
  <si>
    <t>Electric resistance or induction butt welded tubes</t>
  </si>
  <si>
    <t>Providing and fixing M.S. fan clamp type I or II of 16 mm dia M.S. bar, bent to shape with hooked ends in R.C.C. slabs or beams during laying, including painting the exposed portion of loop, all as per standard design complete.</t>
  </si>
  <si>
    <t>Providing and fixing circular/ Hexagonal cast iron or M.S. sheet box for ceiling fan clamp, of internal dia 140 mm, 73 mm height, top lid of 1.5 mm thick M.S. sheet with its top surface hacked for proper bonding, top lid shall be screwed into the cast iron/ M.S. sheet box by means of 3.3 mm dia round headed screws, one lock at the corners. Clamp shall be made of 12 mm dia M.S. bar bent to shape as per standard drawing.</t>
  </si>
  <si>
    <t>Providing and fixing mild steel round holding down bolts with nuts and washer plates complete.</t>
  </si>
  <si>
    <t>Providing and fixing bolts including nuts and washers complete.</t>
  </si>
  <si>
    <t>Providing and fixing M.S. rivets of sizes in position.</t>
  </si>
  <si>
    <t>Welding by gas or electric plant including transportation of plant at site etc. complete.</t>
  </si>
  <si>
    <t>cm</t>
  </si>
  <si>
    <t>Steel work welded in built up sections/ framed work, including cutting, hoisting, fixing in position and applying a priming coat of approved steel primer using structural steel etc. as required.</t>
  </si>
  <si>
    <t>10.25.1</t>
  </si>
  <si>
    <t>In stringers, treads, landings etc. of stair cases, including use of chequered plate wherever required, all complete</t>
  </si>
  <si>
    <t>10.25.2</t>
  </si>
  <si>
    <t>In gratings, frames, guard bar, ladder, railings, brackets, gates and similar works</t>
  </si>
  <si>
    <t>Providing and fixing hand rail of approved size by welding etc. to steel ladder railing, balcony railing, staircase railing and similar works, including applying priming coat of approved steel primer.</t>
  </si>
  <si>
    <t>10.26.1</t>
  </si>
  <si>
    <t>M.S. tube</t>
  </si>
  <si>
    <t>10.26.2</t>
  </si>
  <si>
    <t>E.R.W. tubes</t>
  </si>
  <si>
    <t>10.26.3</t>
  </si>
  <si>
    <t>G.I. pipes</t>
  </si>
  <si>
    <t>Providing and fixing carbon steel galvanised ( minimum coating 5 micron) dash fastener of 10 mm dia double threaded 6.8 grade (yield strength 480 N/mm2), counter sunk head, comprising of 10 mm dia polyamide PA 6 grade sleeve, including drilling of hole in frame , concrete/ masonry, etc. as per direction of Engineer-in-charge.</t>
  </si>
  <si>
    <t>10.27.1</t>
  </si>
  <si>
    <t>10 x 60 mm</t>
  </si>
  <si>
    <t>10.27.2</t>
  </si>
  <si>
    <t>10 x 80 mm</t>
  </si>
  <si>
    <t>10.27.3</t>
  </si>
  <si>
    <t>10 x 120 mm</t>
  </si>
  <si>
    <t>10.27.4</t>
  </si>
  <si>
    <t>10 x 140 mm</t>
  </si>
  <si>
    <t>10.27.5</t>
  </si>
  <si>
    <t>10 x 160 mm</t>
  </si>
  <si>
    <t>Providing and fixing stainless steel ( Grade 304) railing made of Hollow tubes, channels, plates etc., including welding, grinding, buffing, polishing and making curvature (wherever required) and fitting the same with necessary stainless steel nuts and bolts complete, i/c fixing the railing with necessary accessories &amp; stainless steel dash fasteners , stainless steel bolts etc., of required size, on the top of the floor or the side of waist slab with suitable arrangement as per approval of Engineer-in-charge, (for payment purpose only weight of stainless steel members shall be considered excluding fixing accessories such as nuts, bolts, fasteners etc.).</t>
  </si>
  <si>
    <t>Providing &amp; fixing fly proof wire gauze to windows, clerestory windows &amp; doors with M.S. Flat 15x3 mm and nuts &amp; bolts complete.</t>
  </si>
  <si>
    <t>10.29.1</t>
  </si>
  <si>
    <t>Galvanised M.S. Wire gauze with 0.63 mm dia wire and 1.4 mm aperture on both sides</t>
  </si>
  <si>
    <t>10.29.2</t>
  </si>
  <si>
    <t>Stainless steel (grade 304) wire gauze of 0.5 mm dia wire and 1.4 mm aperture on both sides</t>
  </si>
  <si>
    <t>Providing &amp; fixing glass panes with putty and glazing clips in steel doors, windows, clerestory windows, all complete with :</t>
  </si>
  <si>
    <t>10.30.1</t>
  </si>
  <si>
    <t>4.0 mm thick glass panes</t>
  </si>
  <si>
    <t>10.30.2</t>
  </si>
  <si>
    <t>5.5 mm thick glass panes</t>
  </si>
  <si>
    <t>Providing and fixing angle iron frames for doors, windows and ventilators of mild steel Angle sections of size 35x35x5 mm, joints mitred and welded by angle iron 35x35x5 mm or 35x 5 mm flat pieces to the existing T-iron frame or to the wall with dash fastener,  including fixing of necessary butt hinges and screws and applying a priming coat of approved steel primer, all complete as per the direction of Engineer-In-charge.</t>
  </si>
  <si>
    <t>11.0 FLOORING</t>
  </si>
  <si>
    <t>Brick on edge flooring with bricks of class designation 7.5 on a bed of 12 mm cement mortar, including filling the joints with same mortar, with common burnt clay non modular bricks:</t>
  </si>
  <si>
    <t>11.1.1</t>
  </si>
  <si>
    <t>1:4 (1 cement : 4 coarse sand)</t>
  </si>
  <si>
    <t>11.1.2</t>
  </si>
  <si>
    <t>1:6 (1cement : 6 coarse sand)</t>
  </si>
  <si>
    <t>Dry brick on edge flooring in required pattern with bricks of class designation 7.5 on a bed of 12 mm mud mortar, including filling joints with Jamuna sand, with common burnt clay non modular bricks.</t>
  </si>
  <si>
    <t>Cement concrete flooring 1:2:4 (1 cement : 2 coarse sand : 4 graded stone aggregate) finished with a floating coat of neat cement, including cement slurry, but excluding the cost of nosing of steps etc. complete.</t>
  </si>
  <si>
    <t>11.3.1</t>
  </si>
  <si>
    <t>40 mm thick with 20 mm nominal size stone aggregate</t>
  </si>
  <si>
    <t>52 mm thick cement concrete flooring with concrete hardener topping, under layer 40 mm thick cement concrete 1:2:4 (1 cement : 2 coarse sand : 4 graded stone aggregate 20 mm nominal size) and top layer 12 mm thick cement hardener consisting of mix 1:2 (1 cement hardener mix : 2 graded stone aggregate 6 mm nominal size) by volume, hardening compound mixed @ 2 litre per 50 kg of cement or as per manufacturer's specifications. This includes cost of cement slurry, but excluding the cost of nosing of steps etc. complete.</t>
  </si>
  <si>
    <t>62 mm thick cement concrete flooring with concrete hardener topping, under layer 50 mm thick cement concrete 1:2:4 (1 cement : 2 coarse sand : 4 graded stone aggregate 20mm nominal size) and top layer 12mm thick cement hardener consisting of mix 1:2 (1 cement hardener mix : 2 graded stone aggregate, 6mm nominal size) by volume, hardening compound mixed @ 2 litre per 50 kg of cement or as per manufacture’s specifications. This includes cost of cement slurry, but excluding the cost of nosing of steps etc. complete.</t>
  </si>
  <si>
    <t>Cement plaster skirting up to 30 cm height, with cement mortar 1:3 (1 cement : 3 coarse sand), finished with a floating coat of neat cement.</t>
  </si>
  <si>
    <t>11.6.1</t>
  </si>
  <si>
    <t>Cement concrete pavement with 1:2:4 (1 cement : 2 coarse sand : 4 graded stone aggregate 20 mm nominal size), including finishing complete.</t>
  </si>
  <si>
    <t>Extra for making chequers of approved pattern on cement concrete floors, steps, landing, pavements etc.</t>
  </si>
  <si>
    <t>TERRAZO FLOORING</t>
  </si>
  <si>
    <t>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t>
  </si>
  <si>
    <t>11.9.1</t>
  </si>
  <si>
    <t>Dark shade pigment with ordinary cement</t>
  </si>
  <si>
    <t>11.9.2</t>
  </si>
  <si>
    <t>Light shade pigment with white cement</t>
  </si>
  <si>
    <t>11.9.3</t>
  </si>
  <si>
    <t>Medium shade pigment with 50% white cement and 50% ordinary cement</t>
  </si>
  <si>
    <t>11.9.4</t>
  </si>
  <si>
    <t>White cement without any pigment</t>
  </si>
  <si>
    <t>11.9.5</t>
  </si>
  <si>
    <t>Light shade pigment with ordinary cement</t>
  </si>
  <si>
    <t>11.9.6</t>
  </si>
  <si>
    <t>Ordinary cement without any pigment</t>
  </si>
  <si>
    <t>11.10</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</si>
  <si>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t>
  </si>
  <si>
    <t>11.10.1</t>
  </si>
  <si>
    <t>Dark shade pigment with Ordinary cement</t>
  </si>
  <si>
    <t>11.10.2</t>
  </si>
  <si>
    <t>11.10.3</t>
  </si>
  <si>
    <t>11.10.4</t>
  </si>
  <si>
    <t>11.10.5</t>
  </si>
  <si>
    <t>11.10.6</t>
  </si>
  <si>
    <t xml:space="preserve">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t>
  </si>
  <si>
    <t>11.11.1</t>
  </si>
  <si>
    <t>11.11.2</t>
  </si>
  <si>
    <t>11.11.3</t>
  </si>
  <si>
    <t>11.11.4</t>
  </si>
  <si>
    <t xml:space="preserve">11.11.5 </t>
  </si>
  <si>
    <t>11.11.6</t>
  </si>
  <si>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t>
  </si>
  <si>
    <t>11.12.1</t>
  </si>
  <si>
    <t>18 mm thick with under layer 12 mm thick in cement plaster 1:3 (1 cement : 3 coarse sand) :</t>
  </si>
  <si>
    <t>11.12.1.1</t>
  </si>
  <si>
    <t>11.12.1.2</t>
  </si>
  <si>
    <t>11.12.1.3</t>
  </si>
  <si>
    <t>11.12.1.4</t>
  </si>
  <si>
    <t>11.12.1.5</t>
  </si>
  <si>
    <t>11.12.1.6</t>
  </si>
  <si>
    <t>Providing and fixing glass strips in joints of terrazo/ cement concrete floors.</t>
  </si>
  <si>
    <t>11.13.1</t>
  </si>
  <si>
    <t>40 mm wide and 4 mm thick</t>
  </si>
  <si>
    <t>Extra for laying terrazo flooring on staircase treads not exceeding 30 cm in width, including cost of forming, nosing etc.</t>
  </si>
  <si>
    <t>Crazy marble stone flooring, including filling the gaps with light shade pigment with white cement marble powder mixture (3 parts of white cement : 1 part of marble powder) by weight in proportion of 4:7 (4 cement marble powder mix : 7 white, black or white and black marble chips of sizes from 1 mm to 4 mm nominal size by volume), with under layer 25 mm thick cement concrete 1:2:4 (1 cement : 2 coarse sand : 4 graded stone aggregate 12.5 mm nominal size), including rubbing, polishing and cement slurry etc. complete :</t>
  </si>
  <si>
    <t>11.15.1</t>
  </si>
  <si>
    <t>18 mm thick crazy marble stone white, black or as specified</t>
  </si>
  <si>
    <t>TILE FLOORING</t>
  </si>
  <si>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t>
  </si>
  <si>
    <t>11.16.1</t>
  </si>
  <si>
    <t>Light shade pigment using white cement</t>
  </si>
  <si>
    <t>11.16.2</t>
  </si>
  <si>
    <t>Medium shade pigment using 50% white cement and 50% ordinary cement</t>
  </si>
  <si>
    <t>11.16.3</t>
  </si>
  <si>
    <t>Dark shade pigment using ordinary cement</t>
  </si>
  <si>
    <t>11.16.4</t>
  </si>
  <si>
    <t>Extra if terrazo tiles are laid in treads of steps not exceeding 30 cm in width.</t>
  </si>
  <si>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t>
  </si>
  <si>
    <t>11.18.1</t>
  </si>
  <si>
    <t>11.18.2</t>
  </si>
  <si>
    <t>Medium shades pigment using 50% white cement and 50% ordinary cement</t>
  </si>
  <si>
    <t>11.18.3</t>
  </si>
  <si>
    <t>11.18.4</t>
  </si>
  <si>
    <t>Chequered terrazo tiles 22 mm thick with graded marble chips of size up to 6 mm in floors, jointed with neat cement slurry mixed with pigment to match the shade of the tiles, including rubbing and polishing complete, on 20 mm thick bed of cement mortar 1:4 (1 cement :4 coarse sand) :</t>
  </si>
  <si>
    <t>11.19.1</t>
  </si>
  <si>
    <t>11.19.2</t>
  </si>
  <si>
    <t>Medium shade pigment using 50% white cement, 50% ordinary cement</t>
  </si>
  <si>
    <t>11.19.3</t>
  </si>
  <si>
    <t>11.19.4</t>
  </si>
  <si>
    <t>Chequerred precast cement concrete tiles 22 mm thick in footpath &amp; courtyard, jointed with neat cement slurry mixed with pigment to match the shade of tiles, including rubbing and cleaning etc. complete, on 20 mm thick bed of cement mortar 1:4 (1 cement: 4 coarse sand).</t>
  </si>
  <si>
    <t>11.20.1</t>
  </si>
  <si>
    <t>11.20.2</t>
  </si>
  <si>
    <t>Medium shade pigment using 50% white cement 50% Grey cement</t>
  </si>
  <si>
    <t>11.20.3</t>
  </si>
  <si>
    <t>11.20.4</t>
  </si>
  <si>
    <t>Providing and fixing 10 mm thick acid and/or alkali resistant tiles of approved make and colour using acid and/or alkali resisting mortar bedding, and joints filled with acid and/or alkali resisting cement as per IS : 4457, complete as per the direction of Engineer-in- Charge.</t>
  </si>
  <si>
    <t>11.21.1</t>
  </si>
  <si>
    <t>In flooring on a bed of 10 mm thick mortar 1:4 (1 acid proof cement : 4 coarse sand)</t>
  </si>
  <si>
    <t>11.21.1.1</t>
  </si>
  <si>
    <t>Acid and alkali resistant tile</t>
  </si>
  <si>
    <t>11.21.2</t>
  </si>
  <si>
    <t>In dado/skirting on 12 mm thick mortar 1:4 (1 acid proof cement : 4 coarse sand)</t>
  </si>
  <si>
    <t>11.21.2.1</t>
  </si>
  <si>
    <t>Tile work in skirting, risers of steps and dado up to 2 m height over 12 mm thick bed of cement mortar 1:3 (1 cement :3 coarse sand) and jointed with grey cement slurry @ 3.3 kg/sqm, including pointing in white cement mixed with pigment of matching shade complete.</t>
  </si>
  <si>
    <t>11.22.1</t>
  </si>
  <si>
    <t>Marble tiles (polished) Raj Nagar</t>
  </si>
  <si>
    <t>11.22.1.1</t>
  </si>
  <si>
    <t>8 mm thick</t>
  </si>
  <si>
    <t>STONE FLOORING</t>
  </si>
  <si>
    <t>Marble stone flooring with 18 mm thick marble stone, as per sample of marble approved by Engineer-in-charge, over 20 mm (average) thick base of cement mortar 1:4 (1 cement : 4 coarse sand) laid and jointed with grey cement slurry, including rubbing and polishing complete with :</t>
  </si>
  <si>
    <t>11.23.1</t>
  </si>
  <si>
    <t>Makrana white second quality</t>
  </si>
  <si>
    <t>11.23.2</t>
  </si>
  <si>
    <t>Raj Nagar plain</t>
  </si>
  <si>
    <t>11.23.3</t>
  </si>
  <si>
    <t>Agaria White</t>
  </si>
  <si>
    <t>11.23.4</t>
  </si>
  <si>
    <t>Black Zebra</t>
  </si>
  <si>
    <t>11.23.5</t>
  </si>
  <si>
    <t>Udaipur green marble</t>
  </si>
  <si>
    <t>11.23.6</t>
  </si>
  <si>
    <t>Pink plain marble</t>
  </si>
  <si>
    <t>Extra for pre finished nosing to treads of steps of marble stone.</t>
  </si>
  <si>
    <t>Extra for marble stone flooring in treads of steps and risers using single length up to 2.00 metre.</t>
  </si>
  <si>
    <t>KOTA STONE FLOORING</t>
  </si>
  <si>
    <t>Kota stone slab flooring over 20 mm (average) thick base laid over and jointed with grey cement slurry mixed with pigment to match the shade of the slab, including rubbing and polishing complete with base of cement mortar 1 : 4 (1 cement : 4 coarse sand) :</t>
  </si>
  <si>
    <t>11.26.1</t>
  </si>
  <si>
    <t>Kota stone slabs 20 mm thick in risers of steps, skirting, dado and pillars laid on 12 mm (average) thick cement mortar 1:3 (1 cement: 3 coarse sand) and jointed with grey cement slurry mixed with pigment to match the shade of the slabs, including rubbing and polishing complete.</t>
  </si>
  <si>
    <t>SAND STONE FLOORING</t>
  </si>
  <si>
    <t>40 mm thick fine dressed stone flooring over 20 mm (average) thick base of cement mortar 1:5 (1 cement : 5 coarse sand) with joints finished flush.</t>
  </si>
  <si>
    <t>11.28.1</t>
  </si>
  <si>
    <t>11.28.2</t>
  </si>
  <si>
    <t>40 mm thick fine dressed stone flooring over 20 mm (average) thick base of cement mortar 1:5 (1 cement : 5 coarse sand), including pointing with cement mortar 1:2 (1 cement : 2 stone dust) with an admixture of pigment to match the shade of stone.</t>
  </si>
  <si>
    <t>11.29.1</t>
  </si>
  <si>
    <t>11.29.2</t>
  </si>
  <si>
    <t>40 mm thick rubbed stone flooring over 20 mm (average) thick base of cement mortar 1:5 (1 cement : 5 coarse sand) with joints 3 mm thick, side buttered with cement mortar 1:2 (1 cement : 2 stone dust) admixed with pigment to match the shade of stone and pointing with same mortar.</t>
  </si>
  <si>
    <t>11.30.1</t>
  </si>
  <si>
    <t>11.30.2</t>
  </si>
  <si>
    <t>Extra for pre finished nosing in treads of steps of Kota stone/ sand stone slab.</t>
  </si>
  <si>
    <t>Extra for Kota stone/ sand stone in treads of steps and risers using single length above normal size up to 2.00 metre.</t>
  </si>
  <si>
    <t>WOODEN FLOORING</t>
  </si>
  <si>
    <t>25 mm wooden planking, tongued and grooved in flooring, including fixing with iron screws complete with :</t>
  </si>
  <si>
    <t>11.33.1</t>
  </si>
  <si>
    <t>11.33.2</t>
  </si>
  <si>
    <t>Second class deodar wood</t>
  </si>
  <si>
    <t>38 mm thick wood block flooring of first class teak wood laid over 25 mm thick leveling layer of cement concrete 1:2:4 (1 cement : 2 coarse sand : 4 graded stone aggregate 10 mm nominal size) to be paid separately, coated with a thin layer of hot bitumen penetration 80/25 (blown type) @ 2.45 kg per sqm, including fixing blocks in position after dipping in hot bitumen (blown type) up to half depth, planed, levelled smooth and finished complete.</t>
  </si>
  <si>
    <t>Providing and fixing M.S. angle 50x50x5 mm to act as nosing with lugs of M.S. flat 10x5 mm, 10 cm long, forked at end 60cm apart (minimum three lugs to be provided), including necessary welding and applying a priming coat of approved primer on exposed surface etc. complete.</t>
  </si>
  <si>
    <t>CERAMIC GLAZED TILES</t>
  </si>
  <si>
    <t>Providing and laying Ceramic glazed floor tiles of size 300x300 mm (thickness to be specified by the manufacturer) of 1st quality conforming to IS : 15622 of approved make in colours such as White, Ivory, Grey, Fume Red Brown, laid on 20 mm thick cement mortar 1:4 (1 Cement : 4 Coarse sand), Jointing with grey cement slurry @ 3.3 kg/sqm including pointing the joints with white cement and matching pigment etc., complete.</t>
  </si>
  <si>
    <t>11.37A</t>
  </si>
  <si>
    <t>Providing and fixing 1st quality ceramic glazed floor tiles conforming to IS : 15622 (thickness to be specified by the manufacturer ) of approved make in all colours, shades except burgundy, bottle green, black of any size as approved by Engineer-in-Charge in skirting, risers of steps and dados over 12 mm thick bed of cement Mortar 1:3 (1 cement: 3 coarse sand) and jointing with grey cement slurry @ 3.3kg per sqm including pointing in white cement mixed with pigment of matching shade complete.</t>
  </si>
  <si>
    <t>Providing and laying Ceramic glazed floor tiles of size 300x300 mm (thickness to be specified by the manufacturer), of 1st quality conforming to IS : 15622, of approved make, in all colours, shades, except White, Ivory, Grey, Fume Red Brown, laid on 20 mm thick bed of cement mortar 1:4 (1 Cement : 4 Coarse sand), jointing with grey cement slurry @ 3.3 kg/ sq.m including pointing the joints with white cement and matching pigments etc., complete.</t>
  </si>
  <si>
    <t>Providing and laying rectified Glazed Ceramic floor tiles of size 300x300 mm or more (thickness to be specified by the manufacturer), of 1st quality conforming to IS : 15622, of approved make, in colours White, Ivory, Grey, Fume Red Brown, laid on 20 mm thick cement mortar 1:4 (1 Cement: 4 Coarse sand), jointing with grey cement slurry @ 3.3 kg/ sqm  including grouting the joints with white cement and matching pigments etc., complete.</t>
  </si>
  <si>
    <t>Providing and laying rectified Glazed Ceramic floor tiles of size 300x300 mm or more (thickness to be specified by the manufacturer), of 1st quality conforming to IS : 15622, of approved make, in all colours, shades, except White, Ivory, Grey, Fume Red Brown, laid on 20 mm thick Cement Mortar 1:4 (1 Cement : 4 Coarse sand), jointing with grey cement slurry @ 3.3 kg/ sqm  including pointing the joints with white cement and matching pigments etc., complete.</t>
  </si>
  <si>
    <t>VITRIFIED FLOOR TILES</t>
  </si>
  <si>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t>
  </si>
  <si>
    <t>11.41.1</t>
  </si>
  <si>
    <t>Size of Tile 500x500 mm</t>
  </si>
  <si>
    <t>11.41.2</t>
  </si>
  <si>
    <t>Size of Tile 600x600 mm</t>
  </si>
  <si>
    <t>11.41.3</t>
  </si>
  <si>
    <t>Size of Tile 800x800 mm</t>
  </si>
  <si>
    <t>11.41.4</t>
  </si>
  <si>
    <t>Size of Tile 1000x1000 mm</t>
  </si>
  <si>
    <t>11.41A</t>
  </si>
  <si>
    <t>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t>
  </si>
  <si>
    <t>11.41A.1</t>
  </si>
  <si>
    <t>Double charge vitrified tile polished finish of size</t>
  </si>
  <si>
    <t>11.41A.1.1</t>
  </si>
  <si>
    <t>Size of Tile 600 x 600 mm</t>
  </si>
  <si>
    <t>11.41A.1.2</t>
  </si>
  <si>
    <t>Size of Tile  800 x 800 mm</t>
  </si>
  <si>
    <t>11.41A.1.3</t>
  </si>
  <si>
    <t>Size of Tile  600 x 1200 mm</t>
  </si>
  <si>
    <t>11.41A.1.4</t>
  </si>
  <si>
    <t>Size of Tile  800 x 1600 mm</t>
  </si>
  <si>
    <t>11.41A.1.5</t>
  </si>
  <si>
    <t>Size of Tile  1000 x 1000 mm</t>
  </si>
  <si>
    <t>11.41A.2</t>
  </si>
  <si>
    <t>Glazed vitrified floor tiles polished finish of size</t>
  </si>
  <si>
    <t>11.41A.2.1</t>
  </si>
  <si>
    <t>Size of Tile  600 x 600 mm</t>
  </si>
  <si>
    <t>11.41A.2.2</t>
  </si>
  <si>
    <t>11.41A.2.3</t>
  </si>
  <si>
    <t>11.41A.2.4</t>
  </si>
  <si>
    <t>Size of Tile  800 x 1200 mm</t>
  </si>
  <si>
    <t>11.41A.2.5</t>
  </si>
  <si>
    <t>Size of Tile  1200 x 1200 mm</t>
  </si>
  <si>
    <t>11.41A.3</t>
  </si>
  <si>
    <t>Glazed Vitrified tiles Matt/Antiskid finish of size</t>
  </si>
  <si>
    <t>11.41A.3.1</t>
  </si>
  <si>
    <t>11.41A.3.2</t>
  </si>
  <si>
    <t>11.41A.3.3</t>
  </si>
  <si>
    <t>11.41A.3.4</t>
  </si>
  <si>
    <t>11.41A.3.5</t>
  </si>
  <si>
    <t>Deduct for not using 20 mm thick cement mortar 1:4 (1 cement : 4 coarse sand) bedding in laying of floor tiles and jointing with grey cement slurry @ 3.3 kg/ sqm.</t>
  </si>
  <si>
    <t>Fixing glazed/ Ceramic/ Vitrified floor tiles with cement based high polymer modified quick-set tile adhesive (Water based) conforming to IS: 15477, in average 3mm thickness.</t>
  </si>
  <si>
    <t>Crazy ceramic tile flooring, with under layer 12 mm thick cement mortar 1:4 (1 cement: 4 coarse sand), with joints not exceeding 5 mm, including filling the gaps with ordinary cement mixture &amp; mixing with synthetic polyester fibre, triangular in shape having specific gravity of 1.34 to 1.40, cross section size ranging from 10 to 40 micron &amp; length upto 6 mm , mixing fibre @ 125 grams per 50 kg of cement in cement mortar, including providing and mixing water proofing material in mortar @ 1 kg per 50 kg of cement, all complete as per direction of Engineer-in-charge.</t>
  </si>
  <si>
    <t>Providing and laying 500x500x40 mm thick Turf paver (Turfpave XD) on 150 mm thick sub grade of compacted bed of 20 mm thick nominal size stone aggregate and base course and filling with 150 mm thick jamuna sand, including spreading, well ramming, consolidating and finishing smooth etc. all complete as per direction of Engineer-in-charge.</t>
  </si>
  <si>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t>
  </si>
  <si>
    <t>11.46.1</t>
  </si>
  <si>
    <t>11.46.2</t>
  </si>
  <si>
    <t>11.46.3</t>
  </si>
  <si>
    <t>11.46.4</t>
  </si>
  <si>
    <t>11.46A</t>
  </si>
  <si>
    <t>Providing and fixing glazed screen printed border tile 75mm wide having thickness 5mm, of approved quality &amp; make,  in all shades, design and prints, in dado, over 12mm thick bed of cement mortar 1:3 (1 Cement : 3 Coarse sand) and jointing with grey cement slurry @ 3.3 kg/sqm including pointing with white cement mixed with pigment of matching shade, all complete as approved by Engineer - in - Charge</t>
  </si>
  <si>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t>
  </si>
  <si>
    <t>11.47.1</t>
  </si>
  <si>
    <t>11.47.2</t>
  </si>
  <si>
    <t>11.47.3</t>
  </si>
  <si>
    <t>11.47.4</t>
  </si>
  <si>
    <t>Grouting the joints of flooring tiles having joints of 3 mm width, using epoxy grout mix of 0.70 kg of organic coated filler of desired shade (0.10 kg of hardener and 0.20 kg of resin per kg), including filling / grouting and finishing complete as per direction of Engineer-in-charge.</t>
  </si>
  <si>
    <t>11.48.1</t>
  </si>
  <si>
    <t>11.48.2</t>
  </si>
  <si>
    <t>11.48.3</t>
  </si>
  <si>
    <t>11.48.4</t>
  </si>
  <si>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t>
  </si>
  <si>
    <t>11.49.1</t>
  </si>
  <si>
    <t>11.49.2</t>
  </si>
  <si>
    <t>11.49.3</t>
  </si>
  <si>
    <t>11.49.4</t>
  </si>
  <si>
    <t>11.49A</t>
  </si>
  <si>
    <t xml:space="preserve">Providing and laying full body vitrified tile in floor of minimum thickness 15 mm with water absorption less than 0.06% and conforming to IS:15622, of approved make, brand and manufacturer, laid on 20 mm thick base cement mortar 1:4 (1 cement: 4 coarse sand)  jointing with grey cement slurry @3.30 kg / sqm including grouting the  joints with white cement and matching pigments etc. The slab must be cut with the zero chipping diamond cutter only.  Laying of slab will be done with the help of notch trowel, wedge, clips of required thickness, vacuum cups for lifting, leveling system and rubber mallet for placing the slab gently and easily. 
Size of tile 800x2400mm of all colours and shades.
</t>
  </si>
  <si>
    <t>Deduct for not grouting the joints with white cement and matching pigment in the items of fixing of vitrified tiles.</t>
  </si>
  <si>
    <t>Providing and laying machine cut, mirror polished, Italian Marble stone flooring laid in required pattern in linear portion of the building all complete as per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t>
  </si>
  <si>
    <t>11.51.1</t>
  </si>
  <si>
    <t>18 mm thick Italian Marble stone slab, Perlato, Rosso verona, Fire Red or Dark Emperadore etc.</t>
  </si>
  <si>
    <t>Providing and laying machine cut, mirror polished Marble stone flooring, in required design (Simple geometrical, abstract etc.) and in patterns in combination with Italian marble stones of different colours, shades and finished surface texture etc., in linear portions of the building, all complete as per the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t>
  </si>
  <si>
    <t>11.52.1</t>
  </si>
  <si>
    <t>Providing and fixing Glass mossaic tiles on finished plain wall surface of size 20 mm x 20 mm x 4 mm in all colour, design , fixing in customize design as per direction of Engineer-in- Charge. The glass mosaic tiles to be fixed on the wall surface with the help of approved adhesive applied at the rate of 2.5 kg per sqm and grouting of the same. The rate is inclusive of all operation, material and required pattern approved by Engineer-in-Charge:</t>
  </si>
  <si>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t>
  </si>
  <si>
    <t>(a)   Providing at required spacing to form modular framework, pedestals made out of GI tube of thickness minimum 2 mm and 25 mm outer diameter, fully welded on to the G.I. Base plate of size 100mm x 100mm x 3mm at the bottom of the pedestal tube, G.I. pedestal head of size 75mmx75mmx3.5 mm welded with GI fully threaded stud 16mm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t>
  </si>
  <si>
    <t>(b)   Stringers system in all steel construction hot dipped galvanized of rectangular size 570x20x30x0.80mm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t>
  </si>
  <si>
    <t>(c)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Gauges: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lightweight foaming compound. The access floor shall be factory finished with Anti-static High Pressure laminate with Non Warp technology upto 1mm thickness for superior adhesion and Surface flatness within 0.75mm.The panel is to withstand a Concentrated Load of 363 kgs applied on area 25mm x 25mm without collapse in the centre of the panel which is placed on four steel blocks. The panel will withstand and Uniformly Distributed Load (UDL) minimum 1250 kg/sqm and an impact load of 50kg all complete as per the approved manufacturers specification and as per the direction of Engineer-in-charge. All specification must be printed on the side of the panel to ensure the quality of the product.</t>
  </si>
  <si>
    <t>11.54.1</t>
  </si>
  <si>
    <t>300 mm Finished Floor Height (FFH)</t>
  </si>
  <si>
    <t>11.54.2</t>
  </si>
  <si>
    <t>450 mm Finished Floor Height (FFH).</t>
  </si>
  <si>
    <t xml:space="preserve">Providing and laying flamed finish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curing and polishing etc. all complete as specified and as directed by the Engineer-in-Charge : </t>
  </si>
  <si>
    <t>11.55.1</t>
  </si>
  <si>
    <t>Flamed finish granite stone slab Jet Black, Cherry Red, Elite Brown, Cat Eye or equivalent.</t>
  </si>
  <si>
    <t>8.12.1</t>
  </si>
  <si>
    <t>Providing and laying Polished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 curing and polishing etc. all complete as specified and as directed by the Engineer-in-Charge.</t>
  </si>
  <si>
    <t>11.56.1</t>
  </si>
  <si>
    <t>Polished Granite stone slab colour of Black, Cherry/Ruby Red or equivalent</t>
  </si>
  <si>
    <t>8.13.1</t>
  </si>
  <si>
    <t>11.56.2</t>
  </si>
  <si>
    <t xml:space="preserve">Polished Granite stone slab of all colour and texture except Black, Cherry/Ruby Red </t>
  </si>
  <si>
    <t>12.0 ROOFING</t>
  </si>
  <si>
    <t>SHEET ROOFING</t>
  </si>
  <si>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t>
  </si>
  <si>
    <t>12.1.1</t>
  </si>
  <si>
    <t>1.00 mm thick with zinc coating not less than 275 gm/m²</t>
  </si>
  <si>
    <t>12.1.2</t>
  </si>
  <si>
    <t>0.80 mm thick with zinc coating not less than 275 gm/m²</t>
  </si>
  <si>
    <t>12.1.3</t>
  </si>
  <si>
    <t>0.63 mm thick with zinc coating not less than 275 gm/ m²</t>
  </si>
  <si>
    <t>Extra for straight cutting in C.G.S. sheet roofing for making opening of area exceeding 40 sq. decimeter for chimney stacks, sky light etc.:</t>
  </si>
  <si>
    <t>12.2.1</t>
  </si>
  <si>
    <t>1.00 mm thick</t>
  </si>
  <si>
    <t>12.2.2</t>
  </si>
  <si>
    <t>0.80 mm thick</t>
  </si>
  <si>
    <t>12.2.3</t>
  </si>
  <si>
    <t>0.63 mm thick</t>
  </si>
  <si>
    <t>Extra for circular cutting in C.G.S. sheet roofing for making opening of area exceeding 40 sq. decimeter:</t>
  </si>
  <si>
    <t>12.3.1</t>
  </si>
  <si>
    <t>12.3.2</t>
  </si>
  <si>
    <t>12.3.3</t>
  </si>
  <si>
    <t>Providing ridges or hips of width 60 cm overall width plain G.S. sheet fixed with polymer coated J or L hooks, bolts and nuts 8 mm dia G.I. limpet and bitumen washers complete.</t>
  </si>
  <si>
    <t>12.4.1</t>
  </si>
  <si>
    <t>12.4.2</t>
  </si>
  <si>
    <t>0.63 mm thick with zinc coating not less than 275 gm/m²</t>
  </si>
  <si>
    <t>Providing valleys of 90 cm wide overall in plain G.S. sheet fixed with polymer coated J, or L hooks, bolts and nuts 8 mm dia G.I. limpet and bitumen washers complete :</t>
  </si>
  <si>
    <t>12.5.1</t>
  </si>
  <si>
    <t>1.60 mm thick with zinc coating not less than 350 gm/m²</t>
  </si>
  <si>
    <t>Providing and fixing of 40 cm overall width plain G.S. sheet fixed with polymer coated J or L hooks, bolts and nuts, G.l. limpet and bitumen washer complete, bent to shape and fixed in wall with cement mortar 1:3 (1 cement : 3 coarse sand).</t>
  </si>
  <si>
    <t>12.6.1</t>
  </si>
  <si>
    <t>Providing and fixing 15 cm wide, 45 cm overall semi-circular plain G.S. sheet gutter with iron brackets 40x3mm size, bolts, nuts and washers etc., including making necessary connections with rain water pipes complete.</t>
  </si>
  <si>
    <t>12.7.1</t>
  </si>
  <si>
    <t>12.7.2</t>
  </si>
  <si>
    <t>Providing reinforced by organic fibres and/or inorganic synthetic fibres cement 6 mm thick corrugated sheets (as per IS: 14871) roofing up to any pitch and fixing with polymer coated J, or L hooks, bolts and nuts 8 mm dia. G.I. plain and bitumen washers or with self drilling fastener and EPDM washers etc. complete (excluding the cost of purlins, rafters and trusses), including cutting sheets to size and shape wherever required.</t>
  </si>
  <si>
    <t xml:space="preserve">Extra for straight cutting in reinforced by organic fibres and/or inorganic synthetic fibres cement corrugated, semi corrugated 6 mm thick sheet roofing for making openings of area exceeding 40 square decimeter for chimney stacks, skylights etc.
</t>
  </si>
  <si>
    <t>Extra for circular cutting in reinforced by organic fibres and/or inorganic synthetic fibres cement corrugated/ semi corrugated 6 mm thick sheet roofing for making openings of area exceeding 40 square decimeter.</t>
  </si>
  <si>
    <t>Extra for providing and fixing wind ties of 40x 6 mm flat iron section.</t>
  </si>
  <si>
    <t>Providing and fixing ridges and hips in fibre cement reinforced by organic fibres and/or inorganic synthetic fibres roofing with suitable fixing accessories or self drilling fastener and EPDM washer etc. complete.</t>
  </si>
  <si>
    <t>12.12.1</t>
  </si>
  <si>
    <t>Corrugated serrated adjustable ridges</t>
  </si>
  <si>
    <t>12.12.2</t>
  </si>
  <si>
    <t>Plain wing adjustable ridges</t>
  </si>
  <si>
    <t>12.12.3</t>
  </si>
  <si>
    <t>Close fitting adjustable ridges</t>
  </si>
  <si>
    <t>12.12.4</t>
  </si>
  <si>
    <t>Unserrated adjustable hips</t>
  </si>
  <si>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t>
  </si>
  <si>
    <t>12.13.1</t>
  </si>
  <si>
    <t>Corrugated apron pieces</t>
  </si>
  <si>
    <t>12.13.2</t>
  </si>
  <si>
    <t>Eave's filler pieces</t>
  </si>
  <si>
    <t>12.13.3</t>
  </si>
  <si>
    <t>North light curves</t>
  </si>
  <si>
    <t>12.13.4</t>
  </si>
  <si>
    <t>Ventilator curves</t>
  </si>
  <si>
    <t>12.13.5</t>
  </si>
  <si>
    <t>Barge boards</t>
  </si>
  <si>
    <t>12.13.6</t>
  </si>
  <si>
    <t>Ridge finials</t>
  </si>
  <si>
    <t>pair</t>
  </si>
  <si>
    <t>12.13.7</t>
  </si>
  <si>
    <t>Special north light curves</t>
  </si>
  <si>
    <t>12.13.8</t>
  </si>
  <si>
    <t>S type louvers</t>
  </si>
  <si>
    <t>Providing flat iron brackets 50x3 mm size with necessary bolts, nuts and washers etc. for fixing G.S. sheets gutters with purlins.</t>
  </si>
  <si>
    <t>Painting top of roofs with bitumen of approved quality @ 17kg per 10 sqm impregnated with a coat of coarse sand at 60 cudm per 10 sqm, including cleaning the slab surface with brushes and finally with a piece of cloth lightly soaked in kerosene oil complete :</t>
  </si>
  <si>
    <t>12.15.1</t>
  </si>
  <si>
    <t>With residual type petroleum bitumen of grade VG -10</t>
  </si>
  <si>
    <t>10 cm thick (average) mud phaska of damped brick earth on roofs laid to slope consolidated and plastered with 25 mm thick mud mortar mixed with bhusa @ 35 kg per cum of earth and gobri leaping with mix 1:1 (1 clay : 1 cow dung) and covered with flat tile bricks, grouted with cement mortar 1:3 (1 cement : 3 fine sand) mixed with 2% of integral water proofing compound by weight of cement and finished neat:</t>
  </si>
  <si>
    <t>12.16.1</t>
  </si>
  <si>
    <t>With common burnt clay F.P.S.(non modular) brick tile of class designation 10</t>
  </si>
  <si>
    <t>10cm thick (average) mud phaska of damped brick earth on roofs laid to slope consolidated and plastered with 25 mm thick mud mortar with bhusha @ 35 kg per cum of earth and gobri leaping with mix 1:1 (1 clay : 1 cow-dung) and covered with machine moulded tile bricks, grouted with cement mortar 1:3 ( 1 cement : 3 fine sand) mixed with 2% of integral water proofing compound by weight of cement and finished neat.</t>
  </si>
  <si>
    <t>12.17.1</t>
  </si>
  <si>
    <t>With machine moulded common burnt clay F.P.S. (non modular) brick tiles of class designation 12.5, conforming to IS 2690</t>
  </si>
  <si>
    <t>Extra for every additional 1 cm thickness of mud phaska.</t>
  </si>
  <si>
    <t>Providing and laying brick tiles over mumty roofs, grouted with cement mortar 1:3 (1 cement : 3 fine sand) mixed with 2% of integral water proofing compound by weight of cement, over 12 mm layer of cement mortar 1:3 (1 cement : 3 fine sand) and finished neat:</t>
  </si>
  <si>
    <t>12.19.1</t>
  </si>
  <si>
    <t>With common burnt clay F.P.S. (non modular) brick tiles of class designation 10</t>
  </si>
  <si>
    <t>Providing and laying pressed clay tiles (as per approved pattern 20 mm nominal thickness of approved size) on roofs jointed with cement mortar 1:4 (1 cement : 4 coarse sand) mixed with 2% integral water proofing compound, laid over a bed of 20 mm thick cement mortar 1:4 (1 cement : 4 coarse sand) and finished neat complete.</t>
  </si>
  <si>
    <t>Providing gola 75x75 mm in cement concrete 1:2:4 (1 cement : 2 coarse sand : 4 stone aggregate 10 mm and down gauge), including finishing with cement mortar 1:3 (1 cement : 3 fine sand) as per standard design :</t>
  </si>
  <si>
    <t>12.21.1</t>
  </si>
  <si>
    <t>In 75x75 mm deep chase</t>
  </si>
  <si>
    <t>Making khurras 45x45 cm with average minimum thickness of 5 cm cement concrete 1:2:4 (1 cement : 2 coarse sand : 4 graded stone aggregate of 20 mm nominal size) over P.V.C. sheet 1 m x1 m x 400 micron, finished with 12 mm cement plaster 1:3 (1 cement : 3 coarse sand) and a coat of neat cement, rounding the edges and making and finishing the outlet complete.</t>
  </si>
  <si>
    <t>Providing sand stone slab for roofing and laying them in cement mortar 1 : 4 (1 cement : 4 coarse sand) over wooden karries or R.C.C. battens or structural steel sections (Karries or battens or structural steel sections to be paid separately), including pointing the ceiling joints with cement mortar 1:3 (1 cement : 3 fine sand ) complete :</t>
  </si>
  <si>
    <t>12.23.1</t>
  </si>
  <si>
    <t>Red sand stone slab</t>
  </si>
  <si>
    <t>12.23.1.1</t>
  </si>
  <si>
    <t>40 to 50 mm thick</t>
  </si>
  <si>
    <t>12.23.2</t>
  </si>
  <si>
    <t>White sand stone slab</t>
  </si>
  <si>
    <t>12.23.2.1</t>
  </si>
  <si>
    <t>CEILING</t>
  </si>
  <si>
    <t>Providing and fixing insulating board ceiling of approved quality with necessary nails etc. complete (frame work to be paid separately) :</t>
  </si>
  <si>
    <t>12.24.1</t>
  </si>
  <si>
    <t>Natural colour insulating board</t>
  </si>
  <si>
    <t>12.24.1.1</t>
  </si>
  <si>
    <t>12.24.2</t>
  </si>
  <si>
    <t>White face insulating board</t>
  </si>
  <si>
    <t>12.24.2.1</t>
  </si>
  <si>
    <t>12.24.3</t>
  </si>
  <si>
    <t>Flame retardant face insulating board</t>
  </si>
  <si>
    <t>12.24.3.1</t>
  </si>
  <si>
    <t>Providing and fixing flat pressed 3 layer medium density particle board or graded particle board (Grade I) IS: 3087 marked, in ceiling with necessary nails etc. complete (frame work to be paid separately):</t>
  </si>
  <si>
    <t>12.25.1</t>
  </si>
  <si>
    <t>Providing and fixing plain multipurpose cement board(Hight pressure steam cured) with suitable screws for cement particle board in ceiling etc. complete (frame work to be paid seperatately).</t>
  </si>
  <si>
    <t>12.26.1</t>
  </si>
  <si>
    <t>6 mm thick Cement fiber board, Type-B, Category-III as per IS: 14862 : 2000</t>
  </si>
  <si>
    <t>12.26.2</t>
  </si>
  <si>
    <t>6 mm thick Cement bonded wood particle board as per IS:14276</t>
  </si>
  <si>
    <t>Extra for Circular cutting including wastages in ceiling with:</t>
  </si>
  <si>
    <t>12.27.1</t>
  </si>
  <si>
    <t>2nd class teak wood planks 20 mm thick</t>
  </si>
  <si>
    <t>12.27.2</t>
  </si>
  <si>
    <t>12.27.2.1</t>
  </si>
  <si>
    <t>12.27.3</t>
  </si>
  <si>
    <t>White face insulating board:</t>
  </si>
  <si>
    <t>12.27.3.1</t>
  </si>
  <si>
    <t>12.27.4</t>
  </si>
  <si>
    <t>Flame retardant face insulating board:</t>
  </si>
  <si>
    <t>12.27.4.1</t>
  </si>
  <si>
    <t>12.27.5</t>
  </si>
  <si>
    <t>Standard quality hard board sheet:</t>
  </si>
  <si>
    <t>12.27.5.1</t>
  </si>
  <si>
    <t>3 mm thick</t>
  </si>
  <si>
    <t>12.27.5.2</t>
  </si>
  <si>
    <t>4.5 mm thick</t>
  </si>
  <si>
    <t>Extra for providing and fixing ceiling to curved surfaces in narrow widths</t>
  </si>
  <si>
    <t>Providing 10 mm thick plaster of Paris (gypsum anhydrous) ceiling up to a height of 5 m above floor level, over first class kail wood strips 25x6 mm with 10 mm gap in between and reinforced with rabbit wire mesh fixed to wooden frame (frame work to be paid separately):</t>
  </si>
  <si>
    <t>12.31.1</t>
  </si>
  <si>
    <t>Flat surfaces</t>
  </si>
  <si>
    <t>12.31.2</t>
  </si>
  <si>
    <t>Curved surfaces</t>
  </si>
  <si>
    <t>Extra for sunk or raised mouldings in the plaster of Paris (Gypsum anhydrous) ceiling.</t>
  </si>
  <si>
    <t>Extra for providing plaster of Paris (Gypsum anhydrous) ceiling above 5 metres height from floor level.</t>
  </si>
  <si>
    <t>sqm per metre height</t>
  </si>
  <si>
    <t>Providing fixing thermal insulation of ceiling (under deck insulation) with Resin Bonded Fibre glass wool conforming to IS : 8183, density 24kg / m3, 50mm thick, wrapped in 200 G Virgin Polythene bags, fixed to ceiling with metallic cleats (50x50x3 mm) @ 60 cm and wire mesh of 12.5 mm x 24 gauge wire mesh, for top most ceiling of building.</t>
  </si>
  <si>
    <t>Providing and fixing thermal insulation with Resin Bonded Fibre glass wool conforming to IS: 8183. Density 16 kg/m³, 50 mm thick, wrapped in 200G Virgin Polythene bags placed over existing false ceiling and held in position by criss-crossing GI wire.</t>
  </si>
  <si>
    <t>Thermal Insulation of roofing with Expanded polystyrene fixed with suitable adhesive to the false ceiling as per the directions of the Engineer-in-charge:</t>
  </si>
  <si>
    <t>12.36.1</t>
  </si>
  <si>
    <t>With Type N - Normal 50 mm thick</t>
  </si>
  <si>
    <t>12.36.2</t>
  </si>
  <si>
    <t>With Type SE - Self Extinguishing type 50 mm thick</t>
  </si>
  <si>
    <t>RAIN WATER SPOUT AND PIPE</t>
  </si>
  <si>
    <t>Providing and fixing 100 mm diameter and 60 cm long rain water spout in cement mortar 1:4 (1 cement : 4 fine sand).</t>
  </si>
  <si>
    <t>12.37.1</t>
  </si>
  <si>
    <t>Stone ware spout</t>
  </si>
  <si>
    <t>Providing and fixing M.S. holder bat clamps of approved design to C.I. or S.C.I. rain water pipes embedded in and including cement concrete blocks 10x10x10 cm of 1:2:4 mix (1 cement : 2 coarse sand : 4 graded stone aggregate 20 mm nominal size) and cost of cutting holes and making good the walls etc. :</t>
  </si>
  <si>
    <t>12.38.1</t>
  </si>
  <si>
    <t>100 mm diameter</t>
  </si>
  <si>
    <t>12.38.2</t>
  </si>
  <si>
    <t>150 mm diameter</t>
  </si>
  <si>
    <t>Providing lead caulked joints to sand cast iron rain water pipes and fittings:</t>
  </si>
  <si>
    <t>12.39.1</t>
  </si>
  <si>
    <t>100 mm dia Pipe</t>
  </si>
  <si>
    <t>12.39.2</t>
  </si>
  <si>
    <t>150 mm dia Pipe</t>
  </si>
  <si>
    <t>Providing, fixing and embedding sand cast iron accessories for rain water pipes in the masonry surrounded with 12 mm thick cement mortar of the same mix, as that of masonry (lead caulking will be paid for separately):</t>
  </si>
  <si>
    <t>12.40.1</t>
  </si>
  <si>
    <t>Sand cast iron plain shoes :</t>
  </si>
  <si>
    <t>12.40.1.1</t>
  </si>
  <si>
    <t>Providing and fixing on wall face unplasticised Rigid PVC rain water pipes conforming to IS : 13592 Type A, including jointing with seal ring conforming to IS : 5382, leaving 10 mm gap for thermal expansion, (i) Single socketed pipes.</t>
  </si>
  <si>
    <t>12.41.1</t>
  </si>
  <si>
    <t>75 mm diameter</t>
  </si>
  <si>
    <t>12.41.2</t>
  </si>
  <si>
    <t>110 mm diameter</t>
  </si>
  <si>
    <t>Providing and fixing on wall face unplasticised - PVC moulded fittings/ accessories for unplasticised Rigid PVC rain water pipes conforming to IS : 13592 Type A, including jointing with seal ring conforming to IS : 5382, leaving 10 mm gap for thermal expansion.</t>
  </si>
  <si>
    <t>12.42.1</t>
  </si>
  <si>
    <t>Coupler</t>
  </si>
  <si>
    <t>12.42.1.1</t>
  </si>
  <si>
    <t>12.42.1.2</t>
  </si>
  <si>
    <t>110 mm</t>
  </si>
  <si>
    <t>12.42.2</t>
  </si>
  <si>
    <t>Single pushfit Coupler</t>
  </si>
  <si>
    <t>12.42.2.1</t>
  </si>
  <si>
    <t>12.42.2.2</t>
  </si>
  <si>
    <t>12.42.3</t>
  </si>
  <si>
    <t>Single tee with door</t>
  </si>
  <si>
    <t>12.42.3.1</t>
  </si>
  <si>
    <t>75x75x75 mm</t>
  </si>
  <si>
    <t>12.42.3.2</t>
  </si>
  <si>
    <t>110x110x110 mm</t>
  </si>
  <si>
    <t>12.42.4</t>
  </si>
  <si>
    <t>Single tee without door</t>
  </si>
  <si>
    <t>12.42.4.1</t>
  </si>
  <si>
    <t>12.42.4.2</t>
  </si>
  <si>
    <t>12.42.5</t>
  </si>
  <si>
    <t>Bend 87.5°</t>
  </si>
  <si>
    <t>12.42.5.1</t>
  </si>
  <si>
    <t>75 mm bend</t>
  </si>
  <si>
    <t>12.42.5.2</t>
  </si>
  <si>
    <t>110 mm bend</t>
  </si>
  <si>
    <t>12.42.6</t>
  </si>
  <si>
    <t>Shoe (Plain)</t>
  </si>
  <si>
    <t>12.42.6.1</t>
  </si>
  <si>
    <t>75 mm Shoe</t>
  </si>
  <si>
    <t>12.42.6.2</t>
  </si>
  <si>
    <t>110 mm Shoe</t>
  </si>
  <si>
    <t>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t>
  </si>
  <si>
    <t>12.43.1</t>
  </si>
  <si>
    <t>12.43.2</t>
  </si>
  <si>
    <t>Providing and fixing to the inlet mouth of rain water pipe cast iron grating 15 cm diameter and weighing not less than 440 grams.</t>
  </si>
  <si>
    <t>Providing and fixing false ceiling 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50mm long with 6mm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t>
  </si>
  <si>
    <t>12.45.1</t>
  </si>
  <si>
    <t>12.5 mm thick tapered edge gypsum plain board conforming to IS: 2095- (Part I) :2011 (Board with BIS certification marks)</t>
  </si>
  <si>
    <t>12.45.2</t>
  </si>
  <si>
    <t>12.5 mm thick tapered edge Glass Reinforced Gypsum  (GRG) board conforming to IS: 2095- (Part 3):1996 (Boards with BIS certification marks)</t>
  </si>
  <si>
    <t>12.45.3</t>
  </si>
  <si>
    <t>12.5 mm thick tapered edge gypsum moisture resistant board</t>
  </si>
  <si>
    <t>12.45.4</t>
  </si>
  <si>
    <t>Fully Perforated Gypsum Plaster Board of size 1200 x 2400x12.5 mm having approx. 15 % perforated area with perforation size and pattern as approved by the Engineer-in-charge and as per manufacturer's specification, with all 4 side tapered and backed by acoustical tissue with NRC value not less than 0.60</t>
  </si>
  <si>
    <t>Providing and fixing to the inlet mouth of rain water pipe PTMT (an Engineering Thermoplastic) grating square (Slit) 150 mm square with a height of 8 mm and weighing not less than 100 gms.</t>
  </si>
  <si>
    <t>Providing &amp; fixing UV stabilised fiberglass reinforced plastic sheet roofing up to any pitch, including fixing with polymer coated 'J' or 'L' hooks, bolts &amp; nuts 8mm dia. G.I plain/bitumen washers complete but excluding the cost of purlins, rafters, trusses etc. The sheets shall be manufactured out of 2400 TEX panel rovigs incorporating minimum 0.3% ultra-violet stabiliser in resin system under approximately 2400 psi and hot cured. They shall be of uniform pigmentation and thickness without air pockets and shall conform to IS 10192 and IS 12866.The sheets shall be opaque or translucent, clear or pigmented, textured or smooth as specified.</t>
  </si>
  <si>
    <t>12.47.1</t>
  </si>
  <si>
    <t>2 mm thick corrugated (2.5" or 4.2" or 6") or step-down (2" or 3" or 6" ) as specified</t>
  </si>
  <si>
    <t>12.47.2</t>
  </si>
  <si>
    <t>2 mm thick flat</t>
  </si>
  <si>
    <t>Providing &amp; fixing on roof pressed clay tile (Mangalore tile) of 20 mm nominal thickness and of approved size and as per approved pattern on steel frame work complete (steel frame work to be paid separately).</t>
  </si>
  <si>
    <t>Providing &amp; laying on roof pressed clay tile ridge (Mangalore tile) of 20mm thickness and of approved pattern on steel frame work complete (steel frame work to be paid separately).</t>
  </si>
  <si>
    <t>Providing and fixing precoated galvanised iron profile sheets (size, shape and pitch of corrugation as approved by Engineer-in-Charge) of total coated thickness 0.50mm (base metal of minimum 0.45mm thickness with total coating thickness of 0.05mm)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Engineer-in-charge. The sheet shall be fixed using self drilling /self tapping screws of size (5.5x 55 mm) with EPDM seal, complete upto any pitch in horizontal/ vertical or curved surfaces, excluding the cost of purlins, rafters and trusses and including cutting to size and shape wherever required.</t>
  </si>
  <si>
    <t>Providing and fixing precoated galvanised steel sheet roofing accessories of total coated thickness 0.50mm (base metal of minimum 0.45mm thickness with total coating thickness of 0.05mm) with Zinc coating 120 grams per sqm as per IS: 277, in 240 mpa steel grade, 5-7 microns epoxy primer on both side of the sheet and polyester top coat 15-18 microns using self drilling/ self tapping screws complete :</t>
  </si>
  <si>
    <t>12.51.1</t>
  </si>
  <si>
    <t>Ridges plain (500 - 600mm)</t>
  </si>
  <si>
    <t>12.51.2</t>
  </si>
  <si>
    <t>Flashings/ Aprons.( Upto 600 mm)</t>
  </si>
  <si>
    <t>12.51.3</t>
  </si>
  <si>
    <t>12.51.4</t>
  </si>
  <si>
    <t>Barge board (Upto 300 mm)</t>
  </si>
  <si>
    <t>12.51.5</t>
  </si>
  <si>
    <t>Crimp curve</t>
  </si>
  <si>
    <t>12.51.6</t>
  </si>
  <si>
    <t>Gutter (600 mm over all girth)</t>
  </si>
  <si>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galvanised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t>
  </si>
  <si>
    <t>12.52.1</t>
  </si>
  <si>
    <t>GI Metal Ceiling  Lay in plain Tegular edge  Global white color tiles of size 595x595 mm, and 0.5 mm thick with 8 mm drop; made of  G I sheet having galvanizing of 100 gms/sqm (both sides inclusive) and electro statically polyester powder coated of thickness 60 microns (minimum), including factory painted after bending.</t>
  </si>
  <si>
    <t>12.52.2</t>
  </si>
  <si>
    <t>GI Metal Ceiling Lay in perforated Tegular edge global white color tiles of size 595x595 mm and 0.5 mm thick with 8 mm drop; made of GI sheet having galvanizing of 100 gms/sqm (both sides inclusive) and 20% perforation area with 1.8 mm dia holes and having NRC (Noise Reduction Coefficient ) of 0.5, electro statically polyester powder coated of thickness 60 microns (minimum), including factory painted after bending and perforation, and backed with a black Glass fiber acoustical fleece.</t>
  </si>
  <si>
    <t>12.52.3</t>
  </si>
  <si>
    <t>12.5 mm thick square edge PVC Laminated Gypsum Tile of size 595x595 mm, made of Gypsum plasterboard, manufactured from natural gypsum as per IS 2095 part I and laminated with white 0.16mm thick fire retardant PVC film on the face side and 12micron metalized polyester on the back side with all edges sealed with the face side PVC film which goes around and wraps the edges and is bonded to the edges and the back side metalized polyester film so as to make the tile a completely sealed unit.</t>
  </si>
  <si>
    <t>12.52.4</t>
  </si>
  <si>
    <t>12.5 mm thick fully Perforated Gypsum Board tile made from plasterboard having glass fibre conforming to IS: 2095 part I, of size 595x595 mm, having perforation of 9.7x9.7 mm at 19.4 mm c/c with center borders of 48 mm and the side borders of 30 mm, backed with non woven tissue on the back side, having an NRC (Noise Reduction Coefficient) of 0.79, with 50 mm resin bonded glass wool backing.</t>
  </si>
  <si>
    <t>Providing and Fixing 15 mm thick densified tegular edged eco friendly light weight calcium silicate false ceiling tiles of approved texture of size 595 x 595 mm in true horizontal level, suspended on inter locking metal grid of hot dipped galvanised steel sections (galvanising @ 120 grams per sqm including both side) consisting of main ‘T’ runner suitably spaced at joints to get required length and of size 24x38 mm made from 0.33 mm thick (minimum) sheet, spaced 1200 mm centre to centre, and cross “T” of size 24x28 mm made out of 0.33 mm (Minimum) sheet, 1200 mm long spaced between main’T’ at 600 mm centre to centre to form a grid of 1200x600 mm and secondary cross ‘T’ of length 600 mm and size 24 x28 mm made of 0.33 mm thick (Minimum) sheet to be inter locked at middle of the 1200x 600 mm panel to from grid of size 600x600 mm, resting on periphery walls /partitions on a Perimeter wall angle pre-coated steel of size(24x24X3000 mm made of 0.40 mm thick (minimum) sheet with the help of rawl plugs at 450 mm centre to centre with 25 mm long dry wall screws @ 230 mm interval and laying 15 mm thick densified edges calicum silicate ceiling tiles of approved texture in the grid, including, cutting/ making opening for services like diffusers, grills, light fittings, fixtures, smoke detectors etc., wherever required. Main ‘T’ runners to be suspended from ceiling using G.I. slotted cleats of size 25x35x1.6 mm fixed to ceiling with 12.5 mm dia and 50 mm long dash fasteners, 4 mm G.I. adjustable rods with galvanised steel level clips of size 85 x 30 x 0.8 mm, spaced at 1200 mm centre to centre along main ‘T’, bottom exposed with 24 mm of all Tsections shall be pre-painted with polyster baked paint, for all heights, as per specifications, drawings and as directed by Engineer-in-Charge.</t>
  </si>
  <si>
    <t>Note :- Only calcium silicate false ceiling area will be measured from wall to wall. No deduction shall be made for exposed frames/opening (cut outs) having area less than 0.30 sqm.The calcium silicate ceiling tile shall have NRC value of 0.50 (Minimum), light reflection &gt; 85%, non- combustible as per B.S. 476 part IV, 100% humidity resistance and also having thermal conductivity &lt;0.043 w/mK.</t>
  </si>
  <si>
    <t>Providing and fixing Gl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help of soffit cleat 37x27x25x1.6 mm, rawl plugs of size 38x12 mm and C carrier suspension clip and main carrier bracket at 1000 mm c/c. Inverted triangle shaped Spring Tee having height of 24 mm and width of 34 mm made of Gl steel 0.45 mm thick is then fixed to the main C carrier and in direction perpendicular to it at 600 mm centers with help of suspension brackets. Wherever the main C carrier and spring T have to join, C carrier and spring T connectors have to be used. All sections to be galvanized @ 120 gms/sqm (both side inclusive), fixing with clip in tiles into spring T with :</t>
  </si>
  <si>
    <t>12.54.1</t>
  </si>
  <si>
    <t>GI Metal Ceiling Clip in plain Beveled edge global white color tiles of size 600x600 and 0.5 mm thick with 25 mm height, made of G I sheet having galvanizing of 100 gms/ sqm (both sides inclusive) and electro statically polyester powder coated of thickness 60 microns (minimum), including factory painted after bending.</t>
  </si>
  <si>
    <t>12.54.2</t>
  </si>
  <si>
    <t>GI Metal Ceiling Clip in plain Beveled edge global white color tiles of size 600x600 and 0.5 mm thick with 25 mm height, made of G I sheet having galvanizing of 100 gms/ sqm (both sides inclusive) and 20% perforation area with 1.8 mm dia holes and having NRC of 0.5, electro statically polyester powder coated of thickness 60 microns (minimum), including factory painted after bending and perforation.</t>
  </si>
  <si>
    <t>Providing and fixing Heat Resistant Terrace Tiles (300 mm x 300 mm x 20 mm) with SRI (solar refractive index) &gt; 78, solar reflection &gt; 0.70 and initial emittance &gt; 0.75 on waterproof and sloped surface of terrace, laid on 20 mm thick cement sand mortar in the ratio of 1:4 (1 cement : 4 coarse sand) and grouting the joints with mix of white cement &amp; marble powder in ratio of 1:1, including rubbing and polishing of the surface upto 3 cuts complete, including providing skirting upto 150 mm height along the parapet walls in the same manner.</t>
  </si>
  <si>
    <t>Providing and laying roof insulation with 40 mm thick impervious sprayed, closed cell free Rigid Polyurethane foam over deck insulation conforming to IS - 12432 Pt. III (density of foam being 40-45 kg/ cum), over a coat of polyurethane primer applied @ 6-8 sqm per litre, laying 400 G polythene sheet over PUF spray and providing a wearing course of 40 mm thick cement screed 1:2:4 (1 cement : 2 coarse sand : 4 stone aggregate 20 mm nominal size) in chequered rough finish, in panels of 2.5 m x 2.5 m and embedding with 24 G wire netting and sealing the joints with polymerized mastic, all complete as per direction of Engineer-in-Charge.</t>
  </si>
  <si>
    <t>Providing and fixing thermal insulation with Resin Bonded Fibre glass wool conforming to IS: 8183 having density 24 kg/m3, 50 mm thick, wrapped in 200G Virgin Polythene Bags fixed to wall with screw, rawel plug &amp; washers and held in position by criss crossing GI wire etc. complete as per directions of Engineer-in-Charge.</t>
  </si>
  <si>
    <t>Providing and fixing tiled false ceiling of specified  materials of size 595x595 mm in true horizontal level, suspended on interlocking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adjustable rods with galvanized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t>
  </si>
  <si>
    <t>12.58.1</t>
  </si>
  <si>
    <t>8 mm thick fully perforated calcium silicate board made with Calcareous &amp; Siliceous materials reinforced with cellulose fiber manufactured through autoclaving process to give stable crystalline structure with minimum compressive strength 225 kg/ sq. cm, bending strength 100 kg/sq. cm , of size 595x595 mm, having perforation of dia. 10 mm with minimum perforated area 18 % with non woven tissue on the back side, having an NRC ( Noise Reduction Coefficient) of 0.85, with 50 mm thick rockwool of 48 kg /cum backing.</t>
  </si>
  <si>
    <t>Providing &amp; fixing false ceiling at all height including providing &amp; fixing of framework made of special section, power pressed from M.S. sheets and galvanised with zinc coating of 120 gms/ sqm (both side inclusive) as per IS : 277 and consisting of angle cleat of size 25mm wide x 1.6mm thick with flanges of 27mm and 37mm, at 1200mm c/c, one flange fixed to the ceiling with dash fastener 12.5mm dia x 50mm long with 6mm dia bolts, other flange of cleat fixed to the angle hangers of 25 x10 x0.50mm of required length with nuts &amp; bolts of required size and other end of angle hanger fixed with intermediate G.I chanels 45 x15 x 0.90mm running at the spacing of 1200 mm c/c, to which the ceiling section 0.5mm thick bottom wedge of 80mm with tapered flanges of 26 mm each having lips of 10.5mm, at 450mm c/c, shall be fixed in a direction perpendicular to G.I intermediate channel with connecting clip made out of 2.64mm dia x 230mm long G.I wire at every junction, including fixing perimeter channels 0.50mm thick 27mm high having flanges of 20mm and 30mm long, the perimeter of ceiling fixed to wall/ partitions with the help of Rawl plugs at 450mm centre, with 25mm long dry wall screws @ 230mm interval, including fixing of Calcium Silicate Board to ceiling section and perimeter channels with the help of dry wall screws of size 3.5 x25mm at 230mm c/c, including jointing &amp; finishing to a flush finish of tapered and square edges of the board with recommended jointing compounds, jointing tapes,finishing with jointing compounds in three layers covering up to 150mm on both sides of joints and two coats of primer suitable for boards, all as per manufacture's specification and also including the cost of making opening for light fittings, grills, diffusers, cut outs made with frame of perimeter channels suitably fixed, all complete as per drawings, specificaton and direction of the Engineer in charge but excluding the cost of painting with:</t>
  </si>
  <si>
    <t>12.59.1</t>
  </si>
  <si>
    <t>8 mm thick Calcium Silicate Board made with Calcareous &amp; Siliceous materials reinforced with cellulose fiber manufactured through autoclaving process.</t>
  </si>
  <si>
    <t>Providing and fixing thermal insulation of ceiling (under deck insulation) with Resin Bonded Rockwool conforming to IS: 8183,density 48 kg/ m3, 50 mm thick, wrapped in 200 G Virgin Polythene bags fixed to ceiling with metallic cleats (50x50x3 mm) @ 60 cm and wire mesh of 12.5mm x 24 gauge wire mesh, for top most ceiling of building.</t>
  </si>
  <si>
    <t>Providing and fixing thermal insulation with Resin bonded rock wool conforming to IS: 8183, density 48 kg/m3, 50 mm thick, wrapped in 200 G virgin Polythene bags placed over existing false ceilng and held in position by criss-crossing Gl wire.</t>
  </si>
  <si>
    <t>Providing and fixing thermal insulation with Resin Bonded rock wool conforming to IS: 8183, having density 48 kg/m3,50 mm thick,wrapped in 200 G Virgin Polythene Bags fixed to wall with screw, rawel plug &amp; washers and held and in position by criss cossing GI wire etc. complete as per directions of Engineer-in-Charge.</t>
  </si>
  <si>
    <t>Providing and applying two coats of High Albedo paint having minimum Solar Reflective Index (SRI) 108 (with solar reflectance &amp; thermal emittance tested as per ASTM) C 1549 and ASTM C 1371 respectively), VOC less than 10 cc/gm. The coating thickness and the methodology of application shall strctly as per manufacturer's specifications and as approved by Engineer-in-Charge. Surface preparation includes cleaning with metal wire brush to remove all dust, fungus etc., washing with water all complete. The contractor shall give guarantee for the perfomance of SRI and also the durabitity of coating, all complete as per direction of Engineer-in-Charge.</t>
  </si>
  <si>
    <t>Providing &amp; fixing at all heights, levels and locations Mill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t>
  </si>
  <si>
    <t>12.64.1</t>
  </si>
  <si>
    <t>0.56 mm, Aluminium troughed profile with center to center pitch of 200 mm, depth of 32 mm, overall profile width1092 mm, cover width 1000mm.</t>
  </si>
  <si>
    <t>12.64.2</t>
  </si>
  <si>
    <t>0.71mm, Aluminium troughed profile with centre to centre pitch of 200mm, depth of 32mm, overall profile width 1092mm, cover width 1000mm.</t>
  </si>
  <si>
    <t>12.64.3</t>
  </si>
  <si>
    <t>0.91 mm, troughed profile with center to center pitch of 200 mm, depth of 32 mm, overall profile width1092 mm, cover width 1000mm.</t>
  </si>
  <si>
    <t>12.64.4</t>
  </si>
  <si>
    <t>0.56mm Aluminium profile with center to center pitch of 175 mm, depth of 46mm, top crest width of 41mm, bottom valley width of 80mm, overall profile width of 1144mm, cover width 1050mm.</t>
  </si>
  <si>
    <t>12.64.5</t>
  </si>
  <si>
    <t>0.71mm Aluminium profile with center to center pitch of 175 mm, depth of 46mm, top crest width of 41mm, bottom valley width of 80mm, overall profile width of 1144mm, cover width 1050mm.</t>
  </si>
  <si>
    <t>12.64.6</t>
  </si>
  <si>
    <t>0.91mm Aluminium profile with center to center pitch of 175 mm, depth of 46mm, top crest width of 41mm, bottom valley width of 80mm, overall profile width of 1144mm, cover width 1050mm.</t>
  </si>
  <si>
    <t>12.64.7</t>
  </si>
  <si>
    <t>0.56mm Aluminium Circular (sinusoidal) profile with center to center pitch of 75 mm, depth of 19 mm, overall profile width 1250mm,cover width 1150mm.</t>
  </si>
  <si>
    <t>12.64.8</t>
  </si>
  <si>
    <t>0.71mm Aluminium Circular (sinusoidal) profile with center to center pitch of 75 mm, depth of 19 mm, overall profile width 1250mm,cover width 1150mm.</t>
  </si>
  <si>
    <t>12.64.9</t>
  </si>
  <si>
    <t>0.91mm Aluminium Circular (sinusoidal) profile with center to center pitch of 75 mm, depth of 19 mm, overall profile width 1250mm,cover width 1150mm.</t>
  </si>
  <si>
    <t>Providing &amp; fixing at all heights, levels and locations colour finish Aluminium alloy roofing sheets of alloy  IS designation  31500, temper Hx8 conforming to IS 737 and dimensions as per IS code 2676 with characteristics of good formability and corrosion resistance. The profile sheets shall be fixed to truss members in slope or required pitch or curvature with Hex cap headed self drilling/tapping Stainless steel screws M6, 50 mm long with 3 mm EPDM seal washer etc. all inclusive of labour, scaffolding, T&amp;P and sundries etc. complete as per directions of the Engineer-In-Charge. (Cost of truss/frame work shall be paid separately).</t>
  </si>
  <si>
    <t>12.65.1</t>
  </si>
  <si>
    <t>0.56 mm, Aluminium Color coated troughed profile with center to center pitch of 200 mm, depth of 32 mm, overall profile width1092 mm, cover width 1000mm.</t>
  </si>
  <si>
    <t>12.65.2</t>
  </si>
  <si>
    <t>0.71 mm, Aluminium Color coated troughed profile with center to center pitch of 200 mm, depth of 32 mm, overall profile width1092 mm, cover width 1000mm.</t>
  </si>
  <si>
    <t>12.65.3</t>
  </si>
  <si>
    <t>0.91 mm, Aluminium Color coated troughed profile with center to center pitch of 200 mm, depth of 32 mm, overall profile width1092 mm, cover width 1000mm.</t>
  </si>
  <si>
    <t>12.65.4</t>
  </si>
  <si>
    <t>0.56mm Aluminium color profile with center to center pitch of 175 mm, depth of 46mm, top crest width of 41mm, bottom valley width of 80mm, overall profile width of 1144mm, cover width 1050mm.</t>
  </si>
  <si>
    <t>12.65.5</t>
  </si>
  <si>
    <t>0.71mm Aluminium color coated profile with center to center pitch of 175 mm, depth of 46mm, top crest width of 41mm, bottom valley width of 80mm, overall profile width of 1144mm, cover width 1050mm.</t>
  </si>
  <si>
    <t>12.65.6</t>
  </si>
  <si>
    <t>0.91mm Aluminium color coated profile with center to center pitch of 175 mm, depth of 46mm, top crest width of 41mm, bottom valley width of 80mm, overall profile width of 1144mm, cover width 1050mm.</t>
  </si>
  <si>
    <t>12.65.7</t>
  </si>
  <si>
    <t>0.56 mm Aluminium profile with center to center pitch of 177.5 mm, depth of 28.5 mm, 987mm overall profile width, cover width 900mm</t>
  </si>
  <si>
    <t>12.65.8</t>
  </si>
  <si>
    <t>0.71 mm Aluminium profile with center to center pitch of 177.5 mm, depth of 28.5 mm, 987mm overall profile width, cover width 900mm</t>
  </si>
  <si>
    <t>Providing and fixing of Pre-coated colour or mill finish  Aluminium Roofing Accessories in 0.71 mm thickness ,Alloy 31500 (IS designation) [Aluminium Alloy (AA) 3004 (ISO designation)]  For color, coating shall be 5-7 microns epoxy primer on both sides of the sheet and polyester top coat 15-18 microns, using self drilling/tapping SS screws of size 6 x 50mm with 3mm thick EPDM seal and SS plain washer complete :</t>
  </si>
  <si>
    <t>12.66.1</t>
  </si>
  <si>
    <t>Precoated/mill finish aluminium Ridges plain (500- 600mm)</t>
  </si>
  <si>
    <t>12.66.2</t>
  </si>
  <si>
    <t>Precoated/mill finish aluminium Flashings/ Aprons (Upto 600 mm)</t>
  </si>
  <si>
    <t>12.66.3</t>
  </si>
  <si>
    <t>Precoated/mill finish aluminium North light curves</t>
  </si>
  <si>
    <t>12.66.4</t>
  </si>
  <si>
    <t>Precoated/mill finish aluminium Barge board (Upto 200 mm)</t>
  </si>
  <si>
    <t>12.66.5</t>
  </si>
  <si>
    <t>Precoated/mill finish aluminium Crimp curve</t>
  </si>
  <si>
    <t>12.66.6</t>
  </si>
  <si>
    <t>Precoated/mill finish aluminium Gutter (600 mm over all girth)</t>
  </si>
  <si>
    <t>13.0 FINISHING</t>
  </si>
  <si>
    <t>Note :- Rates for external plastic are for height upto 10m from ground level in less otherwise stated.</t>
  </si>
  <si>
    <t>CEMENT PLASTER (IN FINE SAND)</t>
  </si>
  <si>
    <t>12 mm cement plaster of mix :</t>
  </si>
  <si>
    <t>13.1.1</t>
  </si>
  <si>
    <t>1:4 (1 cement: 4 fine sand)</t>
  </si>
  <si>
    <t>13.1.2</t>
  </si>
  <si>
    <t>1:6 (1 cement: 6 fine sand)</t>
  </si>
  <si>
    <t>15 mm cement plaster on the rough side of single or half brick wall of mix :</t>
  </si>
  <si>
    <t>13.2.1</t>
  </si>
  <si>
    <t>13.2.2</t>
  </si>
  <si>
    <t>20 mm cement plaster of mix :</t>
  </si>
  <si>
    <t>13.3.1</t>
  </si>
  <si>
    <t>13.3.2</t>
  </si>
  <si>
    <t>CEMENT PLASTER (IN COARSE SAND)</t>
  </si>
  <si>
    <t>13.4.1</t>
  </si>
  <si>
    <t>1:4 (1 cement: 4 coarse sand)</t>
  </si>
  <si>
    <t>13.4.2</t>
  </si>
  <si>
    <t>1:6 (1 cement: 6 coarse sand)</t>
  </si>
  <si>
    <t>15 mm cement plaster on rough side of single or half brick wall of mix:</t>
  </si>
  <si>
    <t>13.5.1</t>
  </si>
  <si>
    <t>13.5.2</t>
  </si>
  <si>
    <t>13.6.1</t>
  </si>
  <si>
    <t>13.6.2</t>
  </si>
  <si>
    <t>CEMENT PLASTER WITH A FLOATING COAT OF NEAT CEMENT</t>
  </si>
  <si>
    <t>12 mm cement plaster finished with a floating coat of neat cement of mix :</t>
  </si>
  <si>
    <t>13.7.1</t>
  </si>
  <si>
    <t>1:3 (1 cement: 3 fine sand)</t>
  </si>
  <si>
    <t>13.7.2</t>
  </si>
  <si>
    <t>15 mm cement plaster on rough side of single or half brick wall finished with a floating coat of neat cement of mix :</t>
  </si>
  <si>
    <t>13.8.1</t>
  </si>
  <si>
    <t>13.8.2</t>
  </si>
  <si>
    <t>Cement plaster 1:3 (1 cement: 3 coarse sand) finished with a floating coat of neat cement.</t>
  </si>
  <si>
    <t>13.9.1</t>
  </si>
  <si>
    <t>12 mm cement plaster</t>
  </si>
  <si>
    <t>13.9.2</t>
  </si>
  <si>
    <t>20 mm cement plaster</t>
  </si>
  <si>
    <t>15 mm cement plaster 1:3 (1 cement: 3 coarse sand) finished with a floating coat of neat cement on the rough side of single or half brick wall.</t>
  </si>
  <si>
    <t>CEMENT PLASTER IN TWO COATS</t>
  </si>
  <si>
    <t>18 mm cement plaster in two coats under layer 12 mm thick cement plaster 1:5 (1 cement : 5 coarse sand) finished with a top layer 6 mm thick cement plaster 1:6 (1 cement : 6 fine sand).</t>
  </si>
  <si>
    <t>18 mm cement plaster in two coats under layer 12 mm thick cement plaster 1:5 (1 cement : 5 coarse sand) and a top layer 6 mm thick cement plaster 1:3 (1 cement : 3 coarse sand) finished rough with sponge.</t>
  </si>
  <si>
    <t>12 mm cement plaster 1:2 (1 cement : 2 stone dust).</t>
  </si>
  <si>
    <t>15 mm cement plaster 1:2 (1 cement : 2 stone dust) on the rough side of single or half brick wall.</t>
  </si>
  <si>
    <t>20 mm cement plaster 1:2 (1 cement : 2 stone dust).</t>
  </si>
  <si>
    <t>6MM CEMENT PLASTER</t>
  </si>
  <si>
    <t>6 mm cement plaster of mix :</t>
  </si>
  <si>
    <t>13.16.1</t>
  </si>
  <si>
    <t>1:3 (1 cement : 3 fine sand)</t>
  </si>
  <si>
    <t>6 mm cement plaster 1:3 (1 cement : 3 fine sand) finished with a floating coat of neat cement and thick coat of Lime wash on top of walls when dry for bearing of R.C.C. slabs and beams.</t>
  </si>
  <si>
    <t>Neat cement punning.</t>
  </si>
  <si>
    <t>ROUGH CAST PLASTER</t>
  </si>
  <si>
    <t>Rough cast plaster upto 10 m height above ground level with a mixture of sand and gravel or crushed stone from 6 mm to 10 mm nominal size, dashed over and including the fresh plaster in two layers, under layer 12 mm cement plaster 1:4 (1 cement : 4 coarse sand) and top layer 10 mm cement plaster 1:3 (1 cement : 3 fine sand) mixed with 10% finely grounded hydrated lime by volume of cement.</t>
  </si>
  <si>
    <t>13.19.1</t>
  </si>
  <si>
    <t>Ordinary cement finish using ordinary cement</t>
  </si>
  <si>
    <t>PEBBLE DASH PLASTER</t>
  </si>
  <si>
    <t>Pebble dash plaster upto 10 m height above ground level with a mixture of washed pebble or crushed stone 6 mm to 12.5 mm nominal size, dashed over and including fresh plaster in two layers under layer 12 mm cement plaster 1:4 (1 cement : 4 coarse sand) and top layer 10 mm cement plaster with cement mortar 1:3 (1 cement : 3 fine sand) mixed with 10% finely grounded hydrated lime by volume of cement.</t>
  </si>
  <si>
    <t>Extra for providing and mixing water proofing material in cement plaster work in proportion recommended by the manufacturers.</t>
  </si>
  <si>
    <t>per bag of 50kg cement used in the mix</t>
  </si>
  <si>
    <t>Extra for plastering exterior walls of height more than 10 m from ground level for every additional height of 3 m or part thereof.</t>
  </si>
  <si>
    <t>Extra for plastering on circular work not exceeding 6 m in radius:</t>
  </si>
  <si>
    <t>13.23.1</t>
  </si>
  <si>
    <t>In one coat</t>
  </si>
  <si>
    <t>13.23.2</t>
  </si>
  <si>
    <t>In two coats</t>
  </si>
  <si>
    <t>Extra for plastering done on moulding, cornices or architraves including neat finish to line and level:</t>
  </si>
  <si>
    <t>13.24.1</t>
  </si>
  <si>
    <t>13.24.2</t>
  </si>
  <si>
    <t>Extra for plastering:</t>
  </si>
  <si>
    <t>13.25.1</t>
  </si>
  <si>
    <t>Spherical ceiling</t>
  </si>
  <si>
    <t>13.25.2</t>
  </si>
  <si>
    <t>Groined ceiling</t>
  </si>
  <si>
    <t>13.25.3</t>
  </si>
  <si>
    <t>Flewing soffits</t>
  </si>
  <si>
    <t>Providing and applying plaster of paris putty of 2 mm thickness over plastered surface to prepare the surface even and smooth complete.</t>
  </si>
  <si>
    <t>ARTIFICIAL STONE PLASTER</t>
  </si>
  <si>
    <t>Extra for lining out plaster to imitate stone or concrete blocks walling.</t>
  </si>
  <si>
    <t>PLAIN CEMENT MORTAR BANDS</t>
  </si>
  <si>
    <t>12 mm thick plain cement mortar bands in cement mortar 1:4 (1 cement : 4 fine sand):</t>
  </si>
  <si>
    <t>13.28.1</t>
  </si>
  <si>
    <t>Flush Band</t>
  </si>
  <si>
    <t>cm per metre</t>
  </si>
  <si>
    <t>13.28.2</t>
  </si>
  <si>
    <t>Sunk Band</t>
  </si>
  <si>
    <t>13.28.3</t>
  </si>
  <si>
    <t>Raised Band</t>
  </si>
  <si>
    <t>13.28.4</t>
  </si>
  <si>
    <t>Moulded Band</t>
  </si>
  <si>
    <t>18 mm thick plain cement mortar band in cement mortar 1:4 (1 cement : 4 fine sand):</t>
  </si>
  <si>
    <t>13.29.1</t>
  </si>
  <si>
    <t>13.29.2</t>
  </si>
  <si>
    <t>13.29.3</t>
  </si>
  <si>
    <t>13.29.4</t>
  </si>
  <si>
    <t>18 mm thick moulded cement mortar band in two coats under layer 12 mm thick with cement mortar 1:5 (1 cement : 5 coarse sand) top layer 6 mm thick with cement mortar 1:4 (1 cement : 4 fine sand).</t>
  </si>
  <si>
    <t>POINTING ON BRICK WORK</t>
  </si>
  <si>
    <t>Pointing on brick work or brick flooring with cement mortar 1:3 (1 cement : 3 fine sand):</t>
  </si>
  <si>
    <t>13.31.1</t>
  </si>
  <si>
    <t>Flush / Ruled/ Struck or weathered pointing</t>
  </si>
  <si>
    <t>13.31.2</t>
  </si>
  <si>
    <t>Raised and cut pointing</t>
  </si>
  <si>
    <t>POINTING ON TILE BRICK WORK</t>
  </si>
  <si>
    <t>Pointing on tile brick work with cement mortar 1:3 (1 cement : 3 fine sand):</t>
  </si>
  <si>
    <t>13.32.1</t>
  </si>
  <si>
    <t>Flush/ Ruled/ Struck or weathered pointing</t>
  </si>
  <si>
    <t>POINTING ON STONE WORK</t>
  </si>
  <si>
    <t>Pointing on stone work with cement mortar 1:3 (1 cement : 3 fine sand) :</t>
  </si>
  <si>
    <t>13.33.1</t>
  </si>
  <si>
    <t>Flush/ Ruled pointing</t>
  </si>
  <si>
    <t>13.33.2</t>
  </si>
  <si>
    <t>Raised and cut pointing on stone work in white cement mortar 1:3 (1 white cement : 3 marble dust).</t>
  </si>
  <si>
    <t>Pointing on stone slab ceiling with cement mortar 1:2 (1 cement : 2 fine sand):</t>
  </si>
  <si>
    <t>13.35.1</t>
  </si>
  <si>
    <t>Extra for pointing on walls on the outside at height more than 10 m from ground level for every additional height of 3 m or part there of.</t>
  </si>
  <si>
    <t>INTERIOR FINISHING</t>
  </si>
  <si>
    <t>White washing with lime to give an even shade :</t>
  </si>
  <si>
    <t>13.37.1</t>
  </si>
  <si>
    <t>New work (three or more coats)</t>
  </si>
  <si>
    <t>A/R Modified</t>
  </si>
  <si>
    <t>Satna lime wash on walls with one coat.</t>
  </si>
  <si>
    <t>Colour washing such as green, blue or buff to give an even shade :</t>
  </si>
  <si>
    <t>13.39.1</t>
  </si>
  <si>
    <t>New work (two or more coats) with a base coat of white washing with lime</t>
  </si>
  <si>
    <t>13.39.2</t>
  </si>
  <si>
    <t>New work (two or more coats) with a base coat of whiting</t>
  </si>
  <si>
    <t>Distempering with 1st quality acrylic distemper (ready mixed) having VOC content less than 50 gram/litre, of approved manufacturer and of required shade and colour all complete to achieve even shade and colour :</t>
  </si>
  <si>
    <t>13.41.1</t>
  </si>
  <si>
    <t>New work (two or more coats) over and including water thinnable priming coat with cement primer having VOC content less than  50 gram/litre</t>
  </si>
  <si>
    <t>EXTERIOR FINISHING</t>
  </si>
  <si>
    <t>Finishing walls with water proofing cement paint of required shade :</t>
  </si>
  <si>
    <t>13.44.1</t>
  </si>
  <si>
    <t>New work (Two or more coats applied @ 3.84 kg/10 sqm)</t>
  </si>
  <si>
    <t>sy</t>
  </si>
  <si>
    <t>Finishing walls with textured exterior paint of required shade :</t>
  </si>
  <si>
    <t>13.45.1</t>
  </si>
  <si>
    <t>New work (Two or more coats applied @ 3.28 ltr/10 sqm) over and including priming coat of exterior primer applied @ 2.20kg/10 sqm</t>
  </si>
  <si>
    <t>Finishing walls with Acrylic Smooth exterior paint of required shade :</t>
  </si>
  <si>
    <t>13.46.1</t>
  </si>
  <si>
    <t>New work (Two or more coat applied @ 1.67 ltr/10 sqm over and including priming coat of exterior primer applied @ 0.90 litre/10 sqm)</t>
  </si>
  <si>
    <t>Finishing walls with Premium Acrylic Smooth exterior paint with Silicone additives of required shade:</t>
  </si>
  <si>
    <t>13.47.1</t>
  </si>
  <si>
    <t>New work (Two or more coats applied @ 1.43 ltr/10 sqm over and including priming coat of exterior primer applied @ 0.90 litre/10 sqm)</t>
  </si>
  <si>
    <t>Finishing with Deluxe Multi surface paint system for interiors and exteriors using Primer as per manufacturers specifications :</t>
  </si>
  <si>
    <t>13.48.1</t>
  </si>
  <si>
    <t>Two or more coats applied on walls @ 1.25 ltr/10 sqm over and including one coat of Special primer applied @ 0.75 ltr /10 sqm</t>
  </si>
  <si>
    <t>13.48.2</t>
  </si>
  <si>
    <t>Painting wood work with Deluxe Multi Surface Paint of required shade. Two or more coat applied @ 0.90 ltr/10 sqm over an under coat of primer applied @0.75 ltr/10 sqm of approved brand and manufacture</t>
  </si>
  <si>
    <t>13.48.3</t>
  </si>
  <si>
    <t>Painting Steel work with Deluxe Multi Surface Paint to give an even shade. Two or more coat applied @ 0.90 ltr/10 sqm over an under coat of primer applied @ 0.80 ltr/10 sqm of approved brand and manufacture</t>
  </si>
  <si>
    <t>13.48A</t>
  </si>
  <si>
    <t>Finishing walls with ready mixed Premium acrylic emulsion paint (Company Depot Tinted) having VOC less than 50 gm/litre and UV resistance as per IS 15489:2004, Alkali &amp; fungal resistance, dirt resistance exterior paint of required shade  with silicon additives.</t>
  </si>
  <si>
    <t>13.48A.1</t>
  </si>
  <si>
    <t>New work (Two or more coats applied @ 1.43 litre/ 10 sqm over and including priming coat of exterior primer applied @ 0.90 litre/10 sqm.</t>
  </si>
  <si>
    <t>Applying priming coat:</t>
  </si>
  <si>
    <t>13.50.1</t>
  </si>
  <si>
    <t>13.50.2</t>
  </si>
  <si>
    <t>With ready mixed aluminium primer of approved brand and manufacture on resinous wood and plywood</t>
  </si>
  <si>
    <t>13.50.3</t>
  </si>
  <si>
    <t>With ready mixed red oxide zinc chromate primer of approved brand and manufacture on steel galvanised iron/ steel works</t>
  </si>
  <si>
    <t>13.50.4</t>
  </si>
  <si>
    <t>With ready mixed red oxide zinc chromate primer of approved brand and manufacture on steel work (second coat)</t>
  </si>
  <si>
    <t>Painting with silicon &amp; acrylic emulsion based water thinnable sealer of approved brand and manufacture on wet or patchy portion of plastered surfaces :</t>
  </si>
  <si>
    <t>13.51.1</t>
  </si>
  <si>
    <t>One coat</t>
  </si>
  <si>
    <t>13.51.2</t>
  </si>
  <si>
    <t>Two coats</t>
  </si>
  <si>
    <t>Finishing with Epoxy paint (two or more coats) at all locations prepared and applied as per manufacturer's specifications including appropriate priming coat, preparation of surface, etc. complete.</t>
  </si>
  <si>
    <t>13.52.1</t>
  </si>
  <si>
    <t>On steel work</t>
  </si>
  <si>
    <t>13.52.2</t>
  </si>
  <si>
    <t>On concrete work</t>
  </si>
  <si>
    <t>Painting on G.S. sheet with synthetic enamel paint of approved brand and manufacture of required colour to give an even shade :</t>
  </si>
  <si>
    <t>13.53.1</t>
  </si>
  <si>
    <t>New work (two or more coats) including a coat of approved steel primer but excluding a coat of mordant solution</t>
  </si>
  <si>
    <t>Applying a coat of mordant solution on G.S. sheet:</t>
  </si>
  <si>
    <t>13.54.1</t>
  </si>
  <si>
    <t>With a solution of 38 gms of copper acetate in a litre of soft water</t>
  </si>
  <si>
    <t>13.54.2</t>
  </si>
  <si>
    <t>With a solution made of 13 gms of hydrochloric acid in a solution of 13 gms each of copper chloride, copper nitrate and ammonium chloride dissolved in a litre of soft water</t>
  </si>
  <si>
    <t>Painting (two or more coats) on rain water, soil waste and vent pipes and fittings with black anticorrosive bitumastic paint of approved brand and manufacture, over and including a priming of ready mixed zinc chromate yellow primer on new work:</t>
  </si>
  <si>
    <t>13.55.1</t>
  </si>
  <si>
    <t>100 mm diameter pipes</t>
  </si>
  <si>
    <t>13.55.2</t>
  </si>
  <si>
    <t>150 mm diameter pipes</t>
  </si>
  <si>
    <t>Painting (two or more coats) on rain water, soil waste and vent pipes and fittings with synthetic enamel paint of approved brand and manufacture and required colour over a priming coat of approved steel primer on new work.</t>
  </si>
  <si>
    <t>13.56.1</t>
  </si>
  <si>
    <t>30 mm thick Factory made PVC rigid foam panelled shutter as per IS:4020 (Plain) i/c carriage</t>
  </si>
  <si>
    <t>30 mm thick Factory made PVC rigid foam panelled shutter as per IS : 4020(Both side laminated) i/c carriage</t>
  </si>
  <si>
    <t>13.57.1</t>
  </si>
  <si>
    <t>New work (two or more coats)</t>
  </si>
  <si>
    <t>Providing and applying two coats of fire retardant paint on cleaned wood / ply surface @ 3.5 sqm per litre per coat including preparation of base surface as per recommendations of manufacturer to make the surface fire retardant.</t>
  </si>
  <si>
    <t>Coal tarring two coats on new work using 0.16 Litre and 0.12 litre coal tar per sqm in the first coat and second coat respectively.</t>
  </si>
  <si>
    <t>Factory made 50mmx47mm with a wall thickness of 5mm door frame PVC extruded sheet i/c carriage</t>
  </si>
  <si>
    <t>13.61.1</t>
  </si>
  <si>
    <t>Two or more coats on new work</t>
  </si>
  <si>
    <t>Painting with synthetic enamel paint of approved brand and manufacture of required colour to give an even shade :</t>
  </si>
  <si>
    <t>13.62.1</t>
  </si>
  <si>
    <t>Two or more coats on new work over an under coat of suitable shade with ordinary paint of approved brand and manufacture</t>
  </si>
  <si>
    <t>Painting with aluminium paint of approved brand and manufacture to give an even shade .</t>
  </si>
  <si>
    <t>13.63.1</t>
  </si>
  <si>
    <t>Painting with acid proof paint of approved brand and manufacture of required colour to give an even shade :</t>
  </si>
  <si>
    <t>13.64.1</t>
  </si>
  <si>
    <t>Painting with black anti-corrosive bitumastic paint of approved brand and manufacture to give an even shade :</t>
  </si>
  <si>
    <t>13.65.1</t>
  </si>
  <si>
    <t>Varnishing with varnish of approved brand and manufacture :</t>
  </si>
  <si>
    <t>13.67.1</t>
  </si>
  <si>
    <t>Two or more coats of glue sizing with copal varnish over an under coat of flatting varnish</t>
  </si>
  <si>
    <t>13.67.2</t>
  </si>
  <si>
    <t>Two or more coats glue sizing with spar varnish or an under coat of flatting varnish</t>
  </si>
  <si>
    <t>French spirit polishing :</t>
  </si>
  <si>
    <t>13.68.1</t>
  </si>
  <si>
    <t>Two or more coats on new works including a coat of wood filler</t>
  </si>
  <si>
    <t>Polishing on wood work with ready mixed wax polish of approved brand and manufacture :</t>
  </si>
  <si>
    <t>13.69.1</t>
  </si>
  <si>
    <t>New work</t>
  </si>
  <si>
    <t>Floor polishing on masonry or concrete floors with wax polish of approved brand and manufacture.</t>
  </si>
  <si>
    <t>Lettering with black Japan paint of approved brand and manufacture</t>
  </si>
  <si>
    <t>per letter per cm height</t>
  </si>
  <si>
    <t>Washed stone grit plaster on exterior walls height upto 10 metre above ground level, in two layers, under layer 12 mm cement plaster 1:4 (1 cement : 4 coarse sand ), furrowing the under layer with scratching tool, applying cement slurry on the under layer @ 2 Kg of cement per square metre, top layer 15 mm cement plaster 1:1/ 2:2 (1 cement: 1/2 coarse sand : 2 stone chipping 10 mm nominal size), in panels with groove all around as per approved pattern, including scrubbing and washing the top layer with brushes and water to expose the stone chippings ,complete as per specification and direction of Engineer-in-charge (payment for providing grooves shall be made separately).</t>
  </si>
  <si>
    <t>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 of the Engineer-in-charge :</t>
  </si>
  <si>
    <t>13.73.1</t>
  </si>
  <si>
    <t>15 mm wide and 15 mm deep groove</t>
  </si>
  <si>
    <t>13.73.2</t>
  </si>
  <si>
    <t>20 mm wide and 15 mm deep groove</t>
  </si>
  <si>
    <t>Extra for washed grit plaster on exterior walls of height more than 10 m from ground level for every additional height of 3 m or part thereof.</t>
  </si>
  <si>
    <t>Extra for washed stone grit plaster on circular work not exceeding 6 m in radius (in two coats).</t>
  </si>
  <si>
    <t>Forming groove of uniform size from 12x12 mm and upto 25x15 mm in the top layer of washed stone grit plastered surface as per approved pattern, including providing and fixing aluminum channels of appropriate size and thickness (not less than 2 mm), nailed to the under layer with rust proof screws and nails and finishing the groove complete as per specifications and direction of the Engineer-in-Charge.</t>
  </si>
  <si>
    <t>Extra for using white cement in place of ordinary cement in the top layer of the item of washed stone grit plaster.</t>
  </si>
  <si>
    <t>Providing and applying 12 mm thick (average) premixed formulated one coat gypsum lightweight plaster having additives and light weight aggregates as vermiculite/ perlite respectively conforming to IS: 2547 (Part - 1 &amp; II) 1976, applied on hacked / uneven background such as bare brick/ block/ RCC work on walls &amp; ceiling at all floors and locations, finished in smooth line and level etc. complete.</t>
  </si>
  <si>
    <t>Extra for addition of synthetic Polyester triangular fibre of length 6 mm, effective diameter 10-40 microns and specific gravity of 1.34 to 1.40 in cement plaster/mortar by using 125 gms. of synthetic Polyester triangular fibre for 50 Kgs. cement used in cement mortar as per directions of Engineer-in-Charge.</t>
  </si>
  <si>
    <t>Providing and applying white cement based putty of average thickness 1 mm, of approved brand and manufacturer, over the plastered wall surface to prepare the surface even and smooth complete.</t>
  </si>
  <si>
    <t xml:space="preserve">Distempering with 1st quality acrylic distemper (ready mixed) having VOC (Volatile Organic Compound ) content less than 50 gram/ litre, of approved brand and manufacturer  including applying additional coats wherever required to achieve even shade and colour </t>
  </si>
  <si>
    <t>13.81.1</t>
  </si>
  <si>
    <t>Old work (one or more coats)</t>
  </si>
  <si>
    <t>13.81.2</t>
  </si>
  <si>
    <t>Wall painting with acrylic emulsion paint, having VOC (Volatile Organic Compound ) content less than 50 grams/ litre, of approved brand and manufacture, including applying additional coats wherever required, to achieve even shade and colour.</t>
  </si>
  <si>
    <t>13.82.1</t>
  </si>
  <si>
    <t>13.82.2</t>
  </si>
  <si>
    <t>Wall painting with premium acrylic emulsion paint of interior grade, having VOC (Volatile Organic Compound ) content less than 50 grams/ litre of approved brand and manufacture, including applying additional coats wherever required to achieve even shade and colour.</t>
  </si>
  <si>
    <t>13.83.1</t>
  </si>
  <si>
    <t>13.83.2</t>
  </si>
  <si>
    <t>Applying priming coats with primer of approved brand and manufacture, having low VOC (Volatile Organic Compound ) content.</t>
  </si>
  <si>
    <t>13.85.1</t>
  </si>
  <si>
    <t>With ready mixed pink or grey primer on wood work (hard and soft wood) having VOC content less than 50 grams/ litre</t>
  </si>
  <si>
    <t>13.85.3</t>
  </si>
  <si>
    <t>With water thinnable cement primer on wall surface having VOC content less than 50 grams/litre</t>
  </si>
  <si>
    <t>6 mm plaster on cement concrete or reinforced cement concrete work with white cement based polymer modified self curing mortar of approved make as per the direction of Engineer-In-Charge.</t>
  </si>
  <si>
    <t>13.87.1</t>
  </si>
  <si>
    <t>Old work (two or more coats)</t>
  </si>
  <si>
    <t>13.87.2</t>
  </si>
  <si>
    <t>Removing white or colour wash by scrapping and sand papering and preparing the surface smooth including necessary repairs to scratches etc. complete</t>
  </si>
  <si>
    <t>13.90.1</t>
  </si>
  <si>
    <t>Removing dry or oil bound distemper, water proofing cement paint and the like by scrapping, sand papering and preparing the surface smooth including necessary repairs to scratches etc. complete.</t>
  </si>
  <si>
    <t>13.92.1</t>
  </si>
  <si>
    <t>Painting (two or more coats) on rain water, soil, waste and vent pipes and fittings with black anticorrosive bitumastic paint of approved brand and manufacture over and including a priming coat of ready mixed zinc chromate yellow primer on new work :</t>
  </si>
  <si>
    <t>13.93.1</t>
  </si>
  <si>
    <t>75 mm diameter pipes</t>
  </si>
  <si>
    <t>Painting (one or more coats) on rain water, soil waste and vent pipes and fittings with black anticorrosive bitumastic paint of approved brand and manufacture on old work :</t>
  </si>
  <si>
    <t>13.94.1</t>
  </si>
  <si>
    <t>13.94.2</t>
  </si>
  <si>
    <t>13.94.3</t>
  </si>
  <si>
    <t>Painting (two or more coats) on rain water, soil waste and vent pipes and fittings with aluminium paint of approved brand and manufacture over a priming coat of ready mixed zinc chromate yellow primer on new work :</t>
  </si>
  <si>
    <t>13.95.1</t>
  </si>
  <si>
    <t>13.95.2</t>
  </si>
  <si>
    <t>13.95.3</t>
  </si>
  <si>
    <t>Painting (one or more coats) on rain water, soil waste and vent pipes and fittings with synthetic enamel paint of approved brand and manufacture and required colour on old work :</t>
  </si>
  <si>
    <t>13.96.1</t>
  </si>
  <si>
    <t>13.96.2</t>
  </si>
  <si>
    <t>13.96.3</t>
  </si>
  <si>
    <t>Painting with oil type wood preservative of approved brand and manufacture:</t>
  </si>
  <si>
    <t>13.97.1</t>
  </si>
  <si>
    <t>13.98.1</t>
  </si>
  <si>
    <t>13.99.1</t>
  </si>
  <si>
    <t>One or more coats on old work</t>
  </si>
  <si>
    <t>Painting with aluminium paint of approved brand and manufacture to give an even shade:</t>
  </si>
  <si>
    <t>13.100.1</t>
  </si>
  <si>
    <t>13.101.1</t>
  </si>
  <si>
    <t>13.102.1</t>
  </si>
  <si>
    <t>13.103.1</t>
  </si>
  <si>
    <t>Polishing on wood work with ready made wax polish of approved brand and manufacture :</t>
  </si>
  <si>
    <t>13.104.1</t>
  </si>
  <si>
    <t>Old work</t>
  </si>
  <si>
    <t>Re-lettering with black Japan paint of approved brand and manufacture.</t>
  </si>
  <si>
    <t>Painting (one or more coats) with black Japan paint of approved brand and manufacture to give an even shade.</t>
  </si>
  <si>
    <t>Providing and fixing C.P. brass chain and rubber plug complete for sink or wash basin:</t>
  </si>
  <si>
    <t>13.107.1</t>
  </si>
  <si>
    <t>32 mm dia</t>
  </si>
  <si>
    <t>13.107.2</t>
  </si>
  <si>
    <t>40 mm dia</t>
  </si>
  <si>
    <t>13.108.1</t>
  </si>
  <si>
    <t>13.109.1</t>
  </si>
  <si>
    <t>Old work (one or more coats applied @ 2.20 kg/10 sqm) over priming coat of primer applied @ 0.80 litrs/10 sqm complete including cost of Priming coat.</t>
  </si>
  <si>
    <t>13.109.2</t>
  </si>
  <si>
    <t>Old work (one or more coats @ 2.20 kg/10 sqm) complete.</t>
  </si>
  <si>
    <t>13.110.1</t>
  </si>
  <si>
    <t>Old work (Two or more coats on existing cement paint surface applied @ 3.28 ltr/10 sqm.</t>
  </si>
  <si>
    <t>13.110.2</t>
  </si>
  <si>
    <t>Old work (One or more coats) applied @ 1.82 ltr/10 sqm.</t>
  </si>
  <si>
    <t>13.111.1</t>
  </si>
  <si>
    <t>Old work (Two or more coat applied @ 1.67 ltr/ 10 sqm) on existing cement paint surface</t>
  </si>
  <si>
    <t>13.111.2</t>
  </si>
  <si>
    <t>Old work (One or more coat applied @ 0.90 ltr/10 sqm).</t>
  </si>
  <si>
    <t>Finishing walls with Premium Acrylic Smooth exterior paint with Silicone additives of required shade</t>
  </si>
  <si>
    <t>13.112.1</t>
  </si>
  <si>
    <t>Old work (Two or more coats applied @ 1.43 ltr/ 10 sqm) over existing cement paint surface</t>
  </si>
  <si>
    <t>13.112.2</t>
  </si>
  <si>
    <t>Old work (one or more coats applied @ 0.83 ltr/10 sqm).</t>
  </si>
  <si>
    <t>Varnishing with varnish of approved brand and manufacture:</t>
  </si>
  <si>
    <t>13.113.1</t>
  </si>
  <si>
    <t>One or more coats with copal varnish</t>
  </si>
  <si>
    <t>13.113.2</t>
  </si>
  <si>
    <t>One or more coats with spar varnish</t>
  </si>
  <si>
    <t>Melamine polishing on wood work (one or more coat).</t>
  </si>
  <si>
    <t>Varnishing with flatting varnish of approved brand and manufacture one or more coats on old work.</t>
  </si>
  <si>
    <t xml:space="preserve">Polishing in high gloss/matt finish melamine clear polish on wood work in required color/wooden shade texture with following process in the sequence as detailed below:
1.  The surface to be polished is rubbed with sand paper 80/120 no. and then with sand paper of 160/180 nos.
2. Applying two coats of sealer with spray gun and allowing sufficient drying time for 1st coat and 2nd coat is allowed to dry for 8 to 12 hrs.
3. On drying of sealer coat, wet rubbing with emery cloth of finer grading with ample water to remove excess sealer layer and make the surface further smooth after this wet rubbing, then surface is applied with special grade melamine fillers to fill all the small and big holes/grooves etc. Filler coat to be allowed to dry for 4 to 6 hrs on which again a light wet rubbing is done this surface is further allowed to dry for 12 hrs.
4. On this, 1st coat of melamine polish is applied with spray gun using melamine clear polish and melamine thinner in required proportion. This 1st coat is allowed to dry for 24 hrs then this dry surface is again fine wet rubbed smooth, which is further allowed to dry for 12 hrs. The final melamine polish is applied with compressor pressure spray gun using melamine clear polish and melamine thinner mixed in required proportion complete as per direction of Engineer-in-Charge. (Final coat to be done in 1 or 2 layers without gap of time.)
</t>
  </si>
  <si>
    <t>14.0 REPAIRS TO BUILDING</t>
  </si>
  <si>
    <t>Repairs to plaster of thickness 12 mm to 20 mm in patches of area 2.5 sq.meters and under, including cutting the patch in proper shape, raking out joints and preparing and plastering the surface of the walls complete, including disposal of rubbish to the dumping ground, all complete as per direction of Engineer-in-Charge.</t>
  </si>
  <si>
    <t>14.1.1</t>
  </si>
  <si>
    <t>With cement mortar 1:4 (1 cement : 4 fine sand)</t>
  </si>
  <si>
    <t>14.1.2</t>
  </si>
  <si>
    <t>With cement mortar 1:4 (1cement: 4 coarse sand)</t>
  </si>
  <si>
    <t>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 of Engineer-in-Charge.</t>
  </si>
  <si>
    <t>14.2.1</t>
  </si>
  <si>
    <t>Door chowkhats</t>
  </si>
  <si>
    <t>14.2.2</t>
  </si>
  <si>
    <t>Window chowkhats</t>
  </si>
  <si>
    <t>14.2.3</t>
  </si>
  <si>
    <t>Clerestory window chowkhats</t>
  </si>
  <si>
    <t>Fixing chowkhat in existing opening in brick/ RCC wall with dash fasteners/Chemical fasteners of appropriate size (3 nos on each vertical member of door chowkhat and 2 nos on each vertical member of window chowkhats), including Cost of dash fasteners/ chemical fastener.</t>
  </si>
  <si>
    <t>Making the opening in brick masonry including dismantling in floor or walls by cutting masonry and making good the damages to walls, flooring and jambs complete, to match existing surface i/c disposal of mulba/ rubbish to the nearest municipal dumping ground, all complete as per direction of Engineer-in-Charge.</t>
  </si>
  <si>
    <t>14.4.1</t>
  </si>
  <si>
    <t>For door/ window/ clerestory window</t>
  </si>
  <si>
    <t>Renewing glass panes, with putty and nails wherever necessary including racking out the old putty:</t>
  </si>
  <si>
    <t>14.5.1</t>
  </si>
  <si>
    <t>Float glass panes of nominal thickness 4 mm (weight not less than 10kg/sqm)</t>
  </si>
  <si>
    <t>14.5.2</t>
  </si>
  <si>
    <t>Float glass panes of nominal thickness 5 mm (weight not less than 12.5kg/sqm)</t>
  </si>
  <si>
    <t>Renewing glass panes, with wooden fillets wherever necessary:</t>
  </si>
  <si>
    <t>14.6.1</t>
  </si>
  <si>
    <t>14.6.2</t>
  </si>
  <si>
    <t>Renewing glass panes and refixing existing wooden fillets:</t>
  </si>
  <si>
    <t>14.7.1</t>
  </si>
  <si>
    <t>14.7.2</t>
  </si>
  <si>
    <t>Supplying and fixing new wooden fillets wherever necessary:</t>
  </si>
  <si>
    <t>14.8.1</t>
  </si>
  <si>
    <t>2nd class teak wood fillets</t>
  </si>
  <si>
    <t>14.8.2</t>
  </si>
  <si>
    <t>Hollock wood fillets</t>
  </si>
  <si>
    <t>Renewal of old putty of glass panes (length)</t>
  </si>
  <si>
    <t>Refixing old glass panes with putty and nails</t>
  </si>
  <si>
    <t>Fixing old glass panes with wooden fillets (excluding cost of fillets)</t>
  </si>
  <si>
    <t>Providing and fixing 16 mm M.S. Fan clamps of standard shape and size in existing R.C.C. slab, including cutting chase, anchoring clamp to reinforcement bar, including cleaning, refilling, making good the chase with matching concrete, plastering and painting the exposed portion of the clamps complete.</t>
  </si>
  <si>
    <t>Regrading terracing of mud phaska covered with tiles or brick, in cement mortar by dismantling tiles or bricks, removing mud plaster, preparing the surface of mud phaska to proper slope, relaying mud plaster gobri leaping and tiles or bricks, grouted in cement mortar 1:3 (1 cement : 3 fine sand), including replacing unserviceable tiles or bricks with new ones and disposal of unserviceable material to the dumping ground (the cost of the new tiles or brick excluded), all complete as per direction of Engineer-in-Charge.</t>
  </si>
  <si>
    <t>Replacing sand stone slabs in roofing, laid in cement mortar 1:4 (1 cement : 4 coarse sand), including necessary repairs and cement pointing with same mortar complete, including disposal of rubbish to dumping ground, all complete as per direction of Engineer-in-Charge.</t>
  </si>
  <si>
    <t>14.14.1</t>
  </si>
  <si>
    <t>Red/ white sand stone slabs 30 to 50 mm thick</t>
  </si>
  <si>
    <t>Renewing wooden battens in roofs, including making good the holes in wall and painting with oil type wood preservative of approved brand and manufacture complete, including removal of rubbish to the dumping ground, all complete as per direction of Engineer-in-Charge.</t>
  </si>
  <si>
    <t>14.15.1</t>
  </si>
  <si>
    <t>Sal wood battens</t>
  </si>
  <si>
    <t>Renewing wooden beams in roofs including making good the holes in walls and painting with oil type wood preservative of approved brand and manufacture complete, including removal of rubbish to the dumping ground, all complete as per direction of Engineer-in-Charge.</t>
  </si>
  <si>
    <t>14.16.1</t>
  </si>
  <si>
    <t>Not exceeding 4.00 metres in length.</t>
  </si>
  <si>
    <t>14.16.1.1</t>
  </si>
  <si>
    <t>Sal wood beams</t>
  </si>
  <si>
    <t>14.16.1.2</t>
  </si>
  <si>
    <t>Hollock wood beams</t>
  </si>
  <si>
    <t>14.16.2</t>
  </si>
  <si>
    <t>Above 4.00 metres and upto 5.00 metres length.</t>
  </si>
  <si>
    <t>14.16.2.1</t>
  </si>
  <si>
    <t>14.16.2.2</t>
  </si>
  <si>
    <t>Raking out joints in lime or cement mortar and preparing the surface for re-pointing or replastering, including disposal of rubbish to the dumping ground, all complete as per direction of Engineer-in-Charge.</t>
  </si>
  <si>
    <t>Flush pointing with cement mortar 1:3 (1 cement : 3 fine sand) mixed with 2% of integral water proofing compound by weight of cement for flat tile bricks on top of mud phaska :</t>
  </si>
  <si>
    <t>14.18.1</t>
  </si>
  <si>
    <t>With F.P.S. brick tiles</t>
  </si>
  <si>
    <t>14.18.2</t>
  </si>
  <si>
    <t>With modular brick tiles</t>
  </si>
  <si>
    <t>Taking out wind ties from roof including cutting out rusted bolts, nuts etc. and removing materials to any distance within compound and stacking.</t>
  </si>
  <si>
    <t>Fixing of old wind tie with new fittings including painting two or more coats with anticorrosive bitumastic paint of approved brand &amp; manufacturer over and including priming coat of ready mixed zinc chromate yellow primer of approved brand.</t>
  </si>
  <si>
    <t>Renewing bottom rail and/or top runner of collapsible gate including making good all damages and applying priming coat of zinc chromate yellow primer of approved brand and manufacturer.</t>
  </si>
  <si>
    <t>Renewing Wrought iron or M.S. Wheel or roller of steel door or gate and fitting and fixing the same with necessary clamps, nuts and bolts/welding and erection etc. complete.</t>
  </si>
  <si>
    <t>14.22.1</t>
  </si>
  <si>
    <t>Wheel 50 mm dia and below</t>
  </si>
  <si>
    <t>per wheel</t>
  </si>
  <si>
    <t>14.22.2</t>
  </si>
  <si>
    <t>Wheel above 50 mm dia</t>
  </si>
  <si>
    <t>EARTH WORK</t>
  </si>
  <si>
    <t>Pumping out water caused by springs, tidal or river seepage, broken water mains or drains and the like.</t>
  </si>
  <si>
    <t>kilo litre</t>
  </si>
  <si>
    <t>DELETED</t>
  </si>
  <si>
    <t>BRICK WORK</t>
  </si>
  <si>
    <t>Brick work with common burnt clay bricks of class designation 7.5 in mud mortar</t>
  </si>
  <si>
    <t>WOOD WORK</t>
  </si>
  <si>
    <t>14.26.1</t>
  </si>
  <si>
    <t>14.26.1.1</t>
  </si>
  <si>
    <t>Superior class teak wood including nickel plated bright finished M.S. piano hinges with necessary screws.</t>
  </si>
  <si>
    <t>14.26.1.2</t>
  </si>
  <si>
    <t>Ist class teak wood including nickel plated bright finished M.S. piano hinges with necessary screws.</t>
  </si>
  <si>
    <t>14.26.2</t>
  </si>
  <si>
    <t>14.26.2.1</t>
  </si>
  <si>
    <t>14.26.2.2</t>
  </si>
  <si>
    <t>Providing and fixing plain jaffri door and window shutters including bright or/and black enamelled M.S. butt hinges with necessary screws 35x10 mm laths placed 35 mm apart (frames to be paid separately), including fixing 50x12 mm beading complete with :</t>
  </si>
  <si>
    <t>14.27.1</t>
  </si>
  <si>
    <t>Providing and fixing brass curtain rods of  wall thickness 1.25 mm with two brass brackets fixed with brass screws and wooden plugs etc. wherever necessary complete.</t>
  </si>
  <si>
    <t>14.28.1</t>
  </si>
  <si>
    <t>20 mm diameter.</t>
  </si>
  <si>
    <t>14.28.2</t>
  </si>
  <si>
    <t>25 mm diameter.</t>
  </si>
  <si>
    <t>Providing and fixing M.S. round or square bars with M.S. flats at required spacing in wooden frames of windows and clerestory windows.</t>
  </si>
  <si>
    <t>Providing joists (karries) including hoisting, fixing in position and applying wood preservative on unexposed surface etc. complete with :</t>
  </si>
  <si>
    <t>14.30.1</t>
  </si>
  <si>
    <t>14.30.2</t>
  </si>
  <si>
    <t>Providing and fixing bright finished brass single acting spring hinges with necessary brass screws etc. complete :</t>
  </si>
  <si>
    <t>14.31.1</t>
  </si>
  <si>
    <t>14.31.2</t>
  </si>
  <si>
    <t>14.31.3</t>
  </si>
  <si>
    <t>Providing and fixing bright finished brass double acting spring hinges with necessary brass screws etc. complete :</t>
  </si>
  <si>
    <t>14.32.1</t>
  </si>
  <si>
    <t>14.32.2</t>
  </si>
  <si>
    <t>14.32.3</t>
  </si>
  <si>
    <t>Providing and fixing bright finished brass flush bolts with necessary brass screws etc. complete :</t>
  </si>
  <si>
    <t>14.33.1</t>
  </si>
  <si>
    <t>250 mm</t>
  </si>
  <si>
    <t>14.33.2</t>
  </si>
  <si>
    <t>14.33.3</t>
  </si>
  <si>
    <t>Providing and fixing 150 mm bright finished floor brass door stopper with rubber cushion, necessary brass screws etc. to suit shutter thickness complete</t>
  </si>
  <si>
    <t>Providing and fixing bright finished brass hard drawn hooks and eyes :</t>
  </si>
  <si>
    <t>14.35.1</t>
  </si>
  <si>
    <t>300 mm</t>
  </si>
  <si>
    <t>14.35.2</t>
  </si>
  <si>
    <t>14.35.3</t>
  </si>
  <si>
    <t>14.35.4</t>
  </si>
  <si>
    <t>14.35.5</t>
  </si>
  <si>
    <t>Providing and fixing bright finished brass fan light pivot with necessary brass screws etc. complete.</t>
  </si>
  <si>
    <t>Providing and fixing 300 mm long bright finished brass chain with hook for fan light including necessary brass screws etc. complete.</t>
  </si>
  <si>
    <t>Providing and fixing bright finished brass quadrant stay 300 mm long with necessary brass screws etc. complete.</t>
  </si>
  <si>
    <t>Providing and fixing bright finished brass helical door spring (superior quality).</t>
  </si>
  <si>
    <t>Providing and fixing chromium plated brass butt hinges with necessary chromium plated brass screws etc. complete.</t>
  </si>
  <si>
    <t>14.40.1</t>
  </si>
  <si>
    <t>14.40.2</t>
  </si>
  <si>
    <t>14.40.3</t>
  </si>
  <si>
    <t>14.40.4</t>
  </si>
  <si>
    <t>14.40.5</t>
  </si>
  <si>
    <t>Providing and fixing 85x42 mm chromium plated brass pull bolt lock with necessary chromium plated brass screws, nuts, bolts and washers etc. complete.</t>
  </si>
  <si>
    <t>FINISHING</t>
  </si>
  <si>
    <t xml:space="preserve">Providing and fixing double scaffolding system (cup lock type) on the exterior side, up to seven story height made with 40 mm dia M.S. tube 1.5 m centre to centre, horizontal &amp; vertical tubes joining with cup &amp; lock system with M.S. tubes, M.S. tube challies, M.S. clamps and M.S. staircase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locations with essential safety features for the workmen etc. complete as per directions and approval of Engineer-in-charge .The elevational area of the scaffolding shall be measured for payment purpose .The payment will be made once irrespective of duration of scaffolding. </t>
  </si>
  <si>
    <t>Note: - This item to be used for maintenance work judicially, necessary deduction for scaffolding in the existing item to be done.</t>
  </si>
  <si>
    <t>Providing and fixing bright finished brass casement window fasteners or peg stays to windows/ ventilators with necessary welding and machine screws etc. complete.</t>
  </si>
  <si>
    <t>Providing and fixing 14 mm bright finished brass spring catch to steel centre hung ventilators with necessary welding and machine screws etc. complete.</t>
  </si>
  <si>
    <t>Repair to plaster of thickness 12mm to 20 mm in patches of area 2.5 sqm and under, including cutting the patch in proper shape, raking out joints and preparing plastering the wall surface with white cement based polymer modified  self curing mortar, including disposal of rubbish, all complete  as per the direction of Engineer-In-Charge.</t>
  </si>
  <si>
    <t>ROUTINE MAINTENANCE WORK</t>
  </si>
  <si>
    <t>14.75A</t>
  </si>
  <si>
    <t>Cleaning of terrace/loft water storage tank (inside surface area) upto 2000 litre capacity at all heights with coconut brushes, duster etc., removal of silt, rubbish from the tank and cleaning the tank with fresh water disinfecting with bleaching powder @ 0.5gm per litre capacity of tank including marking the date of cleaning on the side of tank body with the help of stencil and paint and disposing of malba all complete as per direction of Engineer-in-Charge. (The old date already written on tank should be removed with paint remover or black paint and if date is not written with the stencil or old date is not removed deduction will be made @ Rs. 0.10 per litre) (if during cleaning any GI fittings or ball cock is damaged that is to be repaired by contractor at his own cost and nothing extra will be paid on this account)</t>
  </si>
  <si>
    <t>Cleaning and desilting of gully trap chamber, including removal of rubbish mixed with earth etc. and disposal of same, all as per the direction of Engineer-in-charge.</t>
  </si>
  <si>
    <t xml:space="preserve">Cleaning of chocked sewer line by diesel running vehicle mounting hydraulic operated high pressure suction cum jetting sewer cleaning machine fitted with pump having 4000 litres suction capacity and 6000 litres water jetting tank capacity including skilled operator, supervising engineer etc. for cleaning and partial desilting of manholes and dechocking of sewer lines. Dechocking and flushing of sewer line from one manhole to another by high pressure jetting system of 2200 PSI for sewer line from 150mm dia upto 300mm </t>
  </si>
  <si>
    <t>Cleaning of under ground sump, Over Head R.C.C. Tank ( independent staging) including disposal of slit and rubbish, all as per direction of Engineer-in-Charge. The cleaning shall consist  following operations:-</t>
  </si>
  <si>
    <t>(i)Tank shall be emptied of water by pumping &amp; bottom shall be cleaned of silt and other  deposits.</t>
  </si>
  <si>
    <t>(ii) Entire surface area of the sump shall then scrubbed thoroughly with wire brush etc. and pressure washed with water.</t>
  </si>
  <si>
    <t>(iii) Chlorination of RCC internal surface by liquid chlorine.</t>
  </si>
  <si>
    <t>(iv) The treated surface shall be dried using air jetting and all loose particles shall be removal from the surface.</t>
  </si>
  <si>
    <t>(v) Finally the surface shall be treated with ultraviolet radiation etc. as per direction of Engineer-in-Charge.</t>
  </si>
  <si>
    <t>Disconnecting damaged overhead/terrace PVC water storage tank  of any size from water supply line and removing from the terrace including shifting at ground level as per direction of Engineer-in-charge.</t>
  </si>
  <si>
    <t>Providing &amp; fixing White vitreous china water closet squatting pan (Indian type) along with  "S" or "P" trap including dismantling of old WC seat and "S" or "P" trap at site complete with all operations including all necessary materials, labour and disposal of dismantled material i/c malba, all complete as per the direction of Engineer-in charge.</t>
  </si>
  <si>
    <t>14.80.1</t>
  </si>
  <si>
    <t>Long pattern W.C Pan of size 580x440 mm</t>
  </si>
  <si>
    <t>14.80.2</t>
  </si>
  <si>
    <t>Orissa pattern W.C Pan of size 580x440 mm</t>
  </si>
  <si>
    <t>Cutting holes of required size in brick masonry wall for fixing of exhaust fan including providing and fixing 300 mm dia PVC pipe conforming BIS-12818 and making good the same etc. complete as per direction of Engineer-in-charge.</t>
  </si>
  <si>
    <t>Dismantling  W.C.  Pan of all sizes including disposal of dismantled materials i/c malba all complete as per directions of Engineer-in-Charge.</t>
  </si>
  <si>
    <t>Hacking of CC flooring including cleaning for surface etc. complete as per direction of the Engineer-in-Charge.</t>
  </si>
  <si>
    <t>Dismantling 15 to 40 mm dia G.I. pipe including stacking of dismantled pipes (within 50 metres lead) as per direction of Engineer-in-Charge.</t>
  </si>
  <si>
    <t>(a) Internal Work- Exposed on wall</t>
  </si>
  <si>
    <t>Taking out existing wooden door shutter, repair by cutting, painting etc. and refixing of repaired door shutters to existing door frames, including replacement of hinges with screws, etc. as required, all complete as per the direction of the Engineer-in-charge.</t>
  </si>
  <si>
    <t>Providing and laying in situ seven course water proofing treatment with APP (Atactic poly-propylene) modified Polymeric memberane over roof consisting of first coat of bitumen primer @ 0.40 litre per sqm, 2nd, 4th &amp; 6th courses of bonding material @ 1.20 Kg/sqm, which shall consist of blown type bitumen of grade 85/25 conforming to IS : 702, 3rd and 5th layers of roofing membrane APP modified Polymeric membrane 1.5 mm thick of 2.25 Kg/sqm weight consisting of five layers prefabricated with centre core as 20 micron HMHDPE film sandwiched on both sides with polymeric mix and the polymeric mix is protected on both side with 20 micron HMHDPE film. 7th, the top most layer shall be finished with brick tiles of class designation 10 grouted with cement mortar 1:3 (1cement : 3 fine sand) mixed with 2% integral water proofing compound by weight of cement over a 12 mm layer of cement mortar 1:3 (1 cement : 3 fine sand) and finished neat (item of laying brick tiles shall be paid for separately).</t>
  </si>
  <si>
    <t>Providing and laying in situ five course water proofing treatment with APP (Atactic Polypropylene) modified Polymeric memberane over roof consisting of first coat of bitumen primer @ 0.40 litre per sqm, 2nd &amp; 4th courses of bonding material @ 1.20 kg/sqm, which shall consist of blown type bitumen of grade 85/25 conforming to IS : 702, 3rd layer of roofing membrane APP modified Polymeric membrane 2.0 mm thick of 3.00 Kg/ sqm weight consisting of five layers prefabricated with centre core as 100 micron HMHDPE film sandwiched on both sides with polymeric mix and the polymeric mix is protected on both side with 20 micron HMHDPE film. 5th, the top most layer shall be finished with brick tiles of class designation 10 grouted with cement mortar 1:3 (1 cement : 3 fine sand) mixed with 2% integral water proofing compound by weight of cement over a 12 mm layer of cement mortar 1:3 (1 cement : 3 fine sand) and finished neat (item of laying brick tiles shall be paid for separately).</t>
  </si>
  <si>
    <t>Providing and laying in situ seven course water proofing treatment with APP (Atactic Polypropylene) modified Polymeric memberane over roof consisting of first coat of bitumen primer @ 0.40 litre per sqm, 2nd, 4th &amp; 6th courses of bonding material @ 1.20 kg/sqm, which shall consist of blown type bitumen of grade 85/25 conforming to IS : 702, 3rd and 5th layers of roofing membrane APP modified Polymeric membrane 2.0 mm thick of 3.00 Kg/sqm weight consisting of five layers prefabricated with centre core as 100 micron HMHDPE film sandwiched on both sides with polymeric mix and the polymeric mix is protected on both side with 20 micron HMHDPE film. 7th, the top most layer shall be finished with brick tiles of class designation 10 grouted with cement mortar 1:3 (1 cement : 3 fine sand) mixed with 2% integral water proofing compound by weight of cement over a 12 mm layer of cement mortar 1:3 ( 1 cement : 3 fine sand) and finished neat (item of laying brick tiles shall be paid for separately).</t>
  </si>
  <si>
    <t>Providing and fixing APP (Atactic Polypropylene Polymer) modified prefabricated five layer 2 mm thick water proofing membrane, black finished reinforced with glass fibre matt consisting of a coat of bitumen primer for bitumen membrane @ 0.40 litre/sqm by the same membrance manufacture of density at 25°C, 0.87 - 0.89 kg/ litre and viscocity 70 - 160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350/300 N/ 5 cm. Tear strength in longitudinal and transverse direction as 60/80N. Softening point of membrane not less than 150°C. Cold flexibility shall be upto -2°C when tested in accordance with ASTM, D - 5147. The laying of membrane shall be got done through the authorised applicator of the manufacture of membrane.</t>
  </si>
  <si>
    <t>14.89.1</t>
  </si>
  <si>
    <t>2mm (for corrugated roof sheets)</t>
  </si>
  <si>
    <t>Providing and laying APP (Atactic Polypropylene Polymer) modified prefabricated five layer, 3 mm thick water proofing membrane, black finished reinforced with glass fibre matt consisting of a coat of bitumen primer for bitumen membrane @ 0.40 litre/sqm by the same membrane manufactured of density at 25°C, 0.87 - 0.89 kg/litre and viscocity 70 - 160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350/300 N/5 cm. Tear strength in longitudinal and transverse direction as 60/80N. Softening point of membrane not less than 150°C. Cold flexibility shall be upto -2°C when tested in accordance with ASTM, D - 5147. The laying of membrane shall be got done through the authorised applicator of the manufacturer of membrane :</t>
  </si>
  <si>
    <t>14.90.1</t>
  </si>
  <si>
    <t>Providing and laying APP (Atactic Polypropylene Polymer) modified prefabricated five layer 3 mm thick water proofing membrane, black finished reinforced with non-woven polyester matt consisting of a coat of bitumen primer for bitumen membrane @ 0.40 litre/sqm by the same membrane manufacture of density at 25°C, 0.87-0.89 kg/ litre and viscocity 70-160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650/ 450N/ 5cm. Tear strength in longitudinal and transverse direction as 300/250N. Softening point of membrane not less than 150°C. Cold flexibility shall be upto -2°C when tested in accordance with ASTM, D - 5147. The laying of membrane shall be got done through the authorised applicator of the manufacturer of membrane :</t>
  </si>
  <si>
    <t>14.91.1</t>
  </si>
  <si>
    <t>Extra for covering top of membrane with Geotextile, 120 gsm non woven, 100% polyester of thickness 1 to 1.25 mm bonded to the membrane with intermittent touch by heating the membrane by Butane Torch as per manufactures recommendation.</t>
  </si>
  <si>
    <t>Providing round the clock security guard without gun for watch &amp; ward of Government premises and its all belongings by deploying neatly dressed security guards in 8 hour's shift including necessary T&amp;P like torch, lathi and uniform etc.complete,as per the direction of Engineer-in-charge. (One job means  8 hour's  duty).</t>
  </si>
  <si>
    <t>each job</t>
  </si>
  <si>
    <t>Providing round the clock  security guard with gun for watch &amp; ward of Government premises and its all belongings by deploying neatly dressed security guards in 8 hour's shift including necessary T&amp;P like torch, lathi and uniform etc.complete, as per the direction of Engineer-in-charge.(One job means  8 hour's  duty).</t>
  </si>
  <si>
    <t>15.0 DISMANTLING AND DEMOLISHING</t>
  </si>
  <si>
    <t>Demolishing lime concrete manually/ by mechanical means and disposal of material within 50 metres lead as per direction of Engineer- in-charge.</t>
  </si>
  <si>
    <t>Demolishing cement concrete manually/ by mechanical means including disposal of material within 50 metres lead as per direction of Engineer - in - charge.</t>
  </si>
  <si>
    <t>15.2.1</t>
  </si>
  <si>
    <t>Nominal concrete 1:3:6 or richer mix (i/c equivalent design mix)</t>
  </si>
  <si>
    <t>15.2.2</t>
  </si>
  <si>
    <t>Nominal concrete 1:4:8 or leaner mix (i/c equivalent design mix)</t>
  </si>
  <si>
    <t>Demolishing R.C.C. work manually/ by mechanical means including stacking of steel bars and disposal of unserviceable material within 50 metres lead as per direction of Engineer - in- charge.</t>
  </si>
  <si>
    <t>Demolishing R.B. work manually/ by mechanical means including stacking of steel bars and disposal of unserviceable material within 50 metres lead as per direction of Engineer-in- charge.</t>
  </si>
  <si>
    <t>Extra for cutting reinforcement bars manually/ by mechanical means in R.C.C. or R.B. work (Payment shall be made on the cross sectional area of R.C.C. or R.B. work) as per direction of Engineer-in-charge.</t>
  </si>
  <si>
    <t>Extra for scrapping, cleaning and straightening reinforcement from R.C.C. or R.B. work.</t>
  </si>
  <si>
    <t>Demolishing brick work manually/ by mechanical means including stacking of serviceable material and disposal of unserviceable material within 50 metres lead as per direction of Engineer-in-charge.</t>
  </si>
  <si>
    <t>15.7.1</t>
  </si>
  <si>
    <t>In mud mortar</t>
  </si>
  <si>
    <t>15.7.2</t>
  </si>
  <si>
    <t>In lime mortar with old mughal bricks</t>
  </si>
  <si>
    <t>15.7.3</t>
  </si>
  <si>
    <t>In lime mortar</t>
  </si>
  <si>
    <t>15.7.4</t>
  </si>
  <si>
    <t>In cement mortar</t>
  </si>
  <si>
    <t>Removing mortar from bricks and cleaning bricks including stacking within a lead of 50 m (stacks of cleaned bricks shall be measured):</t>
  </si>
  <si>
    <t>15.8.1</t>
  </si>
  <si>
    <t>From brick work in mud mortar</t>
  </si>
  <si>
    <t>1000 Nos</t>
  </si>
  <si>
    <t>15.8.2</t>
  </si>
  <si>
    <t>From brick work in lime mortar</t>
  </si>
  <si>
    <t>15.8.3</t>
  </si>
  <si>
    <t>From brick work in cement mortar</t>
  </si>
  <si>
    <t>Demolishing stone rubble masonry manually/ by mechanical means including stacking of serviceable material and disposal of unserviceable material within 50 metres lead as per direction of Engineer-in-charge :</t>
  </si>
  <si>
    <t>15.9.1</t>
  </si>
  <si>
    <t>15.9.2</t>
  </si>
  <si>
    <t>Dismantling dressed stone work ashlar face stone work, marble work or precast concrete work manually/ by mechanical means including stacking of serviceable and disposal of unserviceable material within 50 metres lead as per direction of Engineer-in-charge :</t>
  </si>
  <si>
    <t>15.10.1</t>
  </si>
  <si>
    <t>15.10.2</t>
  </si>
  <si>
    <t>Removing mortar from and cleaning stones and concrete articles (net quantity of stacks of cleaned materials will be measured):</t>
  </si>
  <si>
    <t>15.11.1</t>
  </si>
  <si>
    <t>15.11.2</t>
  </si>
  <si>
    <t>Dismantling doors, windows and clerestory windows (steel or wood) shutter including chowkhats, architrave, holdfasts etc. complete and stacking within 50 metres lead :</t>
  </si>
  <si>
    <t>15.12.1</t>
  </si>
  <si>
    <t>Of area 3 sq. metres and below</t>
  </si>
  <si>
    <t>15.12.2</t>
  </si>
  <si>
    <t>Of area beyond 3 sq. metres</t>
  </si>
  <si>
    <t>Taking out doors, windows and clerestory window shutters (steel or wood) including stacking within 50 metres lead :</t>
  </si>
  <si>
    <t>15.13.1</t>
  </si>
  <si>
    <t>15.13.2</t>
  </si>
  <si>
    <t>Dismantling wood work in frames, trusses, purlins and rafters up to 10 metres span and 5 metres height including stacking the material within 50 metres lead :</t>
  </si>
  <si>
    <t>15.14.1</t>
  </si>
  <si>
    <t>Of sectional area 40 square centimetres and above</t>
  </si>
  <si>
    <t>15.14.2</t>
  </si>
  <si>
    <t>Of sectional area below 40 square centimetres</t>
  </si>
  <si>
    <t>Extra for dismantling trusses, rafters, purlins etc. of wood work for every additional span of one metre or part thereof beyond 10 metres :</t>
  </si>
  <si>
    <t>15.15.1</t>
  </si>
  <si>
    <t>cum per metre span</t>
  </si>
  <si>
    <t>15.15.2</t>
  </si>
  <si>
    <t>metre per metre span</t>
  </si>
  <si>
    <t>Extra for dismantling trusses, rafters, purlins etc. of wood work for every additional height of one metre or part thereof beyond 5 metres :</t>
  </si>
  <si>
    <t>15.16.1</t>
  </si>
  <si>
    <t>15.16.2</t>
  </si>
  <si>
    <t>Dismantling steel work in single sections including dismembering and stacking within 50 metres lead in:</t>
  </si>
  <si>
    <t>15.17.1</t>
  </si>
  <si>
    <t>R.S. Joists</t>
  </si>
  <si>
    <t>15.17.2</t>
  </si>
  <si>
    <t>Channels, angles, tees and flats</t>
  </si>
  <si>
    <t>Dismantling steel work in built up sections in angles, tees, flats and channels including all gusset plates, bolts, nuts, cutting rivets, welding etc. including dismembering and stacking within 50 metres lead.</t>
  </si>
  <si>
    <t>Dismantling steel work manually/ by mechanical means in built up sections without dismembering and stacking within 50 metres lead as per direction of Engineer-in-charge.</t>
  </si>
  <si>
    <t>Extra for dismantling trusses, rafters, purlins etc. of steel work for every additional span of one metre or part thereof beyond 10 metres</t>
  </si>
  <si>
    <t>kg per metre span</t>
  </si>
  <si>
    <t>Extra for dismantling trusses, rafters, purlins etc. of steel work for every additional height of one metre or part thereof beyond 5 metres.</t>
  </si>
  <si>
    <t>kg per metre height</t>
  </si>
  <si>
    <t>Extra for marking of structural steel work required to be re-erected.</t>
  </si>
  <si>
    <t>Dismantling tile work in floors and roofs laid in cement mortar including stacking material within 50 metres lead.</t>
  </si>
  <si>
    <t>15.23.1</t>
  </si>
  <si>
    <t>For thickness of tiles 10 mm to 25 mm</t>
  </si>
  <si>
    <t>15.23.2</t>
  </si>
  <si>
    <t>For thickness of tiles above 25 mm and up to 40 mm</t>
  </si>
  <si>
    <t>Demolishing dry brick pitching in floors, drains etc. including stacking of serviceable material and disposal of unserviceable material within 50 metres lead :</t>
  </si>
  <si>
    <t>Dismantling stone slab flooring laid in cement mortar including stacking of serviceable material and disposal of unserviceable material within 50 metres lead.</t>
  </si>
  <si>
    <t>Demolishing brick tile covering in terracing including stacking of serviceable material and disposal of unserviceable material within 50 metres lead.</t>
  </si>
  <si>
    <t>Demolishing mud phaska in terracing and disposal of material within 50 metres lead.</t>
  </si>
  <si>
    <t>Dismantling roofing including ridges, hips, valleys and gutters etc., and stacking the material within 50 metres lead of:</t>
  </si>
  <si>
    <t>15.28.1</t>
  </si>
  <si>
    <t>G.S. Sheet</t>
  </si>
  <si>
    <t>15.28.2</t>
  </si>
  <si>
    <t>Asbestos Cement sheet</t>
  </si>
  <si>
    <t>Dismantling stone slab roofing over wooden karries or R.C.C. battens (dismantling karries and battens to be paid for separately), including stacking of serviceable material and disposal of unserviceable material within 50 metres lead.</t>
  </si>
  <si>
    <t>Dismantling jack arch roofing and floors including stacking of serviceable material and disposal of unserviceable material within 50 metres lead.</t>
  </si>
  <si>
    <t>Dismantling tiled roofing with battens, boarding etc. complete including stacking of serviceable material and disposal of unserviceable material within 50 metres lead.</t>
  </si>
  <si>
    <t>Demolishing thatch roofing including mats, bamboo, jaffari etc. complete including stacking of serviceable material and disposal of unserviceable material within 50 metres lead.</t>
  </si>
  <si>
    <t>Dismantling wooden ballies in posts and struts including stacking within 50metres lead.</t>
  </si>
  <si>
    <t>Dismantling and stacking within 50 metres lead, fencing posts or struts including all earth work and dismantling of concrete etc. in base of:</t>
  </si>
  <si>
    <t>15.34.1</t>
  </si>
  <si>
    <t>T' or 'L' iron or pipe</t>
  </si>
  <si>
    <t>15.34.2</t>
  </si>
  <si>
    <t>R.C.C.</t>
  </si>
  <si>
    <t>Cutting ballies or wooden posts of fencing at the point of projection above the concrete or ground and stacking the same within 50 metres lead.</t>
  </si>
  <si>
    <t>Dismantling barbed wire or flexible wire rope in fencing including making rolls and stacking within 50 metres lead.</t>
  </si>
  <si>
    <t>Dismantling wooden trellis work excluding frames but including stacking the  serviceable material within 50 metres lead.</t>
  </si>
  <si>
    <t>Dismantling expanded metal or I.R.C. fabrics with necessary battens and beading including stacking the serviceable material within 50 metres lead.</t>
  </si>
  <si>
    <t>Dismantling wooden boardings in lining of walls and partitions, excluding supporting members but including stacking within 50 metres lead :</t>
  </si>
  <si>
    <t>15.39.1</t>
  </si>
  <si>
    <t>Up to 10 mm thick</t>
  </si>
  <si>
    <t>15.39.2</t>
  </si>
  <si>
    <t>Thickness above 10 mm up to 25 mm</t>
  </si>
  <si>
    <t>15.39.3</t>
  </si>
  <si>
    <t>Thickness above 25 mm up to 40 mm</t>
  </si>
  <si>
    <t>Dismantling precast concrete or stone slabs in walls, partition walls etc. including stacking within 50 metres lead :</t>
  </si>
  <si>
    <t>15.40.1</t>
  </si>
  <si>
    <t>Thickness up to 40 mm</t>
  </si>
  <si>
    <t>15.40.2</t>
  </si>
  <si>
    <t>Thickness above 40 mm up to 75 mm</t>
  </si>
  <si>
    <t>Dismantling cement asbestos or other hard board ceiling or partition walls including stacking of serviceable materials and disposal of unserviceable materials within 50 metres lead.</t>
  </si>
  <si>
    <t>Dismantling C.I. or asbestos rain water pipe with fittings and clamps including stacking the material within 50 metres lead :</t>
  </si>
  <si>
    <t>15.42.1</t>
  </si>
  <si>
    <t>75 to 80 mm dia pipe</t>
  </si>
  <si>
    <t>15.42.2</t>
  </si>
  <si>
    <t>100 mm dia pipe</t>
  </si>
  <si>
    <t>15.42.3</t>
  </si>
  <si>
    <t>150 mm dia pipe</t>
  </si>
  <si>
    <t>Dismantling manually/ by mechanical means including stacking of serviceable material and disposal of unserviceable material within 50 metres lead as per direction of Engineer-in-charge :</t>
  </si>
  <si>
    <t>15.43.1</t>
  </si>
  <si>
    <t>Water bound macadam road</t>
  </si>
  <si>
    <t>15.43.2</t>
  </si>
  <si>
    <t>bituminous road</t>
  </si>
  <si>
    <t>Dismantling G.I. pipes (external work) including excavation and refilling trenches after taking out the pipes, manually/ by mechanical means including stacking of pipes within 50 metres lead as per direction of Engineer-in-charge :</t>
  </si>
  <si>
    <t>15.44.1</t>
  </si>
  <si>
    <t>15 mm to 40 mm nominal bore</t>
  </si>
  <si>
    <t>15.44.2</t>
  </si>
  <si>
    <t>Above 40 mm nominal bore</t>
  </si>
  <si>
    <t>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t>
  </si>
  <si>
    <t>15.45.1</t>
  </si>
  <si>
    <t>Up to 150 mm diameter</t>
  </si>
  <si>
    <t>15.45.2</t>
  </si>
  <si>
    <t>Above 150 mm dia up to 300 mm dia</t>
  </si>
  <si>
    <t>15.45.3</t>
  </si>
  <si>
    <t>Above 300 mm diameter</t>
  </si>
  <si>
    <t>Dismantling steel cylinder R.C. pipes including excavation and refilling trenches after taking out the pipes, manually/ by mechanical means breaking lead caulked joints, melting of lead and making into blocks including stacking of pipes &amp; lead at site within 50 metres lead as per direction of Engineer-in-charge :</t>
  </si>
  <si>
    <t>15.46.1</t>
  </si>
  <si>
    <t>Up to 600 mm diameter</t>
  </si>
  <si>
    <t>15.46.2</t>
  </si>
  <si>
    <t>Above 600 mm diameter</t>
  </si>
  <si>
    <t>Dismantling asbestos cement pressure pipes including excavation and refilling trenches after taking out the pipes manually/ by mechanical means and stacking the pipes within 50 metres lead as per direction of Engineer-in-charge :</t>
  </si>
  <si>
    <t>15.47.1</t>
  </si>
  <si>
    <t>15.47.2</t>
  </si>
  <si>
    <t>Above 150 mm diameter</t>
  </si>
  <si>
    <t>Taking out C.I. cover with frame from R.C.C. top slab of manholes of various sizes including demolishing of R.C.C. work manually/ by mechanical means and stacking of useful materials near the site and disposal of unserviceable materials within 50 metres lead as per direction of Engineer-in-charge.</t>
  </si>
  <si>
    <t>Taking out C.I. cover with frame from R.C.C. top slab of inspection chambers of various sizes including demolishing of R.C.C. work manually/ by mechanical means and stacking of useful materials near the site and disposal of unserviceable materials within 50 metres lead as per direction of Engineer-in-charge.</t>
  </si>
  <si>
    <t>Dismantling of R.C.C. spun vent shaft including excavating the cement concrete pit completely, taking out the shaft, refilling the excavated gap, stacking the useful materials near the site and disposal of unserviceable materials within 50 metres lead.</t>
  </si>
  <si>
    <t>Dismantling of road gully chamber of various sizes including C.I. grating with frame including stacking of useful materials near the site and disposal of unserviceable materials within 50 metres lead including refilling the excavated gap.</t>
  </si>
  <si>
    <t>Dismantling of flushing cistern of all types (C.I./PVC/Vitrious China) including stacking of useful materials near the site and disposal of unserviceable materials within 50 metres lead.</t>
  </si>
  <si>
    <t>Dismantling of C.I. sluice valve including stacking of useful materials within a lead of 50 metres</t>
  </si>
  <si>
    <t>15.53.1</t>
  </si>
  <si>
    <t>15.53.2</t>
  </si>
  <si>
    <t>Dismantling of spindle fire hydrant including stacking of useful materials within 50 metres lead.</t>
  </si>
  <si>
    <t>Dismantling of cement concrete platform along with curtain walls and base concrete etc. including stacking of useful materials near the site and disposal of unserviceable materials within 50 metres lead :</t>
  </si>
  <si>
    <t>15.55.1</t>
  </si>
  <si>
    <t>120 x 120 cm (outside to outside)</t>
  </si>
  <si>
    <t>15.55.2</t>
  </si>
  <si>
    <t>210 x 120 cm (outside to outside)</t>
  </si>
  <si>
    <t>15.55.3</t>
  </si>
  <si>
    <t>320 x 120 cm (outside to outside)</t>
  </si>
  <si>
    <t>Dismantling old plaster or skirting raking out joints and cleaning the surface for plaster including disposal of rubbish to the dumping ground within 50 metres lead.</t>
  </si>
  <si>
    <t>Dismantling aluminium/ Gypsum partitions, doors, windows, fixed glazing and false ceiling including disposal of unserviceable material and stacking of serviceable material with in 50 meters lead as directed by Engineer-in-charge.</t>
  </si>
  <si>
    <t>Demolishing R.C.C. work by mechanical means and stockpiling at designated locations and disposal of dismantled materials up to a lead of 1 kilometre, stacking serviceable and unserviceable material separately including cutting reinforcement bars.</t>
  </si>
  <si>
    <t>Dismantling of flexible pavement (bituminous courses) by mechanical means and disposal of dismantled material up to a lead of 1 kilometre, as per direction of Engineer-in-charge.</t>
  </si>
  <si>
    <t>Disposal of building rubbish / malba / similar unserviceable, dismantled or waste materials by mechanical means, including loading, transporting, unloading to approved municipal dumping ground or as approved by Engineer-in-charge, beyond 50 m initial lead, for all leads including all lifts involved.</t>
  </si>
  <si>
    <t>16.0 ROAD WORK</t>
  </si>
  <si>
    <t>ROADS</t>
  </si>
  <si>
    <t>Preparation and consolidation of sub grade with power road roller of 8 to 12 tonne capacity after excavating earth to an average of 22.5 cm depth, dressing to camber and consolidating with road roller including making good the undulations etc. and re-rolling the sub grade and disposal of surplus earthwith lead upto 50 metres.</t>
  </si>
  <si>
    <t>Extra for compaction of earth work in embankment under optimum moisture conditions to give at least 95% of the maximum dry density (proctor density).</t>
  </si>
  <si>
    <t>Supplying and stacking at site.</t>
  </si>
  <si>
    <t>16.3.1</t>
  </si>
  <si>
    <t>90 mm to 45 mm size stone aggregate</t>
  </si>
  <si>
    <t>16.3.2</t>
  </si>
  <si>
    <t>63 mm to 45 mm size stone aggregate</t>
  </si>
  <si>
    <t>16.3.3</t>
  </si>
  <si>
    <t>53 mm to 22.4 mm size stone aggregate</t>
  </si>
  <si>
    <t>16.3.4</t>
  </si>
  <si>
    <t>Over burnt (Jhama) brick aggregate 120 mm to 40 mm</t>
  </si>
  <si>
    <t>16.3.5</t>
  </si>
  <si>
    <t>Over burnt (Jhama) brick aggregate 90 mm to 45 mm</t>
  </si>
  <si>
    <t>16.3.6</t>
  </si>
  <si>
    <t>Stone screening 13.2 mm nominal size (Type A)</t>
  </si>
  <si>
    <t>16.3.7</t>
  </si>
  <si>
    <t>Stone screening 11.2 mm nominal size (Type B)</t>
  </si>
  <si>
    <t>16.3.8</t>
  </si>
  <si>
    <t>Red bajri</t>
  </si>
  <si>
    <t>16.3.9</t>
  </si>
  <si>
    <t>Good earth</t>
  </si>
  <si>
    <t>16.3.10</t>
  </si>
  <si>
    <t>Moorum</t>
  </si>
  <si>
    <t>Laying, spreading and compacting stone aggregate of specified sizes to WBM specifications in uniform thickness, hand picking, rolling with 3 wheeled road/vibratory roller 8-10 tonne capacity in stages to proper grade and camber, applying and brooming requisite type of screening / binding material to fill up interstices of coarse aggregate, watering and compacting to the required density .</t>
  </si>
  <si>
    <t>Laying water bound macadam sub-base with brick aggregate and binding material, earth etc. including screening, sorting and spreading to template and consolidation with light power road-roller etc. complete.(payment for brick aggregate and moorum etc. to be made separately)</t>
  </si>
  <si>
    <t>16.5.1</t>
  </si>
  <si>
    <t>16.5.2</t>
  </si>
  <si>
    <t>Supplying, stacking and Spreading 6 mm thick red bajri, watering and rolling complete including preparation of the surface and rolling.</t>
  </si>
  <si>
    <t>16.6.1</t>
  </si>
  <si>
    <t>With road roller/ hand roller</t>
  </si>
  <si>
    <t>Brick edging in full brick width and half brick depth including excavation, refilling and disposal of surplus earth lead upto 50 metres.</t>
  </si>
  <si>
    <t>16.7.1</t>
  </si>
  <si>
    <t>With common burnt clay F.P.S. (non modular) bricks of class designation 7.5</t>
  </si>
  <si>
    <t>Brick edging laid lengthwise with half brick depth including excavation, refilling and disposal of surplus earth lead upto 50 metres :</t>
  </si>
  <si>
    <t>16.8.1</t>
  </si>
  <si>
    <t>Scarifying metalled (water-bound) road surface including disposal of rubbish, lead upto 50 m and consolidation of the aggregate received from scarifying with power road roller of 8 to 10 tonne capacity.</t>
  </si>
  <si>
    <t>Making bajri path including preparation of subgrade, supplying and laying brick aggregate of 50 mm nominal size 7.5 cm deep with blinding material consisting of 12 mm moorum and 12 mm red bajri consolidated with road roller.</t>
  </si>
  <si>
    <t>Dry stone pitching 22.5 cm thick including supply of stones and preparing surface complete.</t>
  </si>
  <si>
    <t>Dry brick pitching half brick thick in drains including supply of bricks and preparing the surface complete :</t>
  </si>
  <si>
    <t>16.12.1</t>
  </si>
  <si>
    <t>Cutting road and making good the same including supply of extra quantities of materials i.e. aggregate, moorum screening, red bajri and labour required.</t>
  </si>
  <si>
    <t>16.13.1</t>
  </si>
  <si>
    <t>bituminous portion</t>
  </si>
  <si>
    <t>16.13.2</t>
  </si>
  <si>
    <t>Water bound macadam</t>
  </si>
  <si>
    <t>Cutting bajri paths and making good the same including supply of extra quantities of brick aggregate, moorum and red bajri required.</t>
  </si>
  <si>
    <t>FENCING</t>
  </si>
  <si>
    <t>Supplying at site :</t>
  </si>
  <si>
    <t>16.15.1</t>
  </si>
  <si>
    <t>R.C.C. Standards post/ struts/rails/ pales of mix 1:1.5:3 (1 cement : 1.5 coarsesand : 3 graded stone aggregate 12.5 mm nominal size) with wooden plugs or 6mm bar nibs wherever required as per direction of Engineer-in- charge (cost of earth works in excavation, concrete works in foundation to be paid separately).</t>
  </si>
  <si>
    <t>16.15.2</t>
  </si>
  <si>
    <t>Welded steel wire fabric of required width having rectangular mesh painted with two or more coats of enamel paint of approved shade over a coat of primer (Priming &amp; Painting to be paid for separately).</t>
  </si>
  <si>
    <t>Supplying and fixing turn buckles and straining bolts for barbed wire fencing.</t>
  </si>
  <si>
    <t>Fencing with R.C.C. post placed at required distance, embedded in cement concrete blocks, every 15th post, last but one end post and corner post shall be strutted on both sides and end post one side only, provided with horizontal lines and two diagonals of barbed wire weighing 9.38 kg per 100 metres (minimum), between the two posts fitted and fixed with G.I. staples on wooden plugs or G.I. binding wire tied to 6 mm bar nibs fixed while casting the post (cost of R.C.C. posts, struts, earth work and concrete to be paid for separately) :- Payment to be made per metre cost of total length of barbed wire used.</t>
  </si>
  <si>
    <t>16.17.1</t>
  </si>
  <si>
    <t>With G.I. barbed wire</t>
  </si>
  <si>
    <t>Fencing with angle iron post placed at required distance embedded in cement concrete blocks, every 15th post, last but one end post and corner post shall be strutted on both sides and end post on one side only and provided with horizontal lines and two diagonals interwoven with horizontal wires, of barbed wire weighing 9.38 kg per 100 m (minimum), between the two posts fitted and fixed with G.I. staples, turn buckles etc. complete. (Cost of posts, struts, earth work and concrete work to be paid for separately). Payment to be made per metre cost of total length of barbed wire used.</t>
  </si>
  <si>
    <t>16.18.1</t>
  </si>
  <si>
    <t>Supplying at site Angle iron post &amp; strut of required size including bottom to be split and bent at right angle in opposite direction for 10 cm length and drilling holes upto 10 mm dia. etc. complete.</t>
  </si>
  <si>
    <t>Welded steel wire fabric fencing with posts of specified material and of standard design placed and embedded in cement concrete blocks 45x45x 60 cm of mix 1:5:10 (1 cement:5 fine sand : 10 graded stone aggregate 40 mm nominal size), every 15th post, last but one end post and corner post shall be strutted on both sides and end post on one side only and struts embedded in cement concrete blocks 70x45x50 cm of the same mix, provided with welded steel wire fabric fixed between the posts fitted and fixed with G.I. staples on wooden plugs or tied to 6 mm bar nibs with G.I. binding wire (cost of posts, welded steel wire fabric, painting, earth work in excavation and concrete to be paid for separately).</t>
  </si>
  <si>
    <t>ROAD SIGNS</t>
  </si>
  <si>
    <t>Engraving letters in hard stone</t>
  </si>
  <si>
    <t>per cm height per letter</t>
  </si>
  <si>
    <t>Providing and fixing 15x15x90 cm boundary stone of hard stone with top 30 cm chisel dressed on all four sides including top (cost of excavation, refilling and concrete etc. to be paid for separately).</t>
  </si>
  <si>
    <t>Providing and fixing 15 cm dia at top, 20 cm at bottom and 90 cm high precast reinforced cement concrete 1:1.5:3 (1 cement : 1.5 coarse sand : 3 graded stone aggregate 20 mm nominal size) boundary stone as per standard design, including finishing smooth with cement mortar 1:3 (1 cement : 3 fine sand) (cost of excavation, refilling and concreting to be paid for separately).</t>
  </si>
  <si>
    <t>Providing and fixing precast reinforced cement concrete 1:1.5:3 (1 cement : 1.5 coarse sand : 3 graded stone aggregate 20 mm nominal size) kilometre stone as per standard design, including finishing smooth in 1:3 cement mortar (1 cement : 3 fine sand) but excluding the cost of earth work, concrete in foundation, painting and lettering etc. which shall be paid for separately.</t>
  </si>
  <si>
    <t>16.24.1</t>
  </si>
  <si>
    <t>35x111x25 cm size</t>
  </si>
  <si>
    <t>16.24.2</t>
  </si>
  <si>
    <t>50x152.5x25 cm size</t>
  </si>
  <si>
    <t>16.24.3</t>
  </si>
  <si>
    <t>35x93.5x18 cm size</t>
  </si>
  <si>
    <t>SURFACE DRESSING</t>
  </si>
  <si>
    <t>Surface dressing on new surface with paving bitumen of grade VG - 10 of approved quality using 2.25 kg of bitumen per sqm with 1.65 cum of stone chippings 13.2 mm nominal size per 100 sqm of road surface, including consolidation with road roller of 6 to 8 tonne capacity etc. complete:</t>
  </si>
  <si>
    <t>Surface dressing on new surface in two coats with bitumen of grade VG -10 of approved quality using 1.8 kg of bitumen per sqm with 1.5 cum of stone chippings 13.2 mm nominal size per 100 sqm of road surface for first coat and 1.1 kg. of bitumen per sqm with 1.00 cu. metre of stone chippings 11.2 mm nominal size per 100 sqm of road surface for second coat, including consolidation of each coat separately with road roller of 6 to 8 tonne capacity etc. complete.</t>
  </si>
  <si>
    <t>Surface dressing on old surface with hot bitumen of grade VG - 10 of approved quality using 1.95 kg of bitumen per sqm with 1.50 cum of stone chippings 11.2 mm nominal size per 100 sqm of road surface, including consolidation with road roller of 6 to 8 tonne capacity, etc. complete.</t>
  </si>
  <si>
    <t>Surface dressing one coat on new surface with bitumen of specified grade at a rate of 1.95 kg/sqm of surface area with 1.5 cum of stone chippings 13.2 mm nominal size per 100 sqm of road surface, including consolidation with road roller of 6 to 8 tonne capacity , etc. complete :</t>
  </si>
  <si>
    <t>16.28.1</t>
  </si>
  <si>
    <t>Using bitumen emulsion (minimum 50% bitumen content- RS grade conforming to IS : 8887)</t>
  </si>
  <si>
    <t>Surface dressing one coat on old surface with bitumen of specified grade at the rate of 1.22 kg/ sqm of surface area with 1.10 cum of stone chippings 11.2 mm nominal size per 100 sqm of road surface, including consolidation with road roller of 6 to 8 tonne capacity etc. complete :</t>
  </si>
  <si>
    <t>16.29.1</t>
  </si>
  <si>
    <t>PREMIX CARPET</t>
  </si>
  <si>
    <t>Providing and applying tack coat using hot straight run bitumen of grade VG - 10, including heating the bitumen, spraying the bitumen with mechanically operated spray unit fitted on bitumen boiler, cleaning and preparing the existing road surface as per specifications :</t>
  </si>
  <si>
    <t>16.30.1</t>
  </si>
  <si>
    <t>On W.B.M. @ 0.75 Kg / sqm</t>
  </si>
  <si>
    <t>16.30.2</t>
  </si>
  <si>
    <t>On bituminous surface @ 0.50 Kg / sqm</t>
  </si>
  <si>
    <t>Providing and applying tack coat using bitumen emulsion conforming to IS:8887, using emulsion pressure distributer including preparing the surface &amp; cleaning with mechanical broom.</t>
  </si>
  <si>
    <t>16.31.1</t>
  </si>
  <si>
    <t>With rapid setting bitumen emulsion</t>
  </si>
  <si>
    <t>16.31.1.1</t>
  </si>
  <si>
    <t>On W.B.M / W.M.M. @ 0.4kg/sqm</t>
  </si>
  <si>
    <t>16.31.1.2</t>
  </si>
  <si>
    <t>On bituminous surface @ 0.25kg/sqm</t>
  </si>
  <si>
    <t>16.31.2</t>
  </si>
  <si>
    <t>With medium setting bitumen emulsion</t>
  </si>
  <si>
    <t>16.31.2.1</t>
  </si>
  <si>
    <t>16.31.2.2</t>
  </si>
  <si>
    <t>Note - Use of Item No. 16.81.1 shall be restricted only per site at sub zero temperature or for emergency application</t>
  </si>
  <si>
    <t>2 cm premix carpet surfacing with 1.8 cum and 0.90 cum of stone chippings of 13.2 mm size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t>
  </si>
  <si>
    <t>16.32.1</t>
  </si>
  <si>
    <t>With paving Asphalt grade VG - 10 heated and then mixed with solvent at the rate of 70 grams per kg of asphalt</t>
  </si>
  <si>
    <t>16.32.2</t>
  </si>
  <si>
    <t>With paving Asphalt grade VG - 30 with no solvent</t>
  </si>
  <si>
    <t>16.32.3</t>
  </si>
  <si>
    <t>With Refinery Modified Bitumen CRMB 55 conforming to IRC: SP: 53</t>
  </si>
  <si>
    <t>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t>
  </si>
  <si>
    <t>16.33.1</t>
  </si>
  <si>
    <t>16.33.2</t>
  </si>
  <si>
    <t>16.33.3</t>
  </si>
  <si>
    <t>2 cm premix carpet surfacing with 2.4 cum of stone chippings 11.2 mm nominal size per 100 sqm and bitumen emulsion (medium setting min. 65% bitumen content) complying with IS : 8887, using 96 kg per cum of chippings, including consolidation with road roller of 6 to 9 tonne capacity etc. complete.</t>
  </si>
  <si>
    <t>2.5 cm premix carpet surfacing with 3 cum of stone chippings 10 mm nominal size per 100 sqm and bitumen emulsion (medium setting min. 65% bitumen contents) complying with IS : 8887, using 96 kg per cum of chippings of road surface, including consolidation with road roller etc complete .</t>
  </si>
  <si>
    <t>Providing and laying Bitumen Penetration Macadam with hard stone aggregate of quality, size and grading as specified, with bitumen of suitable penetration grade, including required key aggregate as specified, spreading coarse aggregate with the help of self propelled/ tipper tail mounted aggregate spreader and applying bitumen by a pressure distributor and then spreading key aggregate with the help of aggregate spreader complete, including consolidation with road roller of minimum 8 to 10 tonne capacity to achieve specified values of compaction and surface accuracy :</t>
  </si>
  <si>
    <t>16.36.1</t>
  </si>
  <si>
    <t>For 50mm compacted thickness using coarse aggregate of size 50-20 mm graded @ 0.60 cum per 10 sqm key aggregate of size 12.5 mm graded @ 0.15 cum per 10 sqm. With paving asphalt grade VG - 10 @ 50 kg/ 10 sqm.</t>
  </si>
  <si>
    <t>16.36.2</t>
  </si>
  <si>
    <t>For 75 mm compacted thickness in two layers using stone aggregate of size 63-41 mm graded @ 0.90 cum per 10 sqm key aggregate of size 20.0 mm graded @ 0.18 cum per 10 sqm. With paving asphalt grade VG - 10 @ 68 kg/10 sqm.</t>
  </si>
  <si>
    <t>Providing and laying bitumen mastic wearing course (as per specifications) with industrial bitumen of grade 85/25 conforming to IS : 702, prepared by using mastic cooker and laid to required level and slope, including providing antiskid surface with bitumen precoated fine grained hard stone chipping of approved size at the rate of 0.005 cum per 10 sqm and at approximate spacing of 10 cm centre to centre in both directions, pressed into surface protruding 1 mm to 4 mm over mastic surface, including cleaning the surface, removal of debris etc. all complete. (Considering bitumen using 10.2% as per MORTH specification).</t>
  </si>
  <si>
    <t>16.37.1</t>
  </si>
  <si>
    <t>16.37.2</t>
  </si>
  <si>
    <t>2.5 cm thick bitumastic sheet with hot bitumen of approved quality, using stone chippings (60% with 12.5 mm nominal size and 40% with 10 mm nominal size) @ 1.65 cum per 100 sqm and coarse sand @ 1.65 cum per 100 sqm of road surface and with bitumen @ 56 kg/cum of stone chippings and @ 128 kg/cum of sand over a tack coat with hot straight run bitumen, including consolidation with road roller of 8 to 10 tonne etc. complete. (tack coat to be paid separately) :</t>
  </si>
  <si>
    <t>16.38.1</t>
  </si>
  <si>
    <t>16.38.2</t>
  </si>
  <si>
    <t>With paving Asphalt grade VG - 30</t>
  </si>
  <si>
    <t>16.38.3</t>
  </si>
  <si>
    <t>With Refinery Modified Bitumen CRMB 55 conforming to IRC: SP : 53</t>
  </si>
  <si>
    <t>4 cm thick bitumastic sheet with hot bitumen of approved quality, using stone chippings (60% with 12.5 mm nominal size and 40% with 10 mm nominal size) @ 2.60 cum per 100 sqm and coarse sand @ 2.60 cum per 100 sqm of road surface and with bitumen @ 56 kg/cum of stone chippings and @ 128 kg/cum of sand over a tack coat with hot straight run bitumen, including consolidation with road roller of 8 to 10 tonne etc. complete. (tack coat to be paid separately) :</t>
  </si>
  <si>
    <t>16.39.1</t>
  </si>
  <si>
    <t>16.39.2</t>
  </si>
  <si>
    <t>With paving asphalt grade VG - 30 with no solvent</t>
  </si>
  <si>
    <t>16.39.3</t>
  </si>
  <si>
    <t>SEAL COAT</t>
  </si>
  <si>
    <t>Providing and laying seal coat of premixed fine aggregate ( passing 2.36 mm and retained on 180 micron sieve) with bitumen using 128 kg of bitumen of grade VG - 10 bitumen per cum of fine aggregate and 0.60 cum of fine aggregate per 100 sqm of road surface, including rolling and finishing with road roller all complete.</t>
  </si>
  <si>
    <t>Providing and laying seal coat over prepared surface of road with bitumen heated in bitumen boiler fitted with the spray set spraying using 98 kg of bitumen of grade VG - 10 and blinding surface with 0.90 cum of stone aggregate of 6.7 mm size (Passing 11.2 mm sieve and retained on 2.36 mm sieve) per 100 sqm of road surface, including rolling and finishing with power road roller all complete.</t>
  </si>
  <si>
    <t>Note: Seal coat items to be operated only with the prior approval of chief Engineer concerned.</t>
  </si>
  <si>
    <t>CONCRETE PAVEMENTS</t>
  </si>
  <si>
    <t>Cement concrete 1:2:4 (1 cement : 2 coarse sand : 4 graded stone aggregate 40 mm nominal size) in pavements, laid to required slope and camber in panels as required including consolidation finishing and tamping complete.</t>
  </si>
  <si>
    <t xml:space="preserve">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 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expansion, construction &amp; longitudinal joints (10 mm wide x 50 mm deep) by groove cutting machine, providing and filling joints with approved joint filler and sealants, complete all as per direction of Engineer-in-charge (Item of joint fillers, sealants, dowel bars with sleeve/ tie bars to be paid separately). </t>
  </si>
  <si>
    <t xml:space="preserve">Note:- Cement content considered in M-30 is @ 340 kg/cum. Excess/ less cement used as per design mix is payable/ recoverable separately. </t>
  </si>
  <si>
    <t>16.43.1</t>
  </si>
  <si>
    <t>Cement concrete prepared with batch mixing machine</t>
  </si>
  <si>
    <t>16.43.2</t>
  </si>
  <si>
    <t>Cement concrete manufactured in automatic batching plant (RMC plant) i/c transportation to site in transit mixer</t>
  </si>
  <si>
    <t>Extra for providing and mixing hardening compound of approved quality as per manufacturer's specification in cement concrete.</t>
  </si>
  <si>
    <t>Providing and fixing pre-moulded joint filler in expansion joints of RCC roads / CC pavements after making the joints dust free with high pressure air jet cleaners, all complete as per direction of the Engineer-in-Charge. (Pre-moulded joint fillers shall be made of bitumen hot sealing compound impregnated fibre board having impregnation more than 35%, conforming to IS:1838 for fibre board and IS: 1834 for hot sealing bitumen compound grade A.)</t>
  </si>
  <si>
    <t>per cm depth per cm width per metre length</t>
  </si>
  <si>
    <t>Providing and filling in position rubberized bitumen hot sealing compound for sealing of expansion joints  in roads / pavements all complete as per direction of the Engineer-in-Charge.</t>
  </si>
  <si>
    <t>16.46.1</t>
  </si>
  <si>
    <t>PAINTING AREA/RUNWAY MARKING</t>
  </si>
  <si>
    <t>Painting runway/taxi track/apron marking with adequate nos of coats to give uniform finish with road marking paint of superior make as approved by the Engineer-in-charge, i/c cleaning the surface of ail dirt, scales, oil, grease and other foreign material etc. and lining out complete.</t>
  </si>
  <si>
    <t>16.47.1</t>
  </si>
  <si>
    <t>New work (Two or more coats)</t>
  </si>
  <si>
    <t>16.47.2</t>
  </si>
  <si>
    <t>Old work (One or more coats)</t>
  </si>
  <si>
    <t>Painting road surface marking with adequate nos of coats to give uniform finish with ready mixed road marking paint conforming to IS : 164, on bituminous surface in white/yellow shade, including cleaning the surface of all dirt, scales, oil, grease and foreign material etc. complete.</t>
  </si>
  <si>
    <t>16.48.1</t>
  </si>
  <si>
    <t>16.48.2</t>
  </si>
  <si>
    <t>Making bell mouth opening/ entrance of size 100x50x50 cm for drainage pipe under footpath, including providing cement concrete 1:3:6 (1 cement : 3 coarse sand : 6 graded stone aggregate 20 mm nominal size) for shape of bell mouth, including plastering providing and fixing precast R.C.C./ S.F.R.C. slab including plastering with cement mortar 1:3 (1 cement : 3 fine sand) of 6 mm thickness on exposed surface of the slab &amp; bell mouth including centring, shuttering &amp; neat cement punning inside the bell mouth etc. all complete.</t>
  </si>
  <si>
    <t>Providing and fixing Glow studs of size 100x20 mm made of heavy duty body shall be moulded ASA (Acrylic styrene Acryloretrite ) or HIP (High impact polystyrene) or ABS having electronically welded micro- prismatic lens with abrasion resistant coating as approved by Engineer in charge. The glow stud shall support a load of 13635 kg tested in accordance with ASTM D4280. The slope of retro- reflective surface shall be 35 (+/-5) degress to base .The reflective panels on both sides with at least 12 cm of reflective area up each side. The luminance intensity should be as per the specification and shall be tested as described in ASTM I: 809 as recommended in BS: 873 part 4 : 1973. The studs shall be fixed to the Road surface using the adhesive conforming to IS, as per procedure recommended by the manufacturer complete and as per direction of Engineer-in-charge.</t>
  </si>
  <si>
    <t>Preparation of sub-base road pavement with commercial dry lime (slaked), fly ash stabilised soil with a mix of 3% lime, 12% fly ash and 85% local suitable soil by weight, so as to achieve minimum field C.B.R. of 20, including mixing, rolling with road roller curing etc. all complete.</t>
  </si>
  <si>
    <t>16.51.1</t>
  </si>
  <si>
    <t>Minimum thickness 15 cm</t>
  </si>
  <si>
    <t>Providing and fixing precast lime fly ash concrete blocks 1:2:3:6 (1 lime: 2 fly ash : 3 coarse sand : 6 graded stone aggregate 20 mm nominal size), including finishing with 10mm thick cement mortar 1:3 (1 cement : 3 coarse sand) in foot paths, including preparation of sub grade with a hand rammer, laying 10 mm thick leveling course of fine sand (jamuna sand) and filling the joints with fine sand.</t>
  </si>
  <si>
    <t>Providing and fixing concertina coil fencing with punched tape concertina coil 600 mm dia 10 metre openable length ( total length 90 m), having 50 nos rounds per 6 metre length, upto 3 m height of wall with existing angle iron 'Y' shaped placed 2.4m or 3.00 m apart and with 9 horizontal R.B.T. reinforced barbed wire, stud tied with G.I. staples and G.I. clips to retain horizontal, including necessary bolts or G.I. barbed wire tied to angle iron, all complete as per direction of Engineer-in-charge, with reinforced barbed tape(R.B.T.) / Spring core (2.5mm thick) wire of high tensile strength of 165 kg/ sq.mm with tape (0.52 mm thick) and weight 43.478 gm/ metre (cost of M.S. angle, C.C. blocks shall be paid separately)</t>
  </si>
  <si>
    <t>Providing and laying Dense Graded Bituminous Macadam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t>
  </si>
  <si>
    <t>16.54.1</t>
  </si>
  <si>
    <t>50 to 100 mm average compacted thickness with bitumen of grade VG-30 @ 5% (percentage by weight of total mix) and lime filler @ 2% (percentage by weight of Aggregate) prepared in Batch Type Hot Mix Plant of 100-120 TPH capacity.</t>
  </si>
  <si>
    <t>16.54.2</t>
  </si>
  <si>
    <t>50 to 100 mm average compacted thickness with bitumen of grade VG-30 @ 5% (percentage by weight of total mix) and lime filler @ 2% (percentage by weight of Aggregate) prepared in Drum Type Hot Mix Plant of 60-90 TPH capacity.</t>
  </si>
  <si>
    <t>Providing and laying bituminous macadam using crushed stone aggregates of specified grading premixed with bituminous binder, transported to site by tippers, laid over a previously prepared surface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t>
  </si>
  <si>
    <t>16.55.1</t>
  </si>
  <si>
    <t>50 to 100 mm average compacted thickness with bitumen of grade VG-30 @ 3.50% (percentage by weight of  total mix) prepared in Batch Type Hot Mix Plant of 100-120 TPH capacity.</t>
  </si>
  <si>
    <t>16.55.2</t>
  </si>
  <si>
    <t>50 to 100 mm average compacted thickness with bitumen of grade VG-30 @ 3.50% (percentage by weight of   total mix) prepared in  Drum Type Hot Mix Plant of 60-90 TPH capacity.</t>
  </si>
  <si>
    <t>Providing and laying semi- dense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</si>
  <si>
    <t>16.56.1</t>
  </si>
  <si>
    <t>25 mm compacted thickness with bitumen of grade VG-30 @ 5% (percentage by weight of total mix) and lime filler @ 2% (percentage by weight of Aggregate) prepared in Batch Type Hot Mix Plant of 100-120 TPH capacity.</t>
  </si>
  <si>
    <t>16.56.2</t>
  </si>
  <si>
    <t>25 mm compacted thickness with bitumen of grade VG-30 @ 5% (percentage by weight of total mix) and lime filler @ 2% (percentage by weight of Aggregate) prepared in Drum Type Hot Mix Plant of 60-90 TPH capacity.</t>
  </si>
  <si>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t>
  </si>
  <si>
    <t>16.57.1</t>
  </si>
  <si>
    <t>40/50 mm compacted thickness with bitumen of grade VG-30 @ 5.5% (percentage by weight of total mix) and lime filler @ 3% (percentage by weight of Aggregate) prepared in Batch Type Hot Mix Plant of 100-120 TPH capacity.</t>
  </si>
  <si>
    <t>16.57.2</t>
  </si>
  <si>
    <t>40/50 mm compacted thickness with bitumen of grade VG-30 @ 5.5% (percentage by weight of total mix) and lime filler @ 3% (percentage by weight of Aggregate) and waste plastic additive @ 8% (percentage by weight of bitumen) prepared in Batch Type Hot Mix Plant of 100- 120 TPH capacity.</t>
  </si>
  <si>
    <t>16.57.3</t>
  </si>
  <si>
    <t>40/50 mm compacted thickness with bitumen of grade PMB-40 @ 5.5% (percentage by weight of total mix) and lime filler @ 3% (percentage by weight of Aggregate) prepared in Batch Type Hot Mix Plant of 100-120 TPH capacity.</t>
  </si>
  <si>
    <t>16.57.4</t>
  </si>
  <si>
    <t>40/50 mm compacted thickness with bitumen of grade CRMB-60 @ 5.5% (percentage by weight of total mix) and lime filler @ 3% (percentage by weight of Aggregate) prepared in Batch Type Hot Mix Plant of 100-120 TPH capacity.</t>
  </si>
  <si>
    <t>16.57.5</t>
  </si>
  <si>
    <t>40/50 mm compacted thickness with bitumen of grade VG-30 @ 5.5% (percentage by weight of total mix) and lime filler @ 3% (percentage by weight of Aggregate) prepared in drum Type Hot Mix Plant of 60-90 TPH capacity.</t>
  </si>
  <si>
    <t>16.57.6</t>
  </si>
  <si>
    <t>40/50 mm compacted thickness with bitumen of grade VG-30 @ 5.5% (percentage by weight of total mix) and lime filler @ 3% (percentage by weight of Aggregate) and waste plastic additive @ 8% (percentage by weight of bitumen) prepared in drum Type Hot Mix Plant of 60-90 TPH capacity.</t>
  </si>
  <si>
    <t>16.57.7</t>
  </si>
  <si>
    <t>40/50 mm compacted thickness with bitumen of grade PMB-40 @ 5.5% (percentage by weight of total mix) and lime filler @ 3% (percentage by weight of Aggregate) prepared in drum Type Hot Mix Plant of 60-90 TPH capacity.</t>
  </si>
  <si>
    <t>16.57.8</t>
  </si>
  <si>
    <t>40/50 mm compacted thickness with bitumen of grade CRMB-60 @ 5.5% (percentage by weight of total mix) and lime filler @ 3% (percentage by weight of Aggregate) prepared in Drum Type Hot Mix Plant of 60-90 TPH capacity.</t>
  </si>
  <si>
    <t>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 67:2001, pasted on substrate by an adhesive backing which shall be activated by applying heat and pressure conforming to class -2 of ASTM-D-4956-01 and fixing the same with suitable sized aluminium alloy rivets @ 20 cm c/c to back support frame of M.S. angle iron of size 25x25x3 mm along with theft resistant measures, mounted and fixed with 2 Nos. M.S. angles of size 35x35x5 mm to a vertical post made up to M.S. Tee section ISMT 50x50x6 mm welded with base plate of size 100x100x5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colours).Backside of aluminium sheet to be painted with two or more coats of epoxy paint over and including appropriate priming coat including all leads and lifts etc. complete as per drawing , specification and direction of Engineer-in-charge.</t>
  </si>
  <si>
    <t>16.59.1</t>
  </si>
  <si>
    <t>Mandatory/ Regulatory sign boards of 900 mm diametre with support length of 3750 mm</t>
  </si>
  <si>
    <t>16.59.2</t>
  </si>
  <si>
    <t>Cautionary /warning sign boards of equilateral triangular shape having each side of 900 mm with support length of 3650 mm</t>
  </si>
  <si>
    <t>Manufacturing, supplying and fixing retro reflective overhead signage boards made up of 2 mm thick aluminium sheet, face to be fully covered with high intensity and encapsulated lens type heat activated retro reflective sheeting conforming to type - III of ASTM-D-4956-01 as approved by Engineer-in-charge, letters, borders etc. as per IRC : 67-2001 in silver white with blue colour back ground and with high intensity grade, pasted on substrate by pressure sensitive adhesive backing which shall be activated by applying pressure conforming to class II of ASTM-D-4956-01 and fixing the same to the plate of structural frame work by means of suitable sized aluminium alloys, rivets or bolts &amp; nuts @ 300 mm centre to centre all along the periphery as well as in two vertical rows along with theft resistant measures, including the cost of painting with two or more coats of epoxy paint in grey colour on the back side of aluminium sheet including appropriate priming coat. The rate includes the cost of rounding off the corners, lowering down the structural frame work from the gantry, fixing and erecting the same in position all complete as per drawings, specification and direction of the engineer-in-charge.(Structural frame work including M.S. plate to be provided separately. Rectangular area of the sheet only shall be measured for payment).</t>
  </si>
  <si>
    <t>16.60.1</t>
  </si>
  <si>
    <t>Overhead informatory road signage</t>
  </si>
  <si>
    <t>Providing Retro-reflective regulatory sign board of size 900 mm dia metre made out of 2 mm thick aluminium sheet, face to be fully covered with high intensity encapsulated lens type retro -reflective sheeting as approved by Engineer-in-charge . Letter, symbols, borders etc. will be as per IRC - 67 with required colour scheme on the boards and with the high intensity grade A. The aluminium sheet to be riveted to M.S. frame of angle iron of size 40x40x4 mm. The boards will be fixed to 1 No. 50x50 mm square post made of M.S. angle 50x50x4 mm, 4 m long welded to the frame with adequate anti-theft arrangement .Sheet work to be painted with two or more coats of synthetic enamel paint over an under coat (primer) and back side of aluminium sheet to be painted with two or more coats of epoxy paint including appropriate priming coat complete in all respects as per direction of Engineer-in-charge.</t>
  </si>
  <si>
    <t>Providing and applying 2.5 mm thick road marking strips (retro- reflective) of specified shade/ colour using hot thermoplastic material by fully/ semi automatic thermoplastic paint applicator machine fitted with profile shoe, glass beads dispenser, propane tank heater and profile shoe heater, driven by experienced operator on road surface including cost of material, labour, T&amp;P, cleaning the road surface of all dirt, seals, oil, grease and foreign material etc. complete as per direction of Engineer-in-charge and accordance with applicable specifications.</t>
  </si>
  <si>
    <t>Providing, laying and making kerb channel 30 cm wide and 50 mm thick with cement concrete 1:3:6 (1 cement: 3 coarse sand:6 graded stone aggregate 20 mm nominal size) over 75mm bed of dry brick ballast 40 mm nominal size, well rammed and consolidated and grouted with fine sand, including finishing the top smooth etc. complete and as per direction of Engineer-in-charge.</t>
  </si>
  <si>
    <t>Providing and laying 75 mm thick compacted bed of dry brick aggregate of 40 mm thick nominal size including spreading, well ramming, consolidating and grouting with jamuna sand, including finishing smooth etc. complete as per direction of Engineer-in-charge.</t>
  </si>
  <si>
    <t>Providing and fixing post delineators made of ABS round body fitted with 2 nos 100 mm dia high reflective reflectors and mounted on MS pipe of 65 mm dia duly powder coated anti-rust and anti theft steel to be installed as per direction of Engineer-in-charge.</t>
  </si>
  <si>
    <t>Excavating holes upto 0.10 cum, including getting out the excavated soil, then returning the soil as deported in layers not exceeding 20 cm in depth, including consolidating and deposited layer by ramming watering etc., disposing of surplus excavated soil as directed with in a lead of 50 mm and lift upto 1.5 m.</t>
  </si>
  <si>
    <t>16.66.1</t>
  </si>
  <si>
    <t>All kind of soil</t>
  </si>
  <si>
    <t>Providing and fixing at or near ground level factory made RCC pavement slab of M-30 grade of size 450x450x50 mm, including reinforcement with 6 mm dia M.S. bars 4 nos on each side, including setting in position in footpath to the required level and line over a bed of 20 mm average thick cement mortar 1:5 (1 cement : 5 coarse sand), having joint thickness not more than 5mm except on curve, including filling of joints with same cement mortar and making grooves etc. complete as per direction of Engineer-in-charge.</t>
  </si>
  <si>
    <t>Providing and laying 60mm thick faciory made cement concrete interlocking paver block of M -30 grade made by block making machine with strong vibratory compaction, of approved size, design &amp; shape, laid in required colour and pattern over and including 50mm thick compacted bed of coarse sand, filling the joints with line sand etc. all complete as per the direction of Engineer-in-charge.</t>
  </si>
  <si>
    <t>Providing and laying at or near ground level factory made kerb stone of M-25 grade cement concrete in position to the required line, level and curvature, jointed with cement mortar 1:3 (1 cement: 3 coarse sand), including making joints with or without grooves (thickness of joints except at sharp curve shall not to more than 5mm), including making drainage opening wherever required complete etc. as per direction of Engineer-in-charge (length of finished kerb edging shall be measured to calculate volume for payment). (Precast C.C. kerb stone shall be approved by Engineer-in-charge).</t>
  </si>
  <si>
    <t>Providing and fixing G.I. chain link fabric fencing of required width in mesh size 50x50 mm including strengthening with 2 mm dia wire or nuts, bolts and washers as required complete as per the direction of Engineer-in-charge.</t>
  </si>
  <si>
    <t>16.70.1</t>
  </si>
  <si>
    <t>Made of G.I. wire of dia 4 mm</t>
  </si>
  <si>
    <t>16.70.2</t>
  </si>
  <si>
    <t>Made of G.I. wire of dia. 4 mm, PVC coated to achieve outer dia not less than 5 mm in required colour and shade</t>
  </si>
  <si>
    <t>Providing and fixing G.I. chain link fabric fencing of required width in mesh size 25x25 mm made of G.I. wire of dia 3 mm including strengthening with 2 mm dia wire or nuts, bolts and washers as required complete as per the direction of Engineer-in-charge.</t>
  </si>
  <si>
    <t>Supplying and stacking of hard stone (for stone pitching) 22.5 cm thick at site.</t>
  </si>
  <si>
    <t>Dry stone pitching 22.5 cm thick laid in courses and required profile with hammer dressed stones having no side less than 15 cm, with minimum depth of 20 cm including preparing the bedding surface etc. all complete. (Payment for Stone to be made separately).</t>
  </si>
  <si>
    <t>75 mm thick back filling for pitching including supplying of required materials and consolidation etc. complete with :</t>
  </si>
  <si>
    <t>16.74.1</t>
  </si>
  <si>
    <t>16.74.2</t>
  </si>
  <si>
    <t>Stone aggregate 20 mm nominal size</t>
  </si>
  <si>
    <t>16.74.3</t>
  </si>
  <si>
    <t>Stone aggregate 40 mm nominal size</t>
  </si>
  <si>
    <t>Providing and laying C.C. pavement of mix M-25 with ready mixed concrete from batching plant. The ready mixed concrete shall be laid and finished with screed board vibrator , vacuum dewatering process and finally finished by floating, brooming with wire brush etc. complete as per specifications and directions of Engineer-in-charge. (The panel shuttering work shall be paid for separately).</t>
  </si>
  <si>
    <t>(Note:- Cement content considered in this item is @ 330 kg/cum. Excess/less cement used as per design mix is payable/ recoverable separately).</t>
  </si>
  <si>
    <t>Deduct for using of M-20 grade concrete instead of M-25 grade concrete in C.C. pavement.</t>
  </si>
  <si>
    <t>Scarifying the existing bituminous road surface to a depth of 50 mm and disposal of scarified material within all lifts and lead upto 1km (by mechanical means).</t>
  </si>
  <si>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Engineer-in-Charge.</t>
  </si>
  <si>
    <t>16.78.1</t>
  </si>
  <si>
    <t>With material conforming to Grade-I (size range 75 mm to 0.075 mm) having CBR Value-30</t>
  </si>
  <si>
    <t>16.78.2</t>
  </si>
  <si>
    <t>With material conforming to Grade-II (size range 53 mm to 0.075 mm ) having CBR Value-25</t>
  </si>
  <si>
    <t>16.78.3</t>
  </si>
  <si>
    <t>With material conforming to Grade-III (size range 26.5 mm to 0.075 mm ) having CBR Value-20</t>
  </si>
  <si>
    <t>Providing, laying, spreading and compacting graded stone aggregate (size range 53 mm to 0.075 mm ) to wet mix macadam (WMM) specification including premixing the material with water at OMC in for all leads &amp; lifts, laying in uniform layers with mechanical paverfinisher in sub- base / base course on well prepared surface and compacting with vibratory roller of 8 to 10 tonne capacity to achievethe desired density, complete as per specifications and directions of Engineer-in-Charge.</t>
  </si>
  <si>
    <t>Construction of dry lean cement concrete sub base over a prepared sub-grade with coarse and fine aggregate conforming to IS:383, the size of coarse aggregate not exceeding 25 mm, aggregate cement ratio not to  exceed 15:1, aggregate gradation after blending to be as per specifications, cement content not to be less than 150 Kg/cum, optimum moisture content to be determined during trial length construction, concrete strength not to be less than 10 Mpa at 7 days, mixed in a batching plant, transported to site, for all leads &amp; lifts, laid with a mechanical paver, compacting with 8-10 tonne vibratory roller, finishing and curing etc. complete as per direction of Engineer-in- charge.</t>
  </si>
  <si>
    <t xml:space="preserve">Providing and erecting 2.00 metre high temporary barricading at site; each panel of size 2.50mx2.00m made of 40x40x6mm angle iron or 50x50x3mm hollow MS tube posts/horizontal members/bracings covered with 1.63mm thick MS sheet. The sheet shall be fixed with 30x5mm MS flat by suitable welding/riveting. The panels shall be made so that gap of 50cm above the ground is available making overall height as 2.5m. MS channel ISLC 75 @ 5.70 kg/m, 50cm long shall be provided at the bottom having oval shaped holes of size 50x25mm at both ends with 50cm long MS angle 40x40x6mm bracing. Suitable arrangement shall be made to fix the barricading to avoid from overturning by providing 250mm long expansion fasteners at both ends. The work shall be executed as per drawing/direction of Engineer-in-Charge which includes writing and painting, arrangement for traffic diversion such as traffic signals during construction at site for day and night, glow lamps, reflective signs, marking, flags, caution tape as directed by the Engineer-in-Charge. The barricading provided shall be retained in position at site continuously i/c shifting of barricading from one location to another location as many times as required during the execution of the entire work till its completion. Rate include its maintenance for damages, painting, all incidentals, labour materials, equipments and works required to execute the job. The barricading shall not be removed without prior approval of Engineer-in-Charge. </t>
  </si>
  <si>
    <t xml:space="preserve">(Note :- One time payment shall be made for providing barricading from start of work till completion of work i/c shifting. The barricading provided shall remain to be the property of the contractor on completion of the work). </t>
  </si>
  <si>
    <t>Taking out existing kerb stones of all types from footpath/ central verge, including removal of mortar etc., disposal of unserviceable material to the dumping ground, for which payment shall be made separately and stacking of serviceable material within 50 metre lead as per direction of Engineer-in-Charge.</t>
  </si>
  <si>
    <t>Taking out existing CC interlocking paver blocks from footpath/ central verge, including removal of rubbish etc., disposal of unserviceable material to the dumping ground, for which payment shall be made separately and stacking of serviceable material within 50 metre lead as per direction of Engineer-in-Charge.</t>
  </si>
  <si>
    <t>Laying old cement cocrete interlocking paver blocks of any design/ shape laid in required line, level, curvature, colour and pattern over and including 50 mm thick compacted bed of coarse sand, filling the joints with fine sand etc. all complete as per the direction of Engineer-in-charge. (Old CC paver blocks shall be supplied by the department free of cost).</t>
  </si>
  <si>
    <t>Laying at or near ground level old kerb stones of all types in position to the required line, level and curvature, jointed with cement mortar 1:3 (1 cement : 3 coarse sand), including making joints with or without grooves (thickness of joints, except at sharp curve, shall not be more than 5 mm), including making drainage opening wherever required etc. complete as per direction of Engineer-in-charge. (Length of finished kerb edging shall be measured for payment). (Old kerb stones shall be supplied by the department free of cost)</t>
  </si>
  <si>
    <t>Providing and laying gang saw cut 18 mm thick, mirror polished pre moulded and pre polished machine cut granite stone of required size and shape of approved shade, colour and texture in footpath, flooring cut granite stone of required size and shape of approved shade, colour and texture in footpath, flooring in road side plazas and similar locations, laid over 20mm thick base of cement mortar 1:4 (1cement : 4 coarse sand) including grouting the joints with white cement mixed with matching pigment, epoxy touch ups etc. complete as per direction of Engineer-in-Charge.</t>
  </si>
  <si>
    <t>16.86.1</t>
  </si>
  <si>
    <t>With granite stone of area less than 0.50 sqm.</t>
  </si>
  <si>
    <t>Providing and laying gang saw cut 30 mm thick, mirror polished pre moulded and pre polished machine cut granite stone of required size and shape of approved shade, colour and texture in footpath, flooring in road side plazas and similar locations, laid over 20mm thick base of cement mortar 1:4 (1 cement : 4 coarse sand) including grouting the joints with white cement mixed with matching pigment, epoxy touch ups etc. complete as per direction of Engineer-in-Charge.</t>
  </si>
  <si>
    <t>16.87.1</t>
  </si>
  <si>
    <t>With granite stone of colour black, cherry/ruby red of area less than 0.50 sqm.</t>
  </si>
  <si>
    <t>16.87.2</t>
  </si>
  <si>
    <t>With granite stone of all colour except black, cherry/ruby red of area less than 0.50 sqm.</t>
  </si>
  <si>
    <t>Providing and laying matt finished vitrified tile of size 100x100x16mm having water absorption less than 0.5% and conforming to IS: 15622 of approved make in all colours and shades in out door floors such as footpath, court yard multi models etc., laid on 20mm thick base of cement mortar 1:4 (1cement : 4 coarse sand) in all shapes &amp; patterns including grouting the joints with white cement mixed with matching pigments etc. complete as direction of Engineer-in-Charge.</t>
  </si>
  <si>
    <t>Providing and laying matt finished vitrified tile of size 300x300x9.8mm having with water absorption less than 0.5% and conforming to IS: 15622 of approved make in all colours and shades in for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Engineer-in-Charge.</t>
  </si>
  <si>
    <t>Providing and laying tactile tile (for vision impaired persons as per standards) of size 300x300x9.8mm having with water absorption less than 0.5% and conforming to IS:15622 of approved make in all colours and shades in for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Engineer-in-Charge.</t>
  </si>
  <si>
    <t>Providing and laying factory made chamfered edge Cement Concrete paver blocks in footpath, parks, lawns, drive ways or light traffic parking etc, of required strength, thickness &amp; size/ shape, made by table vibratory method using PU mould, laid in required colour &amp; pattern over 50mm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Engineer-in-Charge.</t>
  </si>
  <si>
    <t>16.91.1</t>
  </si>
  <si>
    <t>60mm thick cement concrete paver block of M-35 grade with approved colour, design &amp; pattern.</t>
  </si>
  <si>
    <t>16.91.2</t>
  </si>
  <si>
    <t>80 mm thick C.C. paver block of M-35 grade with approved colour design and pattern.</t>
  </si>
  <si>
    <t>Providing and fixing 10x10x7.50 cm Granite stone block hand cut and chisel dressed on top, for paving in floors, drains etc. laid over 20mm thick base mortar 1:4 (1 cement : 4 coarse sand) with joints 10mm wide filled with same mortar including ruled pointing etc. complete as per direction of engineer-in-charge.</t>
  </si>
  <si>
    <t>Providing and placing in position 100 mm thick factory made machine batched &amp; machine mixed Precast RCC Rectangular Covers on drains of footpath of various sizes, of M-25 grade cement concrete for RCC work, including cost of centering, shuttering, reinforcement of 8 mm dia TMT bars of Fe 500 grade @ maximum 100mm c/c on both ways , neat cement punning on finished surface, properly encased on all edges with 1.6 mm thick , 100 mm wide MS sheet duly painted over priming coat , reinforcement to be welded at edges with MS sheet and providing 2 Nos. 12 mm dia bar for hooks etc i/c cost of cartage, all leads &amp; lift, handling at site etc. all complete as per direction of Engineer-in-Charge.</t>
  </si>
  <si>
    <t>Providing &amp; making Gabion structure with Mechanically Woven Double Twisted Hexagonal Shaped Wire mesh Gabion Boxes as per IS 16014:2012,MORTH Clause 2500, of required size, Mesh Type 10x12 (D=100 mm with tolerance of ± 2%) Zinc coated, Mesh wire diameter 3.0 mm, mechanically edged/selvedged with partitions at every 1m interval and shall have minimum 10 numbers of openings per meter of mesh perpendicular to twist, tying with lacing wire of diameter 2.2mm, supplied @ 3% by weight of Gabion boxes, filled with boulders with least dimension of 200 mm, as per drawing, all complete as per direction of Engineer-in-charge.</t>
  </si>
  <si>
    <t>Providing &amp; making Gabion structure with Mechanically Woven Double Twisted Hexagonal Shaped Wire mesh Gabion Boxes as per IS 16014:2012,MORTH Clause 2500, of required size, Mesh Type 10x12(D=100 mm with tolerance of ± 2%) Zinic+PVC coated, Mesh wire diameter2.7/3.7mm, mechanically edged/selvedged with partitions at every 1m interval and shall have minimum 10 numbers of openings per meter of mesh perpendicular to twist, tying with lacing wire of diameter 2.2/3.2mm(ID/OD), supplied @3% by weight of Gabion boxes, filled with boulders with least dimension of 200 mm,  as per drawing, all complete as per directions of Engineer-in-charge.</t>
  </si>
  <si>
    <t>Providing &amp; making Gabion structure with Mechanically Woven Double Twisted Hexagonal Shaped Wire mesh Gabion Boxes as per IS 16014:2012,MORTH Clause 2500, of required size, Mesh Type 10x12(D=100 mm with tolerance of ±2%), Zinic+10% Al alloy+PVC coated, Mesh wire diameter 2.7/3.7mm (ID/OD), mechanically edged/selvedged with partitions at every 1m interval and shall have minimum 10 numbers of openings per meter of mesh perpendicular to twist, tying with lacing wire of diameter 2.2/3.2mm(ID/OD), supplied @3% by weight of Gabion boxes, filled with boulders with least dimension of 200 mm, as per drawing, all complete as per directions of Engineer-in-charge.</t>
  </si>
  <si>
    <t>17.0 SANITARY INSTALLATIONS</t>
  </si>
  <si>
    <t>Providing and fixing water closet squatting pan (Indian type W.C. pan ) with 100 mm sand cast Iron P or S trap, 10 litre low level white P.V.C. flushing cistern, including flush pipe, with manually controlled device (handle lever) conforming to IS : 7231, with all fittings and fixtures complete, including cutting and making good the walls and floors wherever required:</t>
  </si>
  <si>
    <t>17.1.1</t>
  </si>
  <si>
    <t>White Vitreous china Orissa pattern W.C. pan of size 580x440 mm with integral type foot rests</t>
  </si>
  <si>
    <t>17.1.2</t>
  </si>
  <si>
    <t>Stainless Steel AISI-304(18/8) Orissa pattern W.C. pan of size 585x480 mm with flush pipe and integrated type foot rests</t>
  </si>
  <si>
    <t>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t>
  </si>
  <si>
    <t>17.2.1</t>
  </si>
  <si>
    <t>W.C. pan with ISI marked white solid plastic seat and lid</t>
  </si>
  <si>
    <t>17.2.2</t>
  </si>
  <si>
    <t>W.C. pan with ISI marked black solid plastic seat and lid</t>
  </si>
  <si>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t>
  </si>
  <si>
    <t>17.3.1</t>
  </si>
  <si>
    <t>17.3.2</t>
  </si>
  <si>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t>
  </si>
  <si>
    <t>17.4.1</t>
  </si>
  <si>
    <t>One urinal basin with 5 litre white P.V.C. automatic flushing cistern</t>
  </si>
  <si>
    <t>17.4.2</t>
  </si>
  <si>
    <t>Range of two urinal basins with 5 litre white P.V.C. automatic flushing cistern</t>
  </si>
  <si>
    <t>17.4.3</t>
  </si>
  <si>
    <t>Range of three urinal basins with 10litre white P.V.C. automatic flushing cistern</t>
  </si>
  <si>
    <t>17.4.4</t>
  </si>
  <si>
    <t>Range of four urinal basins with 10 litre white P.V.C. automatic flushing cistern</t>
  </si>
  <si>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t>
  </si>
  <si>
    <t>17.5.1</t>
  </si>
  <si>
    <t>Single half stall urinal with 5 litre P.V.C. automatic flushing cistern</t>
  </si>
  <si>
    <t>17.5.2</t>
  </si>
  <si>
    <t>Range of two half stall urinals with 5 litre P.V.C. automatic flushing cistern</t>
  </si>
  <si>
    <t>17.5.3</t>
  </si>
  <si>
    <t>Range of three half stall urinals with 10 litre P.V.C. automatic flushing cistern</t>
  </si>
  <si>
    <t>17.5.4</t>
  </si>
  <si>
    <t>Range of four half stall urinals with 10 litre P.V.C. automatic flushing cistern</t>
  </si>
  <si>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t>
  </si>
  <si>
    <t>17.6.1</t>
  </si>
  <si>
    <t>Single squatting plate with 5 litre P.V.C. automatic flushing cistern</t>
  </si>
  <si>
    <t>17.6.2</t>
  </si>
  <si>
    <t>Range of two squatting plates with 5 litre P.V.C. automatic flushing cistern</t>
  </si>
  <si>
    <t>17.6.3</t>
  </si>
  <si>
    <t>Range of three squatting plates with 10 litre P.V.C. automatic flushing cistern</t>
  </si>
  <si>
    <t>17.6.4</t>
  </si>
  <si>
    <t>Range of four squatting plates with 10 litre P.V.C. automatic flushing cistern</t>
  </si>
  <si>
    <t>Providing and fixing wash basin with C.I. brackets, 15 mm C.P. brass pillar taps, 32 mm C.P. brass waste of standard pattern, including painting of fittings and brackets, cutting and making good the walls wherever require:</t>
  </si>
  <si>
    <t>17.7.1</t>
  </si>
  <si>
    <t>White Vitreous China Wash basin size 630x450 mm with a pair of 15 mm C.P. brass pillar taps</t>
  </si>
  <si>
    <t>17.7.2</t>
  </si>
  <si>
    <t>White Vitreous China Wash basin size 630x450 mm with a single 15 mm C.P. brass pillar tap</t>
  </si>
  <si>
    <t>17.7.3</t>
  </si>
  <si>
    <t>White Vitreous China Wash basin size 550x400 mm with a pair of 15 mm C.P. brass pillar taps</t>
  </si>
  <si>
    <t>17.7.4</t>
  </si>
  <si>
    <t>White Vitreous China Flat back wash basin size 550x 400 mm with single 15 mm C.P. brass pillar tap</t>
  </si>
  <si>
    <t>17.7.5</t>
  </si>
  <si>
    <t>White Vitreous China Angle back wash basin size 600 x 480 mm with single 15mm C.P. brass pillar tap</t>
  </si>
  <si>
    <t>17.7.6</t>
  </si>
  <si>
    <t>White Vitreous China Angle back wash basin size 400 x 400 mm with single 15 mm C.P. brass pillar tap</t>
  </si>
  <si>
    <t>17.7.7</t>
  </si>
  <si>
    <t>White Vitreous China Flat back wash basin size 450x 300 mm with single 15mm C.P. brass pillar tap</t>
  </si>
  <si>
    <t>17.7.8</t>
  </si>
  <si>
    <t>White Vitreous China Surgeon type wash basin of size 660x460 mm with a pair of 15 mm C.P. brass pillar taps with elbow including operated levers</t>
  </si>
  <si>
    <t>17.7.9</t>
  </si>
  <si>
    <t>White Vitreous China Surgeon type wash basin of size 660x460 mm with single 15 mm C.P. brass pillar taps with elbow operated levers ISI Marked</t>
  </si>
  <si>
    <t>17.7.10</t>
  </si>
  <si>
    <t>Stainless Steel AISI-304(18/8) Round basin 405x355 mm with single 15 mm C.P. brass pillar tap</t>
  </si>
  <si>
    <t>17.7.11</t>
  </si>
  <si>
    <t>Stainless Steel AISI-304(18/8) Wash basin 530x345 mm with single 15 mm C.P. brass pillar tap</t>
  </si>
  <si>
    <t>17.7A</t>
  </si>
  <si>
    <t>Providing and fixing wash basin with C.I. brackets, 15 mm dia CP Brass single hole basin mixer of approved quality and make, including painting of fittings and brackets, cutting and making good the walls wherever required:-</t>
  </si>
  <si>
    <t>(a)  White Vitreous China Wash basin size 550x400 mm with a 15 mm CP Brass single hole basin mixer</t>
  </si>
  <si>
    <t>17.7B</t>
  </si>
  <si>
    <t>Providing and fixing wash basin with C.I. brackets, 15 mm PTMT pillar cock, 32 mm PTMT waste coupling of  standard pattern, including painting of fittings and brackets, cutting and making good the walls wherever required. White Vitreous China Flat back wash basin size 550x400 mm with single 15 mm PTMT pillar cock.</t>
  </si>
  <si>
    <t>Providing and fixing white vitreous china pedestal for wash basin completely recessed at the back for the reception of pipes and fittings.</t>
  </si>
  <si>
    <t>Providing and fixing kitchen sink with C.I. brackets, C.P. brass chain with rubber plug, 40 mm C.P. brass waste complete, including painting the fittings and brackets, cutting and making good the walls wherever required:</t>
  </si>
  <si>
    <t>17.9.1</t>
  </si>
  <si>
    <t>White glazed fire clay kitchen sink of size 600x450x 250 mm</t>
  </si>
  <si>
    <t>Providing and fixing Stainless Steel A ISI 304 (18/8) kitchen sink as per IS:13983 with C.I. brackets and stainless steel plug 40 mm, including painting of fittings and brackets, cutting and making good the walls wherever required :</t>
  </si>
  <si>
    <t>17.10.1</t>
  </si>
  <si>
    <t>Kitchen sink with drain board</t>
  </si>
  <si>
    <t>17.10.1.1</t>
  </si>
  <si>
    <t>510x1040 mm bowl depth 250 mm</t>
  </si>
  <si>
    <t>17.10.1.2</t>
  </si>
  <si>
    <t>510x1040 mm bowl depth 225 mm</t>
  </si>
  <si>
    <t>17.10.1.3</t>
  </si>
  <si>
    <t>510x1040 mm bowl depth 200 mm</t>
  </si>
  <si>
    <t>17.10.1.4</t>
  </si>
  <si>
    <t>510x1040 mm bowl depth 178 mm</t>
  </si>
  <si>
    <t>17.10.2</t>
  </si>
  <si>
    <t>Kitchen sink without drain board</t>
  </si>
  <si>
    <t>17.10.2.1</t>
  </si>
  <si>
    <t>610x510 mm bowl depth 200 mm</t>
  </si>
  <si>
    <t>17.10.2.2</t>
  </si>
  <si>
    <t>610x460 mm bowl depth 200 mm</t>
  </si>
  <si>
    <t>17.10.2.3</t>
  </si>
  <si>
    <t>470x420 mm bowl depth 178 mm</t>
  </si>
  <si>
    <t>Providing and fixing white vitreous china laboratory sink with C.I. brackets, C.P. brass chain with rubber plug, 40 mm C.P brass waste and 40mm C.P. brass trap with necessary C.P. brass unions complete, including painting of fittings and brackets, cutting and making good the wall wherever required :</t>
  </si>
  <si>
    <t>17.11.1</t>
  </si>
  <si>
    <t>Size 450x300x150 mm</t>
  </si>
  <si>
    <t>17.11.2</t>
  </si>
  <si>
    <t>Size 600x450x200 mm</t>
  </si>
  <si>
    <t>Providing and fixing draining board with C.I. brackets including painting of brackets, cutting and making good the walls wherever required :</t>
  </si>
  <si>
    <t>17.12.1</t>
  </si>
  <si>
    <t>White glazed fire clay draining board of size 600x450x 25 mm</t>
  </si>
  <si>
    <t>Providing and fixing white vitreous china water closet squatting pan (Indian type) :</t>
  </si>
  <si>
    <t>17.13.1</t>
  </si>
  <si>
    <t>Long pattern W.C. pan of size 580 mm</t>
  </si>
  <si>
    <t>17.13.2</t>
  </si>
  <si>
    <t>Orissa pattern W.C. pan of size 580x440 mm</t>
  </si>
  <si>
    <t>Extra for using coloured W.C. pan instead of white W.C. pan :</t>
  </si>
  <si>
    <t>17.14.1</t>
  </si>
  <si>
    <t>Orissa pattern W.C. pan 580x440 mm</t>
  </si>
  <si>
    <t>Providing and fixing white vitreous china pedestal type (European type/ wash down type) water closet pan.</t>
  </si>
  <si>
    <t>Extra for using coloured pedestal type W.C pan (European type) with low level cistern of same colour instead of white vitreous china W.C pan and cistern.</t>
  </si>
  <si>
    <t>17.16A</t>
  </si>
  <si>
    <t>Providing and fixing 8 mm dia C.P. / S.S. Jet with flexible tube upto 1 metre long with S.S. triangular plate to Eureopean type W.C. of quality and make as approved by Engineer - in - charge.</t>
  </si>
  <si>
    <t>Providing and fixing a pair of white vitreous china foot rests of standard pattern for squatting pan water closet :</t>
  </si>
  <si>
    <t>17.17.1</t>
  </si>
  <si>
    <t>250x130x30 mm</t>
  </si>
  <si>
    <t>17.17.2</t>
  </si>
  <si>
    <t>250x125x25 mm</t>
  </si>
  <si>
    <t>Providing and fixing P.V.C. low level flushing cistern with manually controlled device (handle lever) conforming to IS : 7231, with all fittings and fixtures complete.</t>
  </si>
  <si>
    <t>17.18.1</t>
  </si>
  <si>
    <t>10 litre capacity - White</t>
  </si>
  <si>
    <t>17.18.2</t>
  </si>
  <si>
    <t>10 litre capacity - coloured</t>
  </si>
  <si>
    <t>Providing and fixing controlled flush, low level cistern made of vitreous china with all fittings complete.</t>
  </si>
  <si>
    <t>17.19.1</t>
  </si>
  <si>
    <t>10 litre (full flush) capacity-white</t>
  </si>
  <si>
    <t>17.19.2</t>
  </si>
  <si>
    <t>10 litre (full flush) capacity-coloured</t>
  </si>
  <si>
    <t>Providing and fixing solid plastic seat with lid for pedestal type W.C. pan complete :</t>
  </si>
  <si>
    <t>17.20.1</t>
  </si>
  <si>
    <t>White solid plastic seat with lid</t>
  </si>
  <si>
    <t>17.20.2</t>
  </si>
  <si>
    <t>Black solid plastic seat with lid</t>
  </si>
  <si>
    <t>17.20.3</t>
  </si>
  <si>
    <t>Coloured (other than black &amp; white) solid plastic seat with lid</t>
  </si>
  <si>
    <t>Providing and fixing G.I. inlet connection for flush pipe connecting with W.C. pan.</t>
  </si>
  <si>
    <t>17.22A</t>
  </si>
  <si>
    <t>Providing and fixing CP Brass 32mm size Bottle Trap of approved quality &amp; make and as per the direction of Engineer-in-charge.</t>
  </si>
  <si>
    <t>17.22B</t>
  </si>
  <si>
    <t>Providing and fixing CP Brass Single lever telephonic wall mixer of quality &amp; make   as approved by Engineer in charge.</t>
  </si>
  <si>
    <t>(a) 15 mm nominal dia</t>
  </si>
  <si>
    <t>Providing and fixing white vitreous china flat back or wall corner type lipped front urinal basin of 430x260x350 mm or 340x410x265 mm sizes respectively.</t>
  </si>
  <si>
    <t>Providing and fixing white vitreous china squatting plate urinal with integral rim longitudinal flush pipe.</t>
  </si>
  <si>
    <t>Providing and fixing white vitreous china wash basin including making all connections but excluding the cost of fittings :</t>
  </si>
  <si>
    <t>17.25.1</t>
  </si>
  <si>
    <t>Flat back wash basin of size 630x450 mm</t>
  </si>
  <si>
    <t>17.25.2</t>
  </si>
  <si>
    <t>Flat back wash basin of size 550x400 mm</t>
  </si>
  <si>
    <t>17.25.3</t>
  </si>
  <si>
    <t>Angle back wash basin of size 600x480 mm</t>
  </si>
  <si>
    <t>17.25.4</t>
  </si>
  <si>
    <t>Angle back wash basin of size 400x400 mm</t>
  </si>
  <si>
    <t>17.25.5</t>
  </si>
  <si>
    <t>Flat back wash basin of size 450x300 mm</t>
  </si>
  <si>
    <t>17.25.6</t>
  </si>
  <si>
    <t>Surgeon type wash basin of size 660x460 mm</t>
  </si>
  <si>
    <t>Providing and fixing kitchen sink including making all connections excluding cost of fittings.</t>
  </si>
  <si>
    <t>17.26.1</t>
  </si>
  <si>
    <t>White glazed fire clay sink of size 600x450x250 mm</t>
  </si>
  <si>
    <t>Providing and fixing white vitreous china laboratory sink including making all connections excluding cost of fittings :</t>
  </si>
  <si>
    <t>17.27.1</t>
  </si>
  <si>
    <t>17.27.2</t>
  </si>
  <si>
    <t>Providing and fixing P.V.C. waste pipe for sink or wash basin including P.V.C. waste fittings complete.</t>
  </si>
  <si>
    <t>17.28.1</t>
  </si>
  <si>
    <t>Semi rigid pipe</t>
  </si>
  <si>
    <t>17.28.1.1</t>
  </si>
  <si>
    <t>17.28.1.2</t>
  </si>
  <si>
    <t>17.28.2</t>
  </si>
  <si>
    <t>Flexible pipe</t>
  </si>
  <si>
    <t>17.28.2.1</t>
  </si>
  <si>
    <t>17.28.2.2</t>
  </si>
  <si>
    <t>Providing and fixing 100 mm sand cast Iron grating for gully trap.</t>
  </si>
  <si>
    <t>Providing and fixing in position 25 mm diameter mosquito proof coupling of approved municipal design.</t>
  </si>
  <si>
    <t>Providing and fixing 600x450 mm beveled edge mirror of superior glass (of approved quality) complete with 6 mm thick hard board ground fixed to wooden cleats with C.P. brass screws and washers complete.</t>
  </si>
  <si>
    <t>Providing and fixing mirror of superior glass (of approved quality) and of required shape and size with plastic moulded frame of approved make and shade with 6 mm thick hard board backing :</t>
  </si>
  <si>
    <t>17.32.1</t>
  </si>
  <si>
    <t>Circular shape 450 mm dia</t>
  </si>
  <si>
    <t>17.32.2</t>
  </si>
  <si>
    <t>Rectangular shape 453x357 mm</t>
  </si>
  <si>
    <t>17.32.3</t>
  </si>
  <si>
    <t>Oval shape 450x350 mm (outer dimensions)</t>
  </si>
  <si>
    <t>17.32.4</t>
  </si>
  <si>
    <t>Rectangular shape 1500x450 mm</t>
  </si>
  <si>
    <t>Providing and fixing 600x120x5 mm glass shelf with edges round off, supported on anodised aluminium angle frame with C.P. brass brackets and guard rail complete fixed with 40 mm long screws, rawl plugs etc., complete.</t>
  </si>
  <si>
    <t>Providing and fixing toilet paper holder :</t>
  </si>
  <si>
    <t>17.34.1</t>
  </si>
  <si>
    <t>C.P. brass</t>
  </si>
  <si>
    <t>17.34.2</t>
  </si>
  <si>
    <t>Vitreous china</t>
  </si>
  <si>
    <t>Providing and fixing soil, waste and vent pipes :</t>
  </si>
  <si>
    <t>17.35.1</t>
  </si>
  <si>
    <t>100 mm dia</t>
  </si>
  <si>
    <t>17.35.1.1</t>
  </si>
  <si>
    <t>Sand cast iron S&amp;S pipe as per IS: 1729</t>
  </si>
  <si>
    <t>17.35.1.2</t>
  </si>
  <si>
    <t>Centrifugally cast (spun) iron socket &amp; spigot (S&amp;S) pipe as per IS: 3989</t>
  </si>
  <si>
    <t>17.35.1.3</t>
  </si>
  <si>
    <t>Hubless  centrifugally  cast (spun)  iron  pipes  epoxy coated inside &amp; outside IS:15905</t>
  </si>
  <si>
    <t>17.35.2</t>
  </si>
  <si>
    <t>75 mm diameter :</t>
  </si>
  <si>
    <t>17.35.2.1</t>
  </si>
  <si>
    <t>17.35.2.2</t>
  </si>
  <si>
    <t>Centrifugally cast (spun) iron socketed pipe as per IS: 3989</t>
  </si>
  <si>
    <t>17.35.2.3</t>
  </si>
  <si>
    <t>Hubless  centrifugally  cast (spun)  iron  pipes epoxy coated inside &amp; outside IS:15905</t>
  </si>
  <si>
    <t>Providing and filling the joints with spun yarn, cement slurry and cement mortar 1:2 ( 1 cement : 2 fine sand) in S.C.I./ C.I. Pipes :</t>
  </si>
  <si>
    <t>17.36.1</t>
  </si>
  <si>
    <t>75 mm dia pipe</t>
  </si>
  <si>
    <t>17.36.2</t>
  </si>
  <si>
    <t>Providing and fixing M.S. holder-bat clamps of approved design to Sand Cast iron/cast iron (spun) pipe embedded in and including cement concrete blocks 10x10x10 cm of 1:2:4 mix (1 cement : 2 coarse sand : 4 graded stone aggregate 20 mm nominal size), including cost of cutting holes and making good the walls etc. :</t>
  </si>
  <si>
    <t>17.37.1</t>
  </si>
  <si>
    <t>For 100 mm dia pipe</t>
  </si>
  <si>
    <t>17.37.2</t>
  </si>
  <si>
    <t>For 75 mm dia pipe</t>
  </si>
  <si>
    <t>Providing and fixing bend of required degree with access door, insertion rubber washer 3 mm thick, bolts and nuts complete.</t>
  </si>
  <si>
    <t>17.38.1</t>
  </si>
  <si>
    <t>17.38.1.1</t>
  </si>
  <si>
    <t>Sand cast iron S&amp;S as per IS - 1729</t>
  </si>
  <si>
    <t>17.38.1.2</t>
  </si>
  <si>
    <t>Sand cast iron S&amp;S as per IS - 3989</t>
  </si>
  <si>
    <t>17.38.1.3</t>
  </si>
  <si>
    <t>Hubless centrifugally cast (spun) iron epoxy coated inside &amp; outside as per IS:15905</t>
  </si>
  <si>
    <t>17.38.2</t>
  </si>
  <si>
    <t>75 mm dia</t>
  </si>
  <si>
    <t>17.38.2.1</t>
  </si>
  <si>
    <t>17.38.2.2</t>
  </si>
  <si>
    <t>Sand cast iron S&amp;S as per IS- 3989</t>
  </si>
  <si>
    <t>17.38.2.3</t>
  </si>
  <si>
    <t>Providing and fixing plain bend of required degree.</t>
  </si>
  <si>
    <t>17.39.1</t>
  </si>
  <si>
    <t>17.39.1.1</t>
  </si>
  <si>
    <t>17.39.1.2</t>
  </si>
  <si>
    <t>Sand cast iron S&amp;S as per IS : 3989</t>
  </si>
  <si>
    <t>17.39.1.3</t>
  </si>
  <si>
    <t>17.39.2</t>
  </si>
  <si>
    <t>17.39.2.1</t>
  </si>
  <si>
    <t>Sand cast iron S&amp;S as per IS -1729</t>
  </si>
  <si>
    <t>17.39.2.2</t>
  </si>
  <si>
    <t>17.39.2.3</t>
  </si>
  <si>
    <t>Providing and fixing heel rest sanitary bend</t>
  </si>
  <si>
    <t>17.40.1</t>
  </si>
  <si>
    <t>17.40.1.1</t>
  </si>
  <si>
    <t>17.40.1.2</t>
  </si>
  <si>
    <t>17.40.2</t>
  </si>
  <si>
    <t>17.40.2.1</t>
  </si>
  <si>
    <t>17.40.2.2</t>
  </si>
  <si>
    <t>Providing and fixing double equal junction of required degree with access door, insertion rubber washer 3 mm thick, bolts and nuts complete :</t>
  </si>
  <si>
    <t>17.41.1</t>
  </si>
  <si>
    <t>100x100x100x100 mm</t>
  </si>
  <si>
    <t>17.41.1.1</t>
  </si>
  <si>
    <t>17.41.1.2</t>
  </si>
  <si>
    <t>17.41.2</t>
  </si>
  <si>
    <t>75x75x75x75 mm</t>
  </si>
  <si>
    <t>17.41.2.1</t>
  </si>
  <si>
    <t>17.41.2.2</t>
  </si>
  <si>
    <t>Providing and fixing double equal plain junction of required degree.</t>
  </si>
  <si>
    <t>17.42.1</t>
  </si>
  <si>
    <t>17.42.1.1</t>
  </si>
  <si>
    <t>17.42.1.2</t>
  </si>
  <si>
    <t>17.42.1.3</t>
  </si>
  <si>
    <t>17.42.2</t>
  </si>
  <si>
    <t>17.42.2.1</t>
  </si>
  <si>
    <t>17.42.2.2</t>
  </si>
  <si>
    <t>17.42.2.3</t>
  </si>
  <si>
    <t>Providing and fixing single equal plain junction of required degree with access door, insertion rubber washer 3 mm thick, bolts and nuts complete.</t>
  </si>
  <si>
    <t>17.43.1</t>
  </si>
  <si>
    <t>100x100x100 mm</t>
  </si>
  <si>
    <t>17.43.1.1</t>
  </si>
  <si>
    <t>17.43.1.2</t>
  </si>
  <si>
    <t>17.43.2</t>
  </si>
  <si>
    <t>17.43.2.1</t>
  </si>
  <si>
    <t>17.43.2.2</t>
  </si>
  <si>
    <t>Providing and fixing single equal plain junction of required degree :</t>
  </si>
  <si>
    <t>17.44.1</t>
  </si>
  <si>
    <t>17.44.1.1</t>
  </si>
  <si>
    <t>17.44.1.2</t>
  </si>
  <si>
    <t>17.44.1.3</t>
  </si>
  <si>
    <t>Hubless   centrifugally   cast (spun)   iron   epoxy coated inside &amp; outside as per   IS:15905</t>
  </si>
  <si>
    <t>17.44.2</t>
  </si>
  <si>
    <t>17.44.2.1</t>
  </si>
  <si>
    <t>17.44.2.2</t>
  </si>
  <si>
    <t>17.44.2.3</t>
  </si>
  <si>
    <t>Providing and fixing double unequal junction of required degree with access door, insertion rubber washer 3 mm thick, bolts and nuts complete:</t>
  </si>
  <si>
    <t>17.45.1</t>
  </si>
  <si>
    <t>100x100x75x75 mm</t>
  </si>
  <si>
    <t>17.45.1.1</t>
  </si>
  <si>
    <t>17.45.1.2</t>
  </si>
  <si>
    <t>Providing and fixing double unequal plain junction of required degree :</t>
  </si>
  <si>
    <t>17.46.1</t>
  </si>
  <si>
    <t>17.46.1.1</t>
  </si>
  <si>
    <t>17.46.1.2</t>
  </si>
  <si>
    <t>17.46.1.3</t>
  </si>
  <si>
    <t>Providing and fixing single unequal junction of required degree with access door, insertion rubber washer 3 mm thick, bolts and nuts complete :</t>
  </si>
  <si>
    <t>17.47.1</t>
  </si>
  <si>
    <t>100x100x75 mm</t>
  </si>
  <si>
    <t>17.47.1.1</t>
  </si>
  <si>
    <t>17.47.1.2</t>
  </si>
  <si>
    <t>Providing and fixing single unequal plain junction of required degree :</t>
  </si>
  <si>
    <t>17.48.1</t>
  </si>
  <si>
    <t>17.48.1.1</t>
  </si>
  <si>
    <t>17.48.1.2</t>
  </si>
  <si>
    <t>17.48.1.3</t>
  </si>
  <si>
    <t>Providing and fixing double equal plain invert branch of required degree:</t>
  </si>
  <si>
    <t>17.49.1</t>
  </si>
  <si>
    <t>17.49.1.1</t>
  </si>
  <si>
    <t>17.49.1.2</t>
  </si>
  <si>
    <t>Sand cast iron S&amp;S as per IS 3989</t>
  </si>
  <si>
    <t>17.49.1.3</t>
  </si>
  <si>
    <t>17.49.2</t>
  </si>
  <si>
    <t>17.49.2.1</t>
  </si>
  <si>
    <t>17.49.2.2</t>
  </si>
  <si>
    <t>Providing and fixing single equal plain invert branch of required degree :</t>
  </si>
  <si>
    <t>17.50.1</t>
  </si>
  <si>
    <t>17.50.1.1</t>
  </si>
  <si>
    <t>Sand cast iron S&amp;S as per iron 1729</t>
  </si>
  <si>
    <t>17.50.1.2</t>
  </si>
  <si>
    <t>17.50.1.3</t>
  </si>
  <si>
    <t>17.50.2</t>
  </si>
  <si>
    <t>17.50.2.1</t>
  </si>
  <si>
    <t>17.50.2.2</t>
  </si>
  <si>
    <t>17.50.2.3</t>
  </si>
  <si>
    <t>Providing and fixing double unequal invert branch of required degree :</t>
  </si>
  <si>
    <t>17.51.1</t>
  </si>
  <si>
    <t>17.51.1.1</t>
  </si>
  <si>
    <t>17.51.1.2</t>
  </si>
  <si>
    <t>Providing and fixing single unequal plain invert branch of required degree :</t>
  </si>
  <si>
    <t>17.52.1</t>
  </si>
  <si>
    <t>17.52.1.1</t>
  </si>
  <si>
    <t>17.52.1.2</t>
  </si>
  <si>
    <t>17.52.1.3</t>
  </si>
  <si>
    <t>Providing and fixing sand cast iron S&amp;S off sets as per IS: 1729</t>
  </si>
  <si>
    <t>17.53.1</t>
  </si>
  <si>
    <t>76 mm off sets</t>
  </si>
  <si>
    <t>17.53.1.1</t>
  </si>
  <si>
    <t>With 75 mm dia pipe</t>
  </si>
  <si>
    <t>17.53.1.2</t>
  </si>
  <si>
    <t>With 100 mm dia pipe</t>
  </si>
  <si>
    <t>17.53.2</t>
  </si>
  <si>
    <t>114 mm off sets</t>
  </si>
  <si>
    <t>17.53.2.1</t>
  </si>
  <si>
    <t>17.53.2.2</t>
  </si>
  <si>
    <t>17.53.3</t>
  </si>
  <si>
    <t>152 mm off sets</t>
  </si>
  <si>
    <t>17.53.3.1</t>
  </si>
  <si>
    <t>17.53.3.2</t>
  </si>
  <si>
    <t>17.53A</t>
  </si>
  <si>
    <t>Providing and fixing Hubless centrifugally cast iron offsets epoxy coated inside &amp; outside as per IS:15905</t>
  </si>
  <si>
    <t>17.53A.1</t>
  </si>
  <si>
    <t>65 mm offsets</t>
  </si>
  <si>
    <t xml:space="preserve">17.53A.1.1 </t>
  </si>
  <si>
    <t xml:space="preserve">17.53A.1.2 </t>
  </si>
  <si>
    <t>Providing and fixing sand cast iron S&amp;S off sets as per IS: 3989 :</t>
  </si>
  <si>
    <t>17.54.1</t>
  </si>
  <si>
    <t>75 mm off sets</t>
  </si>
  <si>
    <t>17.54.1.1</t>
  </si>
  <si>
    <t>17.54.2</t>
  </si>
  <si>
    <t>150 mm off sets</t>
  </si>
  <si>
    <t>17.54.2.1</t>
  </si>
  <si>
    <t>17.54.2.2</t>
  </si>
  <si>
    <t>17.54A</t>
  </si>
  <si>
    <t>17.54A.1</t>
  </si>
  <si>
    <t>130 mm offsets</t>
  </si>
  <si>
    <t xml:space="preserve">17.54A.1.1  </t>
  </si>
  <si>
    <t>With 100 mm dia</t>
  </si>
  <si>
    <t xml:space="preserve">17.54A.1.2 </t>
  </si>
  <si>
    <t>With 75 mm dia</t>
  </si>
  <si>
    <t>Providing and fixing door piece, insertion rubber washer 3mm thick, bolts &amp; nuts complete :</t>
  </si>
  <si>
    <t>17.55.1</t>
  </si>
  <si>
    <t>17.55.1.1</t>
  </si>
  <si>
    <t>17.55.1.2</t>
  </si>
  <si>
    <t>17.55.2</t>
  </si>
  <si>
    <t>17.55.2.1</t>
  </si>
  <si>
    <t>17.55.2.2</t>
  </si>
  <si>
    <t>Providing and fixing terminal guard :</t>
  </si>
  <si>
    <t>17.56.1</t>
  </si>
  <si>
    <t>17.56.1.1</t>
  </si>
  <si>
    <t>17.56.1.2</t>
  </si>
  <si>
    <t>17.56.1.3</t>
  </si>
  <si>
    <t>17.56.2</t>
  </si>
  <si>
    <t>17.56.2.1</t>
  </si>
  <si>
    <t>17.56.2.2</t>
  </si>
  <si>
    <t>Providing and fixing collar :</t>
  </si>
  <si>
    <t>17.57.1</t>
  </si>
  <si>
    <t>17.57.1.1</t>
  </si>
  <si>
    <t>17.57.1.2</t>
  </si>
  <si>
    <t>17.57.2</t>
  </si>
  <si>
    <t>17.57.2.1</t>
  </si>
  <si>
    <t>17.57.2.2</t>
  </si>
  <si>
    <t>17.57A</t>
  </si>
  <si>
    <t>Providing and fixing shielded coupling for Hubless centrifugally cast iron pipe</t>
  </si>
  <si>
    <t>17.57A.1</t>
  </si>
  <si>
    <t xml:space="preserve">17.57A.1.1 </t>
  </si>
  <si>
    <t>SS 304 grade coupling with EPDM rubber gasket</t>
  </si>
  <si>
    <t>17.57A.2</t>
  </si>
  <si>
    <t xml:space="preserve">17.57A.2.1 </t>
  </si>
  <si>
    <t>Providing lead caulked joints to sand cast iron/centrifugally cast (spun) iron pipes and fittings of diameter :</t>
  </si>
  <si>
    <t>17.58.1</t>
  </si>
  <si>
    <t>17.58.2</t>
  </si>
  <si>
    <t>17.58.3</t>
  </si>
  <si>
    <t>Providing and fixing M.S. stays and clamps for sand cast iron/ centrifugally cast (spun) iron pipes of diameter :</t>
  </si>
  <si>
    <t>17.59.1</t>
  </si>
  <si>
    <t>17.59.2</t>
  </si>
  <si>
    <t>17.59.3</t>
  </si>
  <si>
    <t>Providing and fixing trap of self cleansing design with screwed down or hinged grating with or without vent arm complete, including cost of cutting and making good the walls and floors :</t>
  </si>
  <si>
    <t>17.60.1</t>
  </si>
  <si>
    <t>100 mm inlet and 100 mm outlet</t>
  </si>
  <si>
    <t>17.60.1.1</t>
  </si>
  <si>
    <t>Sand cast iron S&amp;S as per IS: 3989</t>
  </si>
  <si>
    <t>17.60.1.2</t>
  </si>
  <si>
    <t>Sand Cast Iron S&amp;S as per IS: 1729</t>
  </si>
  <si>
    <t>17.60.1.3</t>
  </si>
  <si>
    <t>17.60.2</t>
  </si>
  <si>
    <t>100 mm inlet and 75 mm outlet</t>
  </si>
  <si>
    <t>17.60.2.1</t>
  </si>
  <si>
    <t>17.60.2.2</t>
  </si>
  <si>
    <t>Sand Cast Iron S&amp;S as per IS- 1729</t>
  </si>
  <si>
    <t>17.60.2.3</t>
  </si>
  <si>
    <t>Cutting chases in brick masonry walls for following diameter sand cast iron/centrifugally cast (spun) iron pipes and making good the same with cement concrete 1:3:6 ( 1 cement : 3 coarse sand :6 graded stone aggregate 12.5 mm nominal size), including necessary plaster and pointing in cement mortar 1:4 (1 cement : 4 coarse sand) :</t>
  </si>
  <si>
    <t>17.61.1</t>
  </si>
  <si>
    <t>17.61.2</t>
  </si>
  <si>
    <t>17.61.3</t>
  </si>
  <si>
    <t>50 mm dia</t>
  </si>
  <si>
    <t>Painting C.I. cistern with bitumastic or any other anti-corrosive paint inside and white paint over a coat of zinc chromate yellow primer (of approved quality ) on the outside surface of the cistern, flush pipe, other fittings, etc. complete for new work.</t>
  </si>
  <si>
    <t>Re-painting C.I. cistern with bitumastic or any other anti-corrosive paint inside and white paint on the outside surface of the cistern, flush pipe, other fittings, etc. complete, including polishing of wooden seat and lid and cleaning of W.C. pan with acid wherever necessary.</t>
  </si>
  <si>
    <t>Repainting C.I. cistern with synthetic enamel paint of approved colour, brand and manufacture on the outside surface of cistern, flush pipe, other fittings etc. complete.</t>
  </si>
  <si>
    <t>Painting sand cast iron/ centrifugally cast (spun) iron soil, waste vent pipes and fittings with two coats of synthetic enamel paint of any colour such as chocolate grey, or buff etc. over a coat of primer (of approved quality) for new work :</t>
  </si>
  <si>
    <t>17.65.1</t>
  </si>
  <si>
    <t>100 mm diameter pipe</t>
  </si>
  <si>
    <t>17.65.2</t>
  </si>
  <si>
    <t>75 mm diameter pipe</t>
  </si>
  <si>
    <t>Repainting sand cast iron/ centrifugally cast iron (spun) iron, soil, waste, vent pipes and fittings with one coat of synthetic enamel paint of any colour such as chocolate, grey or buff etc :</t>
  </si>
  <si>
    <t>17.66.1</t>
  </si>
  <si>
    <t>17.66.2</t>
  </si>
  <si>
    <t>Repainting bath tub of size 1700x730x430 mm with enamel paint.</t>
  </si>
  <si>
    <t>Providing and fixing vitreous china dual purpose closet suitable for use as squatting pan or European type water closet (Anglo Indian W.C pan) with seat &amp; lid fixed with C.P. brass hinges and rubber buffers, 10 litre low level flushing cistern with fitting and brackets, 40 mm flush bend, 20 mm over flow pipe, with specials of standard make and mosquito proof coupling of approved municipal design complete, including painting of fittings and brackets, cutting and making good the walls and floors wherever required:</t>
  </si>
  <si>
    <t>17.68.1</t>
  </si>
  <si>
    <t>White vitreous china dual purpose WC pan with white solid plastic seat and lid with white vitreous china flushing cistern and C.P. flush bend.</t>
  </si>
  <si>
    <t>Providing and fixing PTMT Waste Coupling for wash basin and sink, of approved quality and colour.</t>
  </si>
  <si>
    <t>17.69.1</t>
  </si>
  <si>
    <t>Waste coupling 31 mm dia of 79 mm length and 62mm breadth weighing not less than 45 gms</t>
  </si>
  <si>
    <t>17.69.2</t>
  </si>
  <si>
    <t>Waste coupling 38 mm dia of 83 mm length and 77mm breadth, weighing not less than 60 gms</t>
  </si>
  <si>
    <t>Providing and fixing PTMT Bottle Trap for Wash basin and sink.</t>
  </si>
  <si>
    <t>17.70.1</t>
  </si>
  <si>
    <t>Bottle trap 31mm single piece moulded with height of 270 mm, effective length of tail pipe 260 mm from the centre of the waste coupling, 77 mm breadth with 25 mm minimum water seal, weighing not less than 260 gms</t>
  </si>
  <si>
    <t>17.70.2</t>
  </si>
  <si>
    <t>Bottle trap 38 mm single piece moulded with height of 270 mm, effective length of tail pipe 260 mm from the centre of the waste coupling, 77 mm breadth with 25 mm minimum water seal, weighing not less than 263 gms</t>
  </si>
  <si>
    <t>Providing and fixing PTMT liquid soap container 109 mm wide, 125 mm high and 112 mm distance from wall of standard shape with bracket of the same materials with snap fittings of approved quality and colour, weighing not less than 105 gms.</t>
  </si>
  <si>
    <t>Providing and fixing PTMT towel ring trapezoidal shape 215 mm long, 200 mm wide with minimum distances of 37 mm from wall face with concealed fittings arrangement of approved quality and colour, weighing not less than 88 gms.</t>
  </si>
  <si>
    <t>Providing and fixing PTMT towel rail complete with brackets fixed to wooden cleats with CP brass screws with concealed fittings arrangement of approved quality and colour.</t>
  </si>
  <si>
    <t>17.73.1</t>
  </si>
  <si>
    <t>450 mm long towel rail with total length of 495 mm, 78 mm wide and effective height of 88 mm, weighing not less than 170 gms</t>
  </si>
  <si>
    <t>17.73.2</t>
  </si>
  <si>
    <t>600 mm long towel rail with total length of 645 mm, width 78 mm and effective height of 88 mm, weighing not less than 190 gms.</t>
  </si>
  <si>
    <t>Providing and fixing PTMT shelf 440 mm long, 124 mm width and 36 mm height of approved quality and colour, weighing not less than 300 gms.</t>
  </si>
  <si>
    <t>Providing and fixing PTMT 15 mm Urinal spreader size 95x69x100 mm with 1/2" BSP thread and shapes, weighing not less than 60 gms.</t>
  </si>
  <si>
    <t>Providing and fixing PTMT urinal cock of approved quality and colour.</t>
  </si>
  <si>
    <t>17.76.1</t>
  </si>
  <si>
    <t>15 mm nominal bore, 80 mm long, 42 mm high and 30mm wide with BSP female threads weighing not less than 48 gms</t>
  </si>
  <si>
    <t>Providing and fixing M.S. holder bat clamp of approved design to sand cast iron/ cast iron (spun) pipes comprising of M.S. flat brackets made of 50x5 mm flat of specified shape, projecting 75 mm outside the wall surface and fixed on wall with 4nos, 6mm dia expansion hold fasteners, including drilling necessary holes in brick wall/ CC/ 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t>
  </si>
  <si>
    <t>17.77.1</t>
  </si>
  <si>
    <t>Total bracket length 580 mm of approved shape and design (for single 100 mm dia pipe)</t>
  </si>
  <si>
    <t>17.77.2</t>
  </si>
  <si>
    <t>Total bracket length 810 mm of approved shape and design (for two 100 mm dia pipes)</t>
  </si>
  <si>
    <t>17.77.3</t>
  </si>
  <si>
    <t>Total bracket length 1040 mm of approved shape and design (for three 100 mm dia pipes)</t>
  </si>
  <si>
    <t>Providing and fixing white vitreous china extended wall mounting water closet of size 780x370x690 mm of approved shape including providing &amp; fixing white vitreous china cistern with dual flush fitting, of flushing capacity 3 litre/ 6 litre (adjustable to 4 litre/ 8 litres), including seat cover, and cistern fittings, nuts, bolts and gasket etc complete.</t>
  </si>
  <si>
    <t>Providing &amp; fixing white vitreous china water less urinal of size 600 x 330 x 315 mm having antibacterial /germs free ceramic surface, fixed with cartridge having debris catcher and hygiene seal.</t>
  </si>
  <si>
    <t>Providing and fixing white vitreous china battery based infrared sensor operated urinal of approx. size 610 x 390 x 370 mm having pre &amp; post flushing with water (250 ml &amp; 500 ml consumption), having water inlet from back side, including fixing to wall with suitable brackets all as per manufacturers specification and direction of Engineer-in-charge.</t>
  </si>
  <si>
    <t>Providing and fixing 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 including making connection with the existing P/S trap, complete in all respect as per directions of Engineer-in-Charge.</t>
  </si>
  <si>
    <t>18.0 WATER SUPPLY</t>
  </si>
  <si>
    <t>PE-AL-PE COMPOSITE PRESSURE PIPE</t>
  </si>
  <si>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Engineer-in-charge.</t>
  </si>
  <si>
    <t>INTERNAL WORK - EXPOSED ON WALL</t>
  </si>
  <si>
    <t>18.1.1</t>
  </si>
  <si>
    <t>1216 (16 mm OD) pipe</t>
  </si>
  <si>
    <t>18.1.2</t>
  </si>
  <si>
    <t>1620 (20 mm OD) pipe</t>
  </si>
  <si>
    <t>18.1.3</t>
  </si>
  <si>
    <t>2025 (25 mm OD) pipe</t>
  </si>
  <si>
    <t>18.1.4</t>
  </si>
  <si>
    <t>2532 (32 mm OD) pipe</t>
  </si>
  <si>
    <t>18.1.5</t>
  </si>
  <si>
    <t>3240 (40 mm OD) pipe</t>
  </si>
  <si>
    <t>18.1.6</t>
  </si>
  <si>
    <t>4050 (50 mm OD) pipe</t>
  </si>
  <si>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t>
  </si>
  <si>
    <t>Concealed work, including cutting chases and making good the wall etc.</t>
  </si>
  <si>
    <t>18.2.1</t>
  </si>
  <si>
    <t>18.2.2</t>
  </si>
  <si>
    <t>18.2.3</t>
  </si>
  <si>
    <t>18.2.4</t>
  </si>
  <si>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t>
  </si>
  <si>
    <t>External work</t>
  </si>
  <si>
    <t>18.3.1</t>
  </si>
  <si>
    <t>18.3.2</t>
  </si>
  <si>
    <t>1620 (20 mm OD ) pipe</t>
  </si>
  <si>
    <t>18.3.3</t>
  </si>
  <si>
    <t>2025 (25 mm OD ) pipe</t>
  </si>
  <si>
    <t>18.3.4</t>
  </si>
  <si>
    <t>2532 (32 mm OD ) pipe</t>
  </si>
  <si>
    <t>18.3.5</t>
  </si>
  <si>
    <t>3240 (40 mm OD ) pipe</t>
  </si>
  <si>
    <t>18.3.6</t>
  </si>
  <si>
    <t>4050 (50 mm OD ) pipe</t>
  </si>
  <si>
    <t>PP-R PIPES</t>
  </si>
  <si>
    <t xml:space="preserve">Providing and fixing 3 layer PP-R (Poly propylene Random copolymer) pipes confirming to IS 15801, UV stabilized &amp; anti - microbial fusion welded, having thermal stability for hot &amp; cold water supply, including all PP - R plain &amp; brass threaded polypropylene random fittings, i/c fixing the pipe with clamps at 1.00 m spacing. This includes testing of joints complete as per direction of Engineer-in-Charge.   </t>
  </si>
  <si>
    <t>Internal Exposed on walls</t>
  </si>
  <si>
    <t>18.4.1</t>
  </si>
  <si>
    <t>PN - 16 Pipe, 20mm OD (SDR-7.4)</t>
  </si>
  <si>
    <t>18.4.2</t>
  </si>
  <si>
    <t>PN - 16 Pipe, 25mm OD (SDR-7.4)</t>
  </si>
  <si>
    <t>18.4.3</t>
  </si>
  <si>
    <t>PN - 16 Pipe, 32mm OD (SDR-7.4)</t>
  </si>
  <si>
    <t>18.4.4</t>
  </si>
  <si>
    <t>PN - 16 Pipe, 40mm OD (SDR-7.4)</t>
  </si>
  <si>
    <t>18.4.5</t>
  </si>
  <si>
    <t>PN - 10 Pipe, 50mm OD (SDR-11)</t>
  </si>
  <si>
    <t xml:space="preserve">Providing and fixing 3 layer PP-R (Poly propylene Random copolymer) pipes confirming to IS:15801, UV stabilized &amp; anti - microbial fusion welded, having thermal stability for hot &amp; cold water supply, including all PP - R plain &amp; brass threaded polypropylene random fittings, i/c fixing the pipe with clamps at 1.00 m spacing. This includes the cost of cutting chases and making good the same including  testing of joints complete as per direction of Engineer-in-Charge.    </t>
  </si>
  <si>
    <t>Concealed work,including cutting chases and making good the wall etc.</t>
  </si>
  <si>
    <t>18.5.1</t>
  </si>
  <si>
    <t>18.5.2</t>
  </si>
  <si>
    <t>18.5.3</t>
  </si>
  <si>
    <t xml:space="preserve">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t>
  </si>
  <si>
    <t>18.6.1</t>
  </si>
  <si>
    <t>18.6.2</t>
  </si>
  <si>
    <t>PN - 16 Pipe, 25 mm OD (SDR-7.4)</t>
  </si>
  <si>
    <t>18.6.3</t>
  </si>
  <si>
    <t>PN - 16 Pipe, 32 mm OD (SDR-7.4)</t>
  </si>
  <si>
    <t>18.6.4</t>
  </si>
  <si>
    <t>PN - 16 Pipe, 40 mm OD (SDR-7.4)</t>
  </si>
  <si>
    <t>18.6.5</t>
  </si>
  <si>
    <t>PN - 10 Pipe, 50 mm OD (SDR-11)</t>
  </si>
  <si>
    <t>18.6.6</t>
  </si>
  <si>
    <t>PN - 10 Pipe, 63 mm OD (SDR-11)</t>
  </si>
  <si>
    <t>18.6.7</t>
  </si>
  <si>
    <t>PN - 10 Pipe, 75 mm OD (SDR-11)</t>
  </si>
  <si>
    <t>18.6.8</t>
  </si>
  <si>
    <t>PN - 10 Pipe, 90 mm OD (SDR-11)</t>
  </si>
  <si>
    <t>18.6.9</t>
  </si>
  <si>
    <t>PN - 10 Pipe, 110 mm OD (SDR-11)</t>
  </si>
  <si>
    <t>18.6.10</t>
  </si>
  <si>
    <t>PN - 10 Pipe, 160 mm OD (SDR-11)</t>
  </si>
  <si>
    <t>18.6A</t>
  </si>
  <si>
    <t>Providing and fixing PPR Unions</t>
  </si>
  <si>
    <t>18.6A.1</t>
  </si>
  <si>
    <t>PPR Union 20mm</t>
  </si>
  <si>
    <t>18.6A.2</t>
  </si>
  <si>
    <t>PPR Union 25mm</t>
  </si>
  <si>
    <t>18.6A.3</t>
  </si>
  <si>
    <t>PPR Union 32mm</t>
  </si>
  <si>
    <t>18.6A.4</t>
  </si>
  <si>
    <t>PPR Union 40mm</t>
  </si>
  <si>
    <t>18.6A.5</t>
  </si>
  <si>
    <t>PPR Union 50mm</t>
  </si>
  <si>
    <t>18.6A.6</t>
  </si>
  <si>
    <t>PPR Union 63mm</t>
  </si>
  <si>
    <t>18.6A.7</t>
  </si>
  <si>
    <t>PPR Union 75mm</t>
  </si>
  <si>
    <t>C.P.V.C. PIPES</t>
  </si>
  <si>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t>
  </si>
  <si>
    <t>Internal work - Exposed on wall</t>
  </si>
  <si>
    <t>18.7.1</t>
  </si>
  <si>
    <t>15 mm nominal dia Pipes</t>
  </si>
  <si>
    <t>18.7.2</t>
  </si>
  <si>
    <t>20 mm nominal dia Pipes</t>
  </si>
  <si>
    <t>18.7.3</t>
  </si>
  <si>
    <t>25 mm nominal dia Pipes</t>
  </si>
  <si>
    <t>18.7.4</t>
  </si>
  <si>
    <t>32 mm nominal dia Pipes</t>
  </si>
  <si>
    <t>18.7.5</t>
  </si>
  <si>
    <t>40 mm nominal dia Pipes</t>
  </si>
  <si>
    <t>18.7.6</t>
  </si>
  <si>
    <t>50 mm nominal dia Pipes</t>
  </si>
  <si>
    <t>Providing and fixing Chlorinated Polyvinyl Chloride (CPVC) pipes, having thermal stability for hot &amp; cold water supply, including all CPVC plain &amp; brass threaded fittings, i/c fixing the pipe with clamps at 1.00 m spacing. This includes jointing of pipes &amp; fittings with one step CPVC solvent cement and the cost of cutting chases and making good the same including testing of joints complete as per direction of Engineer in Charge.</t>
  </si>
  <si>
    <t>Concealed work, including cutting chases and making good the walls etc.</t>
  </si>
  <si>
    <t>18.8.1</t>
  </si>
  <si>
    <t>18.8.2</t>
  </si>
  <si>
    <t>18.8.3</t>
  </si>
  <si>
    <t>18.8.4</t>
  </si>
  <si>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t>
  </si>
  <si>
    <t>18.9.1</t>
  </si>
  <si>
    <t>18.9.2</t>
  </si>
  <si>
    <t>18.9.3</t>
  </si>
  <si>
    <t>18.9.4</t>
  </si>
  <si>
    <t>18.9.5</t>
  </si>
  <si>
    <t>18.9.6</t>
  </si>
  <si>
    <t>18.9.7</t>
  </si>
  <si>
    <t>65 mm nominal dia Pipes</t>
  </si>
  <si>
    <t>18.9.8</t>
  </si>
  <si>
    <t>80 mm nominal dia Pipes</t>
  </si>
  <si>
    <t>18.9.9</t>
  </si>
  <si>
    <t>100 mm nominal dia Pipes</t>
  </si>
  <si>
    <t>18.9.10</t>
  </si>
  <si>
    <t>150 mm nominal dia Pipes</t>
  </si>
  <si>
    <t>Providing and fixing G.I. pipes complete with G.I. fittings and clamps, i/c cutting and making good the walls etc.</t>
  </si>
  <si>
    <t>18.10.1</t>
  </si>
  <si>
    <t>15 mm dia nominal bore</t>
  </si>
  <si>
    <t>18.10.2</t>
  </si>
  <si>
    <t>20 mm dia nominal bore</t>
  </si>
  <si>
    <t>18.10.3</t>
  </si>
  <si>
    <t>25 mm dia nominal bore</t>
  </si>
  <si>
    <t>18.10.4</t>
  </si>
  <si>
    <t>32 mm dia nominal bore</t>
  </si>
  <si>
    <t>18.10.5</t>
  </si>
  <si>
    <t>40 mm dia nominal bore</t>
  </si>
  <si>
    <t>18.10.6</t>
  </si>
  <si>
    <t>50 mm dia nominal bore</t>
  </si>
  <si>
    <t>Providing and fixing G.I. Pipes complete with G.I. fittings and clamps, i/c making good the walls etc. concealed pipe, including painting with anti corrosive bitumastic paint, cutting chases and making good the wall :</t>
  </si>
  <si>
    <t>18.11.1</t>
  </si>
  <si>
    <t>18.11.2</t>
  </si>
  <si>
    <t>Providing and fixing G.I. pipes complete with G.I. fittings including trenching and refilling etc.</t>
  </si>
  <si>
    <t>18.12.1</t>
  </si>
  <si>
    <t>18.12.2</t>
  </si>
  <si>
    <t>18.12.3</t>
  </si>
  <si>
    <t>18.12.4</t>
  </si>
  <si>
    <t>18.12.5</t>
  </si>
  <si>
    <t>18.12.6</t>
  </si>
  <si>
    <t>18.12.7</t>
  </si>
  <si>
    <t>65 mm dia nominal bore</t>
  </si>
  <si>
    <t>18.12.8</t>
  </si>
  <si>
    <t>80 mm dia nominal bore</t>
  </si>
  <si>
    <t>Making connection of G.I. distribution branch with G.I. main of following sizes by providing and fixing tee, including cutting and threading the pipe etc. complete :</t>
  </si>
  <si>
    <t>18.13.1</t>
  </si>
  <si>
    <t>25 to 40 mm nominal bore</t>
  </si>
  <si>
    <t>18.13.2</t>
  </si>
  <si>
    <t>50 to 80 mm nominal bore</t>
  </si>
  <si>
    <t>Fixing water meter and stop cock in G.I. pipe line including cutting and threading the pipe and making long screws etc. complete (cost of water meter and stop cock to be paid separately).</t>
  </si>
  <si>
    <t>Providing and fixing brass bib cock of approved quality :</t>
  </si>
  <si>
    <t>18.15.1</t>
  </si>
  <si>
    <t>15 mm nominal bore</t>
  </si>
  <si>
    <t>18.15.2</t>
  </si>
  <si>
    <t>20 mm nominal bore</t>
  </si>
  <si>
    <t>Providing and fixing brass stop cock of approved quality :</t>
  </si>
  <si>
    <t>18.16.1</t>
  </si>
  <si>
    <t>18.16.2</t>
  </si>
  <si>
    <t>Providing and fixing gun metal gate valve with C.I. wheel of approved quality (screwed end) :</t>
  </si>
  <si>
    <t>18.17.1</t>
  </si>
  <si>
    <t>25 mm nominal bore</t>
  </si>
  <si>
    <t>18.17.1A</t>
  </si>
  <si>
    <t>18.17.2</t>
  </si>
  <si>
    <t>32 mm nominal bore.</t>
  </si>
  <si>
    <t>18.17.3</t>
  </si>
  <si>
    <t>40 mm nominal bore</t>
  </si>
  <si>
    <t>18.17.4</t>
  </si>
  <si>
    <t>50 mm nominal bore</t>
  </si>
  <si>
    <t>18.17.5</t>
  </si>
  <si>
    <t>65 mm nominal bore</t>
  </si>
  <si>
    <t>18.17.6</t>
  </si>
  <si>
    <t>80 mm nominal bore</t>
  </si>
  <si>
    <t>Providing and fixing ball valve (brass) of approved quality, High or low pressure, with plastic floats complete :</t>
  </si>
  <si>
    <t>18.18.1</t>
  </si>
  <si>
    <t>18.18.2</t>
  </si>
  <si>
    <t>18.18.3</t>
  </si>
  <si>
    <t>Providing and fixing gun metal non- return valve of approved quality (screwed end) :</t>
  </si>
  <si>
    <t>18.19.1</t>
  </si>
  <si>
    <t>18.19.1.1</t>
  </si>
  <si>
    <t>Horizontal</t>
  </si>
  <si>
    <t>18.19.1.2</t>
  </si>
  <si>
    <t>Vertical</t>
  </si>
  <si>
    <t>18.19.2</t>
  </si>
  <si>
    <t>32 mm nominal bore</t>
  </si>
  <si>
    <t>18.19.2.1</t>
  </si>
  <si>
    <t>18.19.2.2</t>
  </si>
  <si>
    <t>18.19.3</t>
  </si>
  <si>
    <t>18.19.3.1</t>
  </si>
  <si>
    <t>18.19.3.2</t>
  </si>
  <si>
    <t>18.19.4</t>
  </si>
  <si>
    <t>18.19.4.1</t>
  </si>
  <si>
    <t>18.19.4.2</t>
  </si>
  <si>
    <t>18.19.5</t>
  </si>
  <si>
    <t>18.19.5.1</t>
  </si>
  <si>
    <t>18.19.5.2</t>
  </si>
  <si>
    <t>18.19.6</t>
  </si>
  <si>
    <t>18.19.6.1</t>
  </si>
  <si>
    <t>18.19.6.2</t>
  </si>
  <si>
    <t>Providing and fixing brass ferrule with C.I. mouth cover including boring and tapping the main :</t>
  </si>
  <si>
    <t>18.20.1</t>
  </si>
  <si>
    <t>18.20.2</t>
  </si>
  <si>
    <t>18.20.3</t>
  </si>
  <si>
    <t>Providing and fixing uplasticised PVC connection pipe with brass unions :</t>
  </si>
  <si>
    <t>18.21.1</t>
  </si>
  <si>
    <t>30 cm length</t>
  </si>
  <si>
    <t>18.21.1.1</t>
  </si>
  <si>
    <t>18.21.1.2</t>
  </si>
  <si>
    <t>18.21.2</t>
  </si>
  <si>
    <t>45 cm length</t>
  </si>
  <si>
    <t>18.21.2.1</t>
  </si>
  <si>
    <t>18.21.2.2</t>
  </si>
  <si>
    <t>Providing and fixing C.P. brass shower rose with 15 or 20 mm inlet :</t>
  </si>
  <si>
    <t>18.22.1</t>
  </si>
  <si>
    <t>18.22.2</t>
  </si>
  <si>
    <t>C.I./DUCTILE IRON PIPES &amp; SPECIALS</t>
  </si>
  <si>
    <t>Laying in position centrifugally cast (spun) iron S&amp;S or flanged pipes (excluding cost of pipe).</t>
  </si>
  <si>
    <t>Laying in position S&amp;S or flanged C.I. special such as tees, bends, collars, tapers and caps etc.(excluding cost of specials).</t>
  </si>
  <si>
    <t>Providing and laying S&amp;S C.I. standard specials such as tees, bends, collars, tapers, caps etc. (Heavy class):</t>
  </si>
  <si>
    <t>18.25.1</t>
  </si>
  <si>
    <t>Up to 300 mm dia</t>
  </si>
  <si>
    <t>18.25.2</t>
  </si>
  <si>
    <t>Over 300 mm dia</t>
  </si>
  <si>
    <t>Providing and laying flanged C.I. standard specials such as tees, bends, collars, tapers, caps etc., suitable for flanged jointing as per IS : 1538 :</t>
  </si>
  <si>
    <t>18.26.1</t>
  </si>
  <si>
    <t>18.26.2</t>
  </si>
  <si>
    <t>Providing and laying S&amp;S centrifugally cast (spun) iron pipes (Class LA) conforming to IS - 1536 :</t>
  </si>
  <si>
    <t>18.27.1</t>
  </si>
  <si>
    <t>18.27.2</t>
  </si>
  <si>
    <t>125 mm dia pipe</t>
  </si>
  <si>
    <t>18.27.3</t>
  </si>
  <si>
    <t>18.27.4</t>
  </si>
  <si>
    <t>200 mm dia pipe</t>
  </si>
  <si>
    <t>18.27.5</t>
  </si>
  <si>
    <t>250 mm dia pipe</t>
  </si>
  <si>
    <t>18.27.6</t>
  </si>
  <si>
    <t>300 mm dia pipe</t>
  </si>
  <si>
    <t>18.27.7</t>
  </si>
  <si>
    <t>350 mm dia pipe</t>
  </si>
  <si>
    <t>18.27.8</t>
  </si>
  <si>
    <t>400 mm dia pipe</t>
  </si>
  <si>
    <t>18.27.9</t>
  </si>
  <si>
    <t>450 mm dia pipe</t>
  </si>
  <si>
    <t>18.27.10</t>
  </si>
  <si>
    <t>500 mm dia pipe</t>
  </si>
  <si>
    <t>18.27.11</t>
  </si>
  <si>
    <t>600 mm dia pipe</t>
  </si>
  <si>
    <t>Providing lead caulked joints to spun iron or C.I. pipes and specials, including testing of joints but excluding the cost of pig lead :</t>
  </si>
  <si>
    <t>18.28.1</t>
  </si>
  <si>
    <t>18.28.2</t>
  </si>
  <si>
    <t>125 mm diameter pipe</t>
  </si>
  <si>
    <t>18.28.3</t>
  </si>
  <si>
    <t>150 mm diameter pipe</t>
  </si>
  <si>
    <t>18.28.4</t>
  </si>
  <si>
    <t>200 mm diameter pipe</t>
  </si>
  <si>
    <t>18.28.5</t>
  </si>
  <si>
    <t>250 mm diameter pipe</t>
  </si>
  <si>
    <t>18.28.6</t>
  </si>
  <si>
    <t>300 mm diameter pipe</t>
  </si>
  <si>
    <t>18.28.7</t>
  </si>
  <si>
    <t>350 mm diameter pipe</t>
  </si>
  <si>
    <t>18.28.8</t>
  </si>
  <si>
    <t>400 mm diameter pipe</t>
  </si>
  <si>
    <t>18.28.9</t>
  </si>
  <si>
    <t>450 mm diameter pipe</t>
  </si>
  <si>
    <t>18.28.10</t>
  </si>
  <si>
    <t>500 mm diameter pipe</t>
  </si>
  <si>
    <t>18.28.11</t>
  </si>
  <si>
    <t>600 mm diameter pipe</t>
  </si>
  <si>
    <t>Supplying pig lead at site of work.</t>
  </si>
  <si>
    <t>Providing flanged joints to double flanged C.I./ D.I. pipes and specials, including testing of joints :</t>
  </si>
  <si>
    <t>18.30.1</t>
  </si>
  <si>
    <t>80 mm diameter pipe</t>
  </si>
  <si>
    <t>18.30.2</t>
  </si>
  <si>
    <t>18.30.3</t>
  </si>
  <si>
    <t>18.30.4</t>
  </si>
  <si>
    <t>18.30.5</t>
  </si>
  <si>
    <t>18.30.6</t>
  </si>
  <si>
    <t>18.30.7</t>
  </si>
  <si>
    <t>18.30.8</t>
  </si>
  <si>
    <t>18.30.9</t>
  </si>
  <si>
    <t>18.30.10</t>
  </si>
  <si>
    <t>18.30.11</t>
  </si>
  <si>
    <t>18.30.12</t>
  </si>
  <si>
    <t>C.I. SLUICE VALVES/ FIRE HYDRANTS &amp; FIXTURES</t>
  </si>
  <si>
    <t>Providing and fixing C.I. sluice valves (with cap) complete with bolts, nuts, rubber insertions etc. (the tail pieces if required will be paid separately) :</t>
  </si>
  <si>
    <t>18.31.1</t>
  </si>
  <si>
    <t>18.31.1.1</t>
  </si>
  <si>
    <t>Class I</t>
  </si>
  <si>
    <t>18.31.1.2</t>
  </si>
  <si>
    <t>Class II</t>
  </si>
  <si>
    <t>18.31.2</t>
  </si>
  <si>
    <t>125 mm diameter</t>
  </si>
  <si>
    <t>18.31.2.1</t>
  </si>
  <si>
    <t>18.31.2.2</t>
  </si>
  <si>
    <t>18.31.3</t>
  </si>
  <si>
    <t>18.31.3.1</t>
  </si>
  <si>
    <t>18.31.3.2</t>
  </si>
  <si>
    <t>18.31.4</t>
  </si>
  <si>
    <t>200 mm diameter</t>
  </si>
  <si>
    <t>18.31.4.1</t>
  </si>
  <si>
    <t>18.31.4.2</t>
  </si>
  <si>
    <t>18.31.5</t>
  </si>
  <si>
    <t>250 mm diameter</t>
  </si>
  <si>
    <t>18.31.5.1</t>
  </si>
  <si>
    <t>18.31.5.2</t>
  </si>
  <si>
    <t>18.31.6</t>
  </si>
  <si>
    <t>300 mm diameter</t>
  </si>
  <si>
    <t>18.31.6.1</t>
  </si>
  <si>
    <t>18.31.6.2</t>
  </si>
  <si>
    <t>Constructing masonry Chamber 30x30x50 cm inside, in brick work in cement mortar 1:4 (1 cement :4 coarse sand) for stop cock, with C. I. surface box 100x100 x75 mm (inside) with hinged cover fixed in reinforced cement concrete slab 1:1.5:3 mix (1 cement : 1.5 coarse sand : 3 graded stone aggregate 20 mm nominal size), i/c necessary excavation, foundation concrete 1:5:10 ( 1 cement : 5 fine sand : 10 graded stone aggregate 40mm nominal size ) and inside plastering with cement mortar 1:3 (1 cement : 3 coarse sand) 12mm thick, finished with a floating coat of neat cement complete as per standard design :</t>
  </si>
  <si>
    <t>18.32.1</t>
  </si>
  <si>
    <t>Constructing masonry Chamber 60x60x75 cm inside, in brick work in cement mortar 1:4 (1 cement : 4 coarse sand) for sluice valve, with C.I. surface box 100mm top diameter, 160 mm bottom diameter and 180 mm deep ( inside) with chained lid and RCC top slab 1:1.5:3 mix (1 cement : 1.5 coarse sand : 3 graded stone aggregate 20mm nominal size ) , i/c necessary excavation, foundation concrete 1:5:10 (1 cement : 5 fine sand : 10 graded stone aggregate 40 mm nominal size) and inside plastering with cement mortar 1:3 (1 cement : 3 coarse sand) 12 mm thick, finished with a floating coat of neat cement complete as per standard design :</t>
  </si>
  <si>
    <t>18.33.1</t>
  </si>
  <si>
    <t>Constructing masonry Chamber 90x90x100 cm inside, in brick work in cement mortar 1:4 (1 cement : 4 coarse sand) for sluice valve, with C.I. surface box 100 mm top diameter, 160 mm bottom diameter and 180 mm deep (inside) with chained lid and RCC top slab 1:1.5:3 mix (1 cement : 1.5 coarse sand : 3 graded stone aggregate 20 mm nominal size ), i/c necessary excavation, foundation concrete 1:5:10 (1 cement : 5 fine sand : 10 graded stone aggregate 40 mm nominal size ) and inside plastering with cement mortar 1:3 (1 cement : 3 coarse sand) 12 mm thick, finished with a floating coat of neat cement complete as per standard design :</t>
  </si>
  <si>
    <t>18.34.1</t>
  </si>
  <si>
    <t>Constructing masonry Chamber 120x120x100 cm inside, in brick work in cement mortar 1:4 (1 cement : 4 coarse sand) for sluice valve, with C.I. surface box 100 mm top diameter, 160 mm bottom diameter and 180 mm deep ( inside) with chained lid and RCC top slab 1:1.5:3 mix (1 cement : 1.5 coarse sand : 3 graded stone aggregate 20 mm nominal size ), i/c necessary excavation, foundation concrete 1:5:10 (1 cement : 5 fine sand : 10 graded stone aggregate 40 mm nominal size) and inside plastering with cement mortar 1:3 (1 cement : 3 coarse sand) 12 mm thick, finished with a floating coat of neat cement complete as per standard design :</t>
  </si>
  <si>
    <t>18.35.1</t>
  </si>
  <si>
    <t>Constructing masonry Chamber 60x60x75 cm, inside in brick work in cement mortar 1:4 (1 cement : 4 coarse sand) for fire hydrants, with C.I. surface box 350x350 mm top and 165 mm deep ( inside) with chained lid and RCC top slab 1:1.5:3 mix (1 cement : 1.5 coarse sand : 3 graded stone aggregate 20 mm nominal size ) , i/c necessary excavation, foundation concrete 1:5:10 (1 cement : 5 fine sand:10 graded stone aggregate 40 mm nominal size) and inside plastering with cement mortar 1:3 (1 cement : 3 coarse sand) 12 mm thick, finished with a floating coat of neat cement complete as per standard design :</t>
  </si>
  <si>
    <t>18.36.1</t>
  </si>
  <si>
    <t>Constructing masonry Chamber 60x45x50 cm inside, in brick work in cement mortar 1:4 (1 cement : 4 coarse sand) for water meter complete with C.I. double flap surface box 400x200x200 mm (inside) with locking arrangement and RCC top slab 1:1.5:3 mix (1 cement : 1.5 coarse sand : 3 graded stone aggregate 20 mm nominal size) , i/c necessary excavation, foundation concrete 1:5:10 ( 1 cement : 5 fine sand:10 graded stone aggregate 40 mm nominal size) and inside plastering with cement mortar 1:3 (1 cement : 3 coarse sand) 12 mm thick, finished with a floating coat of neat cement complete as per standard design :</t>
  </si>
  <si>
    <t>18.37.1</t>
  </si>
  <si>
    <t>Painting G.I. pipes and fittings with synthetic enamel white paint with two coats over a ready mixed priming coat, both of approved quality for new work :</t>
  </si>
  <si>
    <t>18.38.1</t>
  </si>
  <si>
    <t>15 mm diameter pipe</t>
  </si>
  <si>
    <t>18.38.2</t>
  </si>
  <si>
    <t>20 mm diameter pipe</t>
  </si>
  <si>
    <t>18.38.3</t>
  </si>
  <si>
    <t>25 mm diameter pipe</t>
  </si>
  <si>
    <t>18.38.4</t>
  </si>
  <si>
    <t>32 mm diameter pipe</t>
  </si>
  <si>
    <t>18.38.5</t>
  </si>
  <si>
    <t>40 mm diameter pipe</t>
  </si>
  <si>
    <t>18.38.6</t>
  </si>
  <si>
    <t>50 mm diameter pipe</t>
  </si>
  <si>
    <t>Repainting G.I. pipes and fittings with synthetic enamel white paint with one coat of approved quality :</t>
  </si>
  <si>
    <t>18.39.1</t>
  </si>
  <si>
    <t>18.39.2</t>
  </si>
  <si>
    <t>18.39.3</t>
  </si>
  <si>
    <t>18.39.4</t>
  </si>
  <si>
    <t>18.39.5</t>
  </si>
  <si>
    <t>18.39.6</t>
  </si>
  <si>
    <t>Painting G.I. pipes and fittings with two coats of anti-corrosive bitumastic paint of approved quality :</t>
  </si>
  <si>
    <t>18.40.1</t>
  </si>
  <si>
    <t>18.40.2</t>
  </si>
  <si>
    <t>18.40.3</t>
  </si>
  <si>
    <t>18.40.4</t>
  </si>
  <si>
    <t>18.40.5</t>
  </si>
  <si>
    <t>18.40.6</t>
  </si>
  <si>
    <t>18.40.7</t>
  </si>
  <si>
    <t>65 mm diameter pipe</t>
  </si>
  <si>
    <t>18.40.8</t>
  </si>
  <si>
    <t>Providing and filling sand of grading zone V or coarser grade, allround the G.I. pipes in external work :</t>
  </si>
  <si>
    <t>18.41.1</t>
  </si>
  <si>
    <t>18.41.2</t>
  </si>
  <si>
    <t>18.41.3</t>
  </si>
  <si>
    <t>18.41.4</t>
  </si>
  <si>
    <t>18.41.5</t>
  </si>
  <si>
    <t>18.41.6</t>
  </si>
  <si>
    <t>18.41.7</t>
  </si>
  <si>
    <t>18.41.8</t>
  </si>
  <si>
    <t>18.41.9</t>
  </si>
  <si>
    <t>18.41.10</t>
  </si>
  <si>
    <t>Boring with 100 mm diameter casing pipe for hand pump / tubewell, in all soils except ordinary hard rocks requiring blasting, including removing the casing pipe after the hand pump / tube well is lowered and tested :</t>
  </si>
  <si>
    <t>18.42.1</t>
  </si>
  <si>
    <t>Up to 6 metres depth</t>
  </si>
  <si>
    <t>18.42.2</t>
  </si>
  <si>
    <t>Beyond 6 m and up to 12 m depth</t>
  </si>
  <si>
    <t>18.42.3</t>
  </si>
  <si>
    <t>Beyond 12 m and up to 18 m depth</t>
  </si>
  <si>
    <t>Providing and placing in position filters of 40 mm diameter G.I. pipe with brass strainer of approved quality.</t>
  </si>
  <si>
    <t>Providing and fixing to filter and lowering to proper levels 40 mm G.I. pipe for tube well including cleaning and priming the tube well.</t>
  </si>
  <si>
    <t>Providing and placing in position hand pump of approved quality for 40 mm diameter G.I. pipe complete with all accessories.</t>
  </si>
  <si>
    <t>Providing and fixing G.I. Union in G.I. pipe including cutting and threading the pipe and making long screws etc. complete (New work)  :</t>
  </si>
  <si>
    <t>18.46.1</t>
  </si>
  <si>
    <t>18.46.2</t>
  </si>
  <si>
    <t>18.46.3</t>
  </si>
  <si>
    <t>18.46.4</t>
  </si>
  <si>
    <t>18.46.5</t>
  </si>
  <si>
    <t>18.46.6</t>
  </si>
  <si>
    <t>18.46.7</t>
  </si>
  <si>
    <t>18.46.8</t>
  </si>
  <si>
    <t>Providing and fixing G.I. Union in existing G.I. pipe line, cutting and threading the pipe and making long screws, including excavation, refilling the earth or cutting of wall and making good the same complete wherever required :</t>
  </si>
  <si>
    <t>18.47.1</t>
  </si>
  <si>
    <t>18.47.2</t>
  </si>
  <si>
    <t>18.47.3</t>
  </si>
  <si>
    <t>18.47.4</t>
  </si>
  <si>
    <t>18.47.5</t>
  </si>
  <si>
    <t>18.47.6</t>
  </si>
  <si>
    <t>18.47.7</t>
  </si>
  <si>
    <t>18.47.8</t>
  </si>
  <si>
    <t>Providing and placing on terrace (at all floor levels) polyethylene water storage tank, IS : 12701 marked, with cover and suitable locking arrangement and making necessary holes for inlet, outlet and overflow pipes but without fittings and the base support for tank.</t>
  </si>
  <si>
    <t>per litre</t>
  </si>
  <si>
    <t>18.48A</t>
  </si>
  <si>
    <t>Providing and fixing rectangular high density polyethylene water storage loft tank with cover, conforming to ISI : 12701, colour of opaque white or as approved by Engineer-in-charge. The rate includes making necessary holes for inlet, outlet &amp; over flow pipes. The base support i/c fittings &amp; fixtures for tank shall be paid separately.</t>
  </si>
  <si>
    <t>C.P. BRASS FITTINGS</t>
  </si>
  <si>
    <t>Providing and fixing C.P. brass bib cock of approved quality conforming to IS:8931 :</t>
  </si>
  <si>
    <t>18.49.1</t>
  </si>
  <si>
    <t>Providing and fixing C.P. brass long nose bib cock of approved quality conforming to IS standards and weighing not less than 810 gms.</t>
  </si>
  <si>
    <t>18.50.1</t>
  </si>
  <si>
    <t>Providing and fixing C.P. brass long body bib cock of approved quality conforming to IS standards and weighing not less than 690 gms.</t>
  </si>
  <si>
    <t>18.51.1</t>
  </si>
  <si>
    <t>Providing and fixing C.P. brass stop cock (concealed) of standard design and of approved make conforming to IS:8931.</t>
  </si>
  <si>
    <t>18.52.1</t>
  </si>
  <si>
    <t>Providing and fixing C.P. brass angle valve for basin mixer and geyser points of approved quality conforming to IS:8931</t>
  </si>
  <si>
    <t>18.53.1</t>
  </si>
  <si>
    <t>15mm nominal bore</t>
  </si>
  <si>
    <t>18.53A</t>
  </si>
  <si>
    <t>Providing and fixing C.P. Brass extension nipple (size 15mmx50mm) of approved make and quality as per direction of Engineer-in-charge.</t>
  </si>
  <si>
    <t>PTMT FITTINGS</t>
  </si>
  <si>
    <t>Providing and fixing PTMT bib cock of approved quality and colour.</t>
  </si>
  <si>
    <t>18.54.1</t>
  </si>
  <si>
    <t>15mm nominal bore, 86 mm long, weighing not less than 88 gms</t>
  </si>
  <si>
    <t>18.54.2</t>
  </si>
  <si>
    <t>15 mm nominal bore, 122mm long, weighing not less than 99 gms</t>
  </si>
  <si>
    <t>18.54.3</t>
  </si>
  <si>
    <t>15 mm nominal bore, 165 mm long, weighing not less than 110 gms</t>
  </si>
  <si>
    <t>18.54.4</t>
  </si>
  <si>
    <t>15 mm nominal bore, 90 mm long, weighing not less than 93 gms</t>
  </si>
  <si>
    <t>Providing and fixing PTMT stop cock of approved quality and colour.</t>
  </si>
  <si>
    <t>18.55.1</t>
  </si>
  <si>
    <t>15 mm nominal bore, 86 mm long, weighing not less than 88 gms</t>
  </si>
  <si>
    <t>18.55.2</t>
  </si>
  <si>
    <t>20 mm nominal bore, 89 mm long, weighing not less than 88 gms</t>
  </si>
  <si>
    <t>18.55.3</t>
  </si>
  <si>
    <t>Concealed stop cock, 15 mm nominal bore, 108 mm long, weighing not less than 108 gms</t>
  </si>
  <si>
    <t>Providing and fixing PTMT pillar cock of approved quality and colour.</t>
  </si>
  <si>
    <t>18.56.1</t>
  </si>
  <si>
    <t>15 mm nominal bore, 107 mm long, weighing not less than 110 gms</t>
  </si>
  <si>
    <t>18.56.2</t>
  </si>
  <si>
    <t>15 mm nominal bore, 125 mm long foam flow, weighing not less than 120 gms</t>
  </si>
  <si>
    <t>Providing and fixing PTMT, push cock of approved quality and colour.</t>
  </si>
  <si>
    <t>18.57.1</t>
  </si>
  <si>
    <t>15 mm nominal bore, 98 mm long, weighing not less than 75 gms</t>
  </si>
  <si>
    <t>18.57.2</t>
  </si>
  <si>
    <t>15 mm nominal bore, 80 mm long, weighing not less than 46 gms</t>
  </si>
  <si>
    <t>Providing and fixing PTMT grating of approved quality and colour.</t>
  </si>
  <si>
    <t>18.58.1</t>
  </si>
  <si>
    <t>Circular type</t>
  </si>
  <si>
    <t>18.58.1.1</t>
  </si>
  <si>
    <t>100 mm nominal dia</t>
  </si>
  <si>
    <t>18.58.1.2</t>
  </si>
  <si>
    <t>125 mm nominal dia with 25 mm waste hole</t>
  </si>
  <si>
    <t>18.58.2</t>
  </si>
  <si>
    <t>Rectangular type with openable circular lid</t>
  </si>
  <si>
    <t>18.58.2.1</t>
  </si>
  <si>
    <t>150 mm nominal size square 100 mm diameter of the inner hinged round grating</t>
  </si>
  <si>
    <t>AIR VALVE &amp; WATER METER (BULK TYPE)</t>
  </si>
  <si>
    <t>Providing and fixing C.I. double acting air valve of approved quality with bolts, nuts, rubber insertions etc. complete (The tail pieces, tapers etc if required will be paid separately) :</t>
  </si>
  <si>
    <t>18.59.1</t>
  </si>
  <si>
    <t>18.59.2</t>
  </si>
  <si>
    <t>80 mm dia</t>
  </si>
  <si>
    <t>18.59.3</t>
  </si>
  <si>
    <t>Providing and fixing enclosed type water meter (bulk type) conforming to IS : 2373 and tested by Municipal Board complete with bolts, nuts, rubber insertions etc. (The tail pieces if required will be paid separately) :</t>
  </si>
  <si>
    <t>18.60.1</t>
  </si>
  <si>
    <t>18.60.2</t>
  </si>
  <si>
    <t>100 mm dia nominal bore</t>
  </si>
  <si>
    <t>18.60.3</t>
  </si>
  <si>
    <t>150 mm dia nominal bore</t>
  </si>
  <si>
    <t>18.60.4</t>
  </si>
  <si>
    <t>200 mm dia nominal bore</t>
  </si>
  <si>
    <t>Providing and fixing C.I. dirt box strainer for bulk type water meter with nuts, bolts, rubber insertions etc. complete conforming to IS : 2373 :</t>
  </si>
  <si>
    <t>18.61.1</t>
  </si>
  <si>
    <t>18.61.2</t>
  </si>
  <si>
    <t>18.61.3</t>
  </si>
  <si>
    <t>150 mm dia</t>
  </si>
  <si>
    <t>18.61.4</t>
  </si>
  <si>
    <t>200 mm dia</t>
  </si>
  <si>
    <t>Providing and fixing PTMT Ball cock of approved quality, colour and make complete with Epoxy coated aluminium rod with L.P./ H.P.H.D. plastic ball.</t>
  </si>
  <si>
    <t>18.62.1</t>
  </si>
  <si>
    <t>15 mm nominal bore, 105 mm long, weighing not less than 138 gms</t>
  </si>
  <si>
    <t>18.62.2</t>
  </si>
  <si>
    <t>20 mm nominal bore, 120 mm long, weighing not less than 198 gms</t>
  </si>
  <si>
    <t>18.62.3</t>
  </si>
  <si>
    <t>25 mm nominal bore, 152mm long, weighing not less than 440 gms</t>
  </si>
  <si>
    <t>18.62.4</t>
  </si>
  <si>
    <t>40 mm nominal bore, 206mm long, weighing not less than 690 gms</t>
  </si>
  <si>
    <t>18.62.5</t>
  </si>
  <si>
    <t>50 mm nominal bore, 242mm long, weighing not less than 1240 gms</t>
  </si>
  <si>
    <t>Providing and fixing PTMT angle stop cock 15 mm nominal bore, weighing not less than 85 gms</t>
  </si>
  <si>
    <t>Providing and fixing PTMT swivelling shower, 15 mm nominal bore, weighing not less than 40 gms</t>
  </si>
  <si>
    <t>Providing and fixing PTMT soap Dish Holder having length of 138mm, breadth 102mm, height of 75mm with concealed fitting arrangements, weighing not less than 106 gms.</t>
  </si>
  <si>
    <t>Providing and laying S&amp;S C.I. Standard specials such as tees, bends, collars tapers and caps etc, suitable for flanged jointing as per IS : 1538 :</t>
  </si>
  <si>
    <t>18.66.1</t>
  </si>
  <si>
    <t>18.66.2</t>
  </si>
  <si>
    <t>Above 300 mm dia</t>
  </si>
  <si>
    <t>Providing and laying S&amp;S C.I. Standard specials suitable for mechanical jointing as per IS : 13382 :</t>
  </si>
  <si>
    <t>18.67.1</t>
  </si>
  <si>
    <t>18.67.2</t>
  </si>
  <si>
    <t>Providing and laying D.I. specials of class K-12 suitable for push-on jointing as per IS : 9523 :</t>
  </si>
  <si>
    <t>18.68.1</t>
  </si>
  <si>
    <t>Up to 600 mm dia</t>
  </si>
  <si>
    <t>18.68.2</t>
  </si>
  <si>
    <t>Above 600 mm dia</t>
  </si>
  <si>
    <t>18.68A</t>
  </si>
  <si>
    <t>Providing and laying Class K-12  Ductile Iron double chamber restrained joint (bolt less) specials such as tees, bends, collars, tapers and caps etc. conforming to IS 9523  including testing of joints all complete.</t>
  </si>
  <si>
    <t>18.68A.1</t>
  </si>
  <si>
    <t xml:space="preserve">Up to 600 mm nominal dia </t>
  </si>
  <si>
    <t>18.68A.2</t>
  </si>
  <si>
    <t xml:space="preserve">Above 600 mm nominal dia </t>
  </si>
  <si>
    <t>Providing and laying D.I. Specials of Class K - 12 suitable for mechanical jointing as per IS : 9523 :</t>
  </si>
  <si>
    <t>18.69.1</t>
  </si>
  <si>
    <t>18.69.2</t>
  </si>
  <si>
    <t>Providing push-on-joints to Centrifugally (Spun) Cast Iron Pipes or Ductile Iron Pipes including testing of joints and the cost of rubber gasket :</t>
  </si>
  <si>
    <t>18.70.1</t>
  </si>
  <si>
    <t>100 mm dia pipes</t>
  </si>
  <si>
    <t>joint</t>
  </si>
  <si>
    <t>18.70.2</t>
  </si>
  <si>
    <t>150 mm dia pipes</t>
  </si>
  <si>
    <t>18.70.3</t>
  </si>
  <si>
    <t>200 mm dia pipes</t>
  </si>
  <si>
    <t>18.70.4</t>
  </si>
  <si>
    <t>250 mm dia pipes</t>
  </si>
  <si>
    <t>18.70.5</t>
  </si>
  <si>
    <t>300 mm dia pipes</t>
  </si>
  <si>
    <t>18.70.6</t>
  </si>
  <si>
    <t>350 mm dia pipes</t>
  </si>
  <si>
    <t>18.70.7</t>
  </si>
  <si>
    <t>400 mm dia pipes</t>
  </si>
  <si>
    <t>18.70.8</t>
  </si>
  <si>
    <t>450 mm dia pipes</t>
  </si>
  <si>
    <t>18.70.9</t>
  </si>
  <si>
    <t>500 mm dia pipes</t>
  </si>
  <si>
    <t>18.70.10</t>
  </si>
  <si>
    <t>600 mm dia pipes</t>
  </si>
  <si>
    <t>18.70.11</t>
  </si>
  <si>
    <t>700 mm dia pipes</t>
  </si>
  <si>
    <t>18.70.12</t>
  </si>
  <si>
    <t>750 mm dia pipes</t>
  </si>
  <si>
    <t>18.70.13</t>
  </si>
  <si>
    <t>800 mm dia pipes</t>
  </si>
  <si>
    <t>18.70.14</t>
  </si>
  <si>
    <t>900 mm dia pipes</t>
  </si>
  <si>
    <t>18.70.15</t>
  </si>
  <si>
    <t>1000 mm dia pipes</t>
  </si>
  <si>
    <t>Providing and laying Double Flanged (screwed / welded) Centrifugally (Spun) Cast Iron, Class B (IS : 1536) :</t>
  </si>
  <si>
    <t>18.71.1</t>
  </si>
  <si>
    <t>100 mm dia C.I. Double Flanged Pipe</t>
  </si>
  <si>
    <t>18.71.2</t>
  </si>
  <si>
    <t>150 mm dia C.I. Double Flanged Pipe</t>
  </si>
  <si>
    <t>18.71.3</t>
  </si>
  <si>
    <t>200 mm dia C.I. Double Flanged Pipe</t>
  </si>
  <si>
    <t>18.71.4</t>
  </si>
  <si>
    <t>250 mm dia C.I. Double Flanged Pipe</t>
  </si>
  <si>
    <t>18.71.5</t>
  </si>
  <si>
    <t>300 mm dia C.I. Double Flanged Pipe</t>
  </si>
  <si>
    <t>18.71.6</t>
  </si>
  <si>
    <t>350 mm dia C.I. Double Flanged Pipe</t>
  </si>
  <si>
    <t>18.71.7</t>
  </si>
  <si>
    <t>400 mm dia C.I. Double Flanged Pipe</t>
  </si>
  <si>
    <t>18.71.8</t>
  </si>
  <si>
    <t>450 mm dia C.I. Double Flanged Pipe</t>
  </si>
  <si>
    <t>18.71.9</t>
  </si>
  <si>
    <t>500 mm dia C.I. Double Flanged Pipe</t>
  </si>
  <si>
    <t>18.71.10</t>
  </si>
  <si>
    <t>600 mm dia C.I. Double Flanged Pipe</t>
  </si>
  <si>
    <t>Providing and laying S&amp;S Centrifugally Cast (Spun) / Ductile Iron Pipes conforming to IS : 8329 :</t>
  </si>
  <si>
    <t>18.72.1</t>
  </si>
  <si>
    <t>100 mm dia Ductile Iron Class K-7 pipes</t>
  </si>
  <si>
    <t>18.72.2</t>
  </si>
  <si>
    <t>150 mm dia Ductile Iron Class K-7 pipes</t>
  </si>
  <si>
    <t>18.72.3</t>
  </si>
  <si>
    <t>200 mm dia Ductile Iron Class K-7 pipes</t>
  </si>
  <si>
    <t>18.72.4</t>
  </si>
  <si>
    <t>250 mm dia Ductile Iron Class K-7 pipes</t>
  </si>
  <si>
    <t>18.72.5</t>
  </si>
  <si>
    <t>300 mm dia Ductile Iron Class K-7 pipes</t>
  </si>
  <si>
    <t>18.72.6</t>
  </si>
  <si>
    <t>350 mm dia Ductile Iron Class K-7 pipes</t>
  </si>
  <si>
    <t>18.72.7</t>
  </si>
  <si>
    <t>400 mm dia Ductile Iron Class K-7 pipes</t>
  </si>
  <si>
    <t>18.72.8</t>
  </si>
  <si>
    <t>450 mm dia Ductile Iron Class K-7 pipes</t>
  </si>
  <si>
    <t>18.72.9</t>
  </si>
  <si>
    <t>500 mm dia Ductile Iron Class K-7 pipes</t>
  </si>
  <si>
    <t>18.72.10</t>
  </si>
  <si>
    <t>600 mm dia Ductile Iron Class K-7 pipes</t>
  </si>
  <si>
    <t>18.72.11</t>
  </si>
  <si>
    <t>700 mm dia Ductile Iron Class K-7 pipes</t>
  </si>
  <si>
    <t>18.72.12</t>
  </si>
  <si>
    <t>800 mm dia Ductile Iron Class K-7 pipes</t>
  </si>
  <si>
    <t>18.72.13</t>
  </si>
  <si>
    <t>900 mm dia Ductile Iron Class K-7 pipes</t>
  </si>
  <si>
    <t>18.72.14</t>
  </si>
  <si>
    <t>1000 mm dia Ductile Iron Class K-7 pipes</t>
  </si>
  <si>
    <t>18.72.15</t>
  </si>
  <si>
    <t>100 mm dia Ductile Iron Class K-9 pipes</t>
  </si>
  <si>
    <t>18.72.16</t>
  </si>
  <si>
    <t>150 mm dia Ductile Iron Class K-9 pipes</t>
  </si>
  <si>
    <t>18.72.17</t>
  </si>
  <si>
    <t>200 mm dia Ductile Iron Class K-9 pipes</t>
  </si>
  <si>
    <t>18.72.18</t>
  </si>
  <si>
    <t>250 mm dia Ductile Iron Class K-9 pipes</t>
  </si>
  <si>
    <t>18.72.19</t>
  </si>
  <si>
    <t>300 mm dia Ductile Iron Class K-9 pipes</t>
  </si>
  <si>
    <t>18.72.20</t>
  </si>
  <si>
    <t>350 mm dia Ductile Iron Class K-9 pipes</t>
  </si>
  <si>
    <t>18.72.21</t>
  </si>
  <si>
    <t>400 mm dia Ductile Iron Class K-9 pipes</t>
  </si>
  <si>
    <t>18.72.22</t>
  </si>
  <si>
    <t>450 mm dia Ductile Iron Class K-9 pipes</t>
  </si>
  <si>
    <t>18.72.23</t>
  </si>
  <si>
    <t>500 mm dia Ductile Iron Class K-9 pipes</t>
  </si>
  <si>
    <t>18.72.24</t>
  </si>
  <si>
    <t>600 mm dia Ductile Iron Class K-9 pipes</t>
  </si>
  <si>
    <t>18.72.25</t>
  </si>
  <si>
    <t>700 mm dia Ductile Iron Class K-9 pipes</t>
  </si>
  <si>
    <t>18.72.26</t>
  </si>
  <si>
    <t>750 mm dia Ductile Iron Class K-9 pipes</t>
  </si>
  <si>
    <t>18.72.27</t>
  </si>
  <si>
    <t>800 mm dia Ductile Iron Class K-9 pipes</t>
  </si>
  <si>
    <t>18.72.28</t>
  </si>
  <si>
    <t>900 mm dia Ductile Iron Class K-9 pipes</t>
  </si>
  <si>
    <t>18.72.29</t>
  </si>
  <si>
    <t>1000 mm dia Ductile Iron Class K-9 pipes</t>
  </si>
  <si>
    <t>18.72A</t>
  </si>
  <si>
    <t>Providing, laying,  jointing and testing  S&amp;S Centrifugally Cast  Ductile Iron double chamber Class K-9  pressure pipes conforming to IS 8329:2000 with restrained joints (bolt less), all complete.</t>
  </si>
  <si>
    <t>18.72A.1</t>
  </si>
  <si>
    <t>100 mm nominal dia pipe</t>
  </si>
  <si>
    <t>18.72A.2</t>
  </si>
  <si>
    <t>150 mm nominal dia pipe</t>
  </si>
  <si>
    <t>18.72A.3</t>
  </si>
  <si>
    <t>200 mm nominal dia pipe</t>
  </si>
  <si>
    <t>18.72A.4</t>
  </si>
  <si>
    <t>250 mm nominal dia pipe</t>
  </si>
  <si>
    <t>18.72A.5</t>
  </si>
  <si>
    <t>300 mm nominal dia pipe</t>
  </si>
  <si>
    <t>18.72A.6</t>
  </si>
  <si>
    <t>350 mm nominal dia pipe</t>
  </si>
  <si>
    <t>18.72A.7</t>
  </si>
  <si>
    <t>400 mm nominal dia pipe</t>
  </si>
  <si>
    <t>18.72A.8</t>
  </si>
  <si>
    <t>450 mm nominal dia pipe</t>
  </si>
  <si>
    <t>18.72A.9</t>
  </si>
  <si>
    <t>500 mm nominal dia pipe</t>
  </si>
  <si>
    <t>18.72A.10</t>
  </si>
  <si>
    <t>600 mm nominal dia pipe</t>
  </si>
  <si>
    <t>18.72A.11</t>
  </si>
  <si>
    <t>700 mm nominal dia pipe</t>
  </si>
  <si>
    <t>18.72A.12</t>
  </si>
  <si>
    <t>750 mm nominal dia pipe</t>
  </si>
  <si>
    <t>18.72A.13</t>
  </si>
  <si>
    <t>800 mm nominal dia pipe</t>
  </si>
  <si>
    <t>18.72A.14</t>
  </si>
  <si>
    <t>900 mm nominal dia pipe</t>
  </si>
  <si>
    <t>18.72A.15</t>
  </si>
  <si>
    <t>1000 mm nominal dia pipe</t>
  </si>
  <si>
    <t>Providing and laying Double Flanged (Screwed/ Welded) Centrifugally (Spun) Ductile Iron Pipes of Class K - 9 conforming to IS : 8329 :</t>
  </si>
  <si>
    <t>18.73.1</t>
  </si>
  <si>
    <t>100 mm dia Ductile Iron Double Flanged</t>
  </si>
  <si>
    <t>18.73.2</t>
  </si>
  <si>
    <t>150 mm dia Ductile Iron Double Flanged</t>
  </si>
  <si>
    <t>18.73.3</t>
  </si>
  <si>
    <t>200 mm dia Ductile Iron Double Flanged</t>
  </si>
  <si>
    <t>18.73.4</t>
  </si>
  <si>
    <t>250 mm dia Ductile Iron Double Flanged</t>
  </si>
  <si>
    <t>18.73.5</t>
  </si>
  <si>
    <t>300 mm dia Ductile Iron Double Flanged</t>
  </si>
  <si>
    <t>18.73.6</t>
  </si>
  <si>
    <t>350 mm dia Ductile Iron Double Flanged</t>
  </si>
  <si>
    <t>18.73.7</t>
  </si>
  <si>
    <t>400 mm dia Ductile Iron Double Flanged</t>
  </si>
  <si>
    <t>18.73.8</t>
  </si>
  <si>
    <t>450 mm dia Ductile Iron Double Flanged</t>
  </si>
  <si>
    <t>18.73.9</t>
  </si>
  <si>
    <t>500 mm dia Ductile Iron Double Flanged</t>
  </si>
  <si>
    <t>18.73.10</t>
  </si>
  <si>
    <t>600 mm dia Ductile Iron Double Flanged</t>
  </si>
  <si>
    <t>18.73.11</t>
  </si>
  <si>
    <t>700 mm dia Ductile Iron Double Flanged</t>
  </si>
  <si>
    <t>Providing and fixing unplasticised P.V.C. connection pipe with PTMT Nuts, collar and bush of approved quality and colour.</t>
  </si>
  <si>
    <t>18.74.1</t>
  </si>
  <si>
    <t>15 mm nominal bore with 30cm length</t>
  </si>
  <si>
    <t>18.74.2</t>
  </si>
  <si>
    <t>15 mm nominal bore with 45 cm length</t>
  </si>
  <si>
    <t>Providing and fixing PTMT extension nipple for water tank pipe, fittings of approved quality and colour.</t>
  </si>
  <si>
    <t>18.75.1</t>
  </si>
  <si>
    <t>15 mm nominal bore, weighing not less than 32 gms</t>
  </si>
  <si>
    <t>18.75.2</t>
  </si>
  <si>
    <t>20 mm nominal bore, weighing not less than 40 gms</t>
  </si>
  <si>
    <t>18.75.3</t>
  </si>
  <si>
    <t>25mm nominal bore, weighing not less than 62 gms</t>
  </si>
  <si>
    <t>Cutting holes up to 30x30 cm in walls including making good the same:</t>
  </si>
  <si>
    <t>18.76.1</t>
  </si>
  <si>
    <t>With common burnt clay F.P.S. (non modular) bricks</t>
  </si>
  <si>
    <t>Cutting holes up to 15x15 cm in R.C.C. floors and roofs for passing drain pipe etc. and repairing the hole after insertion of drain pipe etc. with cement concrete 1:2:4 (1 cement : 2 coarse sand : 4 graded stone aggregate 20 mm nominal size), including finishing complete so as to make it leak proof.</t>
  </si>
  <si>
    <t>Making chases up to 7.5x7.5 cm in walls including making good and finishing with matching surface after housing G.I. pipe etc.</t>
  </si>
  <si>
    <t>Making hole up to 20x20 cm and embedding pipes up to 150 mm diameter in masonry and filling with cement concrete 1:3:6 (1 cement : 3 coarse sand: 6 graded stone aggregate 20 mm nominal size) including disposal of malba.</t>
  </si>
  <si>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t>
  </si>
  <si>
    <t>18.80.1</t>
  </si>
  <si>
    <t>80 mm diameter C.I. pipe</t>
  </si>
  <si>
    <t>100 metre</t>
  </si>
  <si>
    <t>18.80.2</t>
  </si>
  <si>
    <t>100 mm diameter C.I. pipe</t>
  </si>
  <si>
    <t>18.80.3</t>
  </si>
  <si>
    <t>125 mm diameter C.I. pipe</t>
  </si>
  <si>
    <t>18.80.4</t>
  </si>
  <si>
    <t>150 mm diameter C.I. pipe</t>
  </si>
  <si>
    <t>18.80.5</t>
  </si>
  <si>
    <t>200 mm diameter C.I. pipe</t>
  </si>
  <si>
    <t>18.80.6</t>
  </si>
  <si>
    <t>250 mm diameter C.I. pipe</t>
  </si>
  <si>
    <t>18.80.7</t>
  </si>
  <si>
    <t>300 mm diameter C.I. pipe</t>
  </si>
  <si>
    <t>18.80.8</t>
  </si>
  <si>
    <t>350 mm diameter C.I. pipe</t>
  </si>
  <si>
    <t>18.80.9</t>
  </si>
  <si>
    <t>400 mm diameter C.I. pipe</t>
  </si>
  <si>
    <t>18.80.10</t>
  </si>
  <si>
    <t>450 mm diameter C.I. pipe</t>
  </si>
  <si>
    <t>18.80.11</t>
  </si>
  <si>
    <t>500 mm diameter C.I. pipe</t>
  </si>
  <si>
    <t>18.80.12</t>
  </si>
  <si>
    <t>600 mm diameter C.I. pipe</t>
  </si>
  <si>
    <t>Extra for every operation of disinfecting the C.I. main by flushing with water containing bleaching powder @ 0.5 gms per litre of water and cleaning the same with fresh water, including getting the samples of water tested in the municipal laboratory :</t>
  </si>
  <si>
    <t>18.81.1</t>
  </si>
  <si>
    <t>18.81.2</t>
  </si>
  <si>
    <t>18.81.3</t>
  </si>
  <si>
    <t>18.81.4</t>
  </si>
  <si>
    <t>18.81.5</t>
  </si>
  <si>
    <t>18.81.6</t>
  </si>
  <si>
    <t>18.81.7</t>
  </si>
  <si>
    <t>18.81.8</t>
  </si>
  <si>
    <t>18.81.9</t>
  </si>
  <si>
    <t>18.81.10</t>
  </si>
  <si>
    <t>18.81.11</t>
  </si>
  <si>
    <t>18.81.12</t>
  </si>
  <si>
    <t>Dismantling old C.I. pipes including excavation and refilling trenches after taking out the pipes, breaking lead caulked joints, melting of lead and making into blocks, including stacking of pipes at site lead up to 50 metre:</t>
  </si>
  <si>
    <t>18.82.1</t>
  </si>
  <si>
    <t>18.82.2</t>
  </si>
  <si>
    <t>18.82.3</t>
  </si>
  <si>
    <t>18.82.4</t>
  </si>
  <si>
    <t>18.82.5</t>
  </si>
  <si>
    <t>18.82.6</t>
  </si>
  <si>
    <t>18.82.7</t>
  </si>
  <si>
    <t>18.82.8</t>
  </si>
  <si>
    <t>18.82.9</t>
  </si>
  <si>
    <t>18.82.10</t>
  </si>
  <si>
    <t>18.82.11</t>
  </si>
  <si>
    <t>18.82.12</t>
  </si>
  <si>
    <t>Labour for cutting C.I. pipe with steel saw.</t>
  </si>
  <si>
    <t>18.83.1</t>
  </si>
  <si>
    <t>each cut</t>
  </si>
  <si>
    <t>18.83.2</t>
  </si>
  <si>
    <t>18.83.3</t>
  </si>
  <si>
    <t>18.83.4</t>
  </si>
  <si>
    <t>18.83.5</t>
  </si>
  <si>
    <t>18.83.6</t>
  </si>
  <si>
    <t>18.83.7</t>
  </si>
  <si>
    <t>18.83.8</t>
  </si>
  <si>
    <t>18.83.9</t>
  </si>
  <si>
    <t>18.83.10</t>
  </si>
  <si>
    <t>18.83.11</t>
  </si>
  <si>
    <t>18.83.12</t>
  </si>
  <si>
    <t>Providing &amp; fixing chrome plated brass battery based infrared sensor operated pillar cock, having foam flow technology.</t>
  </si>
  <si>
    <t>18.84.1</t>
  </si>
  <si>
    <t>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Engineer-in-charge. (The pipe length inserted in the fitting shall not be measured for payment)</t>
  </si>
  <si>
    <t>18.85.1</t>
  </si>
  <si>
    <t>15.88 mm outer dia pipe</t>
  </si>
  <si>
    <t>18.85.2</t>
  </si>
  <si>
    <t>22.22 mm outer dia Pipe</t>
  </si>
  <si>
    <t>18.85.3</t>
  </si>
  <si>
    <t>28.58 mm outer dia Pipe</t>
  </si>
  <si>
    <t>18.85.4</t>
  </si>
  <si>
    <t>34.00 mm outer dia Pipe</t>
  </si>
  <si>
    <t>18.85.5</t>
  </si>
  <si>
    <t>42.70 mm outer dia Pipe</t>
  </si>
  <si>
    <t>18.85.6</t>
  </si>
  <si>
    <t>48.60 mm outer dia Pipe</t>
  </si>
  <si>
    <t>18.85A</t>
  </si>
  <si>
    <t>Providing and fixing Stainless Steel pipe and fitting of grade 316L as per IS 6911:2017 and conforming to EN-10312 standards complete with press type fitting (fitting shall be paid for separately) i/c fixing of the pipe with clamps at 1.00 m spacing including cutting and making good the walls including testing of joints complete as per direction of Engineer-in-charge. (The pipe length inserted in the fitting shall not be measured for payment)</t>
  </si>
  <si>
    <t>18.85A.1</t>
  </si>
  <si>
    <t>15 mm outer dia pipe</t>
  </si>
  <si>
    <t>18.85A.2</t>
  </si>
  <si>
    <t>22 mm outer dia Pipe</t>
  </si>
  <si>
    <t>18.85A.3</t>
  </si>
  <si>
    <t>28 mm outer dia Pipe</t>
  </si>
  <si>
    <t>18.85A.4</t>
  </si>
  <si>
    <t>35 mm outer dia Pipe</t>
  </si>
  <si>
    <t>18.85A.5</t>
  </si>
  <si>
    <t>42 mm outer dia Pipe</t>
  </si>
  <si>
    <t>18.85A.6</t>
  </si>
  <si>
    <t>54 mm outer dia Pipe</t>
  </si>
  <si>
    <t>Providing and fixing Stainless Steel pipe and fitting of grade AISI 304 as per JIS standard 3448 complete with press type fitting (fitting shall be paid for separately) i/c fixing of the pipe with clamps at 1.00m spacing and also including cutting of chases and making good the walls including testing of joints complete as per direction of Engineer -in-charge. (The pipe length inserted in the fitting shall not be measured for payment)</t>
  </si>
  <si>
    <t>Internal work - Concealed Pipe</t>
  </si>
  <si>
    <t>18.86.1</t>
  </si>
  <si>
    <t>15.88 mm outer dia Pipe.</t>
  </si>
  <si>
    <t>18.86.2</t>
  </si>
  <si>
    <t>22.22 mm Outer dia pipe</t>
  </si>
  <si>
    <t>18.86A</t>
  </si>
  <si>
    <t>Providing and fixing Stainless Steel pipe and fitting of grade 316L as per IS 6911:2017 and conforming to EN-10312 standards complete with press type fitting (fitting shall be paid for separately) i/c fixing of the pipe with clamps at 1.00m spacing and also including cutting of chases and making good the walls including testing of joints complete as per direction of Engineer -in-charge. (The pipe length inserted in the fitting shall not be measured for payment)</t>
  </si>
  <si>
    <t>18.86A.1</t>
  </si>
  <si>
    <t>15 mm outer dia Pipe.</t>
  </si>
  <si>
    <t>18.86A.2</t>
  </si>
  <si>
    <t>22 mm Outer dia pipes</t>
  </si>
  <si>
    <t>Providing and fixing required Stainless Steel Fitting of press fit design of grade AISI 304 conforming to JWWA G116 standard with V-profile or M-profile and with O-ring sealing gasket of EPDM material of required dia as per direction of Engineer-in-charge.</t>
  </si>
  <si>
    <t>Coupling/Socket</t>
  </si>
  <si>
    <t>18.87.1</t>
  </si>
  <si>
    <t>For 15.88 mm outer dia pipe</t>
  </si>
  <si>
    <t>18.87.2</t>
  </si>
  <si>
    <t>For 22.22 mm outer dia pipe</t>
  </si>
  <si>
    <t>18.87.3</t>
  </si>
  <si>
    <t>For 28.58 mm outer dia pipe</t>
  </si>
  <si>
    <t>18.87.4</t>
  </si>
  <si>
    <t>For 34.00 mm outer dia pipe</t>
  </si>
  <si>
    <t>18.87.5</t>
  </si>
  <si>
    <t>For 42.70 mm outer dia pipe</t>
  </si>
  <si>
    <t>18.87.6</t>
  </si>
  <si>
    <t>For 48.60 mm outer dia pipe</t>
  </si>
  <si>
    <t>18.87A</t>
  </si>
  <si>
    <t>Providing and fixing required Stainless Steel Fitting of press fit design of grade 316L as per IS 6911:2017 and conforming to EN-10312 standards with V-profile and with O-ring sealing gasket of EPDM material of required dia as per direction of Engineer-in-charge.</t>
  </si>
  <si>
    <t>18.87A.1</t>
  </si>
  <si>
    <t>For 15 mm outer dia pipe</t>
  </si>
  <si>
    <t>18.87A.2</t>
  </si>
  <si>
    <t>For 22 mm outer dia pipe</t>
  </si>
  <si>
    <t>18.87A.3</t>
  </si>
  <si>
    <t>For 28 mm outer dia pipe</t>
  </si>
  <si>
    <t>18.87A.4</t>
  </si>
  <si>
    <t>For 35 mm outer dia pipe</t>
  </si>
  <si>
    <t>18.87A.5</t>
  </si>
  <si>
    <t>For 42 mm outer dia pipe</t>
  </si>
  <si>
    <t>18.87A.6</t>
  </si>
  <si>
    <t>For 54 mm outer dia pipe</t>
  </si>
  <si>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t>
  </si>
  <si>
    <t>Reducer</t>
  </si>
  <si>
    <t>18.88.1</t>
  </si>
  <si>
    <t>For 22.22 mm x 15.88 mm outer dia pipe</t>
  </si>
  <si>
    <t>18.88.2</t>
  </si>
  <si>
    <t>For 28.58 mm x 15.88 mm outer dia pipe</t>
  </si>
  <si>
    <t>18.88.3</t>
  </si>
  <si>
    <t>For 28.58 mm x 22.22 mm outer dia pipe</t>
  </si>
  <si>
    <t>18.88.4</t>
  </si>
  <si>
    <t>For 34.00 mm x 15.88 mm outer dia pipe</t>
  </si>
  <si>
    <t>18.88.5</t>
  </si>
  <si>
    <t>For 34.00 mm x 22.22 mm outer dia pipe</t>
  </si>
  <si>
    <t>18.88.6</t>
  </si>
  <si>
    <t>For 34.00 mm x 28.58 mm outer dia pipe</t>
  </si>
  <si>
    <t>18.88.7</t>
  </si>
  <si>
    <t>For 42.70 mm x 15.88 mm outer dia pipe</t>
  </si>
  <si>
    <t>18.88.8</t>
  </si>
  <si>
    <t>For 42.70 mm x 22.22 mm outer dia pipe</t>
  </si>
  <si>
    <t>18.88.9</t>
  </si>
  <si>
    <t>For 42.70 mm x 28.58 mm outer dia pipe</t>
  </si>
  <si>
    <t>18.88.10</t>
  </si>
  <si>
    <t>For 42.70 mm x 34.00 mm outer dia pipe</t>
  </si>
  <si>
    <t>18.88.11</t>
  </si>
  <si>
    <t>For 48.60 mm x 15.88 mm outer dia pipe</t>
  </si>
  <si>
    <t>18.88.12</t>
  </si>
  <si>
    <t>For 48.60 mm x 22.22 mm outer dia pipe</t>
  </si>
  <si>
    <t>18.88.13</t>
  </si>
  <si>
    <t>For 48.60 mm x 28.58 mm outer dia pipe</t>
  </si>
  <si>
    <t>18.88.14</t>
  </si>
  <si>
    <t>For 48.60 mm x 34.00 mm outer dia pipe</t>
  </si>
  <si>
    <t>18.88.15</t>
  </si>
  <si>
    <t>For 48.60 mm x 42.70 mm outer dia pipe</t>
  </si>
  <si>
    <t>18.88A</t>
  </si>
  <si>
    <t>Providing and fixing required Stainless Steel Fitting of press fit design of grade 316L as per IS 6911:2017 and conforming to EN-10312 standards with V-profile and with O-ring sealing gasket of EPDM material of required dia as per dirction of Engineer-in-charge.</t>
  </si>
  <si>
    <t>18.88A.1</t>
  </si>
  <si>
    <t>For 22mm x 15 mm outer dia pipe</t>
  </si>
  <si>
    <t>18.88A.2</t>
  </si>
  <si>
    <t>For 28 mm x 15 mm outer dia pipe</t>
  </si>
  <si>
    <t>18.88A.3</t>
  </si>
  <si>
    <t>For 28 mm x 22 mm outer dia pipe</t>
  </si>
  <si>
    <t>18.88A.4</t>
  </si>
  <si>
    <t>For 35 mm x 22 mm outer dia pipe</t>
  </si>
  <si>
    <t>18.88A.5</t>
  </si>
  <si>
    <t>For 35 mm x 28 mm outer dia pipe</t>
  </si>
  <si>
    <t>18.88A.6</t>
  </si>
  <si>
    <t>For 42 mm x 22 mm outer dia pipe</t>
  </si>
  <si>
    <t>18.88A.7</t>
  </si>
  <si>
    <t>For 42 mm x 28 mm outer dia pipe</t>
  </si>
  <si>
    <t>18.88A.8</t>
  </si>
  <si>
    <t>For 42 mm x 35 mm outer dia pipe</t>
  </si>
  <si>
    <t>18.88A.9</t>
  </si>
  <si>
    <t>For 54 mm x 28 mm outer dia pipe</t>
  </si>
  <si>
    <t>18.88A.10</t>
  </si>
  <si>
    <t>For 54 mm x 35 mm outer dia pipe</t>
  </si>
  <si>
    <t>18.88A.11</t>
  </si>
  <si>
    <t>For 54 mm x 42 mm outer dia pipe</t>
  </si>
  <si>
    <t>Slip Coupling/ Socket</t>
  </si>
  <si>
    <t>18.89.1</t>
  </si>
  <si>
    <t>18.89.2</t>
  </si>
  <si>
    <t>18.89.3</t>
  </si>
  <si>
    <t>18.89.4</t>
  </si>
  <si>
    <t>18.89.5</t>
  </si>
  <si>
    <t>18.89.6</t>
  </si>
  <si>
    <t>18.89A</t>
  </si>
  <si>
    <t>Sleeve/Slip Coupling/ Socket</t>
  </si>
  <si>
    <t>18.89A.1</t>
  </si>
  <si>
    <t>18.89A.2</t>
  </si>
  <si>
    <t>18.89A.3</t>
  </si>
  <si>
    <t>18.89A.4</t>
  </si>
  <si>
    <t>18.89A.5</t>
  </si>
  <si>
    <t>18.89A.6</t>
  </si>
  <si>
    <t>Elbow 90°</t>
  </si>
  <si>
    <t>18.90.1</t>
  </si>
  <si>
    <t>For 15.88mm outer dia pipe</t>
  </si>
  <si>
    <t>18.90.2</t>
  </si>
  <si>
    <t>18.90.3</t>
  </si>
  <si>
    <t>18.90.4</t>
  </si>
  <si>
    <t>18.90.5</t>
  </si>
  <si>
    <t>18.90.6</t>
  </si>
  <si>
    <t>18.90A</t>
  </si>
  <si>
    <t>18.90A.1</t>
  </si>
  <si>
    <t>18.90A.2</t>
  </si>
  <si>
    <t>18.90A.3</t>
  </si>
  <si>
    <t>18.90A.4</t>
  </si>
  <si>
    <t>18.90A.5</t>
  </si>
  <si>
    <t>18.90A.6</t>
  </si>
  <si>
    <t>Reducing Elbow 90°</t>
  </si>
  <si>
    <t>18.91.1</t>
  </si>
  <si>
    <t>For22.22 mm x 15.88 mm outer dia pipe</t>
  </si>
  <si>
    <t>18.91.2</t>
  </si>
  <si>
    <t>18.91.3</t>
  </si>
  <si>
    <t>18.91.4</t>
  </si>
  <si>
    <t>18.91.5</t>
  </si>
  <si>
    <t>18.91.6</t>
  </si>
  <si>
    <t>Equal Tee</t>
  </si>
  <si>
    <t>18.92.1</t>
  </si>
  <si>
    <t>18.92.2</t>
  </si>
  <si>
    <t>18.92.3</t>
  </si>
  <si>
    <t>18.92.4</t>
  </si>
  <si>
    <t>18.92.5</t>
  </si>
  <si>
    <t>18.92.6</t>
  </si>
  <si>
    <t>18.92A</t>
  </si>
  <si>
    <t>18.92A.1</t>
  </si>
  <si>
    <t>18.92A.2</t>
  </si>
  <si>
    <t>18.92A.3</t>
  </si>
  <si>
    <t>18.92A.4</t>
  </si>
  <si>
    <t>18.92A.5</t>
  </si>
  <si>
    <t>18.92A.6</t>
  </si>
  <si>
    <t>Reducing Tee</t>
  </si>
  <si>
    <t>18.93.1</t>
  </si>
  <si>
    <t>18.93.2</t>
  </si>
  <si>
    <t>18.93.3</t>
  </si>
  <si>
    <t>18.93.4</t>
  </si>
  <si>
    <t>18.93.5</t>
  </si>
  <si>
    <t>18.93.6</t>
  </si>
  <si>
    <t>18.93.7</t>
  </si>
  <si>
    <t>18.93.8</t>
  </si>
  <si>
    <t>18.93.9</t>
  </si>
  <si>
    <t>18.93.10</t>
  </si>
  <si>
    <t>18.93.11</t>
  </si>
  <si>
    <t>18.93.12</t>
  </si>
  <si>
    <t>18.93.13</t>
  </si>
  <si>
    <t>18.93.14</t>
  </si>
  <si>
    <t>18.93.15</t>
  </si>
  <si>
    <t>18.93A</t>
  </si>
  <si>
    <t>18.93A.1</t>
  </si>
  <si>
    <t>For 22 mm x 15 mm outer dia pipe</t>
  </si>
  <si>
    <t>18.93A.2</t>
  </si>
  <si>
    <t>18.93A.3</t>
  </si>
  <si>
    <t>18.93A.4</t>
  </si>
  <si>
    <t>For 35 mm x 15 mm outer dia pipe</t>
  </si>
  <si>
    <t>18.93A.5</t>
  </si>
  <si>
    <t>18.93A.6</t>
  </si>
  <si>
    <t>18.93A.7</t>
  </si>
  <si>
    <t>18.93A.8</t>
  </si>
  <si>
    <t>18.93A.9</t>
  </si>
  <si>
    <t>18.93A.10</t>
  </si>
  <si>
    <t>For 54 mm x 22 mm outer dia pipe</t>
  </si>
  <si>
    <t>18.93A.11</t>
  </si>
  <si>
    <t>18.93A.12</t>
  </si>
  <si>
    <t>18.93A.13</t>
  </si>
  <si>
    <t>Male Thread Tee</t>
  </si>
  <si>
    <t>18.94.1</t>
  </si>
  <si>
    <t>For 15.88 mm outer dia x 15 mm nominal dia threaded</t>
  </si>
  <si>
    <t>18.94.2</t>
  </si>
  <si>
    <t>For 22.22 mm outer dia x 15 mm nominal dia threaded</t>
  </si>
  <si>
    <t>18.94.3</t>
  </si>
  <si>
    <t>For 22.22 mm outer dia x 20 mm nominal dia threaded</t>
  </si>
  <si>
    <t>18.94.4</t>
  </si>
  <si>
    <t>For 28.58 mm outer dia x 15 mm nominal dia threaded</t>
  </si>
  <si>
    <t>18.94.5</t>
  </si>
  <si>
    <t>For 28.58 mm outer dia x 20 mm nominal dia threaded</t>
  </si>
  <si>
    <t>18.94.6</t>
  </si>
  <si>
    <t>For 28.58 mm outer dia x 25 mm nominal dia threaded</t>
  </si>
  <si>
    <t>18.94.7</t>
  </si>
  <si>
    <t>For 34.00 mm outer dia x 15 mm nominal dia threaded</t>
  </si>
  <si>
    <t>18.94.8</t>
  </si>
  <si>
    <t>For 34.00 mm outer dia x 20 mm nominal dia threaded</t>
  </si>
  <si>
    <t>18.94.9</t>
  </si>
  <si>
    <t>For 34.00 mm outer dia x 25 mm nominal dia threaded</t>
  </si>
  <si>
    <t>18.94.10</t>
  </si>
  <si>
    <t>For 34.00 mm outer dia x 32 mm nominal dia threaded</t>
  </si>
  <si>
    <t>18.94.11</t>
  </si>
  <si>
    <t>For 42.70 mm outer dia x 15 mm nominal dia threaded</t>
  </si>
  <si>
    <t>18.94.12</t>
  </si>
  <si>
    <t>For 42.70 mm outer dia x 20 mm nominal dia threaded</t>
  </si>
  <si>
    <t>18.94.13</t>
  </si>
  <si>
    <t>For 42.70 mm outer dia x 25 mm nominal dia threaded</t>
  </si>
  <si>
    <t>18.94.14</t>
  </si>
  <si>
    <t>For 42.70 mm outer dia x 32 mm nominal dia threaded</t>
  </si>
  <si>
    <t>18.94.15</t>
  </si>
  <si>
    <t>For 42.70 mm outer dia x 40 mm nominal dia threaded</t>
  </si>
  <si>
    <t>18.94.16</t>
  </si>
  <si>
    <t>For 48.60 mm outer dia x 15 mm nominal dia threaded</t>
  </si>
  <si>
    <t>18.94.17</t>
  </si>
  <si>
    <t>For 48.60 mm outer dia x 20 mm nominal dia threaded</t>
  </si>
  <si>
    <t>18.94.18</t>
  </si>
  <si>
    <t>For 48.60 mm outer dia x 25 mm nominal dia threaded</t>
  </si>
  <si>
    <t>18.94.19</t>
  </si>
  <si>
    <t>For 48.60 mm outer dia x 32 mm nominal dia threaded</t>
  </si>
  <si>
    <t>18.94.20</t>
  </si>
  <si>
    <t>For 48.60 mm outer dia x 40 mm nominal dia threaded</t>
  </si>
  <si>
    <t>18.94.21</t>
  </si>
  <si>
    <t>For 48.60 mm outer dia x 50 mm nominal dia threaded</t>
  </si>
  <si>
    <t>Female Thread Tee</t>
  </si>
  <si>
    <t>18.95.1</t>
  </si>
  <si>
    <t>For 15.88 mm outer dia x15 mm nominal dia threaded</t>
  </si>
  <si>
    <t>18.95.2</t>
  </si>
  <si>
    <t>18.95.3</t>
  </si>
  <si>
    <t>18.95.4</t>
  </si>
  <si>
    <t>18.95.5</t>
  </si>
  <si>
    <t>18.95.6</t>
  </si>
  <si>
    <t>18.95.7</t>
  </si>
  <si>
    <t>18.95.8</t>
  </si>
  <si>
    <t>18.95.9</t>
  </si>
  <si>
    <t>18.95.10</t>
  </si>
  <si>
    <t>18.95.11</t>
  </si>
  <si>
    <t>18.95.12</t>
  </si>
  <si>
    <t>18.95.13</t>
  </si>
  <si>
    <t>18.95.14</t>
  </si>
  <si>
    <t>18.95.15</t>
  </si>
  <si>
    <t>18.95.16</t>
  </si>
  <si>
    <t>18.95.17</t>
  </si>
  <si>
    <t>18.95.18</t>
  </si>
  <si>
    <t>18.95.19</t>
  </si>
  <si>
    <t>18.95.20</t>
  </si>
  <si>
    <t>18.95.21</t>
  </si>
  <si>
    <t>18.95A</t>
  </si>
  <si>
    <t>18.95A.1</t>
  </si>
  <si>
    <t>For 15 mm outer dia x 1/2" nominal dia threaded</t>
  </si>
  <si>
    <t>18.95A.2</t>
  </si>
  <si>
    <t>For 22mm outer dia x 1/2" nominal dia threaded</t>
  </si>
  <si>
    <t>18.95A.3</t>
  </si>
  <si>
    <t>For 22mm outer dia x 3/4" nominal dia threaded</t>
  </si>
  <si>
    <t>18.95A.4</t>
  </si>
  <si>
    <t>For 28 mm outer dia x 1/2" nominal dia threaded</t>
  </si>
  <si>
    <t>18.95A.5</t>
  </si>
  <si>
    <t>For 28 mm outer dia x 3/4" nominal dia threaded</t>
  </si>
  <si>
    <t>18.95A.6</t>
  </si>
  <si>
    <t>For 28 mm outer dia x 1" nominal dia threaded</t>
  </si>
  <si>
    <t>18.95A.7</t>
  </si>
  <si>
    <t>For 35 mm outer dia x 1/2" nominal dia threaded</t>
  </si>
  <si>
    <t>18.95A.8</t>
  </si>
  <si>
    <t>For 35 mm outer dia x 1-1/4" nominal dia threaded</t>
  </si>
  <si>
    <t>18.95A.9</t>
  </si>
  <si>
    <t>For 42 mm outer dia x 1-1/4" nominal dia threaded</t>
  </si>
  <si>
    <t>18.95A.10</t>
  </si>
  <si>
    <t>For 54 mm outer dia x 1-1/2" nominal dia threaded</t>
  </si>
  <si>
    <t>18.95A.11</t>
  </si>
  <si>
    <t>For 54 mm outer dia x 2" nominal dia threaded</t>
  </si>
  <si>
    <t>Female Thread Connector/ Adapter</t>
  </si>
  <si>
    <t>18.96.1</t>
  </si>
  <si>
    <t>18.96.2</t>
  </si>
  <si>
    <t>For 22.22 mm outer dia x 15 mmnominal dia threaded</t>
  </si>
  <si>
    <t>18.96.3</t>
  </si>
  <si>
    <t>18.96.4</t>
  </si>
  <si>
    <t>18.96.5</t>
  </si>
  <si>
    <t>18.96.6</t>
  </si>
  <si>
    <t>18.96.7</t>
  </si>
  <si>
    <t>18.96.8</t>
  </si>
  <si>
    <t>18.96.9</t>
  </si>
  <si>
    <t>18.96.10</t>
  </si>
  <si>
    <t>18.96.11</t>
  </si>
  <si>
    <t>18.96.12</t>
  </si>
  <si>
    <t>18.96A</t>
  </si>
  <si>
    <t>18.96A.1</t>
  </si>
  <si>
    <t>For 15 mm outer dia x 1/2" mm nominal dia threaded</t>
  </si>
  <si>
    <t>18.96A.2</t>
  </si>
  <si>
    <t>For 22 mm outer dia x 1/2" mm nominal dia threaded</t>
  </si>
  <si>
    <t>18.96A.3</t>
  </si>
  <si>
    <t>For 22 mm outer dia x 3/4" mm nominal dia threaded</t>
  </si>
  <si>
    <t>18.96A.4</t>
  </si>
  <si>
    <t>For 28 mm outer dia X 1" nominal dia threaded</t>
  </si>
  <si>
    <t>18.96A.5</t>
  </si>
  <si>
    <t>For 35 mm outer dia X 1-1/4" nominal dia threaded</t>
  </si>
  <si>
    <t>18.96A.6</t>
  </si>
  <si>
    <t>For 42 mm outer dia X 1-1/2" nominal dia threaded</t>
  </si>
  <si>
    <t>18.96A.7</t>
  </si>
  <si>
    <t>For 54 mm outer dia X 2" nominal dia threaded</t>
  </si>
  <si>
    <t>Male Thread Connector/ Adapter</t>
  </si>
  <si>
    <t>18.97.1</t>
  </si>
  <si>
    <t>18.97.2</t>
  </si>
  <si>
    <t>18.97.3</t>
  </si>
  <si>
    <t>18.97.4</t>
  </si>
  <si>
    <t>18.97.5</t>
  </si>
  <si>
    <t>18.97.6</t>
  </si>
  <si>
    <t>18.97.7</t>
  </si>
  <si>
    <t>18.97.8</t>
  </si>
  <si>
    <t>18.97.9</t>
  </si>
  <si>
    <t>18.97.10</t>
  </si>
  <si>
    <t>18.97.11</t>
  </si>
  <si>
    <t>18.97A</t>
  </si>
  <si>
    <t>Providing and fixing required Stainless Steel Fitting of press fit design of grade 316L as per IS 6911:2017 and conforming to EN-10312 standard with V-profile and with O-ring sealing gasket of EPDM material of required dia as per direction of Engineer-in-charge.</t>
  </si>
  <si>
    <t>18.97A.1</t>
  </si>
  <si>
    <t>For 15 mm outer dia X 1/2" nominal dia threaded</t>
  </si>
  <si>
    <t>18.97A.2</t>
  </si>
  <si>
    <t>For 22 mm outer dia X 1/2" nominal dia threaded</t>
  </si>
  <si>
    <t>18.97A.3</t>
  </si>
  <si>
    <t>For 22 mm outer dia X 3/4" nominal dia threaded</t>
  </si>
  <si>
    <t>18.97A.4</t>
  </si>
  <si>
    <t>18.97A.5</t>
  </si>
  <si>
    <t>18.97A.6</t>
  </si>
  <si>
    <t>For 42 mm outer dia X 1-1/2"nominal dia threaded</t>
  </si>
  <si>
    <t>18.97A.7</t>
  </si>
  <si>
    <t>Valve Connector</t>
  </si>
  <si>
    <t>18.98.1</t>
  </si>
  <si>
    <t>18.98.2</t>
  </si>
  <si>
    <t>18.98.3</t>
  </si>
  <si>
    <t>18.98.4</t>
  </si>
  <si>
    <t>18.98.5</t>
  </si>
  <si>
    <t>18.98.6</t>
  </si>
  <si>
    <t>18.98.7</t>
  </si>
  <si>
    <t>Female Threaded Elbow 90°</t>
  </si>
  <si>
    <t>18.99.1</t>
  </si>
  <si>
    <t>18.99.2</t>
  </si>
  <si>
    <t>18.99.3</t>
  </si>
  <si>
    <t>18.99.4</t>
  </si>
  <si>
    <t>For 25.58 mm outer dia x 25 mm nominal dia threaded</t>
  </si>
  <si>
    <t>18.99.5</t>
  </si>
  <si>
    <t>18.99.6</t>
  </si>
  <si>
    <t>18.99.7</t>
  </si>
  <si>
    <t>18.99.8</t>
  </si>
  <si>
    <t>18.99.9</t>
  </si>
  <si>
    <t>18.99A</t>
  </si>
  <si>
    <t>18.99A.1</t>
  </si>
  <si>
    <t>18.99A.2</t>
  </si>
  <si>
    <t>18.99A.3</t>
  </si>
  <si>
    <t>For 28mm outer dia X 1" nominal dia threaded</t>
  </si>
  <si>
    <t>18.99A.4</t>
  </si>
  <si>
    <t>For 35mm outer dia X 1-1/4" nominal dia threaded</t>
  </si>
  <si>
    <t>18.99A.5</t>
  </si>
  <si>
    <t>For 42mm outer dia X 1-1/2" nominal dia threaded</t>
  </si>
  <si>
    <t>18.99A.6</t>
  </si>
  <si>
    <t>For 54mm outer dia X 2" nominal dia threaded</t>
  </si>
  <si>
    <t>Male Threaded Elbow 90°</t>
  </si>
  <si>
    <t>18.100.1</t>
  </si>
  <si>
    <t>18.100.2</t>
  </si>
  <si>
    <t>18.100.3</t>
  </si>
  <si>
    <t>18.100.4</t>
  </si>
  <si>
    <t>18.100.5</t>
  </si>
  <si>
    <t>18.100.6</t>
  </si>
  <si>
    <t>18.100.7</t>
  </si>
  <si>
    <t>18.100.8</t>
  </si>
  <si>
    <t>18.100.9</t>
  </si>
  <si>
    <t>18.100.10</t>
  </si>
  <si>
    <t>18.100.A</t>
  </si>
  <si>
    <t>18.100A.1</t>
  </si>
  <si>
    <t>For 15mm outer dia X 1/2" nominal dia threaded</t>
  </si>
  <si>
    <t>18.100A.2</t>
  </si>
  <si>
    <t>For 22mm outer dia X 3/4" nominal dia threaded</t>
  </si>
  <si>
    <t>18.100A.3</t>
  </si>
  <si>
    <t>18.100A.4</t>
  </si>
  <si>
    <t>18.100A.5</t>
  </si>
  <si>
    <t>18.100A.6</t>
  </si>
  <si>
    <t>For 54mm outer dia X 2" mm nominal dia threaded</t>
  </si>
  <si>
    <t>Cap</t>
  </si>
  <si>
    <t>18.101.1</t>
  </si>
  <si>
    <t>18.101.2</t>
  </si>
  <si>
    <t>18.101.3</t>
  </si>
  <si>
    <t>18.101.4</t>
  </si>
  <si>
    <t>18.101.5</t>
  </si>
  <si>
    <t>18.101.6</t>
  </si>
  <si>
    <t>18.101A</t>
  </si>
  <si>
    <t>18.101A.1</t>
  </si>
  <si>
    <t>18.101A.2</t>
  </si>
  <si>
    <t>18.101A.3</t>
  </si>
  <si>
    <t>18.101A.4</t>
  </si>
  <si>
    <t>18.101A.5</t>
  </si>
  <si>
    <t>18.101A.6</t>
  </si>
  <si>
    <t>Pipe Bridge</t>
  </si>
  <si>
    <t>18.102.1</t>
  </si>
  <si>
    <t>18.102.2</t>
  </si>
  <si>
    <t>18.102.3</t>
  </si>
  <si>
    <t>18.102A</t>
  </si>
  <si>
    <t>18.102A.1</t>
  </si>
  <si>
    <t>18.102A.2</t>
  </si>
  <si>
    <t>18.102A.3</t>
  </si>
  <si>
    <t>Male Union</t>
  </si>
  <si>
    <t>18.103.1</t>
  </si>
  <si>
    <t>18.103.2</t>
  </si>
  <si>
    <t>For 22mm outer dia X 1/2" nominal dia threaded</t>
  </si>
  <si>
    <t>18.103.3</t>
  </si>
  <si>
    <t>18.103.4</t>
  </si>
  <si>
    <t>18.103.5</t>
  </si>
  <si>
    <t>18.103.6</t>
  </si>
  <si>
    <t>18.103.7</t>
  </si>
  <si>
    <t>Female Union</t>
  </si>
  <si>
    <t>18.104.1</t>
  </si>
  <si>
    <t>18.104.2</t>
  </si>
  <si>
    <t>Female Transition Elbow / FTE</t>
  </si>
  <si>
    <t>18.105.1</t>
  </si>
  <si>
    <t>18.105.2</t>
  </si>
  <si>
    <t>18.105.3</t>
  </si>
  <si>
    <t>19.0 DRAINAGE</t>
  </si>
  <si>
    <t>NOTE : - The rates given for all the items under sub-head ‘Drainage’ are applicable to work executed in soils above sub- soil water level. Extra allowance has to be made for work under sub- soil water level.</t>
  </si>
  <si>
    <t>STONE WARE PIPES AND FITTINGS</t>
  </si>
  <si>
    <t>Providing, laying and jointing glazed stoneware pipes class SP-1 with stiff mixture of cement mortar in the proportion of 1:1 (1 cement : 1 fine sand) including testing of joints etc. complete :</t>
  </si>
  <si>
    <t>19.1.1</t>
  </si>
  <si>
    <t>19.1.2</t>
  </si>
  <si>
    <t>19.1.3</t>
  </si>
  <si>
    <t>19.1.4</t>
  </si>
  <si>
    <t>19.1.5</t>
  </si>
  <si>
    <t>Providing and laying cement concrete 1:5:10 (1 cement : 5 coarse sand : 10 graded stone aggregate 40 mm nominal size) all-round S.W. pipes including bed concrete as per standard design :</t>
  </si>
  <si>
    <t>19.2.1</t>
  </si>
  <si>
    <t>100 mm diameter S.W. pipe</t>
  </si>
  <si>
    <t>19.2.2</t>
  </si>
  <si>
    <t>150 mm diameter S.W. pipe</t>
  </si>
  <si>
    <t>19.2.3</t>
  </si>
  <si>
    <t>200 mm diameter S.W. pipe</t>
  </si>
  <si>
    <t>19.2.4</t>
  </si>
  <si>
    <t>250 mm diameter S.W. pipe</t>
  </si>
  <si>
    <t>Providing and laying cement concrete 1:5:10 (1 cement : 5 coarse sand : 10 graded stone aggregate 40 mm nominal size) up to haunches of S.W. pipes including bed concrete as per standard design :</t>
  </si>
  <si>
    <t>19.3.1</t>
  </si>
  <si>
    <t>19.3.2</t>
  </si>
  <si>
    <t>19.3.3</t>
  </si>
  <si>
    <t>19.3.4</t>
  </si>
  <si>
    <t>19.3.5</t>
  </si>
  <si>
    <t>300 mm diameter S.W. pipe</t>
  </si>
  <si>
    <t>Providing and fixing square-mouth S.W. gully trap class SP-1 complete with C.I. grating brick masonry chamber with water tight C.I. cover with frame of 300 x300 mm size (inside) the weight of cover to be not less than 4.50 kg and frame to be not less than 2.70 kg as per standard design:</t>
  </si>
  <si>
    <t>19.4.1</t>
  </si>
  <si>
    <t>100x100 mm size P type</t>
  </si>
  <si>
    <t>19.4.1.1</t>
  </si>
  <si>
    <t>19.4.1.2</t>
  </si>
  <si>
    <t>With Sewer bricks conforming to IS : 4885</t>
  </si>
  <si>
    <t>19.4.2</t>
  </si>
  <si>
    <t>150 x 100 mm size P type</t>
  </si>
  <si>
    <t>19.4.2.1</t>
  </si>
  <si>
    <t>19.4.2.2</t>
  </si>
  <si>
    <t>With sewer bricks conforming to IS : 4885</t>
  </si>
  <si>
    <t>19.4.3</t>
  </si>
  <si>
    <t>180x150 mm size P type</t>
  </si>
  <si>
    <t>19.4.3.1</t>
  </si>
  <si>
    <t>19.4.3.2</t>
  </si>
  <si>
    <t>Dismantling of old S.W. pipes including breaking of joints and bed concrete stacking of useful materials near the site within 50 m lead and disposal of unserviceable materials into municipal dumps :</t>
  </si>
  <si>
    <t>19.5.1</t>
  </si>
  <si>
    <t>19.5.2</t>
  </si>
  <si>
    <t>19.5.3</t>
  </si>
  <si>
    <t>19.5.4</t>
  </si>
  <si>
    <t>19.5.5</t>
  </si>
  <si>
    <t>19.5.6</t>
  </si>
  <si>
    <t>350 mm diameter</t>
  </si>
  <si>
    <t>19.5.7</t>
  </si>
  <si>
    <t>400 mm diameter</t>
  </si>
  <si>
    <t>19.5.8</t>
  </si>
  <si>
    <t>450 mm diameter</t>
  </si>
  <si>
    <t>Providing and laying non-pressure NP2 class (light duty) R.C.C. pipes with collars jointed with stiff mixture of cement mortar in the proportion of 1:2 (1 cement : 2 fine sand) including testing of joints etc. complete :</t>
  </si>
  <si>
    <t>19.6.1</t>
  </si>
  <si>
    <t>100 mm dia. R.C.C. pipe</t>
  </si>
  <si>
    <t>19.6.2</t>
  </si>
  <si>
    <t>150 mm dia. R.C.C. pipe</t>
  </si>
  <si>
    <t>19.6.3</t>
  </si>
  <si>
    <t>250 mm dia. R.C.C. pipe</t>
  </si>
  <si>
    <t>19.6.4</t>
  </si>
  <si>
    <t>300 mm dia. R.C.C. pipe</t>
  </si>
  <si>
    <t>19.6.5</t>
  </si>
  <si>
    <t>450 mm dia. R.C.C. pipe</t>
  </si>
  <si>
    <t>19.6.6</t>
  </si>
  <si>
    <t>500 mm dia. R.C.C. pipe</t>
  </si>
  <si>
    <t>19.6.7</t>
  </si>
  <si>
    <t>600 mm dia. R.C.C. pipe</t>
  </si>
  <si>
    <t>19.6.8</t>
  </si>
  <si>
    <t>700 mm dia. R.C.C. pipe</t>
  </si>
  <si>
    <t>19.6.9</t>
  </si>
  <si>
    <t>800 mm dia. R.C.C. pipe</t>
  </si>
  <si>
    <t>19.6.10</t>
  </si>
  <si>
    <t>900 mm dia. R.C.C. pipe</t>
  </si>
  <si>
    <t>19.6.11</t>
  </si>
  <si>
    <t>1000 mm dia. R.C.C. pipe</t>
  </si>
  <si>
    <t>19.6.12</t>
  </si>
  <si>
    <t>1100 mm dia. R.C.C. pipe</t>
  </si>
  <si>
    <t>19.6.13</t>
  </si>
  <si>
    <t>1200 mm dia. R.C.C. pipe</t>
  </si>
  <si>
    <t>Constructing brick masonry manhole in cement mortar 1:4 ( 1 cement : 4 coarse sand ) with R.C.C. top slab with 1:1.5:3 mix (1 cement : 1.5 coarse sand (zone-III) : 3 graded stone aggregate 20 mm nominal size), foundation concrete 1:4:8 mix (1 cement : 4 coarse sand (zone-III)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t>
  </si>
  <si>
    <t>19.7.1</t>
  </si>
  <si>
    <t>Inside size 90x80 cm and 45 cm deep including C.I. cover with frame (light duty) 455x610 mm internal dimensions, total weight of cover and frame to be not less than 38 kg (weight of cover 23 kg and weight of frame 15 kg) :</t>
  </si>
  <si>
    <t>19.7.1.1</t>
  </si>
  <si>
    <t>19.7.1.2</t>
  </si>
  <si>
    <t>19.7.2</t>
  </si>
  <si>
    <t>Inside size 120x90 cm and 90 cm deep including C.I. cover with frame (medium duty) 500 mm internal diameter, total weight of cover and frame to be not less than 116 kg (weight of cover 58 kg and weight of frame 58 kg) :</t>
  </si>
  <si>
    <t>19.7.2.1</t>
  </si>
  <si>
    <t>19.7.2.2</t>
  </si>
  <si>
    <t>19.7.3</t>
  </si>
  <si>
    <t>Inside size 120x90 cm and 90 cm deep including C.I. cover with frame (heavy duty) 560 mm internal diameter, total weight of cover and frame to be not less than 208 kg (weight of cover 108 kg and weight of frame 100 kg) :</t>
  </si>
  <si>
    <t>19.7.3.1</t>
  </si>
  <si>
    <t>19.7.3.2</t>
  </si>
  <si>
    <t>Extra for depth for manholes :</t>
  </si>
  <si>
    <t>19.8.1</t>
  </si>
  <si>
    <t>Size 90x80 cm</t>
  </si>
  <si>
    <t>19.8.1.1</t>
  </si>
  <si>
    <t>19.8.1.2</t>
  </si>
  <si>
    <t>19.8.2</t>
  </si>
  <si>
    <t>Size 120x90 cm</t>
  </si>
  <si>
    <t>19.8.2.1</t>
  </si>
  <si>
    <t>19.8.2.2</t>
  </si>
  <si>
    <t>Constructing brick masonry circular type manhole 0.91 m internal dia at bottom and 0.56m dia at top in cement mortar 1:4 (1 cement : 4 coarse sand), inside cement plaster 12 mm thick with cement mortar 1:3 (1 cement : 3 coarse sand) finished with a floating coat of neat cement, foundation concrete 1:3:6 mix (1 cement : 3 coarse sand : 6 graded stone aggregate 40 mm nominal size), and making necessary channel in cement concrete 1:2:4 (1 cement : 2 coarse sand : 4 graded stone aggregate 20 mm nominal size) finished with a floating coat of neat cement, all complete as per standard design :</t>
  </si>
  <si>
    <t>19.9.1</t>
  </si>
  <si>
    <t>0.91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12mm thick cement plaster at the external surface shall be paid for separately) :</t>
  </si>
  <si>
    <t>19.9.1.1</t>
  </si>
  <si>
    <t>19.9.1.2</t>
  </si>
  <si>
    <t>Extra depth for circular type manhole 0.91m internal dia (at bottom) beyond 0.91 m to 1.67 m</t>
  </si>
  <si>
    <t>19.10.1</t>
  </si>
  <si>
    <t>19.10.2</t>
  </si>
  <si>
    <t>With Sewer bricks conforming IS : 4885</t>
  </si>
  <si>
    <t>Constructing brick masonry circular manhole 1.22 m internal dia at bottom and 0.56 m dia at top in cement mortar 1:4 (1 cement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t>
  </si>
  <si>
    <t>19.11.1</t>
  </si>
  <si>
    <t>1.68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t>
  </si>
  <si>
    <t>19.11.1.1</t>
  </si>
  <si>
    <t>19.11.1.2</t>
  </si>
  <si>
    <t>Extra depth for circular type manhole 1.22 m internal dia (at bottom) beyond 1.68 m to 2.29 m :</t>
  </si>
  <si>
    <t>19.12.1</t>
  </si>
  <si>
    <t>19.12.2</t>
  </si>
  <si>
    <t>Constructing brick masonry circular manhole 1.52 m internal dia at bottom and 0.56 m dia at top in cement mortar 1:4 (1 cement :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t>
  </si>
  <si>
    <t>19.13.1</t>
  </si>
  <si>
    <t>2.30 m deep with SFRC Cover and frame (heavy duty HD- 20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t>
  </si>
  <si>
    <t>19.13.1.1</t>
  </si>
  <si>
    <t>19.13.1.2</t>
  </si>
  <si>
    <t>Extra depth for circular type manhole 1.52 m internal dia (at bottom) beyond 2.30 m :</t>
  </si>
  <si>
    <t>19.14.1</t>
  </si>
  <si>
    <t>19.14.2</t>
  </si>
  <si>
    <t>Providing M.S. foot rests including fixing in manholes with 20x20x10 cm cement concrete blocks 1:3:6 (1 cement : 3 coarse sand : 6 graded stone aggregate 20 mm nominal size) as per standard design :</t>
  </si>
  <si>
    <t>19.15.1</t>
  </si>
  <si>
    <t>With 20x20 mm square bar</t>
  </si>
  <si>
    <t>19.15.2</t>
  </si>
  <si>
    <t>With 20 mm diameter round bar</t>
  </si>
  <si>
    <t>Providing orange colour safety foot rest of minimum 6 mm thick plastic encapsulated as per IS : 10910, on 12 mm dia steel bar conforming to IS: 1786, having minimum cross section as 23 mmx25 mm and over all minimum length 263 mm and width as 165 mm with minimum 112 mm space between protruded legs having 2 mm tread on top surface by ribbing or chequering besides necessary and adequate anchoring projections on tail length on 138 mm as per standard drawing and suitable to with stand the bend test and chemical resistance test as per specifications and having manufacture's permanent identification mark to be visible even after fixing, including fixing in manholes with 30x20x15 cm cement concrete block 1:3:6 (1 cement : 3 coarse sand : 6 graded stone aggregate 20 mm nominal size) complete as per design.</t>
  </si>
  <si>
    <t>Replacement of M.S. foot rests in manholes including dismantling concrete blocks and fixing with 20x20x10 cm cement concrete blocks 1:3:6 (1 cement : 3 coarse sand : 6 graded stone aggregate 20 mm nominal size):</t>
  </si>
  <si>
    <t>19.17.1</t>
  </si>
  <si>
    <t>19.17.2</t>
  </si>
  <si>
    <t>Supplying and fixing C.I. cover without frame for manholes :</t>
  </si>
  <si>
    <t>19.18.1</t>
  </si>
  <si>
    <t>455x610 mm rectangular C.I. cover (light duty) the weight of the cover to be not less than 23 kg</t>
  </si>
  <si>
    <t>19.18.2</t>
  </si>
  <si>
    <t>500 mm diameter C.I. cover (medium duty) the weight of the cover to be not less than 58 kg</t>
  </si>
  <si>
    <t>19.18.3</t>
  </si>
  <si>
    <t>560 mm diameter C.I. cover (heavy duty) the weight of the cover to be not less than 108 kg</t>
  </si>
  <si>
    <t>Providing and fixing in position pre-cast R.C.C. manhole cover and frame of required shape and approved quality</t>
  </si>
  <si>
    <t>19.19.1</t>
  </si>
  <si>
    <t>L D- 2.5</t>
  </si>
  <si>
    <t>19.19.1.1</t>
  </si>
  <si>
    <t>Rectangular shape 600x450 mm internal dimensions</t>
  </si>
  <si>
    <t>19.19.1.2</t>
  </si>
  <si>
    <t>Square shape 450 mm internal dimensions</t>
  </si>
  <si>
    <t>19.19.1.3</t>
  </si>
  <si>
    <t>Circular shape 450 mm internal diameter</t>
  </si>
  <si>
    <t>19.19.2</t>
  </si>
  <si>
    <t>M D - 10</t>
  </si>
  <si>
    <t>19.19.2.1</t>
  </si>
  <si>
    <t>Square shape 450 mm internal dimension</t>
  </si>
  <si>
    <t>19.19.2.2</t>
  </si>
  <si>
    <t>Circular shape 500 mm internal diameter</t>
  </si>
  <si>
    <t>19.19.3</t>
  </si>
  <si>
    <t>H D - 20</t>
  </si>
  <si>
    <t>19.19.3.1</t>
  </si>
  <si>
    <t>Circular shape 560 mm internal diameter</t>
  </si>
  <si>
    <t>19.19.4</t>
  </si>
  <si>
    <t>EHD - 35</t>
  </si>
  <si>
    <t>19.19.4.1</t>
  </si>
  <si>
    <t>Circular shape 560 mm internal dia</t>
  </si>
  <si>
    <t>Supplying and fixing C.I. cover 300x300 mm without frame for gully trap (standard pattern) the weight of cover to be not less than 4.5 kg</t>
  </si>
  <si>
    <t>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t>
  </si>
  <si>
    <t>19.21.1</t>
  </si>
  <si>
    <t>For pipes 100 to 250 mm diameter</t>
  </si>
  <si>
    <t>19.21.2</t>
  </si>
  <si>
    <t>For pipes 250 to 300 mm diameter</t>
  </si>
  <si>
    <t>19.21.3</t>
  </si>
  <si>
    <t>For pipes 350 to 450 mm diameter</t>
  </si>
  <si>
    <t>Providing sand cast iron drop connection externally for 60 cm drop from branch sewer line to main sewer manhole including inspection and cleaning eye with chain and lid, sand cast iron drop pipe and bend encased all-round with cement concrete 1:5:10 (1 cement : 5 fine sand : 10 graded stone aggregate 40 mm nominal size) with all centering and shuttering required, cutting holes in walls and making good with brick work in cement mortar 1:4 (1 cement : 4 coarse sand) plastered with cement mortar 1:3 (1 cement : 3 coarse sand) on inside of the manhole wall, lead caulked joints between sand cast iron pipes and fittings, stiff cement mortar 1:1 (1 cement : 1 fine sand) joints between sand cast iron tee and S.W. pipe, making required channels complete as per standard design and specifications :</t>
  </si>
  <si>
    <t>19.22.1</t>
  </si>
  <si>
    <t>100 mm dia sand cast iron drop connection</t>
  </si>
  <si>
    <t>19.22.2</t>
  </si>
  <si>
    <t>150 mm dia sand cast iron drop connection</t>
  </si>
  <si>
    <t>Extra for depths beyond 60 cm of sand cast iron drop connection complete:</t>
  </si>
  <si>
    <t>19.23.1</t>
  </si>
  <si>
    <t>For 100 mm dia sand cast iron drop connection</t>
  </si>
  <si>
    <t>19.23.2</t>
  </si>
  <si>
    <t>For 150 mm dia sand cast iron drop connection</t>
  </si>
  <si>
    <t>Dismantling of manhole including R.C.C. top slab, C.I. cover with frame, including stacking of useful materials near the site and disposal of unserviceable materials within 50 m lead as per direction of Engineer-in-charge:</t>
  </si>
  <si>
    <t>19.24.1</t>
  </si>
  <si>
    <t>Rectangular manhole 90x80 cm and 45 cm deep</t>
  </si>
  <si>
    <t>19.24.2</t>
  </si>
  <si>
    <t>Rectangular manhole 120x90 cm and 90 cm deep</t>
  </si>
  <si>
    <t>19.24.3</t>
  </si>
  <si>
    <t>Rectangular arch type manhole 140x90 cm and 2.45 m deep</t>
  </si>
  <si>
    <t>19.24.4</t>
  </si>
  <si>
    <t>Circular manhole 122 cm diameter and 1.68 m deep</t>
  </si>
  <si>
    <t>Extra for depth of manholes dismantled :</t>
  </si>
  <si>
    <t>19.25.1</t>
  </si>
  <si>
    <t>Rectangular manhole 90x80 cm and beyond 45 cm depth</t>
  </si>
  <si>
    <t>19.25.2</t>
  </si>
  <si>
    <t>Rectangular manhole 120x90 cm and beyond 90 cm depth</t>
  </si>
  <si>
    <t>19.25.3</t>
  </si>
  <si>
    <t>Rectangular arch type manhole 140x90 cm and beyond 2.45 m depth (up to 4.25 m depth)</t>
  </si>
  <si>
    <t>19.25.4</t>
  </si>
  <si>
    <t>Circular manhole 122 cm diameter and beyond 1.68 m depth (up to 2.29 m depth)</t>
  </si>
  <si>
    <t>Raising manhole cover and frame slab to required level including dismantling existing slab and making good the damage as required (Raising depth of manhole to be paid separately) :</t>
  </si>
  <si>
    <t>19.26.1</t>
  </si>
  <si>
    <t>Rectangular manhole 90x80 cm with rectangular cover 600 x 450 mm of grade LD - 2.5</t>
  </si>
  <si>
    <t>19.26.2</t>
  </si>
  <si>
    <t>Rectangular manhole 120x90 cm with circular cover 500 mm dia of grade MD - 10</t>
  </si>
  <si>
    <t>19.26.3</t>
  </si>
  <si>
    <t>Rectangular manhole 120x90 cm with circular cover 560 mm dia of grade HD - 20</t>
  </si>
  <si>
    <t>19.26.4</t>
  </si>
  <si>
    <t>Circular manhole 140 cm dia with circular cover 600 mm dia of grade EHD - 35</t>
  </si>
  <si>
    <t>Constructing brick masonry road gully chamber 50x45x60 cm with bricks in cement mortar 1:4 (1 cement : 4 coarse sand) including 500x450 mm pre-cast R.C.C. horizontal grating with frame complete as per standard design :</t>
  </si>
  <si>
    <t>19.27.1</t>
  </si>
  <si>
    <t>Constructing brick masonry road gully chamber 45x45x77.5 cm with bricks in cement mortar 1:4 (1 cement : 4 coarse sand ) with precast R.C.C. vertical grating complete as per standard design :</t>
  </si>
  <si>
    <t>19.28.1</t>
  </si>
  <si>
    <t>Constructing brick masonry road gully chamber 110x50x77.5 cm with bricks in cement mortar 1:4 (1 cement : 4 coarse sand) including 500x450 mm precast R.C.C. horizontal grating with frame and vertical grating complete as per standard design :</t>
  </si>
  <si>
    <t>19.29.1</t>
  </si>
  <si>
    <t>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fine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t>
  </si>
  <si>
    <t>19.30.1</t>
  </si>
  <si>
    <t>Inside dimensions 455x610 mm and 45 cm deep for single pipe line :</t>
  </si>
  <si>
    <t>19.30.1.1</t>
  </si>
  <si>
    <t>19.30.2</t>
  </si>
  <si>
    <t>Inside dimensions 500x700 mm and 45 cm deep for pipe line with one or two inlets :</t>
  </si>
  <si>
    <t>19.30.2.1</t>
  </si>
  <si>
    <t>19.30.3</t>
  </si>
  <si>
    <t>Inside dimensions 600x 850 mm and 45 cm deep for pipe line with three or more inlets :</t>
  </si>
  <si>
    <t>19.30.3.1</t>
  </si>
  <si>
    <t>Extra for depth beyond 45 cm of brick masonry chamber :</t>
  </si>
  <si>
    <t>19.31.1</t>
  </si>
  <si>
    <t>For 455x610 mm size</t>
  </si>
  <si>
    <t>19.31.1.1</t>
  </si>
  <si>
    <t>19.31.2</t>
  </si>
  <si>
    <t>For 500x700 mm size</t>
  </si>
  <si>
    <t>19.31.2.1</t>
  </si>
  <si>
    <t>19.31.3</t>
  </si>
  <si>
    <t>For 600x850 mm size</t>
  </si>
  <si>
    <t>19.31.3.1</t>
  </si>
  <si>
    <t>Making soak pit 2.5 m diameter 3.0 metre deep with 45 x 45 cm dry brick honey comb shaft with bricks and S.W. drain pipe 100 mm diameter, 1.8 m long complete as per standard design.</t>
  </si>
  <si>
    <t>19.32.1</t>
  </si>
  <si>
    <t>Constructing soak pit 1.20x1.20x1.20 m filled with brickbats including S.W. drain pipe 100 mm diameter and 1.20 m long complete as per standard design.</t>
  </si>
  <si>
    <t>Providing and fixing S.W. intercepting trap in manholes with stiff mixture of cement mortar 1:1 (1 cement : 1 fine sand) including testing of joints etc. complete :</t>
  </si>
  <si>
    <t>19.34.1</t>
  </si>
  <si>
    <t>19.34.2</t>
  </si>
  <si>
    <t>Providing and laying Non Pressure NP-3 class (Medium duty) R.C.C. pipes including collars/spigot jointed with stiff mixture of cement mortar in the proportion of 1:2 (1 cement : 2 fine sand) including testing of joints etc. complete</t>
  </si>
  <si>
    <t>19.35.1</t>
  </si>
  <si>
    <t>450 mm dia RCC pipes.</t>
  </si>
  <si>
    <t>19.35.2</t>
  </si>
  <si>
    <t>600 mm dia RCC pipes.</t>
  </si>
  <si>
    <t>19.35.3</t>
  </si>
  <si>
    <t>900 mm dia RCC pipes.</t>
  </si>
  <si>
    <t>19.35.4</t>
  </si>
  <si>
    <t>1000 mm dia RCC pipes. (Laying by manual/ machanical means)</t>
  </si>
  <si>
    <t>19.35.5</t>
  </si>
  <si>
    <t>1200 mm dia RCC pipes. (Laying by manual/ machanical means)</t>
  </si>
  <si>
    <t>19.35.6</t>
  </si>
  <si>
    <t>1800 mm dia RCC pipes. (Laying by manual/ machenical means)</t>
  </si>
  <si>
    <t>Providing and laying Non Pressure NP-4 class (Heavy duty) R.C.C. pipes including collars/spigot jointed with stiff mixture of cement mortar in the proportion of 1:2 (1 cement : 2 fine sand) including testing of joints etc. complete</t>
  </si>
  <si>
    <t>19.36.1</t>
  </si>
  <si>
    <t>19.36.2</t>
  </si>
  <si>
    <t>19.36.3</t>
  </si>
  <si>
    <t>19.36.4</t>
  </si>
  <si>
    <t>19.36.5</t>
  </si>
  <si>
    <t>19.36.6</t>
  </si>
  <si>
    <t>1800 mm dia RCC pipes. (Laying by manual/ machanical means)</t>
  </si>
  <si>
    <t>20.0 PILE WORK</t>
  </si>
  <si>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t>
  </si>
  <si>
    <t>20.1.1</t>
  </si>
  <si>
    <t>400 mm dia piles</t>
  </si>
  <si>
    <t>20.1.2</t>
  </si>
  <si>
    <t>450 mm dia piles</t>
  </si>
  <si>
    <t>20.1.3</t>
  </si>
  <si>
    <t>500 mm dia piles</t>
  </si>
  <si>
    <t>20.1.4</t>
  </si>
  <si>
    <t>550 mm dia piles</t>
  </si>
  <si>
    <t>20.1.5</t>
  </si>
  <si>
    <t>750 mm dia piles</t>
  </si>
  <si>
    <t>20.1.6</t>
  </si>
  <si>
    <t>1000 mm dia piles</t>
  </si>
  <si>
    <t>20.1.7</t>
  </si>
  <si>
    <t>1200 mm dia piles</t>
  </si>
  <si>
    <t>20.1.8</t>
  </si>
  <si>
    <t>1500 mm dia piles</t>
  </si>
  <si>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t>
  </si>
  <si>
    <t>20.2.1</t>
  </si>
  <si>
    <t>20.2.2</t>
  </si>
  <si>
    <t>20.2.3</t>
  </si>
  <si>
    <t>600 mm dia piles</t>
  </si>
  <si>
    <t>20.2.4</t>
  </si>
  <si>
    <t>20.2A</t>
  </si>
  <si>
    <t xml:space="preserve"> 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t>
  </si>
  <si>
    <t xml:space="preserve">Note: Truck Mounted rotary/TMR/Tube well boring machine shall not be used. </t>
  </si>
  <si>
    <t>20.2A.1</t>
  </si>
  <si>
    <t>20.2A.2</t>
  </si>
  <si>
    <t>20.2A.3</t>
  </si>
  <si>
    <t>20.2A.4</t>
  </si>
  <si>
    <t>20.2A.5</t>
  </si>
  <si>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t>
  </si>
  <si>
    <t>20.3.1</t>
  </si>
  <si>
    <t>300 mm dia piles</t>
  </si>
  <si>
    <t>20.3.2</t>
  </si>
  <si>
    <t>20.3.3</t>
  </si>
  <si>
    <t>20.3.4</t>
  </si>
  <si>
    <t xml:space="preserve"> Extra over single under ream for providing additional bulbs in under reamed piles, under specified diameter(only the nos. of extra bulbs are to be paid)</t>
  </si>
  <si>
    <t>20.4.1</t>
  </si>
  <si>
    <t>20.4.2</t>
  </si>
  <si>
    <t>20.4.3</t>
  </si>
  <si>
    <t>20.4.4</t>
  </si>
  <si>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t>
  </si>
  <si>
    <t>20.5.1</t>
  </si>
  <si>
    <t>20.5.2</t>
  </si>
  <si>
    <t>20.5.3</t>
  </si>
  <si>
    <t>20.5.4</t>
  </si>
  <si>
    <t>20.5.5</t>
  </si>
  <si>
    <t>20.5.6</t>
  </si>
  <si>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in-charge.</t>
  </si>
  <si>
    <t>Note: 1. Initial and Routine Load Test shall not be carried out by Dynamic method of testing.</t>
  </si>
  <si>
    <t>Note: 2. Testing agency shall submit the design of loading platform for the approval of Engineer-in-charge.</t>
  </si>
  <si>
    <t>20.6.1</t>
  </si>
  <si>
    <t>Single pile upto 50 tonne Safe capacity</t>
  </si>
  <si>
    <t>20.6.1.1</t>
  </si>
  <si>
    <t>Initial test (Test Load 2.5 times the Safe capacity)</t>
  </si>
  <si>
    <t>per test</t>
  </si>
  <si>
    <t>20.6.1.2</t>
  </si>
  <si>
    <t>Routine test (Test Load 1.5 times the Safe capacity)</t>
  </si>
  <si>
    <t>20.6.2</t>
  </si>
  <si>
    <t>Single pile above 50 tonne and upto 100 tonne Safe capacity</t>
  </si>
  <si>
    <t>20.6.2.1</t>
  </si>
  <si>
    <t>20.6.2.2</t>
  </si>
  <si>
    <t>20.6.3</t>
  </si>
  <si>
    <t>Group of two or more piles upto 50 tonne Safe capacity</t>
  </si>
  <si>
    <t>20.6.3.1</t>
  </si>
  <si>
    <t>20.6.3.2</t>
  </si>
  <si>
    <t>Cyclic vertical load testing of pile in accordance with IS Code of practice IS:2911 (part IV) by Kentledge method including preparation of pile head etc for.</t>
  </si>
  <si>
    <t>20.7.1</t>
  </si>
  <si>
    <t>Single pile</t>
  </si>
  <si>
    <t>20.7.1.1</t>
  </si>
  <si>
    <t>Upto 50 tonne Safe capacity pile</t>
  </si>
  <si>
    <t>20.7.1.2</t>
  </si>
  <si>
    <t>Above 50 tonne and upto 100 tonne Safe capacity pile</t>
  </si>
  <si>
    <t>20.7.2</t>
  </si>
  <si>
    <t>Group of two or more piles</t>
  </si>
  <si>
    <t>20.7.2.1</t>
  </si>
  <si>
    <t>Upto 400 tonne Safe capacity of group</t>
  </si>
  <si>
    <t>Lateral load testing of single pile in accordance with IS Code of practice IS : 2911 (Part IV) for determining safe allowable lateral load on pile :</t>
  </si>
  <si>
    <t>20.8.1</t>
  </si>
  <si>
    <t>Upto 50 tonne capacity pile</t>
  </si>
  <si>
    <t>20.8.2</t>
  </si>
  <si>
    <t>Above 50 tonne and upto 100 tonne capacity pile</t>
  </si>
  <si>
    <t>Integrity testing of Pile using Low Strain/ Sonic Integrity Test/ Sonic Echo Test method in accordance with IS 14893 including surface preparation of pile top by removing soil, mud, dust &amp; chipping lean concrete lumps etc. and use of computerised equipment and high skill trained personal for conducting the test &amp; submission of results, all complete as per direction of Engineer-in-charge.</t>
  </si>
  <si>
    <t>Note :- The inclusion of the above item in the schedule of work shall be judiciously decided by the technical sanctioning authority, keeping in view the quality control, type of soil strata &amp; importance of the project.</t>
  </si>
  <si>
    <t>21.0 ALUMINIUM WORK</t>
  </si>
  <si>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paneling, C.P. brass / stainless steel screws, all complete as per architectural drawings and the directions of Engineer-in-charge. (Glazing, paneling and dash fasteners  to be paid for separately) :</t>
  </si>
  <si>
    <t>21.1.1</t>
  </si>
  <si>
    <t>For fixed portion</t>
  </si>
  <si>
    <t>21.1.1.1</t>
  </si>
  <si>
    <t>Anodised aluminium (anodised transparent or dyed to required shade according to IS: 1868, Minimum anodic coating of grade AC 15)</t>
  </si>
  <si>
    <t>21.1.1.2</t>
  </si>
  <si>
    <t>Powder coated aluminium (minimum thickness of powder coating 50 micron)</t>
  </si>
  <si>
    <t>Powder coated with minimum coating thickness of 50 micron</t>
  </si>
  <si>
    <t>21.1.1.3</t>
  </si>
  <si>
    <t>Polyester powder coated aluminium (minimum thickness of polyester powder coating 50 micron)</t>
  </si>
  <si>
    <t>21.1.2</t>
  </si>
  <si>
    <t>For shutters of doors, windows &amp; ventilators including providing and fixing hinges/ pivots and making provision for fixing of fittings wherever required including the cost of EPDM rubber / neoprene gasket required (Fittings shall be paid for separately)</t>
  </si>
  <si>
    <t>21.1.2.1</t>
  </si>
  <si>
    <t>21.1.2.2</t>
  </si>
  <si>
    <t>21.1.2.3</t>
  </si>
  <si>
    <t>Providing and fixing 12 mm thick prelaminated particle board flat pressed three layer or graded wood particle board conforming to IS: 12823 Grade l Type ll, in panelling fixed in aluminum doors, windows shutters and partition frames with C.P. brass / stainless steel screws etc. complete as per architectural drawings and directions of engineer-in-charge.</t>
  </si>
  <si>
    <t>21.2.1</t>
  </si>
  <si>
    <t>Pre-laminated particle board with decorative lamination on one side and balancing lamination on other side</t>
  </si>
  <si>
    <t>21.2.2</t>
  </si>
  <si>
    <t>Pre-laminated particle board with decorative lamination on both sides</t>
  </si>
  <si>
    <t>Providing and fixing glazing in aluminium door, window, ventilator shutters and partitions etc. with EPDM rubber / neoprene gasket etc. complete as per the architectural drawings and the directions of engineer-in-charge . (Cost of aluminium snap beading shall be paid in basic item):</t>
  </si>
  <si>
    <t>21.3.1</t>
  </si>
  <si>
    <t>With float glass panes of 4.0 mm thickness (weight not less than 10kg/sqm)</t>
  </si>
  <si>
    <t>21.3.2</t>
  </si>
  <si>
    <t>With float glass panes of 5 mm thickness (weight not less than 12.50 kg/sqm)</t>
  </si>
  <si>
    <t>21.3.3</t>
  </si>
  <si>
    <t>With float glass panes of 8 mm thickness (weight not less than 20 kg/sqm)</t>
  </si>
  <si>
    <t>Providing and fixing double action hydraulic floor spring of approved brand and manufacture conforming to IS : 6315, having brand logo embossed on the body / plate with double spring mechanism and door weight upto 125 kg, for doors, including cost of cutting floors, embedding in floors as required and making good the same matching to the existing floor finishing and cover plates with brass pivot and single piece M.S. sheet outer box with slide plate etc. complete as per the direction of Engineer-in-charge.</t>
  </si>
  <si>
    <t>21.4.1</t>
  </si>
  <si>
    <t>With stainless steel cover plate minimum 1.25 mm thickness</t>
  </si>
  <si>
    <t>21.4.2</t>
  </si>
  <si>
    <t>With brass cover plate minimum 1.25 mm thickness</t>
  </si>
  <si>
    <t>Providing and fixing powder coated aluminium work (minimum thickness of powder coating 50 micron) consisting of tee/ angle sections, of approved make conforming to IS : 733 in frames of false ceiling including aluminium angle cleats with necessary C.P. brass/ stainless steel sunk screws, aluminium perimeter angles fixed to wall with stainless steel rawl plugs @ 450 mm centre to centre and fixing the frame work to G.I. level adjusting hangers 6 mm dia. with necessary cadmium plated machine screws all complete as per approved architectural drawings and direction of the Engineer-in-charge (level adjusting hangers, ceiling cleats and expansion hold fasteners to be paid for separately).</t>
  </si>
  <si>
    <t>Providing and fixing 6 mm dia. G.I. level adjusting hangers (upto 1200mm length), fixed to roof slabs by means of ceiling cleats made out of G.I. flat 40x3mm size 60 mm long and stainless steel expandable dash fastener of 12.5 mm dia and 50 mm long, complete as per direction of Engineer-in-charge.</t>
  </si>
  <si>
    <t>Providing and fixing machine moulded aluminium covering of approved pattern &amp; design, made out of machine cut aluminium sheet and machine holed for receiving dash fastener, over expansion joints on vertical surfaces/ceiling floors, the fixing on plate in one row on one side of joint only shall be done with stainless steel dash fasteners of 8 mm dia and 75 mm long bolt including providing aluminium washers 2 mm thick &amp; 15 mm dia , at a staggered pitch of 200mm centre to centre including drilling holes in the receiving surface and providing expandable plastic sleeves in holes etc. complete as per direction of Engineer-in-charge.</t>
  </si>
  <si>
    <t>21.7.1</t>
  </si>
  <si>
    <t>Anodised aluminium sheet 2.5mm thick (anodised transparent or dyed to required shade according to IS: 1868, Minimum anodic coating of grade AC 15)</t>
  </si>
  <si>
    <t>21.7.2</t>
  </si>
  <si>
    <t>Powder coated aluminium sheet 2.5mm thick (minimum thickness of powder coating 50 micron)</t>
  </si>
  <si>
    <t>Filling the gap in between aluminium frame &amp; adjacent RCC/ Brick/ Stone work by providing weather silicon sealant over backer rod of approved quality as per architectural drawings and direction of Engineer-in-charge complete.</t>
  </si>
  <si>
    <t>21.8.1</t>
  </si>
  <si>
    <t>Upto 5mm depth and 5 mm width</t>
  </si>
  <si>
    <t>Extra for applying additional anodic coating AC 25 instead of AC 15 to aluminium extruded sections.</t>
  </si>
  <si>
    <t>21.9.1</t>
  </si>
  <si>
    <t>21.9.2</t>
  </si>
  <si>
    <t>For shutters of doors, windows &amp; ventilators</t>
  </si>
  <si>
    <t>Providing and fixing double glazed hermetically sealed glazing in aluminium windows, ventilators and partition etc. with 6 mm thick clear float glass both side, having 12 mm air gap, including providing EPDM gasket, perforated aluminium spacers, desiccants, sealant (Both primary and secondary sealant) etc. as per specifications, drawings and direction of Engineer-in-charge complete.</t>
  </si>
  <si>
    <t>Providing and fixing stainless steel (SS 304 grade) adjustable friction windows stays of approved quality with necessary stainless steel screws etc. to the side hung windows as per direction of Engineer-in-charge complete.</t>
  </si>
  <si>
    <t>21.11.1</t>
  </si>
  <si>
    <t>205 X 19 mm</t>
  </si>
  <si>
    <t>21.11.2</t>
  </si>
  <si>
    <t>255 X 19 mm</t>
  </si>
  <si>
    <t>21.11.3</t>
  </si>
  <si>
    <t>355 X 19 mm</t>
  </si>
  <si>
    <t>21.11.4</t>
  </si>
  <si>
    <t>510 X 19 mm</t>
  </si>
  <si>
    <t>21.11.5</t>
  </si>
  <si>
    <t>710 X 19 mm</t>
  </si>
  <si>
    <t>Providing and fixing aluminium tubular handle bar 32 mm outer dia, 3.0 mm thick &amp; 2100 mm long with SS screws etc .complete as per direction of Engineer-in-Charge.</t>
  </si>
  <si>
    <t>21.12.1</t>
  </si>
  <si>
    <t>Anodized (AC 15 ) aluminium tubular handle bar</t>
  </si>
  <si>
    <t>21.12.2</t>
  </si>
  <si>
    <t>Powder coated minimum thickness 50 micron aluminium tubular handle bar</t>
  </si>
  <si>
    <t>21.12.3</t>
  </si>
  <si>
    <t>Polyester powder coated minimum thickness 50 micron aluminium tubular handle bar</t>
  </si>
  <si>
    <t>Providing and fixing Brass 100mm mortice latch and lock with 6 levers without pair of handles (best make of approved quality) for aluminium doors including necessary cutting and making good etc. complete.</t>
  </si>
  <si>
    <t>Providing and fixing anodised aluminium (anodised transparent or dyed to required shade according to IS: 1868. Minimum anodic coating of grade AC 15) sub frame work for windows and ventilators with extruded built up standard tubular sections of approved make conforming to IS: 733 and IS: 1285, fixed with dash fastener of required dia and size (Dash fastener to be paid for separately).</t>
  </si>
  <si>
    <t>Providing and fixing aluminium casement windows fastener of required length for aluminium windows with necessary screws etc. complete.</t>
  </si>
  <si>
    <t>21.15.1</t>
  </si>
  <si>
    <t>Anodized (AC 15) aluminium</t>
  </si>
  <si>
    <t>21.15.2</t>
  </si>
  <si>
    <t>Powder coated minimum thickness 50 micron aluminium</t>
  </si>
  <si>
    <t>21.15.3</t>
  </si>
  <si>
    <t>Polyester powder coated minimum thickness 50 micron aluminium</t>
  </si>
  <si>
    <t>Providing and fixing aluminium round shape handle of outer dia 100 mm with SS screws etc. complete as per direction of Engineer-in-charge</t>
  </si>
  <si>
    <t>21.16.1</t>
  </si>
  <si>
    <t>Anodized (AC 15 ) aluminium</t>
  </si>
  <si>
    <t>21.16.2</t>
  </si>
  <si>
    <t>21.16.3</t>
  </si>
  <si>
    <t>Providing and fixing anodised aluminium grill (anodised transparent or dyed to required shade according to IS: 1868 with minimum anodic coating of grade AC 15) of approved design/pattern, with approved standard section and fixed to the existing window frame with C.P. brass/ stainless steel screws @ 200 mm centre to centre, including cutting the grill to proper opening size for fixing and operation of handles and fixing approved anodised aluminium standard section around the opening, all complete as per requirement and direction of Engineer-in-charge. (Only weight of grill to be measured for payment).</t>
  </si>
  <si>
    <t>Providing and fixing 12 mm thick frameless toughened glass door shutter of approved brand and manufacture, including providing and fixing top &amp; bottom pivot &amp; double acting hydraulic floor spring type fixing arrangement and making necessary holes etc. for fixing required door fittings, all complete as per direction of Engineer-in-charge (Door handle, lock and stopper etc.to be paid separately).</t>
  </si>
  <si>
    <t>Filling the gap in between aluminium/ stone/ wood frame and adjacent RCC/Brick/ Stone/ wood/ Ceramic/ Gypsum work by providing weather/structural non sag elastomeric PU sealant over backer rod of approved quality as per architectural drawings and direction of Engineer-in-charge complete, complying to ASTM C920, DIN 18540-F &amp; ISO 11600</t>
  </si>
  <si>
    <t>21.19.1</t>
  </si>
  <si>
    <t>Upto 5 mm depth and 5 mm width</t>
  </si>
  <si>
    <t>21.19.2</t>
  </si>
  <si>
    <t>Upto 10 mm depth and 10 mm width</t>
  </si>
  <si>
    <t>21.19.3</t>
  </si>
  <si>
    <t>Upto 20 mm depth and 20 mm width</t>
  </si>
  <si>
    <t>22.0 WATER PROOFING</t>
  </si>
  <si>
    <t>Providing and laying integral cement based treatment for water proofing on horizontal surface at all depth below ground level for under ground structures as directed by Engineer-in-Charge and consisting of :</t>
  </si>
  <si>
    <t>(i) Ist layer of 22 mm to 25 mm thick approved and specified rough stone slab over a 25 mm thick base of cement mortar 1:3 (1 cement : 3 coarse sand) including applying of twice ( at base and top of mortar ) cement slurry @ 2.2kg/m2 (each time) mixed with water proofing compound conforming to IS:2645 in the recommended proportion over the leveling course (leveling course to be paid separately). Joints sealed and grouted with cement slurry mixed with water proofing compound.</t>
  </si>
  <si>
    <t>(ii) 2nd layer of 25 mm thick cement mortar 1:3 (1 cement: 3 coarse sand) mixed with water proofing compound in recommended proportions.</t>
  </si>
  <si>
    <t>(iii) Finishing top with stone aggregate of 10 mm to 12 mm nominal size spreading @ 8 cudm/sqm thoroughly embedded in the 2nd layer.</t>
  </si>
  <si>
    <t>22.1.1</t>
  </si>
  <si>
    <t>Using rough kota stone.</t>
  </si>
  <si>
    <t>Providing and laying integral cement based treatment for water proofing on the vertical surface by fixing specified stone slab 22 mm to 25 mm thick with cement slurry mixed with water proofing compound conforming to IS:2645 in recommended proportions with a gap of 20 mm (minimum) between stone slabs and the receiving surfaces and filling the gaps with neat cement slurry mixed with water proofing compound and finishing the exterior of stone slab with cement mortar 1:3 (1 cement : 3 coarse sand) 20 mm thick with neat cement punning mixed with water proofing compound in recommended proportion complete at all levels and as directed by Engineer-in-charge :</t>
  </si>
  <si>
    <t>22.2.1</t>
  </si>
  <si>
    <t>Using rough Kota stone</t>
  </si>
  <si>
    <t>Providing and laying water proofing treatment to vertical and horizontal surfaces of depressed portions of W.C., kitchen and the like consisting of:</t>
  </si>
  <si>
    <t>(i) Ist course of applying cement slurry @ 4.4 kg/sqm mixed with water proofing compound conforming to IS 2645 in recommended proportions including rounding off junction of vertical and horizontal surface.</t>
  </si>
  <si>
    <t>(ii) IInd course of 20 mm cement plaster 1:3 (1 cement : 3 coarse sand) mixed with water proofing compound in recommended proportion including rounding off junction of vertical and horizontal surface.</t>
  </si>
  <si>
    <t>(iii) IIIrd course of applying blown or residual bitumen applied hot at 1.7 kg. per sqm of area.</t>
  </si>
  <si>
    <t>(iv)   IVth course of 400 micron thick PVC sheet. (Overlaps at joints of PVC sheet should be 100 mm wide and pasted to each other with bitumen @ 1.7 kg/sqm).</t>
  </si>
  <si>
    <t>Providing and Placing in position suitable PVC water stops conforming to IS:12200 for construction/ expansion joints between two RCC members and fixed to the reinforcement with binding wire before pouring concrete etc. complete :</t>
  </si>
  <si>
    <t>22.4.1</t>
  </si>
  <si>
    <t>Serrated with central bulb (225 mm wide, 8-11 mm thick)</t>
  </si>
  <si>
    <t>22.4.2</t>
  </si>
  <si>
    <t>Dumb bell with central bulb (180 mm wide, 8 mm thick)</t>
  </si>
  <si>
    <t>22.4.3</t>
  </si>
  <si>
    <t>Kickers (320 mm wide, 5 mm thick)</t>
  </si>
  <si>
    <t>Providing and laying water proofing treatment in sunken portion of WCs, bathroom etc., by applying cement slurry mixed with water proofing cement compound consisting of applying :</t>
  </si>
  <si>
    <t>Providing and laying water proofing treatment in sunken portion of WCs, bathroom etc., by applying cement slurry mixed with water proofing cement compound consisting of applying : (a) First layer of slurry of cement @ 0.488 kg/sqm mixed with water proofing cement compound @ 0.253 kg/ sqm. This layer will be allowed to air cure for 4 hours. (b) Second layer of slurry of cement @ 0.242 kg/sqm mixed with water proofing cement compound @ 0.126 kg/sqm. This layer will be allowed to air cure for 4 hours followed with water curing for 48 hours. The rate includes preparation of surface, treatment and sealing of all joints, corners, junctions of pipes and masonry with polymer mixed slurry.</t>
  </si>
  <si>
    <t>(a) First layer of slurry of cement @ 0.488 kg/sqm mixed with water proofing cement compound @ 0.253 kg/ sqm. This layer will be allowed to air cure for 4 hours.</t>
  </si>
  <si>
    <t>(b) Second layer of slurry of cement @ 0.242 kg/sqm mixed with water proofing cement compound @ 0.126 kg/sqm. This layer will be allowed to air cure for 4 hours followed with water curing for 48 hours.</t>
  </si>
  <si>
    <t>The rate includes preparation of surface, treatment and sealing of all joints, corners, junctions of pipes and masonry with polymer mixed slurry.</t>
  </si>
  <si>
    <t>Providing and laying water proofing treatment on roofs of slabs by applying cement slurry mixed with water proofing cement compound consisting of applying:</t>
  </si>
  <si>
    <t>(a) after surface preparation, first layer of slurry of cement @ 0.488 kg/sqm mixed with water proofing cement compound @ 0.253 kg/sqm.</t>
  </si>
  <si>
    <t>(b) laying second layer of Fibre glass cloth when the first layer is still green. Overlaps of joints of fibre cloth should not be less than 10 cm.</t>
  </si>
  <si>
    <t>(c) third layer of 1.5 mm thickness consisting of slurry of cement @ 1.289 kg/sqm mixed with water proofing cement compound @ 0.670 kg/sqm and coarse sand @ 1.289 kg/sqm. This will be allowed to air cure for 4 hours followed by water curing for 48 hours. The entire treatment will be taken upto 30 cm on parapet wall and tucked into groove in parapet all around.</t>
  </si>
  <si>
    <t>(d) fourth and final layer of brick tiling with cement mortar (which will be paid for separately.</t>
  </si>
  <si>
    <t>For the purpose of measurement the entire treated surface will be measured.</t>
  </si>
  <si>
    <t>Providing and laying integral cement based water proofing treatment including preparation of surface as required for treatment of roofs, balconies, terraces etc consisting of following operations:</t>
  </si>
  <si>
    <t>(a) Applying a slurry coat of neat cement using 2.75 kg/sqm of cement admixed with water proofing compound conforming to IS. 2645 and approved by Engineer-in-charge over the RCC slab including adjoining walls upto 300 mm height including cleaning the surface before treatment.</t>
  </si>
  <si>
    <t>(b) Laying brick bats with mortar using broken bricks/brick bats 25 mm to 115 mm size with 50% of cement mortar 1:5 (1 cement : 5 coarse sand) admixed with water proofing compound conforming to IS : 2645 and approved by Engineer-in-charge over 20 mm thick layer of cement mortar of mix 1:5 (1 cement :5 coarse sand ) admixed with water proofing compound conforming to IS : 2645 and approved by Engineer-in-charge to required slope and treating similarly the adjoining walls upto 300 mm height including rounding of junctions of walls and slabs.</t>
  </si>
  <si>
    <t>(c) After two days of proper curing applying a second coat of cement slurry using 2.75 kg/ sqm of cement admixed with water proofing compound conforming to IS : 2645 and approved by Engineer-in-charge.</t>
  </si>
  <si>
    <t>(d) Finishing the surface with 20 mm thick jointless cement mortar of mix 1:4 (1 cement :4 coarse sand) admixed with water proofing compound conforming to IS : 2645 and approved by Engineer-in-charge including laying glass fibre cloth of approved quality in top layer of plaster and finally finishing the surface with trowel with neat cement slurry and making pattern of 300x300 mm square 3 mm deep.</t>
  </si>
  <si>
    <t>(e) The whole terrace so finished shall be flooded with water for a minimum period of two weeks for curing and for final test.“All above operations to be done in order and as directed and specified by the Engineer-in-Charge :</t>
  </si>
  <si>
    <t>22.7.1</t>
  </si>
  <si>
    <t>With average thickness of 120 mm and minimum thickness at khurra as 65 mm.</t>
  </si>
  <si>
    <t>Providing and laying four courses water proofing treatment with bitumen felt over roofs consisting of first and third courses of blown bitumen 85/25 or 90/15 conforming to IS : 702 applied hot @ 1.45 Kg per square metre of area for each course, second course of roofing felt type 3 grade-I (hessian based self finished bitumen felt) and fourth and final course of stone grit 6 mm and down size or pea sized gravel spread at 6 cubic decimeter per square metre, including preparation of surface but excluding grading complete with :</t>
  </si>
  <si>
    <t>22.8.1</t>
  </si>
  <si>
    <t>Bitumen felt (hessian base) type 3 grade I conforming to IS : 1322</t>
  </si>
  <si>
    <t>Providing and laying six courses water proofing treatment with bitumen felt over roofs consisting of first, third and fifth course of blown bitumen 85/25 or 90/15 conforming to IS : 702 applied hot @ 1.45, 1.20 and 1.45 Kg per square metre of area respectively, second and fourth courses of roofing felt type 3 grade I conforming to IS : 1322 (Hessian based self finished bitumen felt) , sixth and final course of stone grit 6 mm and down size or pea sized gravel spread at 6 cubic decimeter per sqm including preparation of surface but excluding grading, complete.</t>
  </si>
  <si>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 (fibre base self finished bitumen felt) six and final courses of stone grit 6 mm and down size or pea sized gravel spread at 6 cubic decimeter per sqm including preparation of surface, excluding grading, compete.</t>
  </si>
  <si>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II (glass fibre base self finished bitumen felt) and sixth and final course of stone grit 6 mm and down size or pea sized gravel spread at 6 cubic decimeter per sqm including preparation of surface but excluding grading, complete.</t>
  </si>
  <si>
    <t>Supplying and applying bituminous solution primer on roof and / or wall surface at 0.24 litre per sqm.</t>
  </si>
  <si>
    <t>Deduct for omitting in water proofing treatment final course of spreading stone grit 6 mm down size or pea sized gravel :</t>
  </si>
  <si>
    <t>22.13.1</t>
  </si>
  <si>
    <t>at 6 cudm per sqm</t>
  </si>
  <si>
    <t>22.13.2</t>
  </si>
  <si>
    <t>at 8 cudm per sqm</t>
  </si>
  <si>
    <t>Grading roof for water proofing treatment with</t>
  </si>
  <si>
    <t>22.14.1</t>
  </si>
  <si>
    <t>Cement concrete 1:2:4 (1 cement : 2 coarse sand : 4 graded stone aggregate 20mm nominal size)</t>
  </si>
  <si>
    <t>22.14.2</t>
  </si>
  <si>
    <t>22.14.3</t>
  </si>
  <si>
    <t>Cement mortar 1:4 (1cement : 4 coarse sand)</t>
  </si>
  <si>
    <t>Providing and mixing integral crystalline admixture for water proofing treatment to RCC structures like basement raft, retaining walls, reservior, sewage &amp; water treatment plant, tunnels / subway and bridge deck etc. at the time of transporting of concrete into the drum of the ready-mix truck ,  using integral crystalline admixture @0.80% (minimum) to the weight of cement content per cubic meter of concrete) or higher as recommended by the manufacturer's specification in reinforced cement concrete at site of work. The material shall meet the requirements as specified in ACI-212-3R-2010 i.e. by reducing permeability of concrete by more than 90%, compared with control concrete as per DIN 1048 and resistant to 16 bar hydrostatic pressure. The crystalline admixture shall be capable of self-healing of cracks up to a width of 0.50mm. The work shall be carried out all complete as per specification and the direction of the Engineer-in-charge. The product performance shall carry guarantee for 10 years against any leakage.</t>
  </si>
  <si>
    <t>22.22A</t>
  </si>
  <si>
    <t>Providing  and applying fibre reinforced elastomeric liquid water proofing membrane with resilient acrylic polymers having Sun Reflectivity Index (SRI) of 105 on top of concrete roof in three coats @10.76 litre/ 10 sqm. One coat of self-priming of elastomeric waterproofing liquid (dilution with water in the ratio of 3:1) and two coats of undiluted elastomeric waterproofing liquid (dry film thickness of complete application/system not less than 500 microns). The operation shall be carried out after scrapping and properly cleaning the surface to remove loose particles with wire brushes, complete in all respect as per the direction of Engineer-in-Charge.</t>
  </si>
  <si>
    <t>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 0.50mm. The work shall be carried out all complete as per specification and the direction of the engineer-in-charge. The product performance shall carry guarantee for 10 years against any leakage.</t>
  </si>
  <si>
    <t>22.23.1</t>
  </si>
  <si>
    <t>For vertical surface two coats @ 0.70 kg per sqm per coat</t>
  </si>
  <si>
    <t>22.23.2</t>
  </si>
  <si>
    <t>For horizontal surface one coat @1.10 kg per sqm.</t>
  </si>
  <si>
    <t>22.23A</t>
  </si>
  <si>
    <t>Providing &amp; Applying polymer modified, flexible cementatious negative side waterproofing coating with elastic waterproofing polymers on interior wall plaster surface in three coats @14.35 kg /10 sqm. one coat of self priming of cementatious waterproofing polymer(dilution with water in the ratio of 1:1) and two coats of cementatious waterproofing polymer  (dilution with water in the ratio of 3:1 ) after scrapping and properly cleaning the surface to remove pre-existing paint film &amp; loose particles till plaster is visible, complete in all respect as per the direction of Engineer-in-Charge.</t>
  </si>
  <si>
    <t>Providing and applying integral crystalline (dry shake) of hydrophilic in nature for waterproofing treatment to the RCC structures like basement raft, foundation slab, sewage &amp; water treatment plant slab, warehouses floor, parking structures and water tank base slab etc. sprinkled @0.60kg per sqm or higher as recommended by the manufacturer's specification over the lean concrete of above cited structures. The material shall meet the requirements as specified in ACI-212-3R-2010 i.e. by reducing permeability of concrete by more than 85%, compared control concrete as per DIN 1048 and resistant to 16 bar hydrostatic pressure on negative side. The crystalline dry-shake shall be capable of self-healing of cracks up to a width of 0.50mm. The work shall be carried out all complete as per specification and the direction of the Engineer-in-charge. The product performance shall carry guarantee for 10 years against any leakage.</t>
  </si>
  <si>
    <t>22.24A</t>
  </si>
  <si>
    <t>Providing &amp; Applying high quality acrylic modified resin based texture  of Dholpur/Red sand stone  Pattern with anti algae and UV resistance properties to be applied as intermediate finish in desired pattern @ 43.04 kgs/10 sqm to form film of 1- 1.5 mm thickness after scrapping and properly cleaning the surface to remove loose particles from the plaster surface, followed by top coating with Premium Acrylic Smooth exterior paint with Silicone additives of required shade by two or more coats @ 1.43 litres/10 sqm, complete as the direction of Engineer -in-Charge.</t>
  </si>
  <si>
    <t>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1504-3 having compressive strength Class R4 ≥45 MPa and adhesive bond strength Class R3 ≥1.5 MPa. The work shall be carried out all complete as per specification and the direction of the engineer-in-charge. The product performance shall carry guarantee for 10 years against any leakage.</t>
  </si>
  <si>
    <t>22.25.1</t>
  </si>
  <si>
    <t>For sealing cracks and faulty construction joints, routed out/making U-shape groove size 25x25mm and then primed the area with integral crystalline slurry @0.05kg/running metre and while the surface is tacky filled the groove upto surface with crystalline mortar @1.50kg/running metre. Once crystalline mortar is touch dry then finally applied two coats of integral crystalline slurry @0.05kg/running metre per coat.</t>
  </si>
  <si>
    <t>22.25.2</t>
  </si>
  <si>
    <t>For patching of tie rod holes, prepared tie rod hole surface and then primed the area with integral crystalline slurry @0.070kg/sqm and while the surface is tacky repair and then filled the tie rod holes with crystalline mortar@0.040kg per hole. The crystalline mortar should be tightly rodded into tie rod holes or packed tightly (For 25x25x25 mm tie rod hole, use 0.040kg to fill the hole)</t>
  </si>
  <si>
    <t>each hole</t>
  </si>
  <si>
    <t>Providing and applying of swellable type water stop tape, 19mm x 25mm thick in linear meter (expansive nature) for construction joints treatment of RCC structure such as raft slab, retaining walls, water storage tank and at the junctions of raft slab with the retaining walls etc.. After cleaning the surface, one coat of required primer for swellable water stop tape shall be applied throughout the length of the joint @3.78 litre per 240 running meter. Over the primed surface swellable type water stop tape shall be placed. The work shall be carried out all complete as per specification and the direction of the Engineer-In-Charge. The product performance shall carry guarantee for 10 years against any leakage.</t>
  </si>
  <si>
    <t>23.0 RAIN WATER HARVESTING &amp; TUBEWELLS</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</si>
  <si>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t>
  </si>
  <si>
    <t>23.1.1</t>
  </si>
  <si>
    <t>All types of soil</t>
  </si>
  <si>
    <t>23.1.1.1</t>
  </si>
  <si>
    <t>300 mm dia</t>
  </si>
  <si>
    <t>23.1.1.2</t>
  </si>
  <si>
    <t>350 mm dia</t>
  </si>
  <si>
    <t>23.1.1.3</t>
  </si>
  <si>
    <t>400 mm dia</t>
  </si>
  <si>
    <t>23.1.2</t>
  </si>
  <si>
    <t>Rocky strata including Boulders</t>
  </si>
  <si>
    <t>23.1.2.1</t>
  </si>
  <si>
    <t>23.1.2.2</t>
  </si>
  <si>
    <t>23.1.2.3</t>
  </si>
  <si>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t>
  </si>
  <si>
    <t>23.2.1</t>
  </si>
  <si>
    <t>23.2.1.1</t>
  </si>
  <si>
    <t>23.2.1.2</t>
  </si>
  <si>
    <t>23.2.1.3</t>
  </si>
  <si>
    <t>23.2.2</t>
  </si>
  <si>
    <t>23.2.2.1</t>
  </si>
  <si>
    <t>23.2.2.2</t>
  </si>
  <si>
    <t>23.2.2.3</t>
  </si>
  <si>
    <t>Supplying, assembling, lowering and fixing in vertical position in bore well, unplasticized PVC medium well casing (CM) pipe of required dia, conforming to IS: 12818, including required hire and labour charges, fittings &amp; accessories etc. all complete, for all depths, as per direction of Engineer -in-charge.</t>
  </si>
  <si>
    <t>23.3.1</t>
  </si>
  <si>
    <t>100 mm nominal size dia</t>
  </si>
  <si>
    <t>23.3.2</t>
  </si>
  <si>
    <t>150 mm nominal size dia</t>
  </si>
  <si>
    <t>23.3.3</t>
  </si>
  <si>
    <t>200 mm nominal size dia</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</si>
  <si>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t>
  </si>
  <si>
    <t>23.4.1</t>
  </si>
  <si>
    <t>23.4.2</t>
  </si>
  <si>
    <t>23.4.3</t>
  </si>
  <si>
    <t>Supplying, filling, spreading &amp; leveling stone boulders of size range 5 cm to 20 cm, in recharge pit, in the required thickness, for all leads &amp; lifts, all complete as per direction of Engineer-in-charge.</t>
  </si>
  <si>
    <t>Supplying, filling, spreading &amp; leveling gravels of size range 5 mm to 10 mm, in the recharge pit, over the existing layer of boulders, in required thickness, for all leads &amp; lifts, all complete as per direction of Engineer-in-charge.</t>
  </si>
  <si>
    <t>Supplying, filling, spreading &amp; leveling coarse sand of size range 1.5 mm to 2 mm in recharge pit, in required thickness over gravel layer, for all leads &amp; lifts, all complete as per direction of Engineer -in-charge.</t>
  </si>
  <si>
    <t>Gravel packing in tubewell construction in accordance with IS: 4097, including providing gravel fine/ medium/ coarse, in required grading &amp; sizes as per actual requirement, all complete as per direction of Engineer-in-charge.</t>
  </si>
  <si>
    <t>Providing and fixing factory made precast RCC perforated drain covers, having concrete of strength not less than M-25, of size 1000 x 450x50 mm, reinforced with 8 mm dia four nos longitudinal &amp; 9 nos cross sectional T.M.T. hoop bars, including providing 50 mm dia perforations @ 100 to 125 mm c/c, including providing edge binding with M.S. flats of size 50 mm x 1.6 mm complete, all as per direction of Engineer-in-charge.</t>
  </si>
  <si>
    <t>Supplying, assembling, lowering and fixing in vertical position in bore well, ERW (Electric Resistance Welded) FE 410 mild steel screwed and socketed/plain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t>
  </si>
  <si>
    <t>23.10.1</t>
  </si>
  <si>
    <t>100 mm nominal size dia having minimum wall thickness 5.00 mm</t>
  </si>
  <si>
    <t>23.10.2</t>
  </si>
  <si>
    <t>150 mm nominal size dia having minimum wall thickness 5.00 mm</t>
  </si>
  <si>
    <t>23.10.3</t>
  </si>
  <si>
    <t>200 mm nominal size dia having minimum wall thickness 5.40 mm</t>
  </si>
  <si>
    <t>Supplying, assembling, lowering and fixing in vertical position in bore well, ERW (Electric Resistance Welded) FE 410 plain slotted (having slot of size 1.6/3.2 mm) mild steel threaded and socketed/ plain bevel ended pipe (type A)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 -in-charge.</t>
  </si>
  <si>
    <t>23.11.1</t>
  </si>
  <si>
    <t>23.11.2</t>
  </si>
  <si>
    <t>23.11.3</t>
  </si>
  <si>
    <t>Development of tube well in accordance with IS : 2800 (part I) and IS: 11189, to establish maximum rate of usable water yield without sand content (beyond permissible limit), with required capacity air compressor, running the compressor for required time till well is fully developed, measuring yield of well by "V" notch method or any other approved method, measuring static level &amp; draw down etc. by step draw down method, collecting water samples &amp; getting tested in approved laboratory, i/c disinfection of tubewell, all complete, including hire &amp; labour charges of air compressor, tools &amp; accessories etc., all as per requirement and direction of Engineer-in-charge.</t>
  </si>
  <si>
    <t>hour</t>
  </si>
  <si>
    <t>Providing and fixing suitable size threaded mild steel cap or spot welded plate to the top of bore well housing/ casing pipe, removable as per requirement, all complete for borewell of:</t>
  </si>
  <si>
    <t>23.13.1</t>
  </si>
  <si>
    <t>23.13.2</t>
  </si>
  <si>
    <t>23.13.3</t>
  </si>
  <si>
    <t>Providing and fixing M.S. clamp of required dia to the top of casing/ housing pipe of tubewell as per IS: 2800 (part I), including necessary bolts &amp; nuts of required size complete.</t>
  </si>
  <si>
    <t>23.14.1</t>
  </si>
  <si>
    <t>100 mm clamp</t>
  </si>
  <si>
    <t>23.14.2</t>
  </si>
  <si>
    <t>150 mm clamp</t>
  </si>
  <si>
    <t>23.14.3</t>
  </si>
  <si>
    <t>200 mm clamp</t>
  </si>
  <si>
    <t>Providing and fixing Bail plug/ Bottom plug of required dia to the bottom of pipe assembly of tubewell as per IS:2800 (part I).</t>
  </si>
  <si>
    <t>23.15.1</t>
  </si>
  <si>
    <t>23.15.2</t>
  </si>
  <si>
    <t>23.15.3</t>
  </si>
  <si>
    <t>24.0 CONSERVATION OF  HERITAGE BUILDINGS</t>
  </si>
  <si>
    <t>Raking out joints of stone masonry surface to the required width and depth, with due care and precaution, by mechanical / manual means, including preparing and cleaning the surface for re-pointing/ refilling of joints, including disposal of rubbish to the dumping ground within 50 metre lead.</t>
  </si>
  <si>
    <t>Providing and fixing double scaffolding system (cup lock type) on the exterior side of building/structure, upto  25 metre height, above ground level, including additional rows of scaffolding in stepped manner as per requirement of site, made with 40mm dia M.S. tube, placed 1.5 metre centre to centre, horizontal &amp; vertical tubes joint with cup &amp; lock system with M.S. Tubes, M.S. tube challis, M.S. clamps and staircase system in the scaffolding for working platform etc. and maintaining it in a serviceable condition for execution of work of cleaning and/ or pointing and/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Engineer-in-charge.</t>
  </si>
  <si>
    <t>Note:- (1)  The elevational area of the scaffolding shall be measured for payment purpose. (2)  The payment will be made once only for execution of all items for such works.</t>
  </si>
  <si>
    <t>Cleaning the sand stone surface and removing dirt, dust, bird dropping, grease, oil, algae, fungus, monkey beats, vegetable growth etc., including providing, applying and washing the surface with liquid Ammonia Chemical of 5% solution and other chemical cleaning agent as approved by Archaeological Survey of India/ Engineer-in-charge, of approved brand and manufacturer, with the help of required scrubbers and also cleaning with machine operated water jet mixed with desired quantity of fine silica where ever required, without causing any scratching/ damage to the stone surface and finally washing the surface with clean water with the help of pressure jet machine, complete in all respect, including taking all precautions to safeguard ventilators, windows, doors etc. by suitable covering so as to avoid any damage to the building/structure, all as per direction of Engineer-in-charge (The rate is inclusive of all materials &amp; labours involved except scaffolding).</t>
  </si>
  <si>
    <t>Providing and applying antifungal wash treatment using 3% solution of sodium pentachlorophenate, of reputed brand and manufacturer, on cleaned sand stone surface at desired locations as per direction of Engineer-in-charge (The rate is inclusive of all materials &amp; labours involved except scaffolding).</t>
  </si>
  <si>
    <t>Ruled / Flush pointing on Red sand stone masonry surface with lime, surkhi and marble dust mortar in the ratio of 1:1.5:1/2 {One lime: 1.5 surkhi (50% red and 50% light yellow surkhi ) : 1/2 marble dust}. (The rate is inclusive of all materials &amp; labours involved except scaffolding).</t>
  </si>
  <si>
    <t>Ruled/ Flush pointing on White sand stone masonry surface with lime, surkhi and marble dust mortar in the ratio of 1:1.5:1/2 {One lime : 1.5 surkhi (15% dark red and 85% light yellow surkhi) : 1/2 marble dust}. (The rate is inclusive of all materials &amp; labours involved except scaffolding).</t>
  </si>
  <si>
    <t>Applying two or more coat of Ethyl Silicate chemical as approved by Archaeological Survey of India/ Engineer-in-charge, of approved brand and manufacturer, with brush or spray on the existing stone masonry surface till there is no further absorption of chemical by stone surface, including protecting the applied surface from direct sunlight by suitable means during application, all complete as per direction of the Engineer-in-Charge (The rate is inclusive of all materials &amp; labours involved except scaffolding).</t>
  </si>
  <si>
    <t>Applying breathable, non-reactive, antifungal, and water repellant Silane/Siloxane chemical as approved by Archaeological Survey of India/ Engineer-in-charge, of approved brand and manufacture, diluted with solvent mineral Turpentine oil in the ratio of 1:12 (One part of approved chemical :12 Part of Turpentine oil), on the existing sand stone masonry surface with two or more coats to give uniform application of chemical on the surface, all complete as per direction of Engineer-In-charge (The rate is inclusive of all materials &amp; labours involved except scaffolding).</t>
  </si>
  <si>
    <t>25.0 STRUCTURAL GLAZING ALUMINIUM COMPOSITE PANEL</t>
  </si>
  <si>
    <t>Providing and supplying aluminium extruded tubular and other aluminium sections as per the architectural drawings and approved shop drawings , the aluminium quality as per grade 6063 T5 or T6 as per BS 1474,including super durable powder coating of 60-80 microns conforming to AAMA 2604 of required colour and shade as approved by the Engineer-in-Charge. ( The item includes cost of material such as cleats, sleeves, screws etc. necessary for fabrication of extruded aluminium frame work. Nothing extra shall be paid on this account). The weight of aluminium extruded section shall be taken for purpose of payment.</t>
  </si>
  <si>
    <t>Designing, fabricating, testing, protection, installing and fixing in  position semi (grid) unitized system of structural glazing (with open  joints) for linear as well as curvilinear portions of the building for all  heights and all levels, including:</t>
  </si>
  <si>
    <t>(a) Structural analysis &amp; design and preparation of shop drawings for  the specified design loads conforming to IS 875 part III (the system  must passed the proof test at 1.5 times design wind pressure without  any failure), including functional design of the aluminum sections for  fixing glazing panels of various thicknesses, aluminium cleats, sleeves  and splice plates etc. gaskets, screws, toggles, nuts, bolts, clamps  etc., structural and weather silicone sealants, flashings, fire stop  (barrier)-cum-smoke seals, microwave cured EPDM gaskets for water  tightness, pressure equalisation &amp; drainage and protection against fire hazard including:</t>
  </si>
  <si>
    <t>(b) Fabricating and supplying serrated M.S. hot dip galvanised /  Aluminium alloy of 6005 T5 brackets of required sizes, sections and  profiles etc. to accommodate 3 Dimentional movement for achieving  perfect verticality and fixing structural glazing system rigidly to the  RCC/ masonry/structural steel framework of building structure using  stainless steel anchor fasteners/ bolts, nylon seperator to prevent  bimetallic contacts with nuts and washers etc. of stainless steel  grade 316, of the required capacity and in required numbers.</t>
  </si>
  <si>
    <t>(c) Providing and filling, two part pump filled, structural silicone sealant  and one part weather silicone sealant compatible with the structural  silicone sealant of required bite size in a clean and controlled factory  / work shop environment, including double sided spacer tape, setting  blocks and backer rod, all of approved grade, brand and manufacture,  as per the approved sealant design, within and all around the  perimeter for holding glass.</t>
  </si>
  <si>
    <t>(d) Providing and fixing in position flashings of solid aluminium sheet  1 mm thick and of sizes, shapes and profiles, as required as per the  site conditions, to seal the gap between the building structure and  all its interfaces with curtain glazing to make it watertight.</t>
  </si>
  <si>
    <t>(e) Making provision for drainage of moisture/ water that enters the  curtain glazing system to make it watertight, by incorporating  principles of pressure equalization, providing suitable gutter profiles  at bottom (if required), making necessary holes of required sizes  and of required numbers etc. complete. This item includes cost of all  inputs of designing, labour for fabricating and installation of aluminium  grid, installation of glazed units, T&amp;P, scaffolding and other incidental  charges including wastages etc., enabling temporary structures and  services, cranes or cradles etc. as described above and as specified.  The item includes the cost of getting all the structural and functional design including shop drawings checked by a structural designer,  dully approved by Engineer-in-charge. The item also includes the  cost of all mock ups at site, cost of all samples of the individual  components for testing in an approved laboratory, field tests on the  assembled working structural glazing as specified, cleaning and  protection till the handing over of the building for occupation. In the  end, the Contractor shall provide a water tight structural glazing having  all the performance characteristics etc. all complete as required, as  per the Architectural drawings, as per item description, as specified,  as per the approved shop drawings and as directed by the Engineer-  in-Charge.</t>
  </si>
  <si>
    <t>Note:- 1. The cost of providing extruded aluminium frames, shadow  boxes, extruded aluminium section capping for fixing in the grooves  of the curtain glazing and vermin proof stainless steel wire mesh  shall be paid for separately under relevant items under this sub-  head. However, for the purpose of payment, only the actual area of  structural glazing (including width of grooves) on the external face  shall be measured in sqm. up to two decimal places.</t>
  </si>
  <si>
    <t>Note:-2. The following performance test are to be conducted on  structural glazing system if area of structural glazing exceeds 2500  Sqm from the certified laboratories accreditated by NABL(National  Accreditation Board for Testing and Calibration Laboratories),  Department of Science &amp; Technologies, India. Cost of testing is  payable separately.</t>
  </si>
  <si>
    <t>The NIT approving authority will decide the  necessity of testing on the basis of cost of the work, cost of the test  and importance of the work. Performance Testing of Structural glazing  system Tests to be conducted in the NABL accredited lab or any other accreditation body which operates in accordance with ISO/IEC 17011 and accredits labs as per ISO/IEC 17025</t>
  </si>
  <si>
    <t>1. Performance Laboratory Test for Air Leakage Test (-50pa to - 300pa) &amp; (+50pa to +300pa) as per ASTM E-283-04 testing method  for a range of testing limit 1 to 200 mVhr</t>
  </si>
  <si>
    <t>2. Static Water Penetration Test. (50pa to 1500pa) as per ASTME-  331-09 testing method for a range up to 2000 ml.</t>
  </si>
  <si>
    <t>3. Dynamic Water Penetration (50pa to 1500pa) as per AAMA 501.01-  05 testing method for a range upto 2000 ml</t>
  </si>
  <si>
    <t>4. Structural Performance Deflection and deformation by static air  pressure test (1.5 times design wind pressure without any failure) as  per ASTME-330-10 testing method for a range upto 50 mm</t>
  </si>
  <si>
    <t>5. Seismic Movement Test (upto 30 mm) as per AAMA 501.4-09  testing method for Qualitative test, Tests to be conducted on site.</t>
  </si>
  <si>
    <t>6. Onsite Test for Water Leakage for a pressure range 50 kpa to 240  kpa (35psi) upto 2000 ml</t>
  </si>
  <si>
    <t>Providing, assembling and supplying vision glass panels (IGUs) comprising of hermetically-sealed 6-12- 6 mm insulated glass (double glazed) vision panel units of size and shape as required and specified, comprising of an outer heat strengthened float glass 6mm thick, of approved colour and shade with reflective soft coating on surface # 2 of approved colour and shade, an inner Heat strengthned clear float glass 6mm thick, spacer tube 12mm wide, dessicants, including primary seal and secondary seal (structural silicone sealant) etc. all complete for the required performances, as per the Architectural drawings, as per the approved shop drawings, as specified and as directed by the Engineer-in-Charge. The IGUs shall be assembled in the factory/ workshop of the glass processor.</t>
  </si>
  <si>
    <t>(Payment for fixing of IGU Panels in the curtain glazing is included in cost of item No.25.2)</t>
  </si>
  <si>
    <t>For payment, only the actual area of glass on face # 1 of the glass panels (excluding the areas of the grooves and weather silicone sealant) provided and fixed in position, shall be measured in sqm.</t>
  </si>
  <si>
    <t>(i) Coloured tinted float glass 6mm thick substrate with reflective soft coating on face # 2, + 12mm Airgap + 6mm Heat Strengthened clear Glass of approved make having properties as visible Light transmittance (VLT) of 25 to 35 %, Light reflection internal 10 to 15%, light reflection external 10 to 20 %, shading coefficient (0.25- 0.28) and U value of 3.0 to 3.3 W/m2 degree K etc. The properties of performance glass shall be decided by technical sanctioning authority as per the site requirement.</t>
  </si>
  <si>
    <t>Extra for openable side / top hung vision glass panels (IGUs) including providing and supplying at site all accessories and hardwares for the openable panels as specified and of the approved make such as heavy duty stainless steel friction hinges, min 4 -point cremone locking sets with stainless steel plates, handles, buffers etc. including necessary stainless steel screws/ fasteners, nuts, bolts, washers etc. all complete as per the Architectural drawings, as per the approved shop drawings, as specified and as directed by the Engineer- in-Charge.</t>
  </si>
  <si>
    <t>Providing, fabricating and supplying shadow box of required size and shape, for fixing in the spandrel portion of the structural glazing, in linear as well as curvilinear portions of the building by providing semi -rigid, inorganic, non-combustible fibre glass wool insulation 50 mm thick, conforming to IS: 8183 and BS: 3958 Part 5. The insulation layer shall have facing (factory bonded on surface # 1 of the fibre glass insulation layer), of black non-woven fibre glass tissue of nominal thickness 0.5 mm and nominal mass not less than 60 gm /sqm, made of randomly oriented glass fibres distributed in a binder by a wet-lay process including fixing 1.5 mm thick solid aluminum sheet backing using, 6 mm thick cement board including SS rivets, nuts, bolts, washers etc complete.</t>
  </si>
  <si>
    <t>Providing and supplying Spandrel Glass Panels comprising of 6 mm thick heat strengthened monolithic float glass of approved colour and shade with reflective soft coating on surface # 2 of approved colour and shade so as to match the colour and shade of the IGUs in the vision panels etc. ,all complete for the required performances as specified, as per the Architectural drawings, as per the approved shop drawings, as specified, and as directed by the Engineer- in- Charge.</t>
  </si>
  <si>
    <t>For payment, only the actual area of glass on face # 1 of the glass panels (but excluding the area of grooves and weather silicone sealant) provided and fixed in position, shall be measured in sqm. (Payment for  fixing of Spandrel Glass Panels in the curtain glazing is included in cost of relevent Item*).“(i) Coloured tinted float glass 6mm thick substrate with reflective soft coating on face # 2, having properties as visible Light transmittance (VLT) of 25 to 35 %, Light reflection internal 10 to 15%, light reflection external 10 to 20 %, shading coefficient (0.25- 0.28) and U value of 3.0 to 3.3 W/m2 K etc. . The properties of performance glass shall be decided by technical sanctioning authority as per the site requirement.</t>
  </si>
  <si>
    <t>Design supply &amp; installation of suspended Spider Glazing system designed to withstand the wind pressure as per IS 875 (Part-III). The Suspended System held with Spider Fittings of SS-316 Grade Steel of approved manufacturer with glass panel having 12 mm thick clear toughened glass held together with SS- 316 Grade Stainless steel Spider &amp; bolt assembly with laminated glass fins 21 mm thick. The Glass fins and glass panel assembly shall be connected to Slab/beams by means of SS- 316 Grade stainless steel brackets &amp; Anchor bolts and at the bottom using SS channel of 50x25x2mm using fastener &amp; anchor bolts, non staining weather sealants of approved make, Teflon/ nylon bushes and separators to prevent bi-metallic contacts, all complete to perform as per specification and approved drawings. The complete system to be designed to accommodate thermal expansion &amp; seismic movements etc. The joints between glass panels (6 to 8 mm) and gaps at the perimeter &amp; in U channel of the assembly to be filled with non staining weather sealant, so as to make the entire system fully water proof &amp; dust proof.</t>
  </si>
  <si>
    <t>The rate shall include all design, Engineering and shop drawing including approval from structural designer, labour, T&amp;P, scaffolding, other incidental charges including wastage, enabling temporary services all fitting fixers nut bolts, washer, Buffer plates, fastener, anchors, SS channel laminated glass etc. all complete. For the purpose of payment, actual elevation area of Glazing including thickness of joints and the portion of Glass panel inside the SS channel shall be measured.</t>
  </si>
  <si>
    <t>26.0 NEW TECHNOLOGIES AND MATERIALS</t>
  </si>
  <si>
    <t>Providing &amp; fixing in position Phenol bonded Bamboowood flooring with planks of sizes 14mm thick, minimum 1800mm length and minimum 100 mm wide, in approved colour, texture  and finish,  having Performance Appraisal Certificate (PAC) issued by Building Materials &amp; Technology Promotion Council (BMTPC). The flooring shall be fixed with tongue and groove interlocking system, with underlayment of 4mm thick expanded polyethylene foam sheets having density 40kg/cum, over prepared surface with necessary quarter round planks of size 1900mm x 18mm and door reducer of size 1900mm x 44mm, wherever required. The bamboowood planks shall have minimum density of 1000 Kg/cum &amp; minimum Hardness 1000 Kgf. with Eco friendly UV coating,  all complete as per  direction of  the Engineer in-charge.</t>
  </si>
  <si>
    <t>Providing &amp; fixing in position Phenol bonded Bamboo wood in wall skirting with planks of sizes 14mm thick, 1900mm length (minimum) and 85mm wide(minimum), in approved colour, texture  and finish,  having Performance Appraisal Certificate (PAC) issued by Building Materials &amp; Technology Promotion Council (BMTPC). The skirting shall be fixed with SS screws &amp; rawl plugs, over underlayment of 4mm thick, expanded polyethylene foam sheets having  40kg/cum density over prepared surface. The bamboowood planks shall have minimum density of 1000Kg/cum &amp; minimum Hardness 1000 Kgf. with Eco friendly UV coating,  all complete as per  direction of  the Engineer in-charge.</t>
  </si>
  <si>
    <t>Providing &amp; fixing in position Phenol bonded Bamboowood  wall cladding at all height with planks of sizes 10mm thick, minimum 1800mm length and minimum 100 mm wide,  in approved colour, texture  and finish, having Performance Appraisal Certificate (PAC) issued by Building Materials &amp; Technology Promotion Council (BMTPC),  with necesasary profiled edges fixed with 40mm SS screws 5 nos in each tile to frame work made of second class teak wood of size 20x15 mm in centre of each tile and  bottom and top of work height, 40x15mm placed at ends of  each tile. The cladding shall be laid over backlayment of 1.00 mm thick expanded polyethylene foam of density 40kg/cum in two  layers, first layer on wall surface before fixing  wooden frame and second layer on frame under cladding. The bamboowood planks shall have minimum density of 1000 Kg/cum &amp; minimum Hardness 1000 Kgf. with Eco friendly UV coating,  all complete as per  direction of the Engineer in-charge.</t>
  </si>
  <si>
    <t>Providing &amp; fixing in position Phenol bonded  Bamboowood panelled or panelled and glazed shutters for doors windows, clerestorey windows with pre-molded minimum 30mm thick planks, in approved colours, texture &amp; finish. It shall have 10mm wide, 25mm deep grove to fit in panels.The bamboo wood shall have minimum density of 1000 Kg/cum, minimum Hardness 1000 Kgf. All styles and rails shall have profiled interlocking system locked in place by bamboo pins, all complete as per direction of Engineer in charge. (The panelling will be paid for separately).</t>
  </si>
  <si>
    <t>Providing &amp; fixing in position Phenol bonded Bamboo wood panelling of 10mm thick, in 25 to 40 mm thick panelled or panelled &amp; glazed  shutters for doors, windows, clerestorey windows, in approved colour, texture  &amp; finish. The bamboowood planks shall have minimum density of 1000 Kg/cum &amp; minimum Hardness 1000 Kgf. The panels shall have  profiled interlocking system locked in place with bamboo pins  all complete as per  direction of  the Engineer in-charge.  (area of opening for panel inserts excluding portion inside grooves or rebates to be measured)</t>
  </si>
  <si>
    <t>Providing &amp; fixing in position 65 mm thick factory made door frame of Phenol bonded Bamboo wood (superior class, interior use),  in approved colour, texture and finish.The bamboo wood shall have minimum density of 1000 Kg/cum, minimum hardness 1000 Kgf. The door frame shall have tenon &amp; mortise interlocking system, to be fixed to the wall with 100 mm size G.I screws all a complete as per direction of Engineer-in charge.</t>
  </si>
  <si>
    <t>cudm</t>
  </si>
  <si>
    <t>26.6A</t>
  </si>
  <si>
    <t>Providing, erecting, laying and fixing in position in 3.5 to 4 mm thick bamboo mat corrugated sheet (BMCS) as per IS: 15476-2004 in roofing with self drilling screws along with EPDM washers complete or with galvanized iron J or L hooks 8mm dia G.I. plain and bitumen washers etc, all complete as per direction of Engineer-in-Charge.</t>
  </si>
  <si>
    <t>26.6B</t>
  </si>
  <si>
    <t>Providing and fixing in position ridges of 3.5 to 4 mm thick bamboo mat ridge cap (BMRC) as per IS: 15476-2004 in roofing with self drilling screws along with EPDM washers complete or with galvanized iron J or L hooks 8mm dia G.I. plain and bitumen washers etc, all complete as per direction of Engineer-in-Charge.</t>
  </si>
  <si>
    <t>26.6C</t>
  </si>
  <si>
    <t>Providing and fixing at all height false ceiling of 4mm thick phenol bonded Bamboo Mat board (595x595mm) conforming to IS:13958-1994 including providing and fixing of frame work made of GI angle 25x25x0.4 mm thick all around suitably fixed to wall with the help of dash fastener and hanger frame (600x600 c/c) made GI slotted Tee having powder coating on bottom side (30x25x0.3 mm thick for main member &amp; 25x25x0.3 mm for cross member) connected to ceiling with 2.64mm GI wire and anchor fastener at every junction and also including cost of making openings for light fittings, grills, diffusers, cut outs made with frame of perimeter channels suitably fixed all complete as per direction of Engineer-in-charge.</t>
  </si>
  <si>
    <t>26.6D</t>
  </si>
  <si>
    <t>Providing and fixing at Bamboo Mat board conforming to IS:13958-1994 for partition to frame by bucking or studding with screws etc. complete (Frames, backing or studding to be paid separately)</t>
  </si>
  <si>
    <t>26.6D.1</t>
  </si>
  <si>
    <t>3mm thickness</t>
  </si>
  <si>
    <t>26.6D.2</t>
  </si>
  <si>
    <t>4mm thickness</t>
  </si>
  <si>
    <t>26.6D.3</t>
  </si>
  <si>
    <t>6mm thickness</t>
  </si>
  <si>
    <t>26.6D.4</t>
  </si>
  <si>
    <t>9mm thickness</t>
  </si>
  <si>
    <t>26.6D.5</t>
  </si>
  <si>
    <t>12mm thickness</t>
  </si>
  <si>
    <t>26.6E</t>
  </si>
  <si>
    <t>Providing and fixing at all height wall panelling with phenol bonded Bamboo Mat board conforming to IS:13958-1994  including providing and fixing to frame work made of 50mm x 50mm hardwood plugs including cutting brick work and fixing in cement mortar and making good the wall etc. and also providing and fixing wooden moulded corner beading of triangular shape to the junction of panelling etc. with iron screws all complete as per direction of Engineer-in-Charge.</t>
  </si>
  <si>
    <t>26.6E.1</t>
  </si>
  <si>
    <t>26.6E.2</t>
  </si>
  <si>
    <t>Providing and fixing 50 mm thick extruded polystyrene rigid insulation board of required size between cavity wall, complying with ISO 4898:2008 &amp; ASTM C 578-08b - type VI, having thermal conductivity of 0.0289 W/m K as per ASTM C 578 (measured as per IS 3346), compressive strength of &gt; 350 kPa listed as per ASTM D 1621, density of 34-36 kg/m³ as per ASTM D 1622, water absorptions ≤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t>
  </si>
  <si>
    <t>Providing and fixing 50 mm thick extruded polystyrene rigid insulation board of required size underdeck on ceiling surface, complying with ISO 4898:2008 &amp; ASTM C 578-08b - type VI, having thermal conductivity of 0.0289 W/m K as per ASTM C 578 (measured as per IS 3346), compressive strength of &gt; 350 kPa listed as per ASTM D 1621, density of 34-36 kg/cum as per ASTM D 1622, water absorptions ≤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t>
  </si>
  <si>
    <t>Providing and fixing factory made solid Foam uPVC profile for kitchen cabinet frame (45 x 20 mm) of approved shade, quality and make. The profile shall be laminated on both sides, made from rigid foam sheets (Single extruded) having density 600 Kg/cum and the exposed edges sealed with PVC edge beading of same shade and colour. The frame shall be fire retardent  with necessary screw holding capacity. Frame shall be fixed to wall using Expendable Fastner with necesary stainless steel screws, all complete as per direction of Engineer-in-charge.</t>
  </si>
  <si>
    <t>Providing and fixing factory made  Kitchen Cabinet Shutter/Partition 20 mm nominal thickness of approved shade, quality and make, made from rigid foam sheets (Single extruded) having density 600 Kg/cum and laminated on both side by laminate Sheet/PVC foil lamination. The exposed edges shall be sealed with PVC edge beading of same shade and colour. The shutter shall be fire retardent  having necessary screw holding capacity.  Shutter shall be fixed to frame using  approved hinges with necessary stainless steel screws, all complete as per direction of Engineer-in-charge.</t>
  </si>
  <si>
    <t>Providing and fixing concealed hinge of approved quality for 19-20mm thick door with stainless steel screws complete :</t>
  </si>
  <si>
    <t>Supplying &amp; laying of bi-axial extruded high modulus polypropylene geogrid coforming to MORTH SPECIFICATION  for base/sub-base reinforcement having minimum tensile strength 15kN/m in the longitudinal and transverse direction, with 5kN/m and 7kN/m tensile strength at 2% and 5% strain respectively in the longitudinal and transverse direction, junction efficiency not less than 95% and with 38mm X 38mm mesh opening.</t>
  </si>
  <si>
    <t>Supplying &amp; laying of bi-axial extruded high modulus polypropylene geogrid coforming to MORTH SPECIFICATION for base/sub-base reinforcement having minimum tensile strength 20kN/m in the longitudinal and transverse direction, with 7kN/m and 14kN/m tensile strength at 2% and 5% strain respectively in the longitudinal and transverse direction, junction efficiency not less than 95% and with 38mm X 38mm mesh opening.</t>
  </si>
  <si>
    <t>Supplying &amp; laying of bi-axial extruded high modulus polypropylene geogrid coforming to MORTH SPECIFICATION  for base/sub-base reinforcement having minimum tensile strength 30kN/m in the longitudinal and transverse direction, with 10.5kN/m and 21kN/m tensile strength at 2% and 5% strain respectively in the longitudinal and transverse direction, junction efficiency not less than 95% and with 38mm X 38mm mesh opening.</t>
  </si>
  <si>
    <t>Supplying &amp; laying of bi-axial extruded high modulus polypropylene geogrid coforming to MORTH SPECIFICATION  for base/sub-base reinforcement having minimum tensile strength 40kN/m in the longitudinal and transverse direction, with 14kN/m and 28kN/m tensile strength at 2% and 5% strain respectively in the longitudinal and transverse direction, junction efficiency not less than 95% and with 38mm X 38mm mesh opening.</t>
  </si>
  <si>
    <t>Supplying &amp; laying of drainage composite for use behind walls, between two different fills, alongside drains of road, below concrete lining of canals etc. Geocomposite for planar drainage, realized by thermobonding a draining core in extruded monofilaments with two filtering nonwoven geotextiles that may also be working as separation or protecting layers. The draining three dimensional core will have a “W” configuration as longitudinal parallel channels. Minimum thickness to be 7.2mm, with two filtering UV stabilized polypropylene nonwoven geotextile of minimum thickness of 0.75mm charecteristic opening size (O90) of 110 micron and tensile strength of 8.0 kN/m that will be working as separation or protecting layer, geocomposite having in plane flow capacity of 2.1 L / (m.s) at hydraulic gradient of 1.0 &amp; 20 kPa pressure and tensile strength of 18 kN/m , with mass per unit area of 740 gsm, supplied in the form of roll for easy transportation to site of work as per detailed specification all complete as per directions of Engineer in charge.</t>
  </si>
  <si>
    <t>Supplying &amp; laying of drainage composite for use behind walls, between two different fills, alongside drains of road, below concrete lining of canals etc. having thermobonding a draining core - HDPE geonet comprises of two sets of parallel overlayed ribs integrally connected to have a rhomboidal shape with a polyethylene film and a nonwoven geotextile  having mass per unit area 130 gsm  and tensile strength of 8.0 kN/m that will be working as separation or protecting layer, geocomposite having in plane flow capacity of 0.7 L / (m.s) at hydraulic gradient of 1.0 &amp; 20 kPa pressure and tensile strength of 13.5 kN/m , with mass per unit area of 830 gsm, at  easily  accessible  location including top and bottom, with all leads and lifts, manpower and machinery,  materials, labour etc. complete  and  as  directed  by Engineer - In - Charge.</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</si>
  <si>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t>
  </si>
  <si>
    <t>26.18.1</t>
  </si>
  <si>
    <t>Ultimate tensile strength- 100 kN/m</t>
  </si>
  <si>
    <t>26.18.2</t>
  </si>
  <si>
    <t>Ultimate tensile strength- 150 kN/m</t>
  </si>
  <si>
    <t>26.18.3</t>
  </si>
  <si>
    <t>Ultimate tensile strength- 200 kN/m</t>
  </si>
  <si>
    <t>26.18.4</t>
  </si>
  <si>
    <t>Ultimate tensile strength- 250 kN/m</t>
  </si>
  <si>
    <t>26.18.5</t>
  </si>
  <si>
    <t>Ultimate tensile strength- 300 kN/m</t>
  </si>
  <si>
    <t>26.18.6</t>
  </si>
  <si>
    <t>Ultimate tensile strength- 350 kN/m</t>
  </si>
  <si>
    <t>26.18.7</t>
  </si>
  <si>
    <t>Ultimate tensile strength- 400 kN/m</t>
  </si>
  <si>
    <t>26.18.8</t>
  </si>
  <si>
    <t>Ultimate tensile strength- 500 kN/m</t>
  </si>
  <si>
    <t>26.18.9</t>
  </si>
  <si>
    <t>Ultimate tensile strength- 600 kN/m</t>
  </si>
  <si>
    <t>26.18.10</t>
  </si>
  <si>
    <t>Ultimate tensile strength- 700 kN/m</t>
  </si>
  <si>
    <t>26.18.11</t>
  </si>
  <si>
    <t>Ultimate tensile strength- 800 kN/m</t>
  </si>
  <si>
    <t>26.18.12</t>
  </si>
  <si>
    <t>Ultimate tensile strength- 900 kN/m</t>
  </si>
  <si>
    <t>26.18.13</t>
  </si>
  <si>
    <t>Ultimate tensile strength- 1000 kN/m</t>
  </si>
  <si>
    <t>26.18.14</t>
  </si>
  <si>
    <t>Ultimate tensile strength- 1100 kN/m</t>
  </si>
  <si>
    <t>26.18.15</t>
  </si>
  <si>
    <t>Ultimate tensile strength- 1200 kN/m</t>
  </si>
  <si>
    <t>Providing at all heights, levels and locations Aluminium profile industrial troughed sheet of Alloy 31500/31000/40800, conforming to IS 1254, IS 737, IS 2676. The sheet shall be fixed using self drilling/self tapping SS screws of size 5.5x65 mm with EPDM seal complete upto required pitch in horizontal, vertical or curved surfaces i/c cutting to size and shape where required as per specifications, detail drawings and direction of Engineer-in-Charge. The rate shall be inclusive of all screws, seal, ridge, labour, scaffolding, machinery for fixing and approved sealent where required etc. but excluding the cost of purlins, rafters and trusses.</t>
  </si>
  <si>
    <t>26.19.1</t>
  </si>
  <si>
    <t>0.71 mm thick, the profile detail width 1044/920 mm, cover width 1000/875 mm.</t>
  </si>
  <si>
    <t>26.19.2</t>
  </si>
  <si>
    <t>0.91 mm thick, the profile detail width 1044/920 mm, cover width 1000/875 mm.</t>
  </si>
  <si>
    <t>Providing and fixing false ceiling at all heights with integral densified calcium silicate reinforced with fibre and natural filler false ceiling tiles of Size 595x595mm of approved texture, design and  patterns as per CPWD Specification 2019, to be laid in true horizontal level suspended on inter-locking metal  T-Grid of hot dipped galvanised iron section of 0.33mmthick  (galvanized  @  120  grams  per  sqm  including  both  sides)comprising of  main-T  runners of size 24x38 mm of length 3000 mm,cross  -  T  of  size  24x32  mm  of  length  1200  mm  and    secondaryintermediate cross-T  of size 24x32 mm of length 600mm to formgrid module of size 600 x 600 mm, suspended from ceiling usinggalvanised mild steel items (galvanizing @ 80 grams per sqm) i.e. 12x50 mm long dash fasteners, 6 mm dia fully threaded hanger rod upto 1000 mm length and L-shape level adjuster of size 76x25x25x1.6 mm fixed with grid and Z cleat of size 25x37x25x1.6mm thick with precut hole on both 25mm flange to pierce into 12x50mm or even bigger size dash fastener if require, fixed with Glavanised iron perimeter wall angle or size 24x24x0.40 mm of length 3000 mm to be fixed on periphey wall / partition with the help of plastic rawl plugs at 450mm center to center and 40 mm long dry wall S.S screws. The workshall be carried out as per specifications, drawing and as per directionsof the Engineer-in-Charge.</t>
  </si>
  <si>
    <t>26.22.1</t>
  </si>
  <si>
    <t>With 15 mm thick Tegular edged light weight calcium sliciate false ceiling tiles</t>
  </si>
  <si>
    <t>26.22.2</t>
  </si>
  <si>
    <t>With 15 mm thick tegular/butt edged without perforation plain/designer light weight calcium silicate Anti-Microbial Bio-Safe coated false ceiling tiles Confirming to JIS-Z2801 and ASTM G-21</t>
  </si>
  <si>
    <t>Providing and fixing false ceiling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  in true horizontal level suspended on inter-locking metal powder coated  T-Grid of hot dipped galvanised iron section of 0.40 mm thick on Silhouette profile,rotary stiched double webbed white with 6mm reveal profile (white/black),comprising of  main-T  runners of size 15x42mm of length 3000 mm, cross - T of size 15x42 mm of length 1200 mm and secondary intermediate cross-T  of size 15x42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22x19x0.40 mm of length 3000 mm to be fixed on periphery wall / partition with the help of plastic rawl plugs at 450 mm center to center and 40mm long dry wall S.S screws. The work shall be carried out as per specifications, drawing and as per directions of the Engineer-in-Charge.</t>
  </si>
  <si>
    <t>26.23.1</t>
  </si>
  <si>
    <t>With 15 mm thick integral densified micro edge light weight calcium silicate false ceiling tiles</t>
  </si>
  <si>
    <t>Providing and fixing in position wall panelling at all heights with integral densified calcium silicate panels/tiles of size 595 x 595mm, having NRC (Noise Reduction coefficient) of 0.50 (minimum) as per IS 8225:1987, Light reflectance of 85% (minimum). Non combustible as per BS:476 (part-4), fire performance as per BS:476 (part 6 &amp;7), humidity resistance of 100%, thermal conductivity &lt;0.043 W/m K as per ASTM 518:1991, comprising of a frame made from especially fabricated galvanised mild steel sheet 0.50 mm thick pressed section (galvanizing @120 grams per sqm including both sides) i.e.vertical studs of size 48 x 34 x 36 mm are placed at 600mm center to center in a floor and ceiling channel  section of size 50 x 32m fixed to the floor and soffit at 600mm centers using 12mm dia,50mm long wedge type expanded zinc alloy dash fastner with 10mm bolt. This same channel is then to be fixed in horiziontal direction at 600mm center to center so as to form a grid of 600mm x 600mm. Glasswool of 50mm thickness is then to be inserted in the slots and finally  calcium silicate non combustible panels/tiles are to be screw fixed with self tapping pan head nickel coated mild steel screws of size 13 x 3.2mm on to this grid leaving an even groove of 1 mm between the panels. The joints between the panels are to be duly jointed and finished using recommended jointing calcium silicate based compound and fiber joint tape roll 50mm wide  (90 metre )roll and two coats of primer suitable for panelling as per manufacturer's specification as per direction of Engineer-in-Charge all complete.</t>
  </si>
  <si>
    <t>26.24.1</t>
  </si>
  <si>
    <t>With 15 mm thick  fully perforated square/butt edge light weight calcium silicate panels/ tiles</t>
  </si>
  <si>
    <t>Providing and fixing 15 mm thick  false ceiling tiles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518:1991,in true horizontal level on the existing frame work consisting of T-sections and Lsections suitably fixed according to tile size as per direction of Engineer-in-charge.</t>
  </si>
  <si>
    <t>Providing &amp; fixing false ceiling at all heights with  GRG (Glass Fibre Reinforced Gypsum) false ceiling tiles of Size 595x595 mm of approved texture, design and patterns having moisture content less than 2%, humidity resistance of 99%, NRC0.50 to 0.75 as per IS 8225:1987, Non combustible as per BS 476 (part 4)-1970 and light reflectance of 85% (minimum) to be laid  in true horizontal level suspended on inter-locking metal T-Grid of hot dipped galvanised iron section of 0.33mm thick (galvanized @ 120 grams per sqm including both sides) comprising of  main-T  runners of size 15x32 mm of length 3000 mm, cross - T of size 15x32 mm of length 1200 mm and  secondary intermediate cross-T  of size 15x32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24x24x0.40 mm of length 3000 mm to be fixed on periphery wall / partition with the help of plastic rawl plugs at 450 mm center to center and 40 mm long dry wall wood screws. The work shall be carried out as per specifications, drawing and as per directions of the Engineer-in-Charge.</t>
  </si>
  <si>
    <t>26.26.1</t>
  </si>
  <si>
    <t>With semi perforated 12 mm thick micro tegular edged GRG false ceiling tiles.</t>
  </si>
  <si>
    <t>26.26.2</t>
  </si>
  <si>
    <t>With fully perforated 12 mm thick micro tegular edged or 10 mm thick square edged GRG false ceiling tiles.</t>
  </si>
  <si>
    <t>Providing and fixing mineral fibre false ceiling tiles at all heights of size 595X595mm of approved texture, design and pattern. The tiles should have Humidity Resistance (RH) of 99%, Light Reflectance ≥ 85%, Thermal Conductivity k = 0.052 - 0.057 w/m K, Fire Performance as per (BS 476 pt - 6 &amp;7)in true horizontal level suspended on interlocking T-Grid of hot dipped all round galvanized iron section of 0.33 mm  thick (galvanized @120 gsm)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t>
  </si>
  <si>
    <t>26.27.1</t>
  </si>
  <si>
    <t>With 16 mm thick beveled tegular mineral fibre false ceiling tile (NRC 0.55 to 0.6</t>
  </si>
  <si>
    <t>26.27.2</t>
  </si>
  <si>
    <t>With 20 mm thick beveled tegular mineral fibre false ceiling  tile (NRC 0.7)</t>
  </si>
  <si>
    <t>26.27.3</t>
  </si>
  <si>
    <t>With 16 mm thick beveled tegular mineral fibre  Anti-microbial false ceiling tile confirming to ISO 5 (class 100 ) specifications</t>
  </si>
  <si>
    <t>REPAIR AND REHABILITATION ITEMS</t>
  </si>
  <si>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t>
  </si>
  <si>
    <t>26.28.1</t>
  </si>
  <si>
    <t>75mm average thickness</t>
  </si>
  <si>
    <t>26.28.2</t>
  </si>
  <si>
    <t>50mm average thickness</t>
  </si>
  <si>
    <t>26.28.3</t>
  </si>
  <si>
    <t>25 mm average thickness</t>
  </si>
  <si>
    <t>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t>
  </si>
  <si>
    <t>26.29.1</t>
  </si>
  <si>
    <t>Bars upto 12 mm diameter</t>
  </si>
  <si>
    <t>26.29.2</t>
  </si>
  <si>
    <t>Bars above 12 mm diameter</t>
  </si>
  <si>
    <t>Drilling suitable holes in reinforced or plain cement concrete with power driven drill machine to a minimum depth of 100mm upto 200mm in RCC beams, lintels, columns and slabs to introduce steel bars for sunshades/balconies including fixing the steel bars in position using epoxy resin anchor grout of approved make but excluding the cost of reinforcement, all complete as per direction of Engineer-In-Charge.</t>
  </si>
  <si>
    <t>26.30.1</t>
  </si>
  <si>
    <t>Upto and including 12mm dia.</t>
  </si>
  <si>
    <t>Providing, mixing and applying bonding coat of approved adhesive on chipped portion of RCC as per  specifications and direction of Engineer-In-charge complete in all respect.</t>
  </si>
  <si>
    <t>26.31.1</t>
  </si>
  <si>
    <t>SBR Polymer (@10% of cement weight) modified cementitious bond coat @ 2.2 kg cement per sqm of surface area mixed with specified proportion of approved polymer</t>
  </si>
  <si>
    <t>26.31.2</t>
  </si>
  <si>
    <t>Epoxy bonding adhesive having coverage 2.20 sqm/kg of approved make</t>
  </si>
  <si>
    <t>Providing, mixing and applying SBR polymer (of approved make) modified Cement mortar in proportion of 1:4 (1 cement: 4 graded coarse sand with polymer minimum 2% by wt. of cement used)  as per specifications and directions of Engineer-in-charge.</t>
  </si>
  <si>
    <t>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t>
  </si>
  <si>
    <t>26.32.1</t>
  </si>
  <si>
    <t>12 mm average thickness.</t>
  </si>
  <si>
    <t>26.32.2</t>
  </si>
  <si>
    <t>25 mm average thickness in 2 layers.</t>
  </si>
  <si>
    <t>26.32.3</t>
  </si>
  <si>
    <t>50 mm average thickness in 3 layers.</t>
  </si>
  <si>
    <t>Providing, mixing and applying SBR polymer (of approved make @ minimum 2% by wt. of cement used) modified plain/reinforced cement concrete for structural members having  minimum characteristic compressive strength [with ordinary portland cement, coarse sand and graded stone aggregate of 10mm maximum size in proportion as per design criteria] with specified average thickness.</t>
  </si>
  <si>
    <t>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t>
  </si>
  <si>
    <t>26.33.1</t>
  </si>
  <si>
    <t>50mm thick in Grade M 25 with cement content not less than 330 kg per cum</t>
  </si>
  <si>
    <t>26.33.2</t>
  </si>
  <si>
    <t>75mm thick in Grade M 25 with cement content not less than 330 kg per cum</t>
  </si>
  <si>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t>
  </si>
  <si>
    <t>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t>
  </si>
  <si>
    <t>26.34.1</t>
  </si>
  <si>
    <t>26.34.2</t>
  </si>
  <si>
    <t>26.34.3</t>
  </si>
  <si>
    <t>100mm thick in Grade M 25 with cement content not less than 330 kg per cum</t>
  </si>
  <si>
    <t>Providing and injecting approved grout in  proportion recommended by the manufacturer into cracks/honey-comb area of concrete/masonry by suitable gun/pump at required pressure including cutting of nipples after curing etc. complete as per directions of Engineer-in-Charge.</t>
  </si>
  <si>
    <t>(The payment shall be made on the basis of actual weight of approved grout injected.)</t>
  </si>
  <si>
    <t>26.35.1</t>
  </si>
  <si>
    <t>Stirrer mixed Acrylic Polymer of approved make @ 2% of weight of cement used) modified Cement slurry made with non shrink compound in concrete/RCC work</t>
  </si>
  <si>
    <t>26.35.2</t>
  </si>
  <si>
    <t>Stirrer mixed SBR Polymer (of approved make) modified Cement slurry  made with Shrinkage Compensating Cement  in concrete/RCC work.</t>
  </si>
  <si>
    <t>26.35.3</t>
  </si>
  <si>
    <t>Epoxy injection grout in concrete/RCC work of approved make</t>
  </si>
  <si>
    <t>Providing, erecting, maintaining and removing temporary protective screens made out of specified fabric with all necessary fixing arrangement to ensure that it remains in position for the work duration as required by the Engineer-in-charge.</t>
  </si>
  <si>
    <t>26.36.1</t>
  </si>
  <si>
    <t>Wooven PVC cloth</t>
  </si>
  <si>
    <t>Cleaning of exposed concrete surface of  sticking material including loose and foreign material by sand blasting with coarse sand followed by and including cleaning with oil free air blast as per direction of Engineer in charge.</t>
  </si>
  <si>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t>
  </si>
  <si>
    <t>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t>
  </si>
  <si>
    <t>26.38.1</t>
  </si>
  <si>
    <t>25mm thick in Grade M 25 with cement content not less than 330 kg per cum</t>
  </si>
  <si>
    <t>26.38.2</t>
  </si>
  <si>
    <t>26.38.3</t>
  </si>
  <si>
    <t>Providing and inserting 12mm dia galvanised steel injection nipple in honey comb area and along crack line including drilling of holes of required diametre (20mm to 30mm) up to depth from 30mm to 80mm at required spacing and making the hole &amp; crack dust free by blowing compressed air, sealing the distance between injection nipple with adhesive chemical of approved make and allow it to cure complete as per direction of Engineer-In-Charge.</t>
  </si>
  <si>
    <t>Providing and fixing hard drawn steel wire fabric of size 75 x25 mm mesh or other suitable size wire mesh to be fixed &amp; firmly anchored to the concrete surface by means of "L" shaped mild steel shear key welded with existing reinforcement including the cost of materials, labour, tool &amp; plants as approved by Engineer-in-charge.</t>
  </si>
  <si>
    <t>NEW TECHNOLOGY ITEMS</t>
  </si>
  <si>
    <t>Designing, providing, installing and fixing factory finished custom designed cold form Light Gauge Steel Framed super structure comprising of steel wall panel, trusses, purlins etc manufactured out of minimum 0.75 mm thick steel sheet as per design requirements. The steel sheet shall be galvanized (AZ-150gms Aluminium Zinc Alloy coated steel having minimum yield strength 300-550 Mpa) conforming to AISI specifications and IBC 2009 for cold formed steel framing and construction and also as per IS: 875-1987, ISO 800-1984 and IS:801- 1975. The wind load shall be as per provisions of IS 875 (part -III). LGSFS frame shall be designed as per IS: 801 using commercially available software such as Frame CAD Pro-11.7/ STAAD PRO-V8i/ArchitekV2.5.16/ Revit architecture-2011 or equivalent.  Proper usage of Connection Accessories like Heavy Duty Tension Ties, Light Duty Hold-ons, Twist Straps (to connect truss with wall frames), Strong Tie, Tie Rod, H-Brackets, Boxing Sections, L-Shaped Angles for better structural stability. The framing section shall be cold form C-type having minimum web depth 89 mm x 39mm flange x 11mm lip in required length as per structural design requirement duly punched with dimple/slot at required locations as per approved drawings. The slots will be along centre line of webs and shall be spaced minimum 250mm away from both ends of the member. The frame can be  supplied in panelized or knock down condition in specific dimensions and fastened with screws extending through the steel beyond by minimum of three exposed threads. All self drilling tapping screws for joining the members shall have a Type II coating in accordance with ASTM B633(13) or equivalent corrosion protection of gauge 10 &amp; 12, TPI 16 &amp; 8 of length 20mm. The frames shall be fixed to RCC slab or Tie beam over Neoprene rubber using self expanding carbon steel anchor bolt of dia as per approved drawings. design subject to minimum 12mm diameter and 121mm length conforming to AISI 304 and 316 at 500mm c/c with minimum embedment of 100mm in RCC (RCC to be paid separately) and located not more than 300mm from corners or termination of bottom tracks complete in all respects. The item also includes the submission of stability reports duly examined and issued by any NIT/IIT. The rate includes the concept design, detailed design, fabrication of sections, transportation, installation and all required fixing  arrangement at site as described above.</t>
  </si>
  <si>
    <t>Providing and fixing of external wall system on Light gauge steel frame work with outer face cement boards as per standard sizes fixed with self- drilling / taping screws / fasteners @ 60cm c/c of approved make. A groove of 2 mm to 3mm shall be maintained and grooves shall be sealed with silicon based sealant. The board shall be fixed in a staggered pattern. Screws shall be of counter sunk rib head of 1.60mm to 4 mm thick or 8 to 10 gauge of length varying from 25 to 45 mm and. Internal face 12.5 mm thick gypsum plaster board fixed on cement board as per standard sizes fixed with self- drilling / taping screws / fasteners @ 60cm c/c of approved make, proper taping and jointing to be done using fiber mesh tape and epoxy and acrylic based jointing compound for seamless finish.(cost of frame work to be paid for separately)</t>
  </si>
  <si>
    <t>26.42.1</t>
  </si>
  <si>
    <t>Outer face- Outer face having 6mm thick fiber cement board Type A, Category-IV as per IS:14862:2000 fixed on 9mm thick fiber cement board, Type A, Category-IV as per IS:14862:2000 (high pressure steam cured)  Inner Face- 12.5 mm thick gypsum plaster board conforming to IS 2095:2011 fixed on 8 mm thick fibre cement board of Type B, Category-III as per IS:14862:2000  (High pressure steam cured)</t>
  </si>
  <si>
    <t>26.42.1 A</t>
  </si>
  <si>
    <t>Outer face- Outer face having 6mm thick fiber cement board Type A, Category-III as per IS:14862:2000   fixed on 9mm thick fiber cement board Type A, Category-III,  as per IS:14862:2000 (high pressure steam cured)  Inner Face- 12.5 mm thick gypsum plaster board conforming to IS 2095:2011 fixed on 8 mm thick fibre cement board  of  Type B, Category-III, as per  IS:14862:2000 (High pressure steam cured)</t>
  </si>
  <si>
    <t>26.42.2</t>
  </si>
  <si>
    <t>Outer face: Outer face having 8 mm thick cement bonded particle Board fixed on 10 mm thick cement bonded particle board. (Termite, Fire and Moisture Resistance) as per IS 14276:1995. Inner face:-12.5 mm thick gypsum plaster board conforming to IS 2095:2011 fixed on 8 mm thick cement bonded particle board (Termite, fire and moisture resistance) confirming to IS:14276:1995)</t>
  </si>
  <si>
    <t>Providing and fixing internal wall panels on Light gauge steel frame work with 12.5mm thick gypsum plaster board conforming IS 2095:2011 fixed on cement board as per standard sizes fixed with self-drilling / taping screws / fasteners @ 60cm c/c of approved make, Screws shall be of counter sunk rib head of 1.60mm to 4 mm thick or 8 to 10 gauge of length varying from 25 to 45 mm.  Proper taping and jointing to be done using fiber mesh tape and  epoxy and acrylic based jointing compound for seamless finish.(cost of frame work to be paid for separately</t>
  </si>
  <si>
    <t>26.43.1</t>
  </si>
  <si>
    <t>Cement Fiber Board 8 mm thick of  Type B, Category III as per IS 14862:2000  (High pressure Steam Cured)</t>
  </si>
  <si>
    <t>26.43.2</t>
  </si>
  <si>
    <t>Cement Bonded particle board 8 mm (Termite, Fire &amp; Moisture Resistance), as per IS:14276 : 1995</t>
  </si>
  <si>
    <t>Providing and fixing in all exterior face panels breathable vapour barrier underneath the cement fiber board as per National Building Code 2009 complete as per direction of Engineer-in-charge.</t>
  </si>
  <si>
    <t>Supplying and installation of moisture resistant/fire resistant cement board as per standard sizes fixed with self-drilling / taping screws. Screws shall be of counter sunk rib head of 1.60mm to 4 mm thick or 8 to 10 gauge of length varying from 25 to 45 mm.</t>
  </si>
  <si>
    <t>26.45.1</t>
  </si>
  <si>
    <t>Cement Fiber Board 6 mm thick as per IS 14862:2000 of type B (High pressure Steam Cured)</t>
  </si>
  <si>
    <t>26.45.2</t>
  </si>
  <si>
    <t>Cement Bonded particle board 8 mm thick (Termite, Fire &amp; Moisture Resistance), as per IS:14276 : 1995</t>
  </si>
  <si>
    <t>Providing and fixing in position, 200 mm thick factory made Expanded Polystyrene Core (EPS Core) wall panels consisting of EPS core sandwiched between two Engineered sheets of welded wire fabric mesh duly finished with shortcrete materials on outer faces. The fabric mesh shall be  made of 3 mm dia G.I. wire mesh with 50 mm pitch in both the directions and on both faces of the wall, kept at 120-135 mm gap and connected by the zig zag G.I. wire of 3 mm dia at alternate row by welding (at an angle ranging from 50-70 degree) . The EPS core shall consist of 100 mm thick EPS of density not less than 20 kg/ per cum. Both the outer faces of the panel shall be finished by applying  the layer of 50 mm thick cement mortar 1:3 {1 cement: 3 coarse sand (not having more than 40% stone chips of size upto 6 mm)} À with the help of shotcreting/guniting equipment etc at a pressure  not less than 1 bar (100Kn/m2) and both surfaces finished with trowel. Fixing operations of wall panels shall be completed in all respect as per drawings and specifications and under the overall direction of the Engineer-in-charge.</t>
  </si>
  <si>
    <t>Providing and fixing in position, 230mm thick factory made Expanded Polystyrene Core (EPS Core) roof/floor panels made of 3 mm dia G.I. wire mesh with 50 mm pitch in both the directions and on both faces of panel, kept at 120-135 mm gap and connected by the zig zag G.I. wire of 3 mm dia at alternate row by welding (at an angle ranging from 50-70 degree). The EPS core shall consist of 100 mm thick EPS of density not less than 20kg/ per cum. The bottom side of the panel shall be finished by applying a layer of 60-65 mm thick cement mortar 1: 3 {1 cement: 3 coarse sand (not having more than 40% stone chips of size upto 6 mm)} À with the help of shotcreting equipment etc at a pressure of not less than 1 bar (100Kn/m2) and surface finished with trowel. The top face of the panel shall be provided and finished by applying 70-75 mm thick layer of cement concrete 1:1.5: 3 (1 cement :1.5 coarse sand :  3 graded  stone aggregate 20 mm nominal size). Fixing operations of roof/floor panels shall be completed in all respect as per drawings and specifications and under the overall direction of the Engineer-in-charge.</t>
  </si>
  <si>
    <t>Providing and fixing of customized Aluminium form work for monolithic construction on RCC members with repetitive usage made up of aluminium sheets/plates of minimum 4mm thickness and grade 6061 (Type-6). The formwork comprises of (a) wall panel, roccker, kicker and internal soffit corner, external soffit corner, external corner, internal corner etc., (b) beam components i.e, beam side panel, prop head for soffit beam, beams soffit panel, beam soffit bulk head and (c) deck components i.e. deck panel, deck prop, prop length, deck mid, soffit length, deck beam bar. The panels are held in position by a simple pin and wedge system that passes thorugh holes in the out side rib of each panel. The tolerance of finished panel shall not be less than (-1 mm) and shall conform to IS 14987-1999. Pins and wedges to be made of high grade hot dipped galvansied mild steel. This form work also comprises of M.S. angle iron, "Z" shaped brackets braced diagonally at 0.90 to 1.00 metre centre to centre on extrenal wall face just the level below on which to lay M.S. square tube panels (Challis) and guard railing supports to form working platform and 40 mm dia G.I./M.S. telescopic adjustable props to support deck formwork and beam soffit panels including de-shuttering the formwork from odd/even level to be shifted/lifted to next alterante odd/even level before which the points and shuttering surface to be thoroughly   cleaned, pins greasing and shuttering surface oiling propoerly before fixing all complete including sealing of gap between kicker plates of wall panel and floors (if any) as per design of formwork as provided by shuttering supplier and as per direction of the Engineer-in-charge including filling and finishing the holes of varied sizes and shapes (left by keys/pins of aluminium form work shuttering while de-shuttering) with GP-2 cementitious polymer compound mixed with water in ratio prescribed by manufacturer to form consistent workable enough for pushing it in the holes upto full depth of wall using appropriate tools and finishing smooth all complete as per directions of the Engineer-in-charge.</t>
  </si>
  <si>
    <t>Providing and fixing in position factory made EPS cement sandwich wall/roof/floor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5mm thick each. Panel shall be laid on 6mm thick cement mortar (1 cement: 2 fine sand) mixed with chemical adhesive of 0.5kg per 50kg of cement or  shall be preferably fixed into 'C' channel made of 1.2mm thick MS plate screwed/fastenened to the slab/column/beam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t>
  </si>
  <si>
    <t>26.49.1</t>
  </si>
  <si>
    <t>Non load bearing panels 50mm thick of required size</t>
  </si>
  <si>
    <t>26.49.2</t>
  </si>
  <si>
    <t>Non load bearing panels 60mm thick of required size</t>
  </si>
  <si>
    <t>26.49.3</t>
  </si>
  <si>
    <t>Non load bearing panels 75mm thick of required size</t>
  </si>
  <si>
    <t>26.49.4</t>
  </si>
  <si>
    <t>Non load bearing panels 90mm thick of required size</t>
  </si>
  <si>
    <t>26.49.5</t>
  </si>
  <si>
    <t>Non load bearing panels 100mm thick of required size</t>
  </si>
  <si>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t>
  </si>
  <si>
    <t>26.50.1</t>
  </si>
  <si>
    <t>Non load bearing panels 50 mm thick of required size (minimum 4mm thick fibre cement board Type B, Category III  as per IS: 14862:2000 on both faces )</t>
  </si>
  <si>
    <t>26.50.1 A</t>
  </si>
  <si>
    <t>Non load bearing panels 50 mm thick of required size (minimum 4mm thick fibre cement board Type A, Category III as per IS: 14862:2000  on both faces )</t>
  </si>
  <si>
    <t>26.50.1 B</t>
  </si>
  <si>
    <t>Non load bearing panels 50 mm thick of required size (minimum 4mm thick fibre cement board Type A,  Category IV as per IS: 14862:2000 on both faces)</t>
  </si>
  <si>
    <t>26.50.2</t>
  </si>
  <si>
    <t>Non load bearing panels 75 mm thick of required size (minimum 5mm thick fibre cement board Type B, Category III as per IS: 14862:2000 on both faces)</t>
  </si>
  <si>
    <t>26.50.2 A</t>
  </si>
  <si>
    <t>Non load bearing panels 75 mm thick of required size (minimum 5mm thick fibre cement board Type A, Category III  as per IS: 14862:2000 on both faces)</t>
  </si>
  <si>
    <t>26.50.2 B</t>
  </si>
  <si>
    <t>Non load bearing panels 75 mm thick of required size (minimum 5mm thick fibre cement board Type A, Category IV as per IS: 14862:2000 on  both faces)</t>
  </si>
  <si>
    <t>Supplying of standard quality GFRG panel of 124 mm thickness with modular cavities purchased from GFRG panel manufacturing plant in the country, cut to required wall sizes and floor/ roof slab sizes in correct length and height, including cutting of door, window and ventilator opening as per the cutting drawing prepared by architects /design engineers for the construction of GFRG building and loaded in stillages for transportation to the construction site. Cost of panel includes security deposits, hire charges of stillages &amp; jaws, cost of transportation in trucks/ lorries without any damages upto 300kms including all leads and lifts from GFRG manufacturing plant to construction site and unloading at site using suitable fork lift/ crane. (Payment shall be made on the basis of area of one side of panel without reduction of opening of door/ window / ventilator). For transportation above 300kms, additional charges to be paid.</t>
  </si>
  <si>
    <t>Erection of GFRG Panels in walls in all floors using suitable crane as per instructions of Engineer-in-Charge, as per cutting drawings and structural drawings, in perfect line and plumb, above RCC plinth beam/GFRG panel below and provide necessary lateral/ slanting support to keep the wall panel in safe position, providing &amp; tieing of Reinforcement as per structural drawings and   applying   a   coat   of   water   repellant   coating Zycosil/equivalent or equivalent product (1 Zycosil/equivalent  compound :10 water ) to saturation level over RCC plinth beam to provide water proofing treatment to joint between  wall panel  &amp; plinth beam as per the guide lines / instruction by the engineer in charge. (Cost of reinforcement, water proofing of walls and plinth beam/GFRG panel below joints and installation of door/ window frames before filling of concrete shall be paid separately).  The rate quoted shall include making provision for laying of lintels, beams,  sunshades, staircase beams, lofts, plumbing work, electrical conduits and any structural insertion etc., as per the drawing and direction of the engineer in charge. The payment shall be made based on the actual exposed area (one side only) of the panel.
The work shall be carried out as per the Special Conditions For Glass Fibre Reinforced Gypsum (GFRG) Structures mentioned in NIT.
Note: i) When cutting panel, “A” side is to be for outside or external surface of respective external wall and B side is to be for internal surface of wall   
ii)Erection of panel is to be with reference to both building plan &amp; cutting drawing by following notational mark indicated in the cutting drawing as well as  notional mark written on each panel cut as per cutting drawing</t>
  </si>
  <si>
    <t>Filling of empty cavities (as shown in the structural design drawing) with quarry dust mixed with 5% cement (by volume). After initial infill of 50 mm thick with M25 concrete at base/bottom of cavities to seal off, infill wall panel cavities in 3 stages as detailed below, 
(i) 1st pour / infill  to be limited to 0.3 to 0.50 m height from bottom of the panel.
(ii) 2nd Pour/ infill: infilling shall be done only after 90 minutes interval between successive pours. The maximum height of infill shall be restricted to 1.5m height or up to the top level of door / window.
(iii) 3rd pour/infill: After an interval of 90 minutes of second pour, infill or pour the balance height up to the bottom of embedded RCC tie beam.                                                                                                                    Pour enough water just required to dampen the dry mix enough to form cake form after each stage.
(cost of laying M25 concrete shall be paid separately)
(If any rain falls in between any stages of concrete pour, make sure to cover the panel top to prevent ingress of water or water falling into the cavities. In case of water collection over the concrete inside the panel, drill 10mm hole in GFRG panel immediately above concrete filled level to drain out water before pour/in-fill of balance concreting)</t>
  </si>
  <si>
    <t>Laying of GFRG panel as roof / floor slab panel and staircase panel using suitable crane as per instructions of Engineer-in-Charge, including providing support system with 25mm x 300mm-400 mm wide plywood, as runner with proper prop below proposed micro beams  including
(a) Cutting of top flange of panel to 180 mm wide (leaving 25mm projection on either side) to provide RCC embedded micro beam as per cutting drawings and structural drawings.   
(b) Reinforcement for micro beams and tie beams to be provided in position with proper anchorage as per structural drawings. 
(c) Provision for Electrical cabling,  fan hooks and laying of pipes for plumbing work. 
(d) Concreting of Tie beam, micro beam and top of GFRG panels (50 mm thick) with  M-25 cement concrete mix using coarse aggregate of size less than 20 mm including laying of 10 gauge 100x100 size weld mesh with 25 mm effective cover from the panel top.</t>
  </si>
  <si>
    <t>Supplying and fixing 10 Gauge weld mesh of size 100mm x100 mm for floor/roof slab concrete screed over the micro beams as reinforcement. The weld mesh shall be fixed as per drawing.</t>
  </si>
  <si>
    <t>Application of ZMB 60/equivalent solution (100 Kg ZMB 60/equivalent, 1 litre ZMB Nano Thinner, 20 litre water &amp; 1 Litre Zycoprime/equivalent = 122 litre/kg) over already applied coat of Zycosil/equivalent &amp; Zycoprime/equivalent solution on the top of all the RCC plinth beams by brush/spray coat  before erection of GFRG over RCC plinth beams in GF. In the case of upper floors 150 mm wide on floor slab for all the external walls, bath/toilet/wet areas (3 hrs drying time) before erection of wall panel on upper floors including erection of parapet wall.</t>
  </si>
  <si>
    <t>After erection of GFRG wall panels, seal all GFRG wall joints with paper tape temporarily. Water proofing treatment of vertical joints with  Zycosil/equivalent water proofing Solution (1 litre of Zycosil/equivalent &amp; 20 litres of water stirred first &amp; 2 litres of Zycoprime/equivalent added and stirred (total 23 litres)) with 50 ml syringe till the gap and in filled concrete is completely saturated. After removing the paper seal, seal off the vertical joints with water proofing material "Grout RW/equivalent " (Sealing cost excluded.)</t>
  </si>
  <si>
    <t>Filling of joints between RCC plinth beam / floor slab and wall panel of external walls, toilet / bath room / wet areas walls on all floor and parapet wall over roof slab, stair case head room at the time of erection of GFRG panels with Grout RW/equivalent sealant compound after the erection of panel  before  the infill of concrete in panel cavities and fine finish. This applies for all horizontal and vertical joints between GFRG wall and slab panels.</t>
  </si>
  <si>
    <t>Water proofing treatment of Vertical joints (of external side and internal side) between door frame, window &amp; ventilator frames (on all four sides) of outer wall over the Zycosil/equivalent &amp; Zycoprime/equivalent solution already applied (before the installation of door / window / ventilator frames in position) and fine finish with Grout RW/equivalent.</t>
  </si>
  <si>
    <t>Water proofing treatment of RCC sunshade with  Zycosil/equivalent water proofing Solution (1 litre of Zycosil/equivalent &amp; 20 litres of water stirred first &amp; 2 litres of Zycoprime/equivalent added and stirred (total 23 litres)) till it meets the saturation level and testing as per RILEM or by  water drops test in which water drops do not absorb but drops remain or rolls.</t>
  </si>
  <si>
    <t>In-filling / sealing of joint between RCC lintel cum sunshade and wall (on external side) in all floors by pushing in Grout RW/equivalent  in paste form and coving 20 mm x 20 mm after applying a coat of Zycosil/equivalent &amp; zycoprime/equivalent solution before cement plastering of top, bottom and sides of RCC sunshade.</t>
  </si>
  <si>
    <t>Designing, Providing, installing and fixing factory finished customed design pregalvanized high tensile steel joists manufactured from G350 Z275 confirming to IS:277-1992, minimum coating of galvanizing 275 gm/sqm, minimum yield stress 35 MPa &amp; minimum tensile strength of 380 MPa placed 1.23 metre apart to support the load of slab etc as per the design &amp; directions of Engineer-in-Charge.</t>
  </si>
  <si>
    <t>Providing and fixing special adjustable lockbars of mild steel E-250 to support the temporary plywood for work between joists during construction as per design &amp; directions of the Engineer-in-charge.</t>
  </si>
  <si>
    <t>Centering and shuttering with 12mm thick shuttering plywood confirming to IS 4990:2011 and removal of form at all heights. Plywood will be supported on lock bars.</t>
  </si>
  <si>
    <t>26.64.1</t>
  </si>
  <si>
    <t>Suspended floors, roofs, landings, balconies and access platform.</t>
  </si>
  <si>
    <t>Providing and fixing roofing consist of 0.8 mm thick galvanized steel deck sheet confirming to IS 277:1992 used as permanent shuttering over which MS wire mesh 3mm laid at 100x100 mm grid including edge trim covered with concrete. This metal deck will be supported on structural steel beam with shear studs. (Structural steel like Beam, column, joists etc. &amp; concrete of different grade as per design will be paid separately).</t>
  </si>
  <si>
    <t>Providing and fixing in position, 130 mm thick factory made Expanded Polystyrene Core (EPS Core) wall panels consisting of EPS core sandwiched between two Engineered sheets of welded wire fabric mesh duly finished with shortcrete materials on outer faces. The fabric mesh shall be made of 3 mm dia zinc coated G.I. wire mesh with 50 mm pitch in both the directions and on both faces of the wall and connected by GI wire of 3mm dia at alternate row by welding. The EPS core shall consist of 60 mm thick EPS of density not less than 16 kg/ per cum. Both the outer faces of the panel shall be finished by applying the layer of 35 mm thick cement mortar 1:3 {1 cement: 3 coarse sand (not having more than 40% stone chips of size upto 6 mm)} with the help of shotcreting/guniting equipment etc at a pressure not less than 1 bar (100KN/m2) and both surfaces finished with trowel. Fixing operations of wall panels shall be completed in all respect as per drawings and specifications and under the overall direction of the Engineer-in-charge.</t>
  </si>
  <si>
    <t>Providing and fixing of external thermal insulation and composite system with First layer of self-extinguishing type Expanded Polystyrene (EPS) insulation boards of 120 mm thick ( max 1mX0.5m section), confirming to IS 4671:1984, having thermal conductivity of 0.034 W/mK, (measured as per IS 3346-1980), density of 20-24 kg/m³ measured as per IS 5688-1982, Fire retardant property self-extinguishing type as per EN 13501-1, bonded with special polymer modified cementitious adhesive confirming to EOTA ETAG 004 (European Technical Approval)  formulated to bond polystyrene insulation boards to typical mineral substrate (according to  ETAG 004) and Polypropylene mechanical fasteners with plastic pin confirming to EOTA ETAG 014 (European Technical Approval) having dia 10mm &amp; L=200mm  on finished level wall and the junction between two adjacent EPS boards to be sealed with low expansion moisture cure Polyurethane Foam. Second layer consists of Fiberglass mesh covered with alkali-resistant coating, mass per unit area ≥145 gm/m², mesh size: 3.9x4.0 mm ±10% embedded in special polymer modified cementitious Base Coat with hydrophobes and the corners will be protected with Corner-beads with alkali-resistant mesh wings at least 10 cm wide, mesh mass per unit area min 145 gm/m². The surface will be levelled, finished, made smooth complete in all respect as per manufactures specification and as per directions of Engineer-in-Charge.</t>
  </si>
  <si>
    <t>Providing and laying factory made Precast concrete solid blocks of 200 mm thickness of grade M10 made of C&amp;D waste from approved manufacturer in foundation and plinth in:</t>
  </si>
  <si>
    <t>26.68.1</t>
  </si>
  <si>
    <t>Providing and laying factory made Precast concrete solid blocks of 200 mm thickness of grade M10 made of C&amp;D waste from approved manufacturer in superstructure above plinth level up to floor V level</t>
  </si>
  <si>
    <t>26.69.1</t>
  </si>
  <si>
    <t>Providing and laying half block masonry with factory made Precast concrete solid blocks of 100 mm thickness of grade M10 made of C&amp;D waste from approved manufacturer in foundation and plinth in:</t>
  </si>
  <si>
    <t>26.70.1</t>
  </si>
  <si>
    <t>Cement mortar 1:4(1 cement : 4 coarse sand)</t>
  </si>
  <si>
    <t>Providing and laying half block masonry with factory made Precast concrete solid blocks of 100 mm thickness of grade M10 made of C&amp;D waste from approved manufacturer in superstructure above plinth level up to floor V level:</t>
  </si>
  <si>
    <t>26.71.1</t>
  </si>
  <si>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t>
  </si>
  <si>
    <t>PREFAB/PRECAST TECHNOLOGY</t>
  </si>
  <si>
    <t>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t>
  </si>
  <si>
    <t>Note: Excess/less cement over the specified cement content used as per design mix is payable/recoverable separately)</t>
  </si>
  <si>
    <t>26.73.1</t>
  </si>
  <si>
    <t>Concrete Grade-M-40 (cement content 400 kg )</t>
  </si>
  <si>
    <t>26.73.1.1</t>
  </si>
  <si>
    <t>100 mm thick hollow core slab</t>
  </si>
  <si>
    <t>26.73.1.2</t>
  </si>
  <si>
    <t>120 mm thick hollow core slab</t>
  </si>
  <si>
    <t>26.73.1.3</t>
  </si>
  <si>
    <t>150 mm thick hollow core slab</t>
  </si>
  <si>
    <t>26.73.1.4</t>
  </si>
  <si>
    <t>200 mm thick hollow core slab</t>
  </si>
  <si>
    <t>26.73.1.5</t>
  </si>
  <si>
    <t>250 mm thick hollow core slab</t>
  </si>
  <si>
    <t>26.73.1.6</t>
  </si>
  <si>
    <t>300 mm thick hollow core slab</t>
  </si>
  <si>
    <t>26.73.1.7</t>
  </si>
  <si>
    <t>350 mm thick hollow core slab</t>
  </si>
  <si>
    <t>26.73.1.8</t>
  </si>
  <si>
    <t>400 mm thick hollow core slab</t>
  </si>
  <si>
    <t>26.73.2</t>
  </si>
  <si>
    <t>Extra for using M-50 (Cement content 425 kg) instead of M-40</t>
  </si>
  <si>
    <t>26.73.2.1</t>
  </si>
  <si>
    <t>100mm thick hollow core slab</t>
  </si>
  <si>
    <t>26.73.2.2</t>
  </si>
  <si>
    <t>120mm thick hollow core slab</t>
  </si>
  <si>
    <t>26.73.2.3</t>
  </si>
  <si>
    <t>150mm thick hollow core slab</t>
  </si>
  <si>
    <t>26.73.2.4</t>
  </si>
  <si>
    <t>200mm thick hollow core slab</t>
  </si>
  <si>
    <t>26.73.2.5</t>
  </si>
  <si>
    <t>250mm thick hollow core slab</t>
  </si>
  <si>
    <t>26.73.2.6</t>
  </si>
  <si>
    <t>300mm thick hollow core slab</t>
  </si>
  <si>
    <t>26.73.2.7</t>
  </si>
  <si>
    <t>350mm thick hollow core slab</t>
  </si>
  <si>
    <t>26.73.2.8</t>
  </si>
  <si>
    <t>400mm thick hollow core slab</t>
  </si>
  <si>
    <t>26.73.3</t>
  </si>
  <si>
    <t>Extra for using M-60 (Cement content 440 kg) instead of M-40</t>
  </si>
  <si>
    <t>26.73.3.1</t>
  </si>
  <si>
    <t>26.73.3.2</t>
  </si>
  <si>
    <t>26.73.3.3</t>
  </si>
  <si>
    <t>26.73.3.4</t>
  </si>
  <si>
    <t>26.73.3.5</t>
  </si>
  <si>
    <t>26.73.3.6</t>
  </si>
  <si>
    <t>26.73.3.7</t>
  </si>
  <si>
    <t>26.73.3.8</t>
  </si>
  <si>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11447:1985 and as per approved shop drawings and design mix as per the direction of Engineer-in-Charge (Cost of reinforcement, Mechanical, Electrical and Plumbing inserts will be paid separately).</t>
  </si>
  <si>
    <t>26.74.1</t>
  </si>
  <si>
    <t>Concrete grade M-35 (Cement content 370 kgs)</t>
  </si>
  <si>
    <t>26.74.2</t>
  </si>
  <si>
    <t>Extra for using M-40 (Cement content 400 kg) instead of M-35</t>
  </si>
  <si>
    <t>26.74.3</t>
  </si>
  <si>
    <t>Extra for using M-50 (Cement content 425 kg) instead of M-35</t>
  </si>
  <si>
    <t>26.74.4</t>
  </si>
  <si>
    <t>Extra for using M-60 (Cement content 440 kg) instead of M-35</t>
  </si>
  <si>
    <t>Providing &amp; laying in position Prestressing steel strands (low relaxation) on hollow core bed by using mechanical pulling arrangement like Rabbit/ Bed master including all accessories  for Stressing  &amp; destressing operations as per approved make conforming to IS1343 &amp; grade FY-1860 etc, complete as per drawings and direction of Engineer -in-charge.</t>
  </si>
  <si>
    <t>Transportation of Precast Elements by flat bed Trailor (Double / Triple axle 40ft Length with proper accessories like A frame  etc) from factory, including the cost of loading , unloading &amp; stacking at site with the help of required capacity cranes.</t>
  </si>
  <si>
    <t>26.76.1</t>
  </si>
  <si>
    <t>Lead within 15km</t>
  </si>
  <si>
    <t>MT</t>
  </si>
  <si>
    <t>26.76.2</t>
  </si>
  <si>
    <t>Add/Deduct over item 26.76.1  for every additional lead of 5 km</t>
  </si>
  <si>
    <t>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15916 as per approved shop drawings and all complete as per the direction of Engineer-in-Charge but excluding the cost of sim pads, non shrink grout and steel works i.e hangers. All work up to fifth floor.</t>
  </si>
  <si>
    <t>26.77.1</t>
  </si>
  <si>
    <t>Prestressed hollow core Slab up to 200 mm thickness</t>
  </si>
  <si>
    <t>26.77.2</t>
  </si>
  <si>
    <t>Prestressed hollow core slab above 200 mm up to 400 mm thickness</t>
  </si>
  <si>
    <t>26.77.3</t>
  </si>
  <si>
    <t>Solid concrete wall elements</t>
  </si>
  <si>
    <t>Providing &amp; Applying weather proof sealant on outer joints of approved make confirming to IS &amp; directed by Engineer-in-charge.</t>
  </si>
  <si>
    <t>26.78.1</t>
  </si>
  <si>
    <t>Sealant 25mmx10mm at joints</t>
  </si>
  <si>
    <t>Providing &amp; Laying of levelling sim pads required sizes (5x5cm to 10x10cm) of PVC / Rubber to adjust level of bearing surface of supporting members as per the direction of Engineer in charge.</t>
  </si>
  <si>
    <t>26.79.1</t>
  </si>
  <si>
    <t>2mm thick</t>
  </si>
  <si>
    <t>26.79.2</t>
  </si>
  <si>
    <t>5 mm thick</t>
  </si>
  <si>
    <t>26.79.3</t>
  </si>
  <si>
    <t>10 mm thick</t>
  </si>
  <si>
    <t>Providing &amp; Grouting of dowel tubes / Shear keys / Joints of precast members with M-60 grade cementitious grout (Non Shrink) of approved make by suitable means ( Free flowing /pump),curing etc. Complete as per directions of Engineer-in-charge. (The payment shall be made on the basis of actual weight of approved grout injected.)</t>
  </si>
  <si>
    <t>26.80.1</t>
  </si>
  <si>
    <t>Stirrer mixed cementitious grout (non shrink) of approved make in dowel tubes / Shear keys / Joints of precast members.</t>
  </si>
  <si>
    <t>Providing and fixing Scaffolding net of required width made of high density Polyethylene UV stabilized knitted on warp knitting machines having density 100grams/sqm and shading coefficient minimum 75% around the construction site/ for vertical extension as per requirement including fastening/tying with building/scaffolding pipes or with any other fixtures etc. complete as per direction of Engineer-in-Charge. (One time payment shall be made for providing Scaffolding net from start of work till completion of work including shifting if any. The Scaffolding net shall be the property of the contractor on completion of the work)</t>
  </si>
  <si>
    <t>Providing and laying rigid EPS (cellular plastic material) blocks conforming to ASTM standards/specifications of minimum density 21.60 Kg/cum on floors, steps, stage etc. of required size and shape as per direction of the Engineer-in-Charge. This shall include the following operation. 
The EPS blocks shall be cut to required shape and sizes including cuttings for passing of   services, joined together with synthetic resin adhesives as per relevant specifications and packed/placed in position for stepped floor or platform formation. The top and sides surfaces to be provided with GI woven wire mesh of aperture 5.45 mm (with wire dia 0.90 mm) secured to EPS blocks with wire pins/clips. Horizontal top surface to be provided with 20 mm thick cement concrete 1:2:4 (1 cement : 2 coarse sand : 4 graded stone aggregate upto 6mm chippings) and vertical surface to be provided with 12mm cement plaster 1:4 (1 cement : 4 coarse sand). The concrete/plastered surfaces so prepared shall be scratched with wire brushes to form burrs, so as to act as base for flooring or veneering/panelling to be done later as per approved design (which shall be paid for separately complete as per direction of the Engineer-in-Charge.</t>
  </si>
  <si>
    <t>Applying stamping finish to the top surface of freshly laid plain/reinforced cement concrete of specified grade in porticos, sidewalks, driveways, pool decks and open yards as per direction of the Engineer-in-Charge. The process shall include the following:-
• The concrete shall be placed and screeded to the finished grade, and floated to a uniform surface by using standard finishing techniques. The approved color hardener @ 2.7 kg/sqm shall be applied evenly to the surface of the fresh concrete by the dry shake method by sprinkling in two or more shakes, floated after each shake and trowelled only after the final floating. The approved release agent @ 0.113 kg/sqm shall be applied evenly to the trowelled surface before stamping or the said release agent can be applied to the flexible polyurethane stamp moulds of approved design and in required sizes to achieve final stamped pattern. These stampings shall be placed on the surface of concrete in three to four pieces at a time and tapped gently with rammers of sufficient size &amp; weight to leave proper stamp marks and the process repeated for the remaining concrete surface till the whole surface to be stamped is completed within the time while concrete is in plastic stage of setting.
• After stamping, the curing shall be done as per manufactures specifications. After initial curing the imprinted joints shall be grouted using cement slurry mixed with color hardener as per the requirement. The surface shall be sealed by applying acrylic based sealer not less than 0.167 litre/sqm.on finished surface.
• The construction joints shall be provided by groove cutting of size 4mm x 20mm in panel size 3m x 3 m or lesser as per the site conditions and filling the same with 10 mm baker rod and providing and laying (PU) Polyurethane based joint sealer of approved make as per manufacturer’s specifications and finished by applying Polyurethane resin  based top protective clear coat of minimum 80 micron applied with rollers on properly cured and dry clean surface. (Cost of concrete for flooring is not included in this item which shall be paid separately.)</t>
  </si>
  <si>
    <t>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t>
  </si>
  <si>
    <t>26.84.1</t>
  </si>
  <si>
    <t>Uni Axial Woven polyster geogrid of minimum tensile strength 40KN/m in the Longitudinal direction and 20 KN/m in the Transverse direction.</t>
  </si>
  <si>
    <t>26.84.2</t>
  </si>
  <si>
    <t>Uni Axial Woven polyster geogrid of minimum tensile strength 60KN/m in the Longitudinal direction and 20 KN/m in the Transverse direction.</t>
  </si>
  <si>
    <t>26.84.3</t>
  </si>
  <si>
    <t>Uni Axial Woven polyster geogrid of minimum tensile strength 80 KN/m in the Longitudinal direction and 30 KN/m in the Transverse direction.</t>
  </si>
  <si>
    <t>26.84.4</t>
  </si>
  <si>
    <t>Uni Axial Woven polyster geogrid of minimum tensile strength 100KN/m in the Longitudinal direction and 30 KN/m in the Transverse direction.</t>
  </si>
  <si>
    <t>26.84.5</t>
  </si>
  <si>
    <t>Uni Axial Woven polyster geogrid of minimum tensile strength 120KN/m in the Longitudinal direction and 30 KN/m in the Transverse direction.</t>
  </si>
  <si>
    <t>26.84.6</t>
  </si>
  <si>
    <t>Uni Axial Woven polyster geogrid of minimum tensile strength 150KN/m in the Longitudinal direction and 30 KN/m in the Transverse direction.</t>
  </si>
  <si>
    <t>26.84.7</t>
  </si>
  <si>
    <t>Uni Axial Woven polyster geogrid of minimum tensile strength 200KN/m in the Longitudinal direction and 30 KN/m in the Transverse direction.</t>
  </si>
  <si>
    <t>26.84.8</t>
  </si>
  <si>
    <t>Uni Axial Woven polyster geogrid of minimum tensile strength 250KN/m in the Longitudinal direction and 30 KN/m in the Transverse direction.</t>
  </si>
  <si>
    <t>26.84.9</t>
  </si>
  <si>
    <t>Uni Axial Woven polyster geogrid of minimum tensile strength 300KN/m in the Longitudinal direction and 30 KN/m in the Transverse direction.</t>
  </si>
  <si>
    <t>Supplying and laying of Bi-Axial Woven Polyster Geogrid conforming to MORTH 3100 and IRC113, as soil reinforcement/basal reinforcement of granular road base and sub base, area stalilization, track bed stabilization, load transfer platforms Including accessories like tie-strips, nuts &amp; bolts and loops/lugs for joining reinforcing elements with the facia pannels, overlaps and other protective elements for synthetic geo-grids and all other activities required etc. complete as per design requirements, manufacturer specifications and as per direction of engineer-in- charge.</t>
  </si>
  <si>
    <t>26.85.1</t>
  </si>
  <si>
    <t>Bi Axial Woven polyster geogrid of minimum tensile strength 20KN/m in both Longitudinal and Transverse direction.</t>
  </si>
  <si>
    <t>26.85.2</t>
  </si>
  <si>
    <t>Bi Axial Woven polyster geogrid of minimum tensile strength 40KN/m in both Longitudinal and Transverse direction.</t>
  </si>
  <si>
    <t>26.85.3</t>
  </si>
  <si>
    <t>Bi Axial Woven polyster geogrid of minimum tensile strength 60KN/m in both Longitudinal and Transverse direction.</t>
  </si>
  <si>
    <t>Providing and fixing factory made single extruded WPC (Wood Polymer Composite) solid door/window/Clerestory windows &amp; other Frames/Chowkhat comprising of virgin PVC polymer of K value 58-60 (Suspension Grade), calcium carbonate and natural fibers (wood powder/ rice husk/wheat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t>
  </si>
  <si>
    <t>Note: For WPC solid door/window frames, minus 5mm tolerance in  dimensions i.e  depth and width of profile shall be acceptable. Variation in profile dimensions on plus side shall be acceptable but no extra payment on this account shall be made.</t>
  </si>
  <si>
    <t>26.86.1</t>
  </si>
  <si>
    <t>Frame size 45 x 70 mm</t>
  </si>
  <si>
    <t>26.86.2</t>
  </si>
  <si>
    <t>Frame size 45 x 85 mm</t>
  </si>
  <si>
    <t>26.86.3</t>
  </si>
  <si>
    <t>Frame size 50 x 100 mm</t>
  </si>
  <si>
    <t>26.86.4</t>
  </si>
  <si>
    <t>Frame size 50 x 125 mm</t>
  </si>
  <si>
    <t>26.86.5</t>
  </si>
  <si>
    <t>Frame size 65 x 100 mm</t>
  </si>
  <si>
    <t>26.86.6</t>
  </si>
  <si>
    <t>Frame size 65 x 125 mm</t>
  </si>
  <si>
    <t>26.86.7</t>
  </si>
  <si>
    <t>Frame size 65 x 150 mm</t>
  </si>
  <si>
    <t>Providing and fixing factory made single extruded WPC (Wood Polymer Composite) solid plain flush door shutter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butt hinges of required size with necessary full body threaded star headed counter sunk S.S screws, all as per direction of Engineer-In- Charge. (Note: stainless steel butt hinges and necessary S.S screws shall be paid separately)</t>
  </si>
  <si>
    <t>26.87.1</t>
  </si>
  <si>
    <t>26.87.2</t>
  </si>
  <si>
    <t>Providing and fixing factory made single extruded WPC (Wood Polymer Composite) solid decorative type flush door shutter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WPC to be laminated with PVC foil of minimum 14 microns thick of approved design pasted with hot melt adhesive on both faces of shutter and fixing with stainless steel butt hinges of required size with necessary full body threaded star headed counter sunk S.S screws, all as per direction of Engineer-In- Charge. (Note: stainless steel butt hinges and necessary S.S screws shall be paid separately)</t>
  </si>
  <si>
    <t>26.88.1</t>
  </si>
  <si>
    <t>26.88.2</t>
  </si>
  <si>
    <t>Providing and fixing factory made single extruded WPC (Wood Polymer Composite) solid board one side white color and other side of board laminted with PVC  foil of minimum 14 micron thickness of approved design pasted with hot melt adhesive for cup boards, work stations and bathroom/kitchen cabinet etc. of required sizes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piano hinges/soft close clip on concealed hinges of required size with necessary full body threaded star headed counter sunk S.S screws, all as per direction of Engineer-In- Charge. (Note: stainless steel piano hinges/soft close clip on concealed hinges and necessary S.S screws shall be paid separately)</t>
  </si>
  <si>
    <t>26.89.1</t>
  </si>
  <si>
    <t>26.89.2</t>
  </si>
  <si>
    <t>Providing and fixing factory made single extruded WPC (Wood Polymer Composite) solid plain white color board for backing of cup boards and bathroom/kitchen cabinets etc.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screws etc. all as per direction of Engineer-In- Charge. (Note: stainless steel screws shall be paid separately)</t>
  </si>
  <si>
    <t>26.90.1</t>
  </si>
  <si>
    <t>6 mm thick</t>
  </si>
  <si>
    <t>26.90.2</t>
  </si>
  <si>
    <t>Providing and fixing factory made 18 mm thick single extruded WPC (Wood Polymer Composite) solid plain white colour board Jali, CNC (Computer numeric control) routed of approved design by Engineer-in -charge which are  machine cut for duct/shaft covering, partitions and facades comprising of virgin polymer of  K value 58-60 (Suspension Grade), calcium corbonate  and natural fibers (wood powder/ rice husk/wheat husk)  and non toxic additives(maximum toxicity index of 12 for 100 gms)  having minimum density of 650 kg/cum and screw withdrawal strength of 1800 N (Face) minimum  compressive strength  50 N/mm2, modulus of elasticity 850 N/mm2 and resistance to spread of  flame of Class A  category with properties of being termite/borer proof, water/moisture proof and fire retardant and fixing on M.S (mild steel) frame made of 25  x 25 x 1.5 mm square hollow box section including applying a priming coat of approved steel primer, placed at grid made at 1.0 x 1.0 m or as per requirement at site with necessary stainless steel fasteners and SS screws etc., all complete as per direction of Engineer-In- Charge. 
(Note: M.S (mild steel) framework with priming coat and necessary SS fasteners and SS screws shall be paid separately.</t>
  </si>
  <si>
    <t>Providing and fixing of façade at all heights with extruded hollow Clay / Terracotta ventilated rainscreen tiles of height 250/ 300/ 400mm and length of 595 mm of approved texture,design and pattern having Flexural Strength/ Modulus of Rupture of ≥ 14 N/m² and maximum water absorption of 10% tested as per ISO 10545-4:2004(E) and ISO 10545-3:1995 respectively in true level fixed to a supporting aluminium framework(Alloy 6063 T5/T6) consisting of vertical 'T' (for intermediates)/ 'L'(for ends/ termination)/ Tubular sections (at corners)of size 80x60x2mm/ 40x60x2mm/ 40x40x2mm respectively, spaced at maximum spacing of 600mm c/c matching to the tile vertical grid, and horizontal aluminium 'C'-clamps of size 56x25x2mm thickness of length 150mm at junction of tiles and of length 75mm at wall ends/ corners fixed on top of the vertical sections at spacing of 250/ 300/ 400mm c/c matching to the tile horizontal grid with two numbers of self-drilling / self-tapping SS screws of size 5.5x25 mm with EPDM washers.
The vertical 'T'/'L/ Tubular' sections shall be fixed to the wall using HDG (hot-dip-galvanized) steel L-brackets (galvanizing thickness of minimum 80 microns)of size 110x80x6 mm at intermediate vertical aluminium profiles and of size 220x110x12 mm at outer corners and stainless steel grade 304,M10 full threaded anchor fasteners with nylon sleeve 100mm long (for brick work) and M8 expansion anchor fasteners 75mm long for concrete surface, spacing of brackets to be based on a structural/ static calculation. The brackets shall be of length 175mm at junction of two vertical aluminium profiles and of length 100mm at intermediate points of vertical profiles and shall be fixed to the vertical aluminium T / L / Tubular profiles using two numbers self-drilling/ self-tapping SS screws of size 5.5x25mm with EPDM washers.
EPDM gaskets to be fixed in between brackets and vertical profiles. The tiles shall be mounted on the ‘C’ clamps such that the tiles are supported at top and bottom at both ends. The tiles shall be additionally secured to the horizontal ‘C’ clamps using special SS clips of required size which shall be inserted and pressed into position on the ‘C’ clamps holding the tiles and the cut-tiles shall be glued at points to the horizontal ‘C’ clamps by using MS Polymer sealant adhesive. The vertical joint open groove between two adjacent tiles shall be 5mm. The tiles and system shall be designed to resist wind load as per IS 875 (Part 3) according to different zones. The tiles shall be installed using the ventilated rain screen principle with provision for natural ventilation of the space between the façade tiles and the structural wall. The work shall be carried out as per specification, drawing and as per direction of the Engineer-in-Charge. 
Note : Scaffolding wherever required to be paid separately.</t>
  </si>
  <si>
    <t>26.92.1</t>
  </si>
  <si>
    <t>With 16mm thickness (+/- 10%) terracotta tiles of grey colour</t>
  </si>
  <si>
    <t>26.92.2</t>
  </si>
  <si>
    <t>With 16mm thickness (+/- 10%) terracotta tiles of other than grey colors</t>
  </si>
  <si>
    <t>Providing and fixing of façade  at all heights with extruded hollow Clay / Terracotta ventilated rainscreen tiles of height 259/ 309/ 409mm and lengthof 1190 mm of approved texture,design and pattern having Flexural Strength/ Modulus of Rupture of ≥ 14 N/m² and maximum water absorption of 10% tested as per ISO 10545-4:2004(E) and ISO 10545-3:1995 respectively in true level fixed to a supporting aluminium framework (Alloy 6063 T5/T6) consisting of vertical 'T' (for intermediates)/ 'L' (for ends/ termination)/ Tubular sections (at corners)of size 80x60x2mm/ 40x60x2mm/ 40x40x2mm respectively, spaced at maximum spacing of 1200mm c/c matching to the tile vertical grid, and horizontal aluminium 'C'-clamps of size 56x34x2 mm thickness of length 150mm at junction of tiles and of length 75mm at wall ends/ corners fixed on top of the vertical sections at spacing of 250/ 300/ 400mm c/c matching to the tile horizontal grid with two numbers of self-drilling / self-tapping SS screws of size 5.5x25 mm with EPDM washers.
The vertical 'T'/'L/ Tubular' sections shall be fixed to the wall using HDG (hot-dip-galvanized) steel L-brackets (galvanizing thickness of minimum 80 microns) of size 110x80x6 mm at intermediate vertical aluminium profiles and of size 220x110x12 mmat outer corners and stainless steel grade 304,M10 full threaded anchor fasteners with nylon sleeve 100mm long (for brick work) and M8 expansion anchor fasteners 75mm long for concrete surface, spacing of brackets to be based on a structural/ static calculation. The brackets shall be of length 175mm at junction of two vertical aluminium profiles and of length 100mm at intermediate points of vertical profiles and shall be fixed to the vertical aluminium T / L / Tubular profiles using two numbers self-drilling/ self-tapping SS screws of size 5.5x25 mm with EPDM washers.
EPDM gaskets to be fixed in between brackets and vertical profiles. The tiles shall be mounted on the ‘C’ clamps such that the tiles are supported at top and bottom at both ends. The tiles shall be mounted on the C-clamps with EPDM profiles in between such that the tiles are supported at top and bottom at both ends. The vertical joint open groove between two adjacent tiles shall be 10mm. The tiles and system shall be designed to resist wind load as per IS 875 (Part 3) according to different zones. The tiles shall be installed using the ventilated rain screen principle with provision for natural ventilation of the space between the façade tiles and the structural wall. The work shall be carried out as per specification, drawing and as per direction of the Engineer-in-Charge.
Note : Scaffolding wherever required to be paid separately.</t>
  </si>
  <si>
    <t>26.93.1</t>
  </si>
  <si>
    <t>With 24mm thickness (+/-10%) terracota tiles of  grey colour</t>
  </si>
  <si>
    <t>26.93.2</t>
  </si>
  <si>
    <t>With 24mm thickness (+/- 10%) terracotta tiles of other than grey colors</t>
  </si>
  <si>
    <t>Designing, shop fabricating, supplying , erecting, stripping  and shifting of customized Modular Tunnel Formwork system for cast-in-situ monolithic RCC structures, using precision steel cubical formworks are molds with minimum 3mm thick hot rolled plain painted/hot dip galvanized M.S. sheets for panel in contact area with necessary framing and allied accessories as per CPWD specifications including transporting, storage, assembly, hoisting and placing in position for supporting and holding the formwork in place till initial setting of the concrete then stripping the formwork, propping to support horizontal surface cleaning and oiling etc. for shifting to the next cycle, inclusive of all labour, machines and T&amp;P requirements taking all safety measures etc. as per design and cycle programme all complete as per directions of the Engineer-in-Charge. Design of Tunnel Formwork system shall be provided by concerned service provider/vendor and the rate is inclusive of all the elements and all operations for all heights.</t>
  </si>
  <si>
    <t>Providing and installation of factory made Structural Stay in place form work system with double faced panels for walls, single faced panels for roof/ floor slabs, L-shaped single faced panels for corners, with necessary scaffolding, struts, bracing etc. Complete as per CPWD specification and directions of the Engineer in Charge.  Design of walls and other members to be provided by the supplier &amp; shall be duly vetted by any engineering institute of National repute such as IITs, NITs etc. and nothing extra shall be payable on this account (Additional steel reinforcement/dowels, design mix concrete of specified grade, electrical and plumbing conduits insert for services and plastering on either side of walls shall be paid for separately).</t>
  </si>
  <si>
    <t>Note:- This item shall be adopted for building upto G+3 Storeys only excluding seismic zone V.</t>
  </si>
  <si>
    <t>26.95.1</t>
  </si>
  <si>
    <t>Double panel of required thickness (110mm &amp; above) with minimum weight of panel as 11.05 kg per sqm for walls with corresponding corners and jambs strips.</t>
  </si>
  <si>
    <t>26.95.2</t>
  </si>
  <si>
    <t>Single panel for slabs with minimum weight of panel as 4.05 kg/sqm for walls with corresponding corners and jambs strips.</t>
  </si>
  <si>
    <t>Providing and placing  "Stay in Place PVC Wall formwork"  made up of extruded Unplasticised Poly Vinyl Chloride (uPVC) consisting  of Main panel, 3 way Connector, Starter Channel, Joint Panel, Connection Panels, Door/Window frame/trim panels etc. all complete as per manufacturer design and for all heights as per direction of Engineer-in-charge.       
(Note: Suitable for in fill walls with appropriate Structural system).</t>
  </si>
  <si>
    <t>26.96.1</t>
  </si>
  <si>
    <t>125 mm wide Stay in Place PVC Wallform made of minimum 2.50 mm thick sections and minimum weight 21.97 kg /sqm of formwork.</t>
  </si>
  <si>
    <t>26.96.2</t>
  </si>
  <si>
    <t>165 mm wide Stay in Place PVC Wallform made of minimum 2.50 mm thick sections and minimum weight 29.00 kg /sqm of formwork.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</si>
</sst>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 &quot;₹&quot;* #,##0.00_ ;_ &quot;₹&quot;* \-#,##0.00_ ;_ &quot;₹&quot;* &quot;-&quot;??_ ;_ @_ "/>
    <numFmt numFmtId="178" formatCode="_ * #,##0_ ;_ * \-#,##0_ ;_ * &quot;-&quot;_ ;_ @_ "/>
    <numFmt numFmtId="179" formatCode="_ &quot;₹&quot;* #,##0_ ;_ &quot;₹&quot;* \-#,##0_ ;_ &quot;₹&quot;* &quot;-&quot;_ ;_ @_ "/>
    <numFmt numFmtId="180" formatCode="0.000"/>
  </numFmts>
  <fonts count="27">
    <font>
      <sz val="10"/>
      <name val="Arial"/>
      <charset val="134"/>
    </font>
    <font>
      <sz val="12"/>
      <name val="Arial"/>
      <charset val="134"/>
    </font>
    <font>
      <sz val="12"/>
      <color rgb="FFFF0000"/>
      <name val="Arial"/>
      <charset val="134"/>
    </font>
    <font>
      <strike/>
      <sz val="12"/>
      <name val="Arial"/>
      <charset val="134"/>
    </font>
    <font>
      <sz val="11"/>
      <color theme="1"/>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
    </font>
    <font>
      <sz val="10"/>
      <color indexed="8"/>
      <name val="Arial"/>
      <charset val="134"/>
    </font>
    <font>
      <sz val="12"/>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0" fillId="0" borderId="0" applyFont="0" applyFill="0" applyBorder="0" applyAlignment="0" applyProtection="0"/>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xf numFmtId="0" fontId="6" fillId="0" borderId="0" applyNumberFormat="0" applyFill="0" applyBorder="0" applyAlignment="0" applyProtection="0">
      <alignment vertical="center"/>
    </xf>
    <xf numFmtId="0" fontId="4" fillId="2" borderId="8"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9" applyNumberFormat="0" applyFill="0" applyAlignment="0" applyProtection="0">
      <alignment vertical="center"/>
    </xf>
    <xf numFmtId="0" fontId="11" fillId="0" borderId="9" applyNumberFormat="0" applyFill="0" applyAlignment="0" applyProtection="0">
      <alignment vertical="center"/>
    </xf>
    <xf numFmtId="0" fontId="12" fillId="0" borderId="10" applyNumberFormat="0" applyFill="0" applyAlignment="0" applyProtection="0">
      <alignment vertical="center"/>
    </xf>
    <xf numFmtId="0" fontId="12" fillId="0" borderId="0" applyNumberFormat="0" applyFill="0" applyBorder="0" applyAlignment="0" applyProtection="0">
      <alignment vertical="center"/>
    </xf>
    <xf numFmtId="0" fontId="13" fillId="3" borderId="11" applyNumberFormat="0" applyAlignment="0" applyProtection="0">
      <alignment vertical="center"/>
    </xf>
    <xf numFmtId="0" fontId="14" fillId="4" borderId="12" applyNumberFormat="0" applyAlignment="0" applyProtection="0">
      <alignment vertical="center"/>
    </xf>
    <xf numFmtId="0" fontId="15" fillId="4" borderId="11" applyNumberFormat="0" applyAlignment="0" applyProtection="0">
      <alignment vertical="center"/>
    </xf>
    <xf numFmtId="0" fontId="16" fillId="5" borderId="13" applyNumberFormat="0" applyAlignment="0" applyProtection="0">
      <alignment vertical="center"/>
    </xf>
    <xf numFmtId="0" fontId="17" fillId="0" borderId="14" applyNumberFormat="0" applyFill="0" applyAlignment="0" applyProtection="0">
      <alignment vertical="center"/>
    </xf>
    <xf numFmtId="0" fontId="18" fillId="0" borderId="15"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176" fontId="4" fillId="0" borderId="0" applyFont="0" applyFill="0" applyBorder="0" applyAlignment="0" applyProtection="0"/>
    <xf numFmtId="0" fontId="24" fillId="0" borderId="0"/>
    <xf numFmtId="0" fontId="25" fillId="0" borderId="0">
      <alignment vertical="top"/>
    </xf>
    <xf numFmtId="0" fontId="26" fillId="0" borderId="0">
      <alignment vertical="center"/>
    </xf>
    <xf numFmtId="0" fontId="4" fillId="0" borderId="0"/>
  </cellStyleXfs>
  <cellXfs count="47">
    <xf numFmtId="0" fontId="0" fillId="0" borderId="0" xfId="0"/>
    <xf numFmtId="0" fontId="1" fillId="0" borderId="0" xfId="0" applyFont="1" applyAlignment="1">
      <alignment horizontal="left" vertical="top" wrapText="1"/>
    </xf>
    <xf numFmtId="0" fontId="1"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right" wrapText="1"/>
    </xf>
    <xf numFmtId="0" fontId="1" fillId="0" borderId="0" xfId="0" applyFont="1" applyAlignment="1">
      <alignment horizontal="center" vertical="top" wrapText="1"/>
    </xf>
    <xf numFmtId="2" fontId="1" fillId="0" borderId="0" xfId="0" applyNumberFormat="1" applyFont="1" applyAlignment="1">
      <alignment horizontal="left" vertical="top" wrapText="1"/>
    </xf>
    <xf numFmtId="10" fontId="1" fillId="0" borderId="0" xfId="0" applyNumberFormat="1" applyFont="1" applyAlignment="1">
      <alignment horizontal="left" vertical="top" wrapText="1"/>
    </xf>
    <xf numFmtId="0" fontId="1" fillId="0" borderId="0" xfId="0" applyFont="1"/>
    <xf numFmtId="0" fontId="1" fillId="0" borderId="1" xfId="0" applyFont="1" applyBorder="1" applyAlignment="1">
      <alignment horizontal="center" vertical="top" wrapText="1"/>
    </xf>
    <xf numFmtId="0" fontId="1" fillId="0" borderId="1" xfId="0" applyFont="1" applyBorder="1" applyAlignment="1">
      <alignment horizontal="justify" vertical="top" wrapText="1"/>
    </xf>
    <xf numFmtId="0" fontId="1" fillId="0" borderId="2" xfId="0" applyFont="1" applyBorder="1" applyAlignment="1">
      <alignment horizontal="center" vertical="top" wrapText="1"/>
    </xf>
    <xf numFmtId="0" fontId="1" fillId="0" borderId="2" xfId="0" applyFont="1" applyBorder="1" applyAlignment="1">
      <alignment horizontal="justify" vertical="top" wrapText="1"/>
    </xf>
    <xf numFmtId="0" fontId="1" fillId="0" borderId="2" xfId="0" applyFont="1" applyBorder="1" applyAlignment="1">
      <alignment horizontal="center" wrapText="1"/>
    </xf>
    <xf numFmtId="0" fontId="1" fillId="0" borderId="2" xfId="0" applyFont="1" applyBorder="1" applyAlignment="1">
      <alignment horizontal="left" vertical="top" wrapText="1"/>
    </xf>
    <xf numFmtId="0" fontId="1" fillId="0" borderId="3" xfId="0" applyFont="1" applyBorder="1" applyAlignment="1">
      <alignment horizontal="justify" vertical="top" wrapText="1"/>
    </xf>
    <xf numFmtId="0" fontId="1" fillId="0" borderId="2" xfId="0" applyFont="1" applyBorder="1" applyAlignment="1">
      <alignment horizontal="right" wrapText="1"/>
    </xf>
    <xf numFmtId="2" fontId="1" fillId="0" borderId="2" xfId="0" applyNumberFormat="1" applyFont="1" applyBorder="1" applyAlignment="1">
      <alignment horizontal="right" wrapText="1"/>
    </xf>
    <xf numFmtId="2" fontId="1" fillId="0" borderId="2" xfId="0" applyNumberFormat="1" applyFont="1" applyBorder="1" applyAlignment="1">
      <alignment horizontal="left" vertical="top" wrapText="1"/>
    </xf>
    <xf numFmtId="0" fontId="2" fillId="0" borderId="2" xfId="0" applyFont="1" applyBorder="1" applyAlignment="1">
      <alignment horizontal="center" wrapText="1"/>
    </xf>
    <xf numFmtId="2" fontId="2" fillId="0" borderId="2" xfId="0" applyNumberFormat="1" applyFont="1" applyBorder="1" applyAlignment="1">
      <alignment horizontal="right" wrapText="1"/>
    </xf>
    <xf numFmtId="9" fontId="1" fillId="0" borderId="2" xfId="0" applyNumberFormat="1" applyFont="1" applyBorder="1" applyAlignment="1">
      <alignment horizontal="right" wrapText="1"/>
    </xf>
    <xf numFmtId="2" fontId="1" fillId="0" borderId="0" xfId="0" applyNumberFormat="1" applyFont="1" applyAlignment="1">
      <alignment horizontal="right" wrapText="1"/>
    </xf>
    <xf numFmtId="0" fontId="1" fillId="0" borderId="4" xfId="0" applyFont="1" applyBorder="1" applyAlignment="1">
      <alignment horizontal="center" wrapText="1"/>
    </xf>
    <xf numFmtId="0" fontId="1" fillId="0" borderId="5" xfId="0" applyFont="1" applyBorder="1" applyAlignment="1">
      <alignment horizontal="center" wrapText="1"/>
    </xf>
    <xf numFmtId="2" fontId="1" fillId="0" borderId="3" xfId="0" applyNumberFormat="1" applyFont="1" applyBorder="1" applyAlignment="1">
      <alignment horizontal="right" wrapText="1"/>
    </xf>
    <xf numFmtId="2" fontId="1" fillId="0" borderId="4" xfId="0" applyNumberFormat="1" applyFont="1" applyBorder="1" applyAlignment="1">
      <alignment horizontal="left" vertical="top" wrapText="1"/>
    </xf>
    <xf numFmtId="2" fontId="1" fillId="0" borderId="4" xfId="0" applyNumberFormat="1" applyFont="1" applyBorder="1" applyAlignment="1">
      <alignment horizontal="right" wrapText="1"/>
    </xf>
    <xf numFmtId="0" fontId="1" fillId="0" borderId="3" xfId="0" applyFont="1" applyBorder="1" applyAlignment="1">
      <alignment horizontal="right" wrapText="1"/>
    </xf>
    <xf numFmtId="2" fontId="1" fillId="0" borderId="6" xfId="0" applyNumberFormat="1" applyFont="1" applyBorder="1" applyAlignment="1">
      <alignment horizontal="right" wrapText="1"/>
    </xf>
    <xf numFmtId="0" fontId="1" fillId="0" borderId="0" xfId="0" applyFont="1" applyAlignment="1">
      <alignment vertical="top"/>
    </xf>
    <xf numFmtId="0" fontId="1" fillId="0" borderId="0" xfId="0" applyFont="1" applyAlignment="1">
      <alignment horizontal="justify"/>
    </xf>
    <xf numFmtId="2" fontId="1" fillId="0" borderId="0" xfId="0" applyNumberFormat="1" applyFont="1" applyAlignment="1">
      <alignment horizontal="center" vertical="top" wrapText="1"/>
    </xf>
    <xf numFmtId="180" fontId="1" fillId="0" borderId="2" xfId="0" applyNumberFormat="1" applyFont="1" applyBorder="1" applyAlignment="1">
      <alignment horizontal="left" vertical="top" wrapText="1"/>
    </xf>
    <xf numFmtId="49" fontId="1" fillId="0" borderId="2" xfId="0" applyNumberFormat="1" applyFont="1" applyBorder="1" applyAlignment="1">
      <alignment horizontal="left" vertical="top" wrapText="1"/>
    </xf>
    <xf numFmtId="0" fontId="1" fillId="0" borderId="2" xfId="0" applyFont="1" applyBorder="1" applyAlignment="1">
      <alignment horizontal="left" wrapText="1"/>
    </xf>
    <xf numFmtId="0" fontId="3" fillId="0" borderId="0" xfId="0" applyFont="1" applyAlignment="1">
      <alignment horizontal="center" vertical="top" wrapText="1"/>
    </xf>
    <xf numFmtId="2" fontId="1" fillId="0" borderId="7" xfId="0" applyNumberFormat="1" applyFont="1" applyBorder="1" applyAlignment="1">
      <alignment horizontal="right" wrapText="1"/>
    </xf>
    <xf numFmtId="0" fontId="1" fillId="0" borderId="3" xfId="0" applyFont="1" applyBorder="1" applyAlignment="1">
      <alignment horizontal="center" vertical="top" wrapText="1"/>
    </xf>
    <xf numFmtId="2" fontId="1" fillId="0" borderId="0" xfId="0" applyNumberFormat="1" applyFont="1" applyAlignment="1">
      <alignment horizontal="justify" vertical="top" wrapText="1"/>
    </xf>
    <xf numFmtId="2" fontId="1" fillId="0" borderId="2" xfId="0" applyNumberFormat="1" applyFont="1" applyBorder="1" applyAlignment="1">
      <alignment horizontal="center" wrapText="1"/>
    </xf>
    <xf numFmtId="0" fontId="3" fillId="0" borderId="2" xfId="0" applyFont="1" applyBorder="1" applyAlignment="1">
      <alignment horizontal="center" vertical="top" wrapText="1"/>
    </xf>
    <xf numFmtId="2" fontId="3" fillId="0" borderId="0" xfId="0" applyNumberFormat="1" applyFont="1" applyAlignment="1">
      <alignment horizontal="center" vertical="top" wrapText="1"/>
    </xf>
    <xf numFmtId="0" fontId="3" fillId="0" borderId="0" xfId="0" applyFont="1" applyAlignment="1">
      <alignment horizontal="center"/>
    </xf>
    <xf numFmtId="180" fontId="1" fillId="0" borderId="0" xfId="0" applyNumberFormat="1" applyFont="1" applyAlignment="1">
      <alignment horizontal="left" vertical="top" wrapText="1"/>
    </xf>
    <xf numFmtId="0" fontId="1" fillId="0" borderId="0" xfId="0" applyFont="1" applyAlignment="1">
      <alignment horizontal="center" vertical="top"/>
    </xf>
    <xf numFmtId="0" fontId="1" fillId="0" borderId="0" xfId="0" applyFont="1" applyAlignment="1">
      <alignment wrapText="1"/>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3" xfId="49"/>
    <cellStyle name="Excel Built-in Normal" xfId="50"/>
    <cellStyle name="Normal 11 2" xfId="51"/>
    <cellStyle name="Normal 13" xfId="52"/>
    <cellStyle name="Normal 14" xfId="53"/>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pretor\d\Users\Guest\Desktop\Statements%20Kodinar.xlsx.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pretor\d\Users\Guest\Desktop\Billing\Diu\Special%20Repairs%20Diu\1st%20RA\Statements%20Kodinar.xlsx.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put"/>
      <sheetName val="Bill Copy_New"/>
      <sheetName val="Cement_DB"/>
      <sheetName val="Paint"/>
      <sheetName val="labour"/>
      <sheetName val="Testcheck"/>
      <sheetName val="Check list"/>
      <sheetName val="Mandatory test statem."/>
      <sheetName val="SA - 4"/>
      <sheetName val="Cement"/>
      <sheetName val="Part Rate"/>
      <sheetName val="Chemical"/>
      <sheetName val="Dia-wise"/>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put"/>
      <sheetName val="Bill Copy_New"/>
      <sheetName val="Cement_DB"/>
      <sheetName val="Paint"/>
      <sheetName val="labour"/>
      <sheetName val="Testcheck"/>
      <sheetName val="Check list"/>
      <sheetName val="Mandatory test statem."/>
      <sheetName val="SA - 4"/>
      <sheetName val="Cement"/>
      <sheetName val="Part Rate"/>
      <sheetName val="Chemical"/>
      <sheetName val="Dia-wise"/>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S4494"/>
  <sheetViews>
    <sheetView tabSelected="1" view="pageBreakPreview" zoomScale="85" zoomScaleNormal="100" workbookViewId="0">
      <selection activeCell="B7" sqref="B7"/>
    </sheetView>
  </sheetViews>
  <sheetFormatPr defaultColWidth="8.85454545454546" defaultRowHeight="15.5"/>
  <cols>
    <col min="1" max="1" width="27.2727272727273" style="1" customWidth="1"/>
    <col min="2" max="2" width="89.2818181818182" style="2" customWidth="1"/>
    <col min="3" max="3" width="13.7181818181818" style="3" customWidth="1"/>
    <col min="4" max="4" width="14.1454545454545" style="4" customWidth="1"/>
    <col min="5" max="5" width="10.2818181818182" style="5" hidden="1" customWidth="1"/>
    <col min="6" max="6" width="11.2818181818182" style="6" hidden="1" customWidth="1"/>
    <col min="7" max="7" width="11.7181818181818" style="7" hidden="1" customWidth="1"/>
    <col min="8" max="8" width="0.281818181818182" style="8" customWidth="1"/>
    <col min="9" max="10" width="8.85454545454546" style="8" hidden="1" customWidth="1"/>
    <col min="11" max="16384" width="8.85454545454546" style="8"/>
  </cols>
  <sheetData>
    <row r="1" spans="1:7">
      <c r="A1" s="9" t="s">
        <v>0</v>
      </c>
      <c r="B1" s="10"/>
      <c r="C1" s="9"/>
      <c r="D1" s="9"/>
    </row>
    <row r="2" ht="31" spans="1:7">
      <c r="A2" s="11" t="s">
        <v>1</v>
      </c>
      <c r="B2" s="12" t="s">
        <v>2</v>
      </c>
      <c r="C2" s="13" t="s">
        <v>3</v>
      </c>
      <c r="D2" s="13" t="s">
        <v>4</v>
      </c>
      <c r="F2" s="6" t="s">
        <v>5</v>
      </c>
      <c r="G2" s="7" t="s">
        <v>6</v>
      </c>
    </row>
    <row r="3" ht="46.5" spans="1:7">
      <c r="A3" s="14">
        <v>2.1</v>
      </c>
      <c r="B3" s="15" t="s">
        <v>7</v>
      </c>
      <c r="C3" s="13"/>
      <c r="D3" s="16"/>
      <c r="E3" s="5" t="s">
        <v>8</v>
      </c>
    </row>
    <row r="4" spans="1:7">
      <c r="A4" s="14" t="s">
        <v>9</v>
      </c>
      <c r="B4" s="12" t="s">
        <v>10</v>
      </c>
      <c r="C4" s="13" t="s">
        <v>11</v>
      </c>
      <c r="D4" s="17">
        <v>129.85</v>
      </c>
      <c r="E4" s="5" t="s">
        <v>8</v>
      </c>
      <c r="F4" s="6">
        <v>53</v>
      </c>
      <c r="G4" s="7">
        <f t="shared" ref="G4:G10" si="0">(D4-F4)/F4</f>
        <v>1.45</v>
      </c>
    </row>
    <row r="5" ht="93" spans="1:7">
      <c r="A5" s="14">
        <v>2.2</v>
      </c>
      <c r="B5" s="15" t="s">
        <v>12</v>
      </c>
      <c r="C5" s="13"/>
      <c r="D5" s="16"/>
      <c r="E5" s="5" t="s">
        <v>8</v>
      </c>
    </row>
    <row r="6" spans="1:7">
      <c r="A6" s="14" t="s">
        <v>13</v>
      </c>
      <c r="B6" s="12" t="s">
        <v>10</v>
      </c>
      <c r="C6" s="13" t="s">
        <v>14</v>
      </c>
      <c r="D6" s="17">
        <v>395.3</v>
      </c>
      <c r="E6" s="5" t="s">
        <v>8</v>
      </c>
      <c r="F6" s="6">
        <v>427.9</v>
      </c>
      <c r="G6" s="7">
        <f t="shared" si="0"/>
        <v>-0.076186024772143</v>
      </c>
    </row>
    <row r="7" ht="77.5" spans="1:7">
      <c r="A7" s="14">
        <v>2.3</v>
      </c>
      <c r="B7" s="15" t="s">
        <v>15</v>
      </c>
      <c r="C7" s="13"/>
      <c r="D7" s="16"/>
      <c r="E7" s="5" t="s">
        <v>8</v>
      </c>
    </row>
    <row r="8" spans="1:7">
      <c r="A8" s="14" t="s">
        <v>16</v>
      </c>
      <c r="B8" s="12" t="s">
        <v>10</v>
      </c>
      <c r="C8" s="13" t="s">
        <v>14</v>
      </c>
      <c r="D8" s="17">
        <v>197.9</v>
      </c>
      <c r="E8" s="5" t="s">
        <v>8</v>
      </c>
      <c r="F8" s="6">
        <v>269.75</v>
      </c>
      <c r="G8" s="7">
        <f t="shared" si="0"/>
        <v>-0.266357738646895</v>
      </c>
    </row>
    <row r="9" ht="31" spans="1:7">
      <c r="A9" s="14">
        <v>2.4</v>
      </c>
      <c r="B9" s="15" t="s">
        <v>17</v>
      </c>
      <c r="C9" s="13" t="s">
        <v>14</v>
      </c>
      <c r="D9" s="17">
        <v>5.25</v>
      </c>
      <c r="E9" s="5" t="s">
        <v>8</v>
      </c>
      <c r="F9" s="6">
        <v>2.75</v>
      </c>
      <c r="G9" s="7">
        <f t="shared" si="0"/>
        <v>0.909090909090909</v>
      </c>
    </row>
    <row r="10" spans="1:7">
      <c r="A10" s="14">
        <v>2.5</v>
      </c>
      <c r="B10" s="15" t="s">
        <v>18</v>
      </c>
      <c r="C10" s="13" t="s">
        <v>14</v>
      </c>
      <c r="D10" s="17">
        <v>14.25</v>
      </c>
      <c r="E10" s="5" t="s">
        <v>8</v>
      </c>
      <c r="F10" s="6">
        <v>18.9</v>
      </c>
      <c r="G10" s="7">
        <f t="shared" si="0"/>
        <v>-0.246031746031746</v>
      </c>
    </row>
    <row r="11" ht="62" spans="1:7">
      <c r="A11" s="14">
        <v>2.6</v>
      </c>
      <c r="B11" s="15" t="s">
        <v>19</v>
      </c>
      <c r="C11" s="13"/>
      <c r="D11" s="16"/>
      <c r="E11" s="5" t="s">
        <v>8</v>
      </c>
    </row>
    <row r="12" spans="1:7">
      <c r="A12" s="14" t="s">
        <v>20</v>
      </c>
      <c r="B12" s="12" t="s">
        <v>10</v>
      </c>
      <c r="C12" s="13" t="s">
        <v>14</v>
      </c>
      <c r="D12" s="17">
        <v>177.5</v>
      </c>
      <c r="E12" s="5" t="s">
        <v>8</v>
      </c>
      <c r="F12" s="6">
        <v>125.95</v>
      </c>
      <c r="G12" s="7">
        <f t="shared" ref="G12:G16" si="1">(D12-F12)/F12</f>
        <v>0.409289400555776</v>
      </c>
    </row>
    <row r="13" ht="62" spans="1:7">
      <c r="A13" s="14">
        <v>2.7</v>
      </c>
      <c r="B13" s="15" t="s">
        <v>21</v>
      </c>
      <c r="C13" s="13"/>
      <c r="D13" s="16"/>
      <c r="E13" s="5" t="s">
        <v>8</v>
      </c>
    </row>
    <row r="14" spans="1:7">
      <c r="A14" s="14" t="s">
        <v>22</v>
      </c>
      <c r="B14" s="12" t="s">
        <v>23</v>
      </c>
      <c r="C14" s="13" t="s">
        <v>14</v>
      </c>
      <c r="D14" s="17">
        <v>498.9</v>
      </c>
      <c r="E14" s="5" t="s">
        <v>8</v>
      </c>
      <c r="F14" s="6">
        <v>221.05</v>
      </c>
      <c r="G14" s="7">
        <f t="shared" si="1"/>
        <v>1.25695543994571</v>
      </c>
    </row>
    <row r="15" spans="1:7">
      <c r="A15" s="14" t="s">
        <v>24</v>
      </c>
      <c r="B15" s="12" t="s">
        <v>25</v>
      </c>
      <c r="C15" s="13" t="s">
        <v>14</v>
      </c>
      <c r="D15" s="17">
        <v>874.4</v>
      </c>
      <c r="E15" s="5" t="s">
        <v>8</v>
      </c>
      <c r="F15" s="6">
        <v>393.3</v>
      </c>
      <c r="G15" s="7">
        <f t="shared" si="1"/>
        <v>1.2232392575642</v>
      </c>
    </row>
    <row r="16" spans="1:7">
      <c r="A16" s="14" t="s">
        <v>26</v>
      </c>
      <c r="B16" s="12" t="s">
        <v>27</v>
      </c>
      <c r="C16" s="13" t="s">
        <v>14</v>
      </c>
      <c r="D16" s="17">
        <v>1432.95</v>
      </c>
      <c r="E16" s="5" t="s">
        <v>8</v>
      </c>
      <c r="F16" s="6">
        <v>619.8</v>
      </c>
      <c r="G16" s="7">
        <f t="shared" si="1"/>
        <v>1.31195546950629</v>
      </c>
    </row>
    <row r="17" ht="62" spans="1:13">
      <c r="A17" s="14">
        <v>2.8</v>
      </c>
      <c r="B17" s="15" t="s">
        <v>28</v>
      </c>
      <c r="C17" s="13"/>
      <c r="D17" s="16"/>
      <c r="E17" s="5" t="s">
        <v>8</v>
      </c>
      <c r="M17" s="8" t="e">
        <f>IF(#REF!=#REF!,1,0)</f>
        <v>#REF!</v>
      </c>
    </row>
    <row r="18" spans="1:13">
      <c r="A18" s="14" t="s">
        <v>29</v>
      </c>
      <c r="B18" s="12" t="s">
        <v>30</v>
      </c>
      <c r="C18" s="13" t="s">
        <v>14</v>
      </c>
      <c r="D18" s="17">
        <v>260.3</v>
      </c>
      <c r="E18" s="5" t="s">
        <v>8</v>
      </c>
      <c r="F18" s="6">
        <v>166.4</v>
      </c>
      <c r="G18" s="7">
        <f t="shared" ref="G18:G22" si="2">(D18-F18)/F18</f>
        <v>0.564302884615385</v>
      </c>
    </row>
    <row r="19" ht="62" spans="1:13">
      <c r="A19" s="14">
        <v>2.9</v>
      </c>
      <c r="B19" s="15" t="s">
        <v>31</v>
      </c>
      <c r="C19" s="13"/>
      <c r="D19" s="16"/>
      <c r="E19" s="5" t="s">
        <v>8</v>
      </c>
    </row>
    <row r="20" spans="1:13">
      <c r="A20" s="14" t="s">
        <v>32</v>
      </c>
      <c r="B20" s="12" t="s">
        <v>23</v>
      </c>
      <c r="C20" s="13" t="s">
        <v>14</v>
      </c>
      <c r="D20" s="17">
        <v>632.95</v>
      </c>
      <c r="E20" s="5" t="s">
        <v>8</v>
      </c>
      <c r="F20" s="6">
        <v>277.85</v>
      </c>
      <c r="G20" s="7">
        <f t="shared" si="2"/>
        <v>1.27802771279467</v>
      </c>
    </row>
    <row r="21" spans="1:13">
      <c r="A21" s="14" t="s">
        <v>33</v>
      </c>
      <c r="B21" s="12" t="s">
        <v>25</v>
      </c>
      <c r="C21" s="13" t="s">
        <v>14</v>
      </c>
      <c r="D21" s="17">
        <v>1049.8</v>
      </c>
      <c r="E21" s="5" t="s">
        <v>8</v>
      </c>
      <c r="F21" s="6">
        <v>466.05</v>
      </c>
      <c r="G21" s="7">
        <f t="shared" si="2"/>
        <v>1.25254800987019</v>
      </c>
    </row>
    <row r="22" spans="1:13">
      <c r="A22" s="14" t="s">
        <v>34</v>
      </c>
      <c r="B22" s="12" t="s">
        <v>27</v>
      </c>
      <c r="C22" s="13" t="s">
        <v>14</v>
      </c>
      <c r="D22" s="17">
        <v>1523.05</v>
      </c>
      <c r="E22" s="5" t="s">
        <v>8</v>
      </c>
      <c r="F22" s="6">
        <v>656.7</v>
      </c>
      <c r="G22" s="7">
        <f t="shared" si="2"/>
        <v>1.31924775392112</v>
      </c>
    </row>
    <row r="23" ht="77.5" spans="1:13">
      <c r="A23" s="18">
        <v>2.1</v>
      </c>
      <c r="B23" s="15" t="s">
        <v>35</v>
      </c>
      <c r="C23" s="13"/>
      <c r="D23" s="16"/>
      <c r="E23" s="5" t="s">
        <v>8</v>
      </c>
    </row>
    <row r="24" spans="1:13">
      <c r="A24" s="14" t="s">
        <v>36</v>
      </c>
      <c r="B24" s="12" t="s">
        <v>10</v>
      </c>
      <c r="C24" s="13"/>
      <c r="D24" s="16"/>
      <c r="E24" s="5" t="s">
        <v>8</v>
      </c>
    </row>
    <row r="25" spans="1:13">
      <c r="A25" s="14" t="s">
        <v>37</v>
      </c>
      <c r="B25" s="12" t="s">
        <v>38</v>
      </c>
      <c r="C25" s="13" t="s">
        <v>39</v>
      </c>
      <c r="D25" s="17">
        <v>215.6</v>
      </c>
      <c r="E25" s="5" t="s">
        <v>8</v>
      </c>
      <c r="F25" s="6">
        <v>138.05</v>
      </c>
      <c r="G25" s="7">
        <f t="shared" ref="G25:G27" si="3">(D25-F25)/F25</f>
        <v>0.561752988047809</v>
      </c>
    </row>
    <row r="26" spans="1:13">
      <c r="A26" s="14" t="s">
        <v>40</v>
      </c>
      <c r="B26" s="12" t="s">
        <v>41</v>
      </c>
      <c r="C26" s="13" t="s">
        <v>39</v>
      </c>
      <c r="D26" s="17">
        <v>352.15</v>
      </c>
      <c r="E26" s="5" t="s">
        <v>8</v>
      </c>
      <c r="F26" s="6">
        <v>225.45</v>
      </c>
      <c r="G26" s="7">
        <f t="shared" si="3"/>
        <v>0.561987136837436</v>
      </c>
    </row>
    <row r="27" spans="1:13">
      <c r="A27" s="14" t="s">
        <v>42</v>
      </c>
      <c r="B27" s="12" t="s">
        <v>43</v>
      </c>
      <c r="C27" s="13" t="s">
        <v>39</v>
      </c>
      <c r="D27" s="17">
        <v>549.75</v>
      </c>
      <c r="E27" s="5" t="s">
        <v>8</v>
      </c>
      <c r="F27" s="6">
        <v>352</v>
      </c>
      <c r="G27" s="7">
        <f t="shared" si="3"/>
        <v>0.561789772727273</v>
      </c>
    </row>
    <row r="28" spans="1:13">
      <c r="A28" s="18">
        <v>2.11</v>
      </c>
      <c r="B28" s="15" t="s">
        <v>44</v>
      </c>
      <c r="C28" s="19"/>
      <c r="D28" s="20"/>
      <c r="E28" s="5" t="s">
        <v>8</v>
      </c>
    </row>
    <row r="29" spans="1:13">
      <c r="A29" s="18">
        <v>2.12</v>
      </c>
      <c r="B29" s="15" t="s">
        <v>44</v>
      </c>
      <c r="C29" s="19"/>
      <c r="D29" s="20"/>
      <c r="E29" s="5" t="s">
        <v>8</v>
      </c>
    </row>
    <row r="30" ht="77.5" spans="1:13">
      <c r="A30" s="18">
        <v>2.13</v>
      </c>
      <c r="B30" s="15" t="s">
        <v>45</v>
      </c>
      <c r="C30" s="13"/>
      <c r="D30" s="16"/>
      <c r="E30" s="5" t="s">
        <v>8</v>
      </c>
    </row>
    <row r="31" spans="1:13">
      <c r="A31" s="14" t="s">
        <v>46</v>
      </c>
      <c r="B31" s="12" t="s">
        <v>47</v>
      </c>
      <c r="C31" s="13"/>
      <c r="D31" s="16"/>
      <c r="E31" s="5" t="s">
        <v>8</v>
      </c>
    </row>
    <row r="32" spans="1:13">
      <c r="A32" s="14" t="s">
        <v>48</v>
      </c>
      <c r="B32" s="12" t="s">
        <v>49</v>
      </c>
      <c r="C32" s="13" t="s">
        <v>39</v>
      </c>
      <c r="D32" s="17">
        <v>403.3</v>
      </c>
      <c r="E32" s="5" t="s">
        <v>8</v>
      </c>
      <c r="F32" s="6">
        <v>194.5</v>
      </c>
      <c r="G32" s="7">
        <f t="shared" ref="G32:G34" si="4">(D32-F32)/F32</f>
        <v>1.07352185089974</v>
      </c>
    </row>
    <row r="33" spans="1:7">
      <c r="A33" s="14" t="s">
        <v>50</v>
      </c>
      <c r="B33" s="12" t="s">
        <v>51</v>
      </c>
      <c r="C33" s="13" t="s">
        <v>39</v>
      </c>
      <c r="D33" s="17">
        <v>998.65</v>
      </c>
      <c r="E33" s="5" t="s">
        <v>8</v>
      </c>
      <c r="F33" s="6">
        <v>481.6</v>
      </c>
      <c r="G33" s="7">
        <f t="shared" si="4"/>
        <v>1.07360880398671</v>
      </c>
    </row>
    <row r="34" spans="1:7">
      <c r="A34" s="14" t="s">
        <v>52</v>
      </c>
      <c r="B34" s="12" t="s">
        <v>53</v>
      </c>
      <c r="C34" s="13" t="s">
        <v>39</v>
      </c>
      <c r="D34" s="17">
        <v>1149.1</v>
      </c>
      <c r="E34" s="5" t="s">
        <v>8</v>
      </c>
      <c r="F34" s="6">
        <v>554.2</v>
      </c>
      <c r="G34" s="7">
        <f t="shared" si="4"/>
        <v>1.07343919162757</v>
      </c>
    </row>
    <row r="35" spans="1:7">
      <c r="A35" s="14" t="s">
        <v>54</v>
      </c>
      <c r="B35" s="12" t="s">
        <v>25</v>
      </c>
      <c r="C35" s="13"/>
      <c r="D35" s="16"/>
      <c r="E35" s="5" t="s">
        <v>8</v>
      </c>
    </row>
    <row r="36" spans="1:7">
      <c r="A36" s="14" t="s">
        <v>55</v>
      </c>
      <c r="B36" s="12" t="s">
        <v>49</v>
      </c>
      <c r="C36" s="13" t="s">
        <v>39</v>
      </c>
      <c r="D36" s="17">
        <v>603.2</v>
      </c>
      <c r="E36" s="5" t="s">
        <v>8</v>
      </c>
      <c r="F36" s="6">
        <v>285.55</v>
      </c>
      <c r="G36" s="7">
        <f t="shared" ref="G36:G38" si="5">(D36-F36)/F36</f>
        <v>1.11241463841709</v>
      </c>
    </row>
    <row r="37" spans="1:7">
      <c r="A37" s="14" t="s">
        <v>56</v>
      </c>
      <c r="B37" s="12" t="s">
        <v>51</v>
      </c>
      <c r="C37" s="13" t="s">
        <v>39</v>
      </c>
      <c r="D37" s="17">
        <v>1493.6</v>
      </c>
      <c r="E37" s="5" t="s">
        <v>8</v>
      </c>
      <c r="F37" s="6">
        <v>707.1</v>
      </c>
      <c r="G37" s="7">
        <f t="shared" si="5"/>
        <v>1.11228963371517</v>
      </c>
    </row>
    <row r="38" spans="1:7">
      <c r="A38" s="14" t="s">
        <v>57</v>
      </c>
      <c r="B38" s="12" t="s">
        <v>58</v>
      </c>
      <c r="C38" s="13" t="s">
        <v>39</v>
      </c>
      <c r="D38" s="17">
        <v>1718.45</v>
      </c>
      <c r="E38" s="5" t="s">
        <v>8</v>
      </c>
      <c r="F38" s="6">
        <v>813.6</v>
      </c>
      <c r="G38" s="7">
        <f t="shared" si="5"/>
        <v>1.11215585054081</v>
      </c>
    </row>
    <row r="39" spans="1:7">
      <c r="A39" s="14" t="s">
        <v>59</v>
      </c>
      <c r="B39" s="12" t="s">
        <v>27</v>
      </c>
      <c r="C39" s="13"/>
      <c r="D39" s="16"/>
      <c r="E39" s="5" t="s">
        <v>8</v>
      </c>
    </row>
    <row r="40" spans="1:7">
      <c r="A40" s="14" t="s">
        <v>60</v>
      </c>
      <c r="B40" s="12" t="s">
        <v>49</v>
      </c>
      <c r="C40" s="13" t="s">
        <v>39</v>
      </c>
      <c r="D40" s="17">
        <v>826.8</v>
      </c>
      <c r="E40" s="5" t="s">
        <v>8</v>
      </c>
      <c r="F40" s="6">
        <v>375.65</v>
      </c>
      <c r="G40" s="7">
        <f t="shared" ref="G40:G43" si="6">(D40-F40)/F40</f>
        <v>1.2009849594037</v>
      </c>
    </row>
    <row r="41" spans="1:7">
      <c r="A41" s="14" t="s">
        <v>61</v>
      </c>
      <c r="B41" s="12" t="s">
        <v>51</v>
      </c>
      <c r="C41" s="13" t="s">
        <v>39</v>
      </c>
      <c r="D41" s="17">
        <v>2047.3</v>
      </c>
      <c r="E41" s="5" t="s">
        <v>8</v>
      </c>
      <c r="F41" s="6">
        <v>930.15</v>
      </c>
      <c r="G41" s="7">
        <f t="shared" si="6"/>
        <v>1.20104284255228</v>
      </c>
    </row>
    <row r="42" spans="1:7">
      <c r="A42" s="14" t="s">
        <v>62</v>
      </c>
      <c r="B42" s="12" t="s">
        <v>58</v>
      </c>
      <c r="C42" s="13" t="s">
        <v>39</v>
      </c>
      <c r="D42" s="17">
        <v>2355.75</v>
      </c>
      <c r="E42" s="5" t="s">
        <v>8</v>
      </c>
      <c r="F42" s="6">
        <v>1070.35</v>
      </c>
      <c r="G42" s="7">
        <f t="shared" si="6"/>
        <v>1.20091558835895</v>
      </c>
    </row>
    <row r="43" ht="46.5" spans="1:7">
      <c r="A43" s="18">
        <v>2.14</v>
      </c>
      <c r="B43" s="15" t="s">
        <v>63</v>
      </c>
      <c r="C43" s="13"/>
      <c r="D43" s="17"/>
      <c r="E43" s="5" t="s">
        <v>8</v>
      </c>
      <c r="F43" s="6">
        <v>103</v>
      </c>
      <c r="G43" s="7">
        <f t="shared" si="6"/>
        <v>-1</v>
      </c>
    </row>
    <row r="44" spans="1:7">
      <c r="A44" s="14" t="s">
        <v>64</v>
      </c>
      <c r="B44" s="12" t="s">
        <v>47</v>
      </c>
      <c r="C44" s="13"/>
      <c r="D44" s="17"/>
    </row>
    <row r="45" spans="1:7">
      <c r="A45" s="14" t="s">
        <v>65</v>
      </c>
      <c r="B45" s="12" t="s">
        <v>51</v>
      </c>
      <c r="C45" s="13" t="s">
        <v>39</v>
      </c>
      <c r="D45" s="17">
        <v>729.8</v>
      </c>
    </row>
    <row r="46" spans="1:7">
      <c r="A46" s="14" t="s">
        <v>66</v>
      </c>
      <c r="B46" s="12" t="s">
        <v>53</v>
      </c>
      <c r="C46" s="13" t="s">
        <v>39</v>
      </c>
      <c r="D46" s="17">
        <v>867.45</v>
      </c>
    </row>
    <row r="47" spans="1:7">
      <c r="A47" s="14" t="s">
        <v>67</v>
      </c>
      <c r="B47" s="12" t="s">
        <v>25</v>
      </c>
      <c r="C47" s="13"/>
      <c r="D47" s="17"/>
    </row>
    <row r="48" spans="1:7">
      <c r="A48" s="14" t="s">
        <v>68</v>
      </c>
      <c r="B48" s="12" t="s">
        <v>51</v>
      </c>
      <c r="C48" s="13" t="s">
        <v>39</v>
      </c>
      <c r="D48" s="17">
        <v>1091.45</v>
      </c>
    </row>
    <row r="49" spans="1:7">
      <c r="A49" s="14" t="s">
        <v>69</v>
      </c>
      <c r="B49" s="12" t="s">
        <v>53</v>
      </c>
      <c r="C49" s="13" t="s">
        <v>39</v>
      </c>
      <c r="D49" s="17">
        <v>1297.4</v>
      </c>
    </row>
    <row r="50" spans="1:7">
      <c r="A50" s="14" t="s">
        <v>70</v>
      </c>
      <c r="B50" s="12" t="s">
        <v>27</v>
      </c>
      <c r="C50" s="13"/>
      <c r="D50" s="17"/>
    </row>
    <row r="51" spans="1:7">
      <c r="A51" s="14" t="s">
        <v>71</v>
      </c>
      <c r="B51" s="12" t="s">
        <v>51</v>
      </c>
      <c r="C51" s="13" t="s">
        <v>39</v>
      </c>
      <c r="D51" s="17">
        <v>1496.1</v>
      </c>
    </row>
    <row r="52" spans="1:7">
      <c r="A52" s="14" t="s">
        <v>72</v>
      </c>
      <c r="B52" s="12" t="s">
        <v>53</v>
      </c>
      <c r="C52" s="13" t="s">
        <v>39</v>
      </c>
      <c r="D52" s="17">
        <v>1778.15</v>
      </c>
    </row>
    <row r="53" ht="46.5" spans="1:7">
      <c r="A53" s="18">
        <v>2.15</v>
      </c>
      <c r="B53" s="15" t="s">
        <v>73</v>
      </c>
      <c r="C53" s="13"/>
      <c r="D53" s="17"/>
      <c r="E53" s="5" t="s">
        <v>8</v>
      </c>
      <c r="F53" s="6">
        <v>254</v>
      </c>
      <c r="G53" s="7">
        <f t="shared" ref="G53:G59" si="7">(D53-F53)/F53</f>
        <v>-1</v>
      </c>
    </row>
    <row r="54" spans="1:7">
      <c r="A54" s="14" t="s">
        <v>74</v>
      </c>
      <c r="B54" s="12" t="s">
        <v>47</v>
      </c>
      <c r="C54" s="13"/>
      <c r="D54" s="17"/>
    </row>
    <row r="55" spans="1:7">
      <c r="A55" s="14" t="s">
        <v>75</v>
      </c>
      <c r="B55" s="12" t="s">
        <v>53</v>
      </c>
      <c r="C55" s="13" t="s">
        <v>39</v>
      </c>
      <c r="D55" s="17">
        <v>2352.25</v>
      </c>
    </row>
    <row r="56" ht="31" spans="1:7">
      <c r="A56" s="18">
        <v>2.16</v>
      </c>
      <c r="B56" s="15" t="s">
        <v>76</v>
      </c>
      <c r="C56" s="13"/>
      <c r="D56" s="16"/>
      <c r="E56" s="5" t="s">
        <v>8</v>
      </c>
    </row>
    <row r="57" spans="1:7">
      <c r="A57" s="14" t="s">
        <v>77</v>
      </c>
      <c r="B57" s="12" t="s">
        <v>78</v>
      </c>
      <c r="C57" s="13" t="s">
        <v>11</v>
      </c>
      <c r="D57" s="17">
        <v>139.95</v>
      </c>
      <c r="E57" s="5" t="s">
        <v>8</v>
      </c>
      <c r="F57" s="6">
        <v>108.55</v>
      </c>
      <c r="G57" s="7">
        <f t="shared" si="7"/>
        <v>0.289267618608936</v>
      </c>
    </row>
    <row r="58" spans="1:7">
      <c r="A58" s="14" t="s">
        <v>79</v>
      </c>
      <c r="B58" s="12" t="s">
        <v>80</v>
      </c>
      <c r="C58" s="13" t="s">
        <v>11</v>
      </c>
      <c r="D58" s="17">
        <v>155.3</v>
      </c>
      <c r="E58" s="5" t="s">
        <v>8</v>
      </c>
      <c r="F58" s="6">
        <v>115.05</v>
      </c>
      <c r="G58" s="7">
        <f t="shared" si="7"/>
        <v>0.349847892220774</v>
      </c>
    </row>
    <row r="59" spans="1:7">
      <c r="A59" s="14" t="s">
        <v>81</v>
      </c>
      <c r="B59" s="12" t="s">
        <v>82</v>
      </c>
      <c r="C59" s="13" t="s">
        <v>11</v>
      </c>
      <c r="D59" s="17">
        <v>189.65</v>
      </c>
      <c r="E59" s="5" t="s">
        <v>8</v>
      </c>
      <c r="F59" s="6">
        <v>129.8</v>
      </c>
      <c r="G59" s="7">
        <f t="shared" si="7"/>
        <v>0.461093990755008</v>
      </c>
    </row>
    <row r="60" ht="46.5" spans="1:7">
      <c r="A60" s="18">
        <v>2.17</v>
      </c>
      <c r="B60" s="15" t="s">
        <v>83</v>
      </c>
      <c r="C60" s="13"/>
      <c r="D60" s="16"/>
      <c r="E60" s="5" t="s">
        <v>8</v>
      </c>
    </row>
    <row r="61" spans="1:7">
      <c r="A61" s="14" t="s">
        <v>84</v>
      </c>
      <c r="B61" s="12" t="s">
        <v>78</v>
      </c>
      <c r="C61" s="13" t="s">
        <v>11</v>
      </c>
      <c r="D61" s="17">
        <v>151.5</v>
      </c>
      <c r="E61" s="5" t="s">
        <v>8</v>
      </c>
      <c r="F61" s="6">
        <v>113.25</v>
      </c>
      <c r="G61" s="7">
        <f t="shared" ref="G61:G63" si="8">(D61-F61)/F61</f>
        <v>0.337748344370861</v>
      </c>
    </row>
    <row r="62" spans="1:7">
      <c r="A62" s="14" t="s">
        <v>85</v>
      </c>
      <c r="B62" s="12" t="s">
        <v>80</v>
      </c>
      <c r="C62" s="13" t="s">
        <v>11</v>
      </c>
      <c r="D62" s="17">
        <v>184</v>
      </c>
      <c r="E62" s="5" t="s">
        <v>8</v>
      </c>
      <c r="F62" s="6">
        <v>127.25</v>
      </c>
      <c r="G62" s="7">
        <f t="shared" si="8"/>
        <v>0.445972495088409</v>
      </c>
    </row>
    <row r="63" spans="1:7">
      <c r="A63" s="14" t="s">
        <v>86</v>
      </c>
      <c r="B63" s="12" t="s">
        <v>82</v>
      </c>
      <c r="C63" s="13" t="s">
        <v>11</v>
      </c>
      <c r="D63" s="17">
        <v>218.2</v>
      </c>
      <c r="E63" s="5" t="s">
        <v>8</v>
      </c>
      <c r="F63" s="6">
        <v>141.95</v>
      </c>
      <c r="G63" s="7">
        <f t="shared" si="8"/>
        <v>0.5371609721733</v>
      </c>
    </row>
    <row r="64" ht="31" spans="1:7">
      <c r="A64" s="18">
        <v>2.18</v>
      </c>
      <c r="B64" s="15" t="s">
        <v>87</v>
      </c>
      <c r="C64" s="13"/>
      <c r="D64" s="16"/>
      <c r="E64" s="5" t="s">
        <v>8</v>
      </c>
    </row>
    <row r="65" spans="1:7">
      <c r="A65" s="14" t="s">
        <v>88</v>
      </c>
      <c r="B65" s="12" t="s">
        <v>78</v>
      </c>
      <c r="C65" s="13" t="s">
        <v>11</v>
      </c>
      <c r="D65" s="17">
        <v>125.8</v>
      </c>
      <c r="E65" s="5" t="s">
        <v>8</v>
      </c>
      <c r="F65" s="6">
        <v>96.55</v>
      </c>
      <c r="G65" s="7">
        <f t="shared" ref="G65:G68" si="9">(D65-F65)/F65</f>
        <v>0.302951838425686</v>
      </c>
    </row>
    <row r="66" spans="1:7">
      <c r="A66" s="14" t="s">
        <v>89</v>
      </c>
      <c r="B66" s="12" t="s">
        <v>80</v>
      </c>
      <c r="C66" s="13" t="s">
        <v>11</v>
      </c>
      <c r="D66" s="17">
        <v>144.1</v>
      </c>
      <c r="E66" s="5" t="s">
        <v>8</v>
      </c>
      <c r="F66" s="6">
        <v>104.3</v>
      </c>
      <c r="G66" s="7">
        <f t="shared" si="9"/>
        <v>0.381591562799616</v>
      </c>
    </row>
    <row r="67" spans="1:7">
      <c r="A67" s="14" t="s">
        <v>90</v>
      </c>
      <c r="B67" s="12" t="s">
        <v>82</v>
      </c>
      <c r="C67" s="13" t="s">
        <v>11</v>
      </c>
      <c r="D67" s="17">
        <v>163.15</v>
      </c>
      <c r="E67" s="5" t="s">
        <v>8</v>
      </c>
      <c r="F67" s="6">
        <v>112.55</v>
      </c>
      <c r="G67" s="7">
        <f t="shared" si="9"/>
        <v>0.449577965348734</v>
      </c>
    </row>
    <row r="68" ht="46.5" spans="1:7">
      <c r="A68" s="18">
        <v>2.19</v>
      </c>
      <c r="B68" s="15" t="s">
        <v>91</v>
      </c>
      <c r="C68" s="13" t="s">
        <v>11</v>
      </c>
      <c r="D68" s="17">
        <v>1692.45</v>
      </c>
      <c r="E68" s="5" t="s">
        <v>8</v>
      </c>
      <c r="F68" s="6">
        <v>1380.7</v>
      </c>
      <c r="G68" s="7">
        <f t="shared" si="9"/>
        <v>0.22579126530021</v>
      </c>
    </row>
    <row r="69" ht="31" spans="1:7">
      <c r="A69" s="18">
        <v>2.2</v>
      </c>
      <c r="B69" s="15" t="s">
        <v>92</v>
      </c>
      <c r="C69" s="13"/>
      <c r="D69" s="16"/>
      <c r="E69" s="5" t="s">
        <v>8</v>
      </c>
    </row>
    <row r="70" spans="1:7">
      <c r="A70" s="14" t="s">
        <v>93</v>
      </c>
      <c r="B70" s="12" t="s">
        <v>78</v>
      </c>
      <c r="C70" s="13" t="s">
        <v>11</v>
      </c>
      <c r="D70" s="17">
        <v>72.05</v>
      </c>
      <c r="E70" s="5" t="s">
        <v>8</v>
      </c>
      <c r="F70" s="6">
        <v>55.9</v>
      </c>
      <c r="G70" s="7">
        <f t="shared" ref="G70:G72" si="10">(D70-F70)/F70</f>
        <v>0.288908765652952</v>
      </c>
    </row>
    <row r="71" spans="1:7">
      <c r="A71" s="14" t="s">
        <v>94</v>
      </c>
      <c r="B71" s="12" t="s">
        <v>80</v>
      </c>
      <c r="C71" s="13" t="s">
        <v>11</v>
      </c>
      <c r="D71" s="17">
        <v>81.6</v>
      </c>
      <c r="E71" s="5" t="s">
        <v>8</v>
      </c>
      <c r="F71" s="6">
        <v>60</v>
      </c>
      <c r="G71" s="7">
        <f t="shared" si="10"/>
        <v>0.36</v>
      </c>
    </row>
    <row r="72" spans="1:7">
      <c r="A72" s="14" t="s">
        <v>95</v>
      </c>
      <c r="B72" s="12" t="s">
        <v>82</v>
      </c>
      <c r="C72" s="13" t="s">
        <v>11</v>
      </c>
      <c r="D72" s="17">
        <v>97.25</v>
      </c>
      <c r="E72" s="5" t="s">
        <v>8</v>
      </c>
      <c r="F72" s="6">
        <v>66.75</v>
      </c>
      <c r="G72" s="7">
        <f t="shared" si="10"/>
        <v>0.456928838951311</v>
      </c>
    </row>
    <row r="73" ht="31" spans="1:7">
      <c r="A73" s="18">
        <v>2.21</v>
      </c>
      <c r="B73" s="15" t="s">
        <v>96</v>
      </c>
      <c r="C73" s="13"/>
      <c r="D73" s="16"/>
      <c r="E73" s="5" t="s">
        <v>8</v>
      </c>
    </row>
    <row r="74" spans="1:7">
      <c r="A74" s="14" t="s">
        <v>97</v>
      </c>
      <c r="B74" s="12" t="s">
        <v>78</v>
      </c>
      <c r="C74" s="13" t="s">
        <v>11</v>
      </c>
      <c r="D74" s="17">
        <v>66.4</v>
      </c>
      <c r="E74" s="5" t="s">
        <v>8</v>
      </c>
      <c r="F74" s="6">
        <v>48.7</v>
      </c>
      <c r="G74" s="7">
        <f t="shared" ref="G74:G76" si="11">(D74-F74)/F74</f>
        <v>0.363449691991787</v>
      </c>
    </row>
    <row r="75" spans="1:7">
      <c r="A75" s="14" t="s">
        <v>98</v>
      </c>
      <c r="B75" s="12" t="s">
        <v>80</v>
      </c>
      <c r="C75" s="13" t="s">
        <v>11</v>
      </c>
      <c r="D75" s="17">
        <v>81.65</v>
      </c>
      <c r="E75" s="5" t="s">
        <v>8</v>
      </c>
      <c r="F75" s="6">
        <v>55.2</v>
      </c>
      <c r="G75" s="7">
        <f t="shared" si="11"/>
        <v>0.479166666666667</v>
      </c>
    </row>
    <row r="76" spans="1:7">
      <c r="A76" s="14" t="s">
        <v>99</v>
      </c>
      <c r="B76" s="12" t="s">
        <v>82</v>
      </c>
      <c r="C76" s="13" t="s">
        <v>11</v>
      </c>
      <c r="D76" s="17">
        <v>101.85</v>
      </c>
      <c r="E76" s="5" t="s">
        <v>8</v>
      </c>
      <c r="F76" s="6">
        <v>63.85</v>
      </c>
      <c r="G76" s="7">
        <f t="shared" si="11"/>
        <v>0.595144870790916</v>
      </c>
    </row>
    <row r="77" ht="31" spans="1:7">
      <c r="A77" s="18">
        <v>2.22</v>
      </c>
      <c r="B77" s="15" t="s">
        <v>100</v>
      </c>
      <c r="C77" s="13"/>
      <c r="D77" s="16"/>
      <c r="E77" s="5" t="s">
        <v>8</v>
      </c>
    </row>
    <row r="78" spans="1:7">
      <c r="A78" s="14" t="s">
        <v>101</v>
      </c>
      <c r="B78" s="12" t="s">
        <v>78</v>
      </c>
      <c r="C78" s="13" t="s">
        <v>11</v>
      </c>
      <c r="D78" s="17">
        <v>44.85</v>
      </c>
      <c r="E78" s="5" t="s">
        <v>8</v>
      </c>
      <c r="F78" s="6">
        <v>32.95</v>
      </c>
      <c r="G78" s="7">
        <f t="shared" ref="G78:G81" si="12">(D78-F78)/F78</f>
        <v>0.361153262518968</v>
      </c>
    </row>
    <row r="79" spans="1:7">
      <c r="A79" s="14" t="s">
        <v>102</v>
      </c>
      <c r="B79" s="12" t="s">
        <v>80</v>
      </c>
      <c r="C79" s="13" t="s">
        <v>11</v>
      </c>
      <c r="D79" s="17">
        <v>54.95</v>
      </c>
      <c r="E79" s="5" t="s">
        <v>8</v>
      </c>
      <c r="F79" s="6">
        <v>37.4</v>
      </c>
      <c r="G79" s="7">
        <f t="shared" si="12"/>
        <v>0.469251336898396</v>
      </c>
    </row>
    <row r="80" spans="1:7">
      <c r="A80" s="14" t="s">
        <v>103</v>
      </c>
      <c r="B80" s="12" t="s">
        <v>82</v>
      </c>
      <c r="C80" s="13" t="s">
        <v>11</v>
      </c>
      <c r="D80" s="17">
        <v>71.3</v>
      </c>
      <c r="E80" s="5" t="s">
        <v>8</v>
      </c>
      <c r="F80" s="6">
        <v>44.55</v>
      </c>
      <c r="G80" s="7">
        <f t="shared" si="12"/>
        <v>0.600448933782267</v>
      </c>
    </row>
    <row r="81" ht="31" spans="1:7">
      <c r="A81" s="18">
        <v>2.23</v>
      </c>
      <c r="B81" s="15" t="s">
        <v>104</v>
      </c>
      <c r="C81" s="13" t="s">
        <v>11</v>
      </c>
      <c r="D81" s="17">
        <v>872.55</v>
      </c>
      <c r="E81" s="5" t="s">
        <v>8</v>
      </c>
      <c r="F81" s="6">
        <v>709.45</v>
      </c>
      <c r="G81" s="7">
        <f t="shared" si="12"/>
        <v>0.229896398618648</v>
      </c>
    </row>
    <row r="82" spans="1:7">
      <c r="A82" s="18">
        <v>2.24</v>
      </c>
      <c r="B82" s="15" t="s">
        <v>105</v>
      </c>
      <c r="C82" s="13"/>
      <c r="D82" s="16"/>
      <c r="E82" s="5" t="s">
        <v>8</v>
      </c>
    </row>
    <row r="83" spans="1:7">
      <c r="A83" s="14" t="s">
        <v>106</v>
      </c>
      <c r="B83" s="12" t="s">
        <v>107</v>
      </c>
      <c r="C83" s="13" t="s">
        <v>108</v>
      </c>
      <c r="D83" s="21">
        <v>0.2</v>
      </c>
      <c r="E83" s="5" t="s">
        <v>8</v>
      </c>
    </row>
    <row r="84" spans="1:7">
      <c r="A84" s="14" t="s">
        <v>109</v>
      </c>
      <c r="B84" s="12" t="s">
        <v>110</v>
      </c>
      <c r="C84" s="13" t="s">
        <v>108</v>
      </c>
      <c r="D84" s="21">
        <v>0.25</v>
      </c>
      <c r="E84" s="5" t="s">
        <v>8</v>
      </c>
    </row>
    <row r="85" ht="93" spans="1:7">
      <c r="A85" s="14"/>
      <c r="B85" s="15" t="s">
        <v>111</v>
      </c>
      <c r="C85" s="13"/>
      <c r="D85" s="16"/>
      <c r="E85" s="5" t="s">
        <v>8</v>
      </c>
    </row>
    <row r="86" ht="46.5" spans="1:7">
      <c r="A86" s="18">
        <v>2.25</v>
      </c>
      <c r="B86" s="15" t="s">
        <v>112</v>
      </c>
      <c r="C86" s="13" t="s">
        <v>14</v>
      </c>
      <c r="D86" s="17">
        <v>196</v>
      </c>
      <c r="E86" s="5" t="s">
        <v>8</v>
      </c>
      <c r="F86" s="6">
        <v>125.75</v>
      </c>
      <c r="G86" s="7">
        <f t="shared" ref="G86:G91" si="13">(D86-F86)/F86</f>
        <v>0.558648111332008</v>
      </c>
    </row>
    <row r="87" ht="62" spans="1:7">
      <c r="A87" s="14" t="s">
        <v>113</v>
      </c>
      <c r="B87" s="15" t="s">
        <v>114</v>
      </c>
      <c r="C87" s="13" t="s">
        <v>14</v>
      </c>
      <c r="D87" s="17">
        <v>700.5</v>
      </c>
      <c r="E87" s="5" t="s">
        <v>8</v>
      </c>
      <c r="F87" s="6">
        <v>229.8</v>
      </c>
      <c r="G87" s="7">
        <f t="shared" si="13"/>
        <v>2.04830287206266</v>
      </c>
    </row>
    <row r="88" ht="31" spans="1:7">
      <c r="A88" s="18">
        <v>2.26</v>
      </c>
      <c r="B88" s="15" t="s">
        <v>115</v>
      </c>
      <c r="C88" s="13"/>
      <c r="D88" s="16"/>
      <c r="E88" s="5" t="s">
        <v>8</v>
      </c>
    </row>
    <row r="89" spans="1:7">
      <c r="A89" s="14" t="s">
        <v>116</v>
      </c>
      <c r="B89" s="12" t="s">
        <v>10</v>
      </c>
      <c r="C89" s="13" t="s">
        <v>14</v>
      </c>
      <c r="D89" s="17">
        <v>126.8</v>
      </c>
      <c r="E89" s="5" t="s">
        <v>8</v>
      </c>
      <c r="F89" s="6">
        <v>51.75</v>
      </c>
      <c r="G89" s="7">
        <f t="shared" si="13"/>
        <v>1.45024154589372</v>
      </c>
    </row>
    <row r="90" spans="1:7">
      <c r="A90" s="14" t="s">
        <v>117</v>
      </c>
      <c r="B90" s="12" t="s">
        <v>118</v>
      </c>
      <c r="C90" s="13" t="s">
        <v>14</v>
      </c>
      <c r="D90" s="17">
        <v>227.4</v>
      </c>
      <c r="E90" s="5" t="s">
        <v>8</v>
      </c>
      <c r="F90" s="6">
        <v>92.8</v>
      </c>
      <c r="G90" s="7">
        <f t="shared" si="13"/>
        <v>1.45043103448276</v>
      </c>
    </row>
    <row r="91" ht="31" spans="1:7">
      <c r="A91" s="18">
        <v>2.27</v>
      </c>
      <c r="B91" s="15" t="s">
        <v>119</v>
      </c>
      <c r="C91" s="13" t="s">
        <v>14</v>
      </c>
      <c r="D91" s="17">
        <v>2123.75</v>
      </c>
      <c r="E91" s="5" t="s">
        <v>8</v>
      </c>
      <c r="F91" s="6">
        <v>917.75</v>
      </c>
      <c r="G91" s="7">
        <f t="shared" si="13"/>
        <v>1.31408335603378</v>
      </c>
    </row>
    <row r="92" ht="31" spans="1:7">
      <c r="A92" s="18">
        <v>2.28</v>
      </c>
      <c r="B92" s="15" t="s">
        <v>120</v>
      </c>
      <c r="C92" s="13"/>
      <c r="D92" s="16"/>
      <c r="E92" s="5" t="s">
        <v>8</v>
      </c>
    </row>
    <row r="93" spans="1:7">
      <c r="A93" s="14" t="s">
        <v>121</v>
      </c>
      <c r="B93" s="12" t="s">
        <v>10</v>
      </c>
      <c r="C93" s="13" t="s">
        <v>11</v>
      </c>
      <c r="D93" s="17">
        <v>34.15</v>
      </c>
      <c r="E93" s="5" t="s">
        <v>8</v>
      </c>
      <c r="F93" s="6">
        <v>13.95</v>
      </c>
      <c r="G93" s="7">
        <f t="shared" ref="G93:G102" si="14">(D93-F93)/F93</f>
        <v>1.44802867383513</v>
      </c>
    </row>
    <row r="94" spans="1:7">
      <c r="A94" s="18">
        <v>2.29</v>
      </c>
      <c r="B94" s="15" t="s">
        <v>122</v>
      </c>
      <c r="C94" s="13"/>
      <c r="D94" s="16"/>
      <c r="E94" s="5" t="s">
        <v>8</v>
      </c>
    </row>
    <row r="95" spans="1:7">
      <c r="A95" s="14" t="s">
        <v>123</v>
      </c>
      <c r="B95" s="12" t="s">
        <v>10</v>
      </c>
      <c r="C95" s="13" t="s">
        <v>11</v>
      </c>
      <c r="D95" s="17">
        <v>34.6</v>
      </c>
      <c r="E95" s="5" t="s">
        <v>8</v>
      </c>
      <c r="F95" s="6">
        <v>14.1</v>
      </c>
      <c r="G95" s="7">
        <f t="shared" si="14"/>
        <v>1.45390070921986</v>
      </c>
    </row>
    <row r="96" ht="62" spans="1:7">
      <c r="A96" s="18">
        <v>2.3</v>
      </c>
      <c r="B96" s="15" t="s">
        <v>124</v>
      </c>
      <c r="C96" s="13"/>
      <c r="D96" s="16"/>
      <c r="E96" s="5" t="s">
        <v>8</v>
      </c>
    </row>
    <row r="97" spans="1:7">
      <c r="A97" s="14" t="s">
        <v>125</v>
      </c>
      <c r="B97" s="12" t="s">
        <v>10</v>
      </c>
      <c r="C97" s="13" t="s">
        <v>126</v>
      </c>
      <c r="D97" s="17">
        <v>82.45</v>
      </c>
      <c r="E97" s="5" t="s">
        <v>8</v>
      </c>
      <c r="F97" s="6">
        <v>52.65</v>
      </c>
      <c r="G97" s="7">
        <f t="shared" si="14"/>
        <v>0.566001899335233</v>
      </c>
    </row>
    <row r="98" spans="1:7">
      <c r="A98" s="14" t="s">
        <v>127</v>
      </c>
      <c r="B98" s="12" t="s">
        <v>23</v>
      </c>
      <c r="C98" s="13" t="s">
        <v>126</v>
      </c>
      <c r="D98" s="17">
        <v>194.25</v>
      </c>
      <c r="E98" s="5" t="s">
        <v>8</v>
      </c>
      <c r="F98" s="6">
        <v>85.45</v>
      </c>
      <c r="G98" s="7">
        <f t="shared" si="14"/>
        <v>1.27325921591574</v>
      </c>
    </row>
    <row r="99" spans="1:7">
      <c r="A99" s="14" t="s">
        <v>128</v>
      </c>
      <c r="B99" s="12" t="s">
        <v>25</v>
      </c>
      <c r="C99" s="13" t="s">
        <v>126</v>
      </c>
      <c r="D99" s="17">
        <v>319.3</v>
      </c>
      <c r="E99" s="5" t="s">
        <v>8</v>
      </c>
      <c r="F99" s="6">
        <v>142.55</v>
      </c>
      <c r="G99" s="7">
        <f t="shared" si="14"/>
        <v>1.23991581901087</v>
      </c>
    </row>
    <row r="100" spans="1:7">
      <c r="A100" s="14" t="s">
        <v>129</v>
      </c>
      <c r="B100" s="12" t="s">
        <v>27</v>
      </c>
      <c r="C100" s="13" t="s">
        <v>126</v>
      </c>
      <c r="D100" s="17">
        <v>461.3</v>
      </c>
      <c r="E100" s="5" t="s">
        <v>8</v>
      </c>
      <c r="F100" s="6">
        <v>199.7</v>
      </c>
      <c r="G100" s="7">
        <f t="shared" si="14"/>
        <v>1.30996494742113</v>
      </c>
    </row>
    <row r="101" ht="46.5" spans="1:7">
      <c r="A101" s="18">
        <v>2.31</v>
      </c>
      <c r="B101" s="15" t="s">
        <v>130</v>
      </c>
      <c r="C101" s="13" t="s">
        <v>11</v>
      </c>
      <c r="D101" s="17">
        <v>17.6</v>
      </c>
      <c r="E101" s="5" t="s">
        <v>8</v>
      </c>
      <c r="F101" s="6">
        <v>7.2</v>
      </c>
      <c r="G101" s="7">
        <f t="shared" si="14"/>
        <v>1.44444444444444</v>
      </c>
    </row>
    <row r="102" ht="31" spans="1:7">
      <c r="A102" s="18">
        <v>2.32</v>
      </c>
      <c r="B102" s="15" t="s">
        <v>131</v>
      </c>
      <c r="C102" s="13" t="s">
        <v>11</v>
      </c>
      <c r="D102" s="17">
        <v>8.95</v>
      </c>
      <c r="E102" s="5" t="s">
        <v>8</v>
      </c>
      <c r="F102" s="6">
        <v>3.65</v>
      </c>
      <c r="G102" s="7">
        <f t="shared" si="14"/>
        <v>1.45205479452055</v>
      </c>
    </row>
    <row r="103" ht="46.5" spans="1:7">
      <c r="A103" s="18">
        <v>2.33</v>
      </c>
      <c r="B103" s="15" t="s">
        <v>132</v>
      </c>
      <c r="C103" s="13"/>
      <c r="D103" s="16"/>
      <c r="E103" s="5" t="s">
        <v>8</v>
      </c>
    </row>
    <row r="104" spans="1:7">
      <c r="A104" s="14" t="s">
        <v>133</v>
      </c>
      <c r="B104" s="12" t="s">
        <v>134</v>
      </c>
      <c r="C104" s="13" t="s">
        <v>126</v>
      </c>
      <c r="D104" s="17">
        <v>532.35</v>
      </c>
      <c r="E104" s="5" t="s">
        <v>8</v>
      </c>
      <c r="F104" s="6">
        <v>219.2</v>
      </c>
      <c r="G104" s="7">
        <f t="shared" ref="G104:G107" si="15">(D104-F104)/F104</f>
        <v>1.42860401459854</v>
      </c>
    </row>
    <row r="105" spans="1:7">
      <c r="A105" s="14" t="s">
        <v>135</v>
      </c>
      <c r="B105" s="12" t="s">
        <v>136</v>
      </c>
      <c r="C105" s="13" t="s">
        <v>126</v>
      </c>
      <c r="D105" s="17">
        <v>2373.5</v>
      </c>
      <c r="E105" s="5" t="s">
        <v>8</v>
      </c>
      <c r="F105" s="6">
        <v>972.7</v>
      </c>
      <c r="G105" s="7">
        <f t="shared" si="15"/>
        <v>1.44011514341524</v>
      </c>
    </row>
    <row r="106" spans="1:7">
      <c r="A106" s="14" t="s">
        <v>137</v>
      </c>
      <c r="B106" s="12" t="s">
        <v>138</v>
      </c>
      <c r="C106" s="13" t="s">
        <v>126</v>
      </c>
      <c r="D106" s="17">
        <v>11020.15</v>
      </c>
      <c r="E106" s="5" t="s">
        <v>8</v>
      </c>
      <c r="F106" s="6">
        <v>4504.25</v>
      </c>
      <c r="G106" s="7">
        <f t="shared" si="15"/>
        <v>1.44661153355165</v>
      </c>
    </row>
    <row r="107" spans="1:7">
      <c r="A107" s="14" t="s">
        <v>139</v>
      </c>
      <c r="B107" s="12" t="s">
        <v>140</v>
      </c>
      <c r="C107" s="13" t="s">
        <v>126</v>
      </c>
      <c r="D107" s="17">
        <v>22075.2</v>
      </c>
      <c r="E107" s="5" t="s">
        <v>8</v>
      </c>
      <c r="F107" s="6">
        <v>9030.15</v>
      </c>
      <c r="G107" s="7">
        <f t="shared" si="15"/>
        <v>1.44461055464195</v>
      </c>
    </row>
    <row r="108" spans="1:7">
      <c r="A108" s="18">
        <v>2.34</v>
      </c>
      <c r="B108" s="15" t="s">
        <v>141</v>
      </c>
      <c r="C108" s="13"/>
      <c r="D108" s="16"/>
      <c r="E108" s="5" t="s">
        <v>8</v>
      </c>
    </row>
    <row r="109" spans="1:7">
      <c r="A109" s="14" t="s">
        <v>142</v>
      </c>
      <c r="B109" s="12" t="s">
        <v>143</v>
      </c>
      <c r="C109" s="13" t="s">
        <v>144</v>
      </c>
      <c r="D109" s="17">
        <v>234.75</v>
      </c>
      <c r="E109" s="5" t="s">
        <v>8</v>
      </c>
      <c r="F109" s="6">
        <v>185.95</v>
      </c>
      <c r="G109" s="7">
        <f t="shared" ref="G109:G114" si="16">(D109-F109)/F109</f>
        <v>0.262436138746975</v>
      </c>
    </row>
    <row r="110" ht="31" spans="1:7">
      <c r="A110" s="18">
        <v>2.35</v>
      </c>
      <c r="B110" s="15" t="s">
        <v>145</v>
      </c>
      <c r="C110" s="13"/>
      <c r="D110" s="16"/>
      <c r="E110" s="5" t="s">
        <v>8</v>
      </c>
    </row>
    <row r="111" ht="46.5" spans="1:7">
      <c r="A111" s="14" t="s">
        <v>146</v>
      </c>
      <c r="B111" s="12" t="s">
        <v>147</v>
      </c>
      <c r="C111" s="13"/>
      <c r="D111" s="16"/>
      <c r="E111" s="5" t="s">
        <v>8</v>
      </c>
    </row>
    <row r="112" spans="1:7">
      <c r="A112" s="14" t="s">
        <v>148</v>
      </c>
      <c r="B112" s="12" t="s">
        <v>149</v>
      </c>
      <c r="C112" s="13" t="s">
        <v>39</v>
      </c>
      <c r="D112" s="17">
        <v>38.9</v>
      </c>
      <c r="E112" s="5" t="s">
        <v>8</v>
      </c>
      <c r="F112" s="6">
        <v>16.8</v>
      </c>
      <c r="G112" s="7">
        <f t="shared" si="16"/>
        <v>1.31547619047619</v>
      </c>
    </row>
    <row r="113" ht="31" spans="1:7">
      <c r="A113" s="14" t="s">
        <v>150</v>
      </c>
      <c r="B113" s="12" t="s">
        <v>151</v>
      </c>
      <c r="C113" s="13"/>
      <c r="D113" s="16"/>
      <c r="E113" s="5" t="s">
        <v>8</v>
      </c>
    </row>
    <row r="114" spans="1:7">
      <c r="A114" s="14" t="s">
        <v>152</v>
      </c>
      <c r="B114" s="12" t="s">
        <v>149</v>
      </c>
      <c r="C114" s="13" t="s">
        <v>39</v>
      </c>
      <c r="D114" s="17">
        <v>53.45</v>
      </c>
      <c r="E114" s="5" t="s">
        <v>8</v>
      </c>
      <c r="F114" s="6">
        <v>24.3</v>
      </c>
      <c r="G114" s="7">
        <f t="shared" si="16"/>
        <v>1.19958847736626</v>
      </c>
    </row>
    <row r="115" ht="46.5" spans="1:7">
      <c r="A115" s="14" t="s">
        <v>153</v>
      </c>
      <c r="B115" s="12" t="s">
        <v>154</v>
      </c>
      <c r="C115" s="13"/>
      <c r="D115" s="16"/>
      <c r="E115" s="5" t="s">
        <v>8</v>
      </c>
    </row>
    <row r="116" spans="1:7">
      <c r="A116" s="14" t="s">
        <v>155</v>
      </c>
      <c r="B116" s="12" t="s">
        <v>156</v>
      </c>
      <c r="C116" s="13" t="s">
        <v>11</v>
      </c>
      <c r="D116" s="17">
        <v>310.05</v>
      </c>
      <c r="E116" s="5" t="s">
        <v>8</v>
      </c>
      <c r="F116" s="6">
        <v>131.9</v>
      </c>
      <c r="G116" s="7">
        <f t="shared" ref="G116:G122" si="17">(D116-F116)/F116</f>
        <v>1.35064442759666</v>
      </c>
    </row>
    <row r="117" ht="46.5" spans="1:7">
      <c r="A117" s="14" t="s">
        <v>157</v>
      </c>
      <c r="B117" s="12" t="s">
        <v>158</v>
      </c>
      <c r="C117" s="13"/>
      <c r="D117" s="16"/>
      <c r="E117" s="5" t="s">
        <v>8</v>
      </c>
    </row>
    <row r="118" spans="1:7">
      <c r="A118" s="14" t="s">
        <v>159</v>
      </c>
      <c r="B118" s="12" t="s">
        <v>156</v>
      </c>
      <c r="C118" s="13" t="s">
        <v>39</v>
      </c>
      <c r="D118" s="17">
        <v>43</v>
      </c>
      <c r="E118" s="5" t="s">
        <v>8</v>
      </c>
      <c r="F118" s="6">
        <v>19.05</v>
      </c>
      <c r="G118" s="7">
        <f t="shared" si="17"/>
        <v>1.25721784776903</v>
      </c>
    </row>
    <row r="119" ht="46.5" spans="1:7">
      <c r="A119" s="14" t="s">
        <v>160</v>
      </c>
      <c r="B119" s="12" t="s">
        <v>161</v>
      </c>
      <c r="C119" s="13" t="s">
        <v>39</v>
      </c>
      <c r="D119" s="17">
        <v>279.7</v>
      </c>
      <c r="E119" s="5" t="s">
        <v>8</v>
      </c>
      <c r="F119" s="6">
        <v>191.4</v>
      </c>
      <c r="G119" s="7">
        <f t="shared" si="17"/>
        <v>0.461337513061651</v>
      </c>
    </row>
    <row r="120" ht="31" spans="1:7">
      <c r="A120" s="18">
        <v>2.36</v>
      </c>
      <c r="B120" s="15" t="s">
        <v>162</v>
      </c>
      <c r="C120" s="13" t="s">
        <v>14</v>
      </c>
      <c r="D120" s="17">
        <v>93.05</v>
      </c>
      <c r="E120" s="5" t="s">
        <v>8</v>
      </c>
      <c r="F120" s="6">
        <v>37.95</v>
      </c>
      <c r="G120" s="7">
        <f t="shared" si="17"/>
        <v>1.45191040843215</v>
      </c>
    </row>
    <row r="121" ht="46.5" spans="1:7">
      <c r="A121" s="18">
        <v>2.37</v>
      </c>
      <c r="B121" s="15" t="s">
        <v>163</v>
      </c>
      <c r="C121" s="13" t="s">
        <v>14</v>
      </c>
      <c r="D121" s="17">
        <v>281.05</v>
      </c>
      <c r="E121" s="5" t="s">
        <v>8</v>
      </c>
      <c r="F121" s="6">
        <v>129.8</v>
      </c>
      <c r="G121" s="7">
        <f t="shared" si="17"/>
        <v>1.16525423728814</v>
      </c>
    </row>
    <row r="122" ht="93" spans="1:7">
      <c r="A122" s="18">
        <v>2.38</v>
      </c>
      <c r="B122" s="15" t="s">
        <v>164</v>
      </c>
      <c r="C122" s="13" t="s">
        <v>14</v>
      </c>
      <c r="D122" s="17">
        <v>308.2</v>
      </c>
      <c r="E122" s="5" t="s">
        <v>8</v>
      </c>
      <c r="F122" s="6">
        <v>125.75</v>
      </c>
      <c r="G122" s="7">
        <f t="shared" si="17"/>
        <v>1.45089463220676</v>
      </c>
    </row>
    <row r="123" spans="1:7">
      <c r="A123" s="5"/>
      <c r="D123" s="3"/>
    </row>
    <row r="124" spans="1:7">
      <c r="A124" s="5"/>
      <c r="D124" s="3"/>
    </row>
    <row r="125" spans="1:7">
      <c r="A125" s="5" t="s">
        <v>165</v>
      </c>
      <c r="C125" s="5"/>
      <c r="D125" s="5"/>
    </row>
    <row r="126" spans="1:7">
      <c r="C126" s="1"/>
      <c r="D126" s="1"/>
    </row>
    <row r="127" spans="1:7">
      <c r="A127" s="14" t="s">
        <v>166</v>
      </c>
      <c r="B127" s="15" t="s">
        <v>2</v>
      </c>
      <c r="C127" s="13" t="s">
        <v>167</v>
      </c>
      <c r="D127" s="16" t="s">
        <v>4</v>
      </c>
      <c r="E127" s="5" t="s">
        <v>8</v>
      </c>
    </row>
    <row r="128" spans="1:7">
      <c r="A128" s="14">
        <v>3.1</v>
      </c>
      <c r="B128" s="15" t="s">
        <v>168</v>
      </c>
      <c r="C128" s="13" t="s">
        <v>14</v>
      </c>
      <c r="D128" s="17">
        <v>6658.25</v>
      </c>
      <c r="E128" s="5" t="s">
        <v>8</v>
      </c>
      <c r="F128" s="6">
        <v>6897.95</v>
      </c>
      <c r="G128" s="7">
        <f t="shared" ref="G128:G146" si="18">(D128-F128)/F128</f>
        <v>-0.0347494545480903</v>
      </c>
    </row>
    <row r="129" spans="1:7">
      <c r="A129" s="14">
        <v>3.2</v>
      </c>
      <c r="B129" s="15" t="s">
        <v>169</v>
      </c>
      <c r="C129" s="13" t="s">
        <v>14</v>
      </c>
      <c r="D129" s="17">
        <v>5138</v>
      </c>
      <c r="E129" s="5" t="s">
        <v>8</v>
      </c>
      <c r="F129" s="6">
        <v>5133.75</v>
      </c>
      <c r="G129" s="7">
        <f t="shared" si="18"/>
        <v>0.000827854881908936</v>
      </c>
    </row>
    <row r="130" spans="1:7">
      <c r="A130" s="14">
        <v>3.3</v>
      </c>
      <c r="B130" s="15" t="s">
        <v>170</v>
      </c>
      <c r="C130" s="13" t="s">
        <v>14</v>
      </c>
      <c r="D130" s="17">
        <v>4379.05</v>
      </c>
      <c r="E130" s="5" t="s">
        <v>8</v>
      </c>
      <c r="F130" s="6">
        <v>4252.7</v>
      </c>
      <c r="G130" s="7">
        <f t="shared" si="18"/>
        <v>0.0297105368354223</v>
      </c>
    </row>
    <row r="131" spans="1:7">
      <c r="A131" s="14">
        <v>3.4</v>
      </c>
      <c r="B131" s="15" t="s">
        <v>171</v>
      </c>
      <c r="C131" s="13" t="s">
        <v>14</v>
      </c>
      <c r="D131" s="17">
        <v>3708.8</v>
      </c>
      <c r="E131" s="5" t="s">
        <v>8</v>
      </c>
      <c r="F131" s="6">
        <v>3499.7</v>
      </c>
      <c r="G131" s="7">
        <f t="shared" si="18"/>
        <v>0.0597479783981485</v>
      </c>
    </row>
    <row r="132" spans="1:7">
      <c r="A132" s="14">
        <v>3.5</v>
      </c>
      <c r="B132" s="15" t="s">
        <v>172</v>
      </c>
      <c r="C132" s="13" t="s">
        <v>14</v>
      </c>
      <c r="D132" s="17">
        <v>3347.85</v>
      </c>
      <c r="E132" s="5" t="s">
        <v>8</v>
      </c>
      <c r="F132" s="6">
        <v>3094.25</v>
      </c>
      <c r="G132" s="7">
        <f t="shared" si="18"/>
        <v>0.0819584713581643</v>
      </c>
    </row>
    <row r="133" spans="1:7">
      <c r="A133" s="14">
        <v>3.6</v>
      </c>
      <c r="B133" s="15" t="s">
        <v>173</v>
      </c>
      <c r="C133" s="13" t="s">
        <v>14</v>
      </c>
      <c r="D133" s="17">
        <v>3038.5</v>
      </c>
      <c r="E133" s="5" t="s">
        <v>8</v>
      </c>
      <c r="F133" s="6">
        <v>2746.7</v>
      </c>
      <c r="G133" s="7">
        <f t="shared" si="18"/>
        <v>0.10623657479885</v>
      </c>
    </row>
    <row r="134" spans="1:7">
      <c r="A134" s="14">
        <v>3.7</v>
      </c>
      <c r="B134" s="15" t="s">
        <v>174</v>
      </c>
      <c r="C134" s="13" t="s">
        <v>14</v>
      </c>
      <c r="D134" s="17">
        <v>5584.5</v>
      </c>
      <c r="E134" s="5" t="s">
        <v>8</v>
      </c>
      <c r="F134" s="6">
        <v>5551.75</v>
      </c>
      <c r="G134" s="7">
        <f t="shared" si="18"/>
        <v>0.00589904084297744</v>
      </c>
    </row>
    <row r="135" spans="1:7">
      <c r="A135" s="14">
        <v>3.8</v>
      </c>
      <c r="B135" s="15" t="s">
        <v>175</v>
      </c>
      <c r="C135" s="13" t="s">
        <v>14</v>
      </c>
      <c r="D135" s="17">
        <v>4881.95</v>
      </c>
      <c r="E135" s="5" t="s">
        <v>8</v>
      </c>
      <c r="F135" s="6">
        <v>4723.5</v>
      </c>
      <c r="G135" s="7">
        <f t="shared" si="18"/>
        <v>0.0335450407536784</v>
      </c>
    </row>
    <row r="136" spans="1:7">
      <c r="A136" s="14">
        <v>3.9</v>
      </c>
      <c r="B136" s="15" t="s">
        <v>176</v>
      </c>
      <c r="C136" s="13" t="s">
        <v>14</v>
      </c>
      <c r="D136" s="17">
        <v>4211.7</v>
      </c>
      <c r="E136" s="5" t="s">
        <v>8</v>
      </c>
      <c r="F136" s="6">
        <v>3970.5</v>
      </c>
      <c r="G136" s="7">
        <f t="shared" si="18"/>
        <v>0.0607480166225916</v>
      </c>
    </row>
    <row r="137" spans="1:7">
      <c r="A137" s="18">
        <v>3.1</v>
      </c>
      <c r="B137" s="15" t="s">
        <v>177</v>
      </c>
      <c r="C137" s="13" t="s">
        <v>14</v>
      </c>
      <c r="D137" s="17">
        <v>3850.75</v>
      </c>
      <c r="E137" s="5" t="s">
        <v>8</v>
      </c>
      <c r="F137" s="6">
        <v>3565.05</v>
      </c>
      <c r="G137" s="7">
        <f t="shared" si="18"/>
        <v>0.0801391284834714</v>
      </c>
    </row>
    <row r="138" spans="1:7">
      <c r="A138" s="18">
        <v>3.11</v>
      </c>
      <c r="B138" s="15" t="s">
        <v>178</v>
      </c>
      <c r="C138" s="13" t="s">
        <v>14</v>
      </c>
      <c r="D138" s="17">
        <v>3541.4</v>
      </c>
      <c r="E138" s="5" t="s">
        <v>8</v>
      </c>
      <c r="F138" s="6">
        <v>3217.5</v>
      </c>
      <c r="G138" s="7">
        <f t="shared" si="18"/>
        <v>0.100668220668221</v>
      </c>
    </row>
    <row r="139" spans="1:7">
      <c r="A139" s="18">
        <v>3.12</v>
      </c>
      <c r="B139" s="15" t="s">
        <v>179</v>
      </c>
      <c r="C139" s="13" t="s">
        <v>14</v>
      </c>
      <c r="D139" s="17">
        <v>5252</v>
      </c>
      <c r="E139" s="5" t="s">
        <v>8</v>
      </c>
      <c r="F139" s="6">
        <v>5233.5</v>
      </c>
      <c r="G139" s="7">
        <f t="shared" si="18"/>
        <v>0.00353491927008694</v>
      </c>
    </row>
    <row r="140" spans="1:7">
      <c r="A140" s="18">
        <v>3.13</v>
      </c>
      <c r="B140" s="15" t="s">
        <v>180</v>
      </c>
      <c r="C140" s="13" t="s">
        <v>14</v>
      </c>
      <c r="D140" s="17">
        <v>5328</v>
      </c>
      <c r="E140" s="5" t="s">
        <v>8</v>
      </c>
      <c r="F140" s="6">
        <v>5361.75</v>
      </c>
      <c r="G140" s="7">
        <f t="shared" si="18"/>
        <v>-0.00629458665547629</v>
      </c>
    </row>
    <row r="141" spans="1:7">
      <c r="A141" s="18">
        <v>3.14</v>
      </c>
      <c r="B141" s="15" t="s">
        <v>181</v>
      </c>
      <c r="C141" s="13" t="s">
        <v>14</v>
      </c>
      <c r="D141" s="17">
        <v>3561.85</v>
      </c>
      <c r="E141" s="5" t="s">
        <v>8</v>
      </c>
      <c r="F141" s="6">
        <v>3351.05</v>
      </c>
      <c r="G141" s="7">
        <f t="shared" si="18"/>
        <v>0.0629056564360423</v>
      </c>
    </row>
    <row r="142" spans="1:7">
      <c r="A142" s="18">
        <v>3.15</v>
      </c>
      <c r="B142" s="15" t="s">
        <v>182</v>
      </c>
      <c r="C142" s="13" t="s">
        <v>14</v>
      </c>
      <c r="D142" s="17">
        <v>8961.9</v>
      </c>
      <c r="E142" s="5" t="s">
        <v>8</v>
      </c>
      <c r="F142" s="6">
        <v>9101.75</v>
      </c>
      <c r="G142" s="7">
        <f t="shared" si="18"/>
        <v>-0.0153651770263961</v>
      </c>
    </row>
    <row r="143" spans="1:7">
      <c r="A143" s="18">
        <v>3.16</v>
      </c>
      <c r="B143" s="15" t="s">
        <v>183</v>
      </c>
      <c r="C143" s="13" t="s">
        <v>14</v>
      </c>
      <c r="D143" s="17">
        <v>7318.5</v>
      </c>
      <c r="E143" s="5" t="s">
        <v>8</v>
      </c>
      <c r="F143" s="6">
        <v>7314.5</v>
      </c>
      <c r="G143" s="7">
        <f t="shared" si="18"/>
        <v>0.000546858978740857</v>
      </c>
    </row>
    <row r="144" spans="1:7">
      <c r="A144" s="18">
        <v>3.17</v>
      </c>
      <c r="B144" s="15" t="s">
        <v>184</v>
      </c>
      <c r="C144" s="13" t="s">
        <v>14</v>
      </c>
      <c r="D144" s="17">
        <v>5218.5</v>
      </c>
      <c r="E144" s="5" t="s">
        <v>8</v>
      </c>
      <c r="F144" s="6">
        <v>5056.05</v>
      </c>
      <c r="G144" s="7">
        <f t="shared" si="18"/>
        <v>0.0321298246654997</v>
      </c>
    </row>
    <row r="145" spans="1:7">
      <c r="A145" s="18">
        <v>3.18</v>
      </c>
      <c r="B145" s="15" t="s">
        <v>185</v>
      </c>
      <c r="C145" s="13" t="s">
        <v>14</v>
      </c>
      <c r="D145" s="17">
        <v>940.55</v>
      </c>
      <c r="E145" s="5" t="s">
        <v>8</v>
      </c>
      <c r="F145" s="6">
        <v>533.2</v>
      </c>
      <c r="G145" s="7">
        <f t="shared" si="18"/>
        <v>0.763972243060765</v>
      </c>
    </row>
    <row r="146" spans="1:7">
      <c r="A146" s="18">
        <v>3.19</v>
      </c>
      <c r="B146" s="15" t="s">
        <v>186</v>
      </c>
      <c r="C146" s="13" t="s">
        <v>14</v>
      </c>
      <c r="D146" s="17">
        <v>2880.65</v>
      </c>
      <c r="E146" s="5" t="s">
        <v>8</v>
      </c>
      <c r="F146" s="6">
        <v>2429.95</v>
      </c>
      <c r="G146" s="7">
        <f t="shared" si="18"/>
        <v>0.185477067429371</v>
      </c>
    </row>
    <row r="147" spans="1:7">
      <c r="A147" s="5"/>
      <c r="D147" s="3"/>
    </row>
    <row r="148" spans="1:7">
      <c r="A148" s="5"/>
      <c r="D148" s="3"/>
    </row>
    <row r="149" spans="1:7">
      <c r="A149" s="5"/>
      <c r="D149" s="3"/>
    </row>
    <row r="150" spans="1:7">
      <c r="A150" s="5"/>
      <c r="D150" s="3"/>
    </row>
    <row r="151" spans="1:7">
      <c r="A151" s="5"/>
      <c r="D151" s="3"/>
    </row>
    <row r="152" spans="1:7">
      <c r="A152" s="5" t="s">
        <v>187</v>
      </c>
      <c r="C152" s="5"/>
      <c r="D152" s="5"/>
    </row>
    <row r="153" spans="1:7">
      <c r="A153" s="14" t="s">
        <v>166</v>
      </c>
      <c r="B153" s="15" t="s">
        <v>2</v>
      </c>
      <c r="C153" s="13" t="s">
        <v>167</v>
      </c>
      <c r="D153" s="16" t="s">
        <v>4</v>
      </c>
      <c r="E153" s="5" t="s">
        <v>8</v>
      </c>
    </row>
    <row r="154" spans="1:7">
      <c r="A154" s="14"/>
      <c r="B154" s="15" t="s">
        <v>188</v>
      </c>
      <c r="C154" s="13"/>
      <c r="D154" s="16"/>
      <c r="E154" s="5" t="s">
        <v>8</v>
      </c>
    </row>
    <row r="155" ht="31" spans="1:7">
      <c r="A155" s="14">
        <v>4.1</v>
      </c>
      <c r="B155" s="15" t="s">
        <v>189</v>
      </c>
      <c r="C155" s="13"/>
      <c r="D155" s="16"/>
      <c r="E155" s="5" t="s">
        <v>8</v>
      </c>
    </row>
    <row r="156" ht="31" spans="1:7">
      <c r="A156" s="14" t="s">
        <v>190</v>
      </c>
      <c r="B156" s="12" t="s">
        <v>191</v>
      </c>
      <c r="C156" s="13" t="s">
        <v>14</v>
      </c>
      <c r="D156" s="17">
        <v>8340.85</v>
      </c>
      <c r="E156" s="5" t="s">
        <v>8</v>
      </c>
      <c r="F156" s="6">
        <v>5924.65</v>
      </c>
      <c r="G156" s="7">
        <f t="shared" ref="G156:G161" si="19">(D156-F156)/F156</f>
        <v>0.407821559079439</v>
      </c>
    </row>
    <row r="157" ht="46.5" spans="1:7">
      <c r="A157" s="14" t="s">
        <v>192</v>
      </c>
      <c r="B157" s="12" t="s">
        <v>193</v>
      </c>
      <c r="C157" s="13" t="s">
        <v>14</v>
      </c>
      <c r="D157" s="17">
        <v>8127.8</v>
      </c>
    </row>
    <row r="158" ht="31" spans="1:7">
      <c r="A158" s="14" t="s">
        <v>194</v>
      </c>
      <c r="B158" s="12" t="s">
        <v>195</v>
      </c>
      <c r="C158" s="13" t="s">
        <v>14</v>
      </c>
      <c r="D158" s="17">
        <v>7878.5</v>
      </c>
      <c r="E158" s="5" t="s">
        <v>8</v>
      </c>
      <c r="F158" s="6">
        <v>5481.95</v>
      </c>
      <c r="G158" s="7">
        <f t="shared" si="19"/>
        <v>0.437171079634072</v>
      </c>
    </row>
    <row r="159" ht="46.5" spans="1:7">
      <c r="A159" s="14" t="s">
        <v>196</v>
      </c>
      <c r="B159" s="12" t="s">
        <v>197</v>
      </c>
      <c r="C159" s="13" t="s">
        <v>14</v>
      </c>
      <c r="D159" s="17">
        <v>7654.85</v>
      </c>
    </row>
    <row r="160" ht="31" spans="1:7">
      <c r="A160" s="14" t="s">
        <v>198</v>
      </c>
      <c r="B160" s="12" t="s">
        <v>199</v>
      </c>
      <c r="C160" s="13" t="s">
        <v>14</v>
      </c>
      <c r="D160" s="17">
        <v>7780.3</v>
      </c>
      <c r="E160" s="5" t="s">
        <v>8</v>
      </c>
      <c r="F160" s="6">
        <v>5390.45</v>
      </c>
      <c r="G160" s="7">
        <f t="shared" si="19"/>
        <v>0.443348885529038</v>
      </c>
    </row>
    <row r="161" ht="31" spans="1:7">
      <c r="A161" s="14" t="s">
        <v>200</v>
      </c>
      <c r="B161" s="12" t="s">
        <v>201</v>
      </c>
      <c r="C161" s="13" t="s">
        <v>14</v>
      </c>
      <c r="D161" s="17">
        <v>7294.7</v>
      </c>
      <c r="E161" s="5" t="s">
        <v>8</v>
      </c>
      <c r="F161" s="6">
        <v>4927</v>
      </c>
      <c r="G161" s="7">
        <f t="shared" si="19"/>
        <v>0.480556119342399</v>
      </c>
    </row>
    <row r="162" ht="31" spans="1:7">
      <c r="A162" s="14" t="s">
        <v>202</v>
      </c>
      <c r="B162" s="12" t="s">
        <v>203</v>
      </c>
      <c r="C162" s="13" t="s">
        <v>14</v>
      </c>
      <c r="D162" s="17">
        <v>6347.75</v>
      </c>
    </row>
    <row r="163" ht="31" spans="1:7">
      <c r="A163" s="14" t="s">
        <v>204</v>
      </c>
      <c r="B163" s="12" t="s">
        <v>205</v>
      </c>
      <c r="C163" s="13" t="s">
        <v>14</v>
      </c>
      <c r="D163" s="17">
        <v>5639.85</v>
      </c>
    </row>
    <row r="164" ht="31" spans="1:7">
      <c r="A164" s="14" t="s">
        <v>206</v>
      </c>
      <c r="B164" s="12" t="s">
        <v>207</v>
      </c>
      <c r="C164" s="13" t="s">
        <v>14</v>
      </c>
      <c r="D164" s="17">
        <v>7178.75</v>
      </c>
      <c r="E164" s="5" t="s">
        <v>8</v>
      </c>
      <c r="F164" s="6">
        <v>4814.55</v>
      </c>
      <c r="G164" s="7">
        <f t="shared" ref="G164:G168" si="20">(D164-F164)/F164</f>
        <v>0.491053161770051</v>
      </c>
    </row>
    <row r="165" ht="31" spans="1:7">
      <c r="A165" s="14" t="s">
        <v>208</v>
      </c>
      <c r="B165" s="12" t="s">
        <v>209</v>
      </c>
      <c r="C165" s="13" t="s">
        <v>14</v>
      </c>
      <c r="D165" s="17">
        <v>5572</v>
      </c>
    </row>
    <row r="166" ht="31" spans="1:7">
      <c r="A166" s="14" t="s">
        <v>210</v>
      </c>
      <c r="B166" s="12" t="s">
        <v>211</v>
      </c>
      <c r="C166" s="13" t="s">
        <v>14</v>
      </c>
      <c r="D166" s="17">
        <v>6812</v>
      </c>
      <c r="E166" s="5" t="s">
        <v>8</v>
      </c>
      <c r="F166" s="6">
        <v>4478.15</v>
      </c>
      <c r="G166" s="7">
        <f t="shared" si="20"/>
        <v>0.521163873474538</v>
      </c>
    </row>
    <row r="167" ht="31" spans="1:7">
      <c r="A167" s="14" t="s">
        <v>212</v>
      </c>
      <c r="B167" s="12" t="s">
        <v>213</v>
      </c>
      <c r="C167" s="13" t="s">
        <v>14</v>
      </c>
      <c r="D167" s="17">
        <v>5205.25</v>
      </c>
    </row>
    <row r="168" ht="31" spans="1:7">
      <c r="A168" s="14" t="s">
        <v>214</v>
      </c>
      <c r="B168" s="12" t="s">
        <v>215</v>
      </c>
      <c r="C168" s="13" t="s">
        <v>14</v>
      </c>
      <c r="D168" s="17">
        <v>6518.6</v>
      </c>
      <c r="E168" s="5" t="s">
        <v>8</v>
      </c>
      <c r="F168" s="6">
        <v>4209.05</v>
      </c>
      <c r="G168" s="7">
        <f t="shared" si="20"/>
        <v>0.548710516624892</v>
      </c>
    </row>
    <row r="169" ht="31" spans="1:7">
      <c r="A169" s="14" t="s">
        <v>216</v>
      </c>
      <c r="B169" s="12" t="s">
        <v>217</v>
      </c>
      <c r="C169" s="13" t="s">
        <v>14</v>
      </c>
      <c r="D169" s="17">
        <v>4911.85</v>
      </c>
    </row>
    <row r="170" ht="31" spans="1:7">
      <c r="A170" s="14" t="s">
        <v>218</v>
      </c>
      <c r="B170" s="12" t="s">
        <v>219</v>
      </c>
      <c r="C170" s="13" t="s">
        <v>14</v>
      </c>
      <c r="D170" s="17">
        <v>6189.65</v>
      </c>
      <c r="E170" s="5" t="s">
        <v>8</v>
      </c>
      <c r="F170" s="6">
        <v>3959.7</v>
      </c>
      <c r="G170" s="7">
        <f t="shared" ref="G170:G173" si="21">(D170-F170)/F170</f>
        <v>0.563161350607369</v>
      </c>
    </row>
    <row r="171" ht="46.5" spans="1:7">
      <c r="A171" s="14" t="s">
        <v>220</v>
      </c>
      <c r="B171" s="12" t="s">
        <v>221</v>
      </c>
      <c r="C171" s="13" t="s">
        <v>14</v>
      </c>
      <c r="D171" s="17">
        <v>6667.25</v>
      </c>
      <c r="E171" s="5" t="s">
        <v>8</v>
      </c>
      <c r="F171" s="6">
        <v>4355.55</v>
      </c>
      <c r="G171" s="7">
        <f t="shared" si="21"/>
        <v>0.530748125954242</v>
      </c>
    </row>
    <row r="172" ht="46.5" spans="1:7">
      <c r="A172" s="14" t="s">
        <v>222</v>
      </c>
      <c r="B172" s="12" t="s">
        <v>223</v>
      </c>
      <c r="C172" s="13" t="s">
        <v>14</v>
      </c>
      <c r="D172" s="17">
        <v>5130.65</v>
      </c>
    </row>
    <row r="173" ht="46.5" spans="1:7">
      <c r="A173" s="14" t="s">
        <v>224</v>
      </c>
      <c r="B173" s="12" t="s">
        <v>225</v>
      </c>
      <c r="C173" s="13" t="s">
        <v>14</v>
      </c>
      <c r="D173" s="17">
        <v>6311.95</v>
      </c>
      <c r="E173" s="5" t="s">
        <v>8</v>
      </c>
      <c r="F173" s="6">
        <v>4041</v>
      </c>
      <c r="G173" s="7">
        <f t="shared" si="21"/>
        <v>0.56197723335808</v>
      </c>
    </row>
    <row r="174" ht="46.5" spans="1:7">
      <c r="A174" s="14" t="s">
        <v>226</v>
      </c>
      <c r="B174" s="12" t="s">
        <v>227</v>
      </c>
      <c r="C174" s="13" t="s">
        <v>14</v>
      </c>
      <c r="D174" s="17">
        <v>4796.4</v>
      </c>
    </row>
    <row r="175" ht="77.5" spans="1:7">
      <c r="A175" s="14">
        <v>4.2</v>
      </c>
      <c r="B175" s="15" t="s">
        <v>228</v>
      </c>
      <c r="C175" s="13"/>
      <c r="D175" s="16"/>
      <c r="E175" s="5" t="s">
        <v>8</v>
      </c>
    </row>
    <row r="176" ht="31" spans="1:7">
      <c r="A176" s="14" t="s">
        <v>229</v>
      </c>
      <c r="B176" s="12" t="s">
        <v>230</v>
      </c>
      <c r="C176" s="13" t="s">
        <v>14</v>
      </c>
      <c r="D176" s="17">
        <v>10357.55</v>
      </c>
      <c r="E176" s="5" t="s">
        <v>8</v>
      </c>
      <c r="F176" s="6">
        <v>6990.4</v>
      </c>
      <c r="G176" s="7">
        <f t="shared" ref="G176:G180" si="22">(D176-F176)/F176</f>
        <v>0.48168202105745</v>
      </c>
    </row>
    <row r="177" ht="46.5" spans="1:7">
      <c r="A177" s="14" t="s">
        <v>231</v>
      </c>
      <c r="B177" s="12" t="s">
        <v>232</v>
      </c>
      <c r="C177" s="13" t="s">
        <v>14</v>
      </c>
      <c r="D177" s="17">
        <v>10144.5</v>
      </c>
    </row>
    <row r="178" ht="31" spans="1:7">
      <c r="A178" s="14" t="s">
        <v>233</v>
      </c>
      <c r="B178" s="12" t="s">
        <v>234</v>
      </c>
      <c r="C178" s="13" t="s">
        <v>14</v>
      </c>
      <c r="D178" s="17">
        <v>9895.2</v>
      </c>
      <c r="E178" s="5" t="s">
        <v>8</v>
      </c>
      <c r="F178" s="6">
        <v>6547.7</v>
      </c>
      <c r="G178" s="7">
        <f t="shared" si="22"/>
        <v>0.511248224567405</v>
      </c>
    </row>
    <row r="179" ht="46.5" spans="1:7">
      <c r="A179" s="14" t="s">
        <v>235</v>
      </c>
      <c r="B179" s="12" t="s">
        <v>236</v>
      </c>
      <c r="C179" s="13" t="s">
        <v>14</v>
      </c>
      <c r="D179" s="17">
        <v>9671.5</v>
      </c>
    </row>
    <row r="180" ht="31" spans="1:7">
      <c r="A180" s="14" t="s">
        <v>237</v>
      </c>
      <c r="B180" s="12" t="s">
        <v>238</v>
      </c>
      <c r="C180" s="13" t="s">
        <v>14</v>
      </c>
      <c r="D180" s="17">
        <v>9311.4</v>
      </c>
      <c r="E180" s="5" t="s">
        <v>8</v>
      </c>
      <c r="F180" s="6">
        <v>5992.75</v>
      </c>
      <c r="G180" s="7">
        <f t="shared" si="22"/>
        <v>0.553777481123024</v>
      </c>
    </row>
    <row r="181" ht="31" spans="1:7">
      <c r="A181" s="14" t="s">
        <v>239</v>
      </c>
      <c r="B181" s="12" t="s">
        <v>240</v>
      </c>
      <c r="C181" s="13" t="s">
        <v>14</v>
      </c>
      <c r="D181" s="17">
        <v>8364.45</v>
      </c>
    </row>
    <row r="182" ht="31" spans="1:7">
      <c r="A182" s="14" t="s">
        <v>241</v>
      </c>
      <c r="B182" s="12" t="s">
        <v>242</v>
      </c>
      <c r="C182" s="13" t="s">
        <v>14</v>
      </c>
      <c r="D182" s="17">
        <v>7656.55</v>
      </c>
    </row>
    <row r="183" ht="31" spans="1:7">
      <c r="A183" s="14" t="s">
        <v>243</v>
      </c>
      <c r="B183" s="12" t="s">
        <v>244</v>
      </c>
      <c r="C183" s="13" t="s">
        <v>14</v>
      </c>
      <c r="D183" s="17">
        <v>8519.2</v>
      </c>
      <c r="E183" s="5" t="s">
        <v>8</v>
      </c>
      <c r="F183" s="6">
        <v>5267.75</v>
      </c>
      <c r="G183" s="7">
        <f t="shared" ref="G183:G188" si="23">(D183-F183)/F183</f>
        <v>0.617236960751744</v>
      </c>
    </row>
    <row r="184" ht="31" spans="1:7">
      <c r="A184" s="14" t="s">
        <v>245</v>
      </c>
      <c r="B184" s="12" t="s">
        <v>246</v>
      </c>
      <c r="C184" s="13" t="s">
        <v>14</v>
      </c>
      <c r="D184" s="17">
        <v>6912.45</v>
      </c>
    </row>
    <row r="185" spans="1:7">
      <c r="A185" s="14">
        <v>4.3</v>
      </c>
      <c r="B185" s="15" t="s">
        <v>247</v>
      </c>
      <c r="C185" s="13"/>
      <c r="D185" s="16"/>
      <c r="E185" s="5" t="s">
        <v>8</v>
      </c>
    </row>
    <row r="186" spans="1:7">
      <c r="A186" s="14" t="s">
        <v>248</v>
      </c>
      <c r="B186" s="12" t="s">
        <v>249</v>
      </c>
      <c r="C186" s="13" t="s">
        <v>11</v>
      </c>
      <c r="D186" s="17">
        <v>392.15</v>
      </c>
      <c r="E186" s="5" t="s">
        <v>8</v>
      </c>
      <c r="F186" s="6">
        <v>195.95</v>
      </c>
      <c r="G186" s="7">
        <f t="shared" si="23"/>
        <v>1.00127583567237</v>
      </c>
    </row>
    <row r="187" ht="31" spans="1:7">
      <c r="A187" s="14" t="s">
        <v>250</v>
      </c>
      <c r="B187" s="12" t="s">
        <v>251</v>
      </c>
      <c r="C187" s="13" t="s">
        <v>11</v>
      </c>
      <c r="D187" s="17">
        <v>842.5</v>
      </c>
      <c r="E187" s="5" t="s">
        <v>8</v>
      </c>
      <c r="F187" s="6">
        <v>378.6</v>
      </c>
      <c r="G187" s="7">
        <f t="shared" si="23"/>
        <v>1.22530375066033</v>
      </c>
    </row>
    <row r="188" spans="1:7">
      <c r="A188" s="14" t="s">
        <v>252</v>
      </c>
      <c r="B188" s="12" t="s">
        <v>253</v>
      </c>
      <c r="C188" s="13" t="s">
        <v>11</v>
      </c>
      <c r="D188" s="17">
        <v>961.3</v>
      </c>
      <c r="E188" s="5" t="s">
        <v>8</v>
      </c>
      <c r="F188" s="6">
        <v>467.85</v>
      </c>
      <c r="G188" s="7">
        <f t="shared" si="23"/>
        <v>1.05471839264722</v>
      </c>
    </row>
    <row r="189" ht="31" spans="1:7">
      <c r="A189" s="14">
        <v>4.4</v>
      </c>
      <c r="B189" s="15" t="s">
        <v>254</v>
      </c>
      <c r="C189" s="13"/>
      <c r="D189" s="16"/>
      <c r="E189" s="5" t="s">
        <v>8</v>
      </c>
    </row>
    <row r="190" ht="31" spans="1:7">
      <c r="A190" s="14" t="s">
        <v>255</v>
      </c>
      <c r="B190" s="12" t="s">
        <v>256</v>
      </c>
      <c r="C190" s="13" t="s">
        <v>14</v>
      </c>
      <c r="D190" s="17">
        <v>8340.85</v>
      </c>
      <c r="E190" s="5" t="s">
        <v>8</v>
      </c>
      <c r="F190" s="6">
        <v>5924.65</v>
      </c>
      <c r="G190" s="7">
        <f>(D190-F190)/F190</f>
        <v>0.407821559079439</v>
      </c>
    </row>
    <row r="191" ht="46.5" spans="1:7">
      <c r="A191" s="14" t="s">
        <v>257</v>
      </c>
      <c r="B191" s="12" t="s">
        <v>258</v>
      </c>
      <c r="C191" s="13" t="s">
        <v>14</v>
      </c>
      <c r="D191" s="17">
        <v>8127.8</v>
      </c>
    </row>
    <row r="192" spans="1:7">
      <c r="A192" s="14"/>
      <c r="B192" s="15" t="s">
        <v>259</v>
      </c>
      <c r="C192" s="13"/>
      <c r="D192" s="17"/>
      <c r="E192" s="5" t="s">
        <v>8</v>
      </c>
    </row>
    <row r="193" ht="62" spans="1:7">
      <c r="A193" s="14">
        <v>4.5</v>
      </c>
      <c r="B193" s="15" t="s">
        <v>260</v>
      </c>
      <c r="C193" s="13"/>
      <c r="D193" s="16"/>
      <c r="E193" s="5" t="s">
        <v>8</v>
      </c>
    </row>
    <row r="194" ht="31" spans="1:7">
      <c r="A194" s="14" t="s">
        <v>261</v>
      </c>
      <c r="B194" s="12" t="s">
        <v>262</v>
      </c>
      <c r="C194" s="13" t="s">
        <v>14</v>
      </c>
      <c r="D194" s="17">
        <v>10105.1</v>
      </c>
      <c r="E194" s="5" t="s">
        <v>8</v>
      </c>
      <c r="F194" s="6">
        <v>6772.45</v>
      </c>
      <c r="G194" s="7">
        <f>(D194-F194)/F194</f>
        <v>0.492089273453477</v>
      </c>
    </row>
    <row r="195" ht="46.5" spans="1:7">
      <c r="A195" s="14" t="s">
        <v>263</v>
      </c>
      <c r="B195" s="12" t="s">
        <v>264</v>
      </c>
      <c r="C195" s="13" t="s">
        <v>14</v>
      </c>
      <c r="D195" s="17">
        <v>9893.45</v>
      </c>
    </row>
    <row r="196" ht="46.5" spans="1:7">
      <c r="A196" s="14">
        <v>4.6</v>
      </c>
      <c r="B196" s="15" t="s">
        <v>265</v>
      </c>
      <c r="C196" s="13"/>
      <c r="D196" s="16"/>
      <c r="E196" s="5" t="s">
        <v>8</v>
      </c>
    </row>
    <row r="197" ht="31" spans="1:7">
      <c r="A197" s="14" t="s">
        <v>266</v>
      </c>
      <c r="B197" s="12" t="s">
        <v>267</v>
      </c>
      <c r="C197" s="13" t="s">
        <v>14</v>
      </c>
      <c r="D197" s="17">
        <v>8726.85</v>
      </c>
      <c r="E197" s="5" t="s">
        <v>8</v>
      </c>
      <c r="F197" s="6">
        <v>6169.85</v>
      </c>
      <c r="G197" s="7">
        <f>(D197-F197)/F197</f>
        <v>0.414434710730407</v>
      </c>
    </row>
    <row r="198" ht="46.5" spans="1:7">
      <c r="A198" s="14" t="s">
        <v>268</v>
      </c>
      <c r="B198" s="12" t="s">
        <v>269</v>
      </c>
      <c r="C198" s="3" t="s">
        <v>14</v>
      </c>
      <c r="D198" s="22">
        <v>8514.85</v>
      </c>
    </row>
    <row r="199" ht="46.5" spans="1:7">
      <c r="A199" s="14">
        <v>4.7</v>
      </c>
      <c r="B199" s="15" t="s">
        <v>270</v>
      </c>
      <c r="C199" s="13"/>
      <c r="D199" s="16"/>
      <c r="E199" s="5" t="s">
        <v>8</v>
      </c>
    </row>
    <row r="200" ht="31" spans="1:7">
      <c r="A200" s="14" t="s">
        <v>271</v>
      </c>
      <c r="B200" s="12" t="s">
        <v>272</v>
      </c>
      <c r="C200" s="13" t="s">
        <v>14</v>
      </c>
      <c r="D200" s="17">
        <v>17889.25</v>
      </c>
      <c r="E200" s="5" t="s">
        <v>8</v>
      </c>
      <c r="F200" s="6">
        <v>10148.6</v>
      </c>
      <c r="G200" s="7">
        <f t="shared" ref="G200:G205" si="24">(D200-F200)/F200</f>
        <v>0.762730820014583</v>
      </c>
    </row>
    <row r="201" ht="46.5" spans="1:7">
      <c r="A201" s="14" t="s">
        <v>273</v>
      </c>
      <c r="B201" s="12" t="s">
        <v>274</v>
      </c>
      <c r="C201" s="13" t="s">
        <v>14</v>
      </c>
      <c r="D201" s="17">
        <v>17677.25</v>
      </c>
    </row>
    <row r="202" ht="46.5" spans="1:7">
      <c r="A202" s="14">
        <v>4.8</v>
      </c>
      <c r="B202" s="15" t="s">
        <v>275</v>
      </c>
      <c r="C202" s="13"/>
      <c r="D202" s="16"/>
      <c r="E202" s="5" t="s">
        <v>8</v>
      </c>
    </row>
    <row r="203" ht="31" spans="1:7">
      <c r="A203" s="14" t="s">
        <v>276</v>
      </c>
      <c r="B203" s="12" t="s">
        <v>277</v>
      </c>
      <c r="C203" s="13" t="s">
        <v>14</v>
      </c>
      <c r="D203" s="17">
        <v>14624.2</v>
      </c>
      <c r="E203" s="5" t="s">
        <v>8</v>
      </c>
      <c r="F203" s="6">
        <v>7673.6</v>
      </c>
      <c r="G203" s="7">
        <f t="shared" si="24"/>
        <v>0.905780859049208</v>
      </c>
    </row>
    <row r="204" ht="46.5" spans="1:7">
      <c r="A204" s="14" t="s">
        <v>278</v>
      </c>
      <c r="B204" s="12" t="s">
        <v>279</v>
      </c>
      <c r="C204" s="13" t="s">
        <v>14</v>
      </c>
      <c r="D204" s="17">
        <v>14526.2</v>
      </c>
    </row>
    <row r="205" ht="108.5" spans="1:7">
      <c r="A205" s="14">
        <v>4.9</v>
      </c>
      <c r="B205" s="15" t="s">
        <v>280</v>
      </c>
      <c r="C205" s="13" t="s">
        <v>126</v>
      </c>
      <c r="D205" s="17">
        <v>929.8</v>
      </c>
      <c r="E205" s="5" t="s">
        <v>8</v>
      </c>
      <c r="F205" s="6">
        <v>516.95</v>
      </c>
      <c r="G205" s="7">
        <f t="shared" si="24"/>
        <v>0.798626559628591</v>
      </c>
    </row>
    <row r="206" ht="108.5" spans="1:7">
      <c r="A206" s="14" t="s">
        <v>281</v>
      </c>
      <c r="B206" s="15" t="s">
        <v>282</v>
      </c>
      <c r="C206" s="13" t="s">
        <v>126</v>
      </c>
      <c r="D206" s="17">
        <v>900.15</v>
      </c>
    </row>
    <row r="207" ht="108.5" spans="1:7">
      <c r="A207" s="14" t="s">
        <v>283</v>
      </c>
      <c r="B207" s="15" t="s">
        <v>284</v>
      </c>
      <c r="C207" s="13" t="s">
        <v>126</v>
      </c>
      <c r="D207" s="17">
        <v>878.9</v>
      </c>
    </row>
    <row r="208" spans="1:7">
      <c r="A208" s="14"/>
      <c r="B208" s="15" t="s">
        <v>285</v>
      </c>
      <c r="C208" s="13"/>
      <c r="D208" s="16"/>
      <c r="E208" s="5" t="s">
        <v>8</v>
      </c>
      <c r="G208" s="7" t="e">
        <f t="shared" ref="G208:G211" si="25">(D208-F208)/F208</f>
        <v>#DIV/0!</v>
      </c>
    </row>
    <row r="209" ht="46.5" spans="1:7">
      <c r="A209" s="18">
        <v>4.1</v>
      </c>
      <c r="B209" s="15" t="s">
        <v>286</v>
      </c>
      <c r="C209" s="13" t="s">
        <v>11</v>
      </c>
      <c r="D209" s="17">
        <v>410.85</v>
      </c>
      <c r="E209" s="5" t="s">
        <v>8</v>
      </c>
      <c r="F209" s="6">
        <v>263.1</v>
      </c>
      <c r="G209" s="7">
        <f t="shared" si="25"/>
        <v>0.56157354618016</v>
      </c>
    </row>
    <row r="210" ht="62" spans="1:7">
      <c r="A210" s="6" t="s">
        <v>287</v>
      </c>
      <c r="B210" s="15" t="s">
        <v>288</v>
      </c>
      <c r="C210" s="3" t="s">
        <v>11</v>
      </c>
      <c r="D210" s="22">
        <v>402.5</v>
      </c>
    </row>
    <row r="211" ht="46.5" spans="1:7">
      <c r="A211" s="18">
        <v>4.11</v>
      </c>
      <c r="B211" s="15" t="s">
        <v>289</v>
      </c>
      <c r="C211" s="13" t="s">
        <v>11</v>
      </c>
      <c r="D211" s="17">
        <v>495.75</v>
      </c>
      <c r="E211" s="5" t="s">
        <v>8</v>
      </c>
      <c r="F211" s="6">
        <v>320.25</v>
      </c>
      <c r="G211" s="7">
        <f t="shared" si="25"/>
        <v>0.548009367681499</v>
      </c>
    </row>
    <row r="212" ht="62" spans="1:7">
      <c r="A212" s="6" t="s">
        <v>290</v>
      </c>
      <c r="B212" s="15" t="s">
        <v>291</v>
      </c>
      <c r="C212" s="3" t="s">
        <v>11</v>
      </c>
      <c r="D212" s="22">
        <v>484.6</v>
      </c>
    </row>
    <row r="213" ht="46.5" spans="1:7">
      <c r="A213" s="18">
        <v>4.12</v>
      </c>
      <c r="B213" s="15" t="s">
        <v>292</v>
      </c>
      <c r="C213" s="13" t="s">
        <v>293</v>
      </c>
      <c r="D213" s="17">
        <v>18.15</v>
      </c>
      <c r="E213" s="5" t="s">
        <v>8</v>
      </c>
      <c r="F213" s="6">
        <v>47.95</v>
      </c>
      <c r="G213" s="7">
        <f t="shared" ref="G213:G217" si="26">(D213-F213)/F213</f>
        <v>-0.62148070907195</v>
      </c>
    </row>
    <row r="214" ht="46.5" spans="1:7">
      <c r="A214" s="18">
        <v>4.13</v>
      </c>
      <c r="B214" s="15" t="s">
        <v>294</v>
      </c>
      <c r="C214" s="13" t="s">
        <v>11</v>
      </c>
      <c r="D214" s="17">
        <v>146.15</v>
      </c>
      <c r="E214" s="5" t="s">
        <v>8</v>
      </c>
      <c r="F214" s="6">
        <v>91.9</v>
      </c>
      <c r="G214" s="7">
        <f t="shared" si="26"/>
        <v>0.59031556039173</v>
      </c>
    </row>
    <row r="215" spans="1:7">
      <c r="A215" s="14"/>
      <c r="B215" s="15" t="s">
        <v>295</v>
      </c>
      <c r="C215" s="13"/>
      <c r="D215" s="16"/>
      <c r="E215" s="5" t="s">
        <v>8</v>
      </c>
    </row>
    <row r="216" ht="31" spans="1:7">
      <c r="A216" s="18">
        <v>4.14</v>
      </c>
      <c r="B216" s="15" t="s">
        <v>296</v>
      </c>
      <c r="C216" s="13" t="s">
        <v>14</v>
      </c>
      <c r="D216" s="17">
        <v>169.45</v>
      </c>
      <c r="E216" s="5" t="s">
        <v>8</v>
      </c>
      <c r="F216" s="6">
        <v>641.15</v>
      </c>
      <c r="G216" s="7">
        <f t="shared" si="26"/>
        <v>-0.735709272401154</v>
      </c>
    </row>
    <row r="217" ht="31" spans="1:7">
      <c r="A217" s="18">
        <v>4.15</v>
      </c>
      <c r="B217" s="15" t="s">
        <v>297</v>
      </c>
      <c r="C217" s="13" t="s">
        <v>298</v>
      </c>
      <c r="D217" s="17">
        <v>1098.8</v>
      </c>
      <c r="E217" s="5" t="s">
        <v>8</v>
      </c>
      <c r="F217" s="6">
        <v>474.5</v>
      </c>
      <c r="G217" s="7">
        <f t="shared" si="26"/>
        <v>1.31570073761855</v>
      </c>
    </row>
    <row r="218" ht="77.5" spans="1:7">
      <c r="A218" s="14"/>
      <c r="B218" s="15" t="s">
        <v>299</v>
      </c>
      <c r="C218" s="13"/>
      <c r="D218" s="16"/>
      <c r="E218" s="5" t="s">
        <v>8</v>
      </c>
    </row>
    <row r="219" spans="1:7">
      <c r="A219" s="18">
        <v>4.16</v>
      </c>
      <c r="B219" s="15" t="s">
        <v>300</v>
      </c>
      <c r="C219" s="13" t="s">
        <v>14</v>
      </c>
      <c r="D219" s="17">
        <v>467.55</v>
      </c>
      <c r="E219" s="5" t="s">
        <v>8</v>
      </c>
      <c r="F219" s="6">
        <v>192.7</v>
      </c>
      <c r="G219" s="7">
        <f t="shared" ref="G219:G223" si="27">(D219-F219)/F219</f>
        <v>1.42631032693306</v>
      </c>
    </row>
    <row r="220" ht="77.5" spans="1:7">
      <c r="A220" s="18">
        <v>4.17</v>
      </c>
      <c r="B220" s="15" t="s">
        <v>301</v>
      </c>
      <c r="C220" s="13" t="s">
        <v>11</v>
      </c>
      <c r="D220" s="17">
        <v>749.3</v>
      </c>
      <c r="E220" s="5" t="s">
        <v>8</v>
      </c>
      <c r="F220" s="6">
        <v>450.35</v>
      </c>
      <c r="G220" s="7">
        <f t="shared" si="27"/>
        <v>0.663817031197957</v>
      </c>
    </row>
    <row r="221" ht="77.5" spans="1:7">
      <c r="A221" s="6" t="s">
        <v>302</v>
      </c>
      <c r="B221" s="15" t="s">
        <v>303</v>
      </c>
      <c r="C221" s="23" t="s">
        <v>11</v>
      </c>
      <c r="D221" s="22">
        <v>702.3</v>
      </c>
    </row>
    <row r="222" ht="77.5" spans="1:7">
      <c r="A222" s="6" t="s">
        <v>304</v>
      </c>
      <c r="B222" s="15" t="s">
        <v>305</v>
      </c>
      <c r="C222" s="24" t="s">
        <v>11</v>
      </c>
      <c r="D222" s="22">
        <v>666.9</v>
      </c>
    </row>
    <row r="223" ht="62" spans="1:7">
      <c r="A223" s="18">
        <v>4.18</v>
      </c>
      <c r="B223" s="15" t="s">
        <v>306</v>
      </c>
      <c r="C223" s="13" t="s">
        <v>307</v>
      </c>
      <c r="D223" s="17">
        <v>70.35</v>
      </c>
      <c r="E223" s="5" t="s">
        <v>8</v>
      </c>
      <c r="F223" s="6">
        <v>53</v>
      </c>
      <c r="G223" s="7">
        <f t="shared" si="27"/>
        <v>0.327358490566038</v>
      </c>
    </row>
    <row r="224" ht="217" spans="1:7">
      <c r="A224" s="18">
        <v>4.2</v>
      </c>
      <c r="B224" s="15" t="s">
        <v>308</v>
      </c>
      <c r="C224" s="13"/>
      <c r="D224" s="16"/>
      <c r="E224" s="5" t="s">
        <v>8</v>
      </c>
    </row>
    <row r="225" spans="1:7">
      <c r="A225" s="14" t="s">
        <v>309</v>
      </c>
      <c r="B225" s="12" t="s">
        <v>310</v>
      </c>
      <c r="C225" s="13"/>
      <c r="D225" s="16"/>
      <c r="E225" s="5" t="s">
        <v>8</v>
      </c>
    </row>
    <row r="226" spans="1:7">
      <c r="A226" s="14" t="s">
        <v>311</v>
      </c>
      <c r="B226" s="12" t="s">
        <v>312</v>
      </c>
      <c r="C226" s="13" t="s">
        <v>14</v>
      </c>
      <c r="D226" s="17">
        <v>8835.15</v>
      </c>
      <c r="E226" s="5" t="s">
        <v>8</v>
      </c>
      <c r="F226" s="6">
        <v>6190.7</v>
      </c>
      <c r="G226" s="7">
        <f>(D226-F226)/F226</f>
        <v>0.427164940959827</v>
      </c>
    </row>
    <row r="227" spans="1:7">
      <c r="A227" s="14" t="s">
        <v>313</v>
      </c>
      <c r="B227" s="12" t="s">
        <v>314</v>
      </c>
      <c r="C227" s="13" t="s">
        <v>14</v>
      </c>
      <c r="D227" s="17">
        <v>8986.15</v>
      </c>
      <c r="E227" s="5" t="s">
        <v>8</v>
      </c>
      <c r="F227" s="6">
        <v>6051.7</v>
      </c>
      <c r="G227" s="7">
        <f>(D227-F227)/F227</f>
        <v>0.484896805856206</v>
      </c>
    </row>
    <row r="228" spans="1:7">
      <c r="A228" s="14" t="s">
        <v>315</v>
      </c>
      <c r="B228" s="12" t="s">
        <v>316</v>
      </c>
      <c r="C228" s="13" t="s">
        <v>14</v>
      </c>
      <c r="D228" s="17">
        <v>9212.6</v>
      </c>
    </row>
    <row r="229" spans="1:7">
      <c r="A229" s="14" t="s">
        <v>317</v>
      </c>
      <c r="B229" s="12" t="s">
        <v>318</v>
      </c>
      <c r="C229" s="13" t="s">
        <v>14</v>
      </c>
      <c r="D229" s="17">
        <v>9439.05</v>
      </c>
    </row>
    <row r="230" spans="1:7">
      <c r="A230" s="14" t="s">
        <v>319</v>
      </c>
      <c r="B230" s="12" t="s">
        <v>320</v>
      </c>
      <c r="C230" s="13"/>
      <c r="D230" s="17"/>
    </row>
    <row r="231" spans="1:7">
      <c r="A231" s="14" t="s">
        <v>321</v>
      </c>
      <c r="B231" s="12" t="s">
        <v>322</v>
      </c>
      <c r="C231" s="13" t="s">
        <v>14</v>
      </c>
      <c r="D231" s="17">
        <v>9190.8</v>
      </c>
    </row>
    <row r="232" spans="1:7">
      <c r="A232" s="14" t="s">
        <v>323</v>
      </c>
      <c r="B232" s="12" t="s">
        <v>314</v>
      </c>
      <c r="C232" s="13" t="s">
        <v>14</v>
      </c>
      <c r="D232" s="17">
        <v>9341.8</v>
      </c>
    </row>
    <row r="233" spans="1:7">
      <c r="A233" s="14" t="s">
        <v>324</v>
      </c>
      <c r="B233" s="12" t="s">
        <v>316</v>
      </c>
      <c r="C233" s="13" t="s">
        <v>14</v>
      </c>
      <c r="D233" s="17">
        <v>9568.25</v>
      </c>
    </row>
    <row r="234" spans="1:7">
      <c r="A234" s="14" t="s">
        <v>325</v>
      </c>
      <c r="B234" s="12" t="s">
        <v>318</v>
      </c>
      <c r="C234" s="13" t="s">
        <v>14</v>
      </c>
      <c r="D234" s="17">
        <v>9794.7</v>
      </c>
    </row>
    <row r="235" ht="248" spans="1:7">
      <c r="A235" s="18" t="s">
        <v>326</v>
      </c>
      <c r="B235" s="15" t="s">
        <v>327</v>
      </c>
      <c r="C235" s="13"/>
      <c r="D235" s="17"/>
    </row>
    <row r="236" spans="1:7">
      <c r="A236" s="14" t="s">
        <v>328</v>
      </c>
      <c r="B236" s="12" t="s">
        <v>329</v>
      </c>
      <c r="C236" s="13"/>
      <c r="D236" s="17"/>
    </row>
    <row r="237" ht="62" spans="1:7">
      <c r="A237" s="14" t="s">
        <v>330</v>
      </c>
      <c r="B237" s="12" t="s">
        <v>331</v>
      </c>
      <c r="C237" s="13" t="s">
        <v>14</v>
      </c>
      <c r="D237" s="17">
        <v>7936.1</v>
      </c>
    </row>
    <row r="238" ht="62" spans="1:7">
      <c r="A238" s="14" t="s">
        <v>332</v>
      </c>
      <c r="B238" s="12" t="s">
        <v>333</v>
      </c>
      <c r="C238" s="13" t="s">
        <v>14</v>
      </c>
      <c r="D238" s="17">
        <v>8779.4</v>
      </c>
    </row>
    <row r="239" ht="62" spans="1:7">
      <c r="A239" s="14" t="s">
        <v>334</v>
      </c>
      <c r="B239" s="12" t="s">
        <v>335</v>
      </c>
      <c r="C239" s="13" t="s">
        <v>14</v>
      </c>
      <c r="D239" s="17">
        <v>9005.85</v>
      </c>
    </row>
    <row r="240" ht="62" spans="1:7">
      <c r="A240" s="14" t="s">
        <v>336</v>
      </c>
      <c r="B240" s="12" t="s">
        <v>337</v>
      </c>
      <c r="C240" s="13" t="s">
        <v>14</v>
      </c>
      <c r="D240" s="17">
        <v>9232.3</v>
      </c>
    </row>
    <row r="241" spans="1:5">
      <c r="A241" s="14" t="s">
        <v>338</v>
      </c>
      <c r="B241" s="12" t="s">
        <v>320</v>
      </c>
      <c r="C241" s="13"/>
      <c r="D241" s="17"/>
    </row>
    <row r="242" ht="62" spans="1:5">
      <c r="A242" s="14" t="s">
        <v>339</v>
      </c>
      <c r="B242" s="12" t="s">
        <v>331</v>
      </c>
      <c r="C242" s="13" t="s">
        <v>14</v>
      </c>
      <c r="D242" s="17">
        <v>8291.75</v>
      </c>
    </row>
    <row r="243" ht="62" spans="1:5">
      <c r="A243" s="14" t="s">
        <v>340</v>
      </c>
      <c r="B243" s="12" t="s">
        <v>341</v>
      </c>
      <c r="C243" s="13" t="s">
        <v>14</v>
      </c>
      <c r="D243" s="17">
        <v>9135.05</v>
      </c>
    </row>
    <row r="244" ht="62" spans="1:5">
      <c r="A244" s="14" t="s">
        <v>342</v>
      </c>
      <c r="B244" s="12" t="s">
        <v>343</v>
      </c>
      <c r="C244" s="13" t="s">
        <v>14</v>
      </c>
      <c r="D244" s="17">
        <v>9361.5</v>
      </c>
    </row>
    <row r="245" ht="62" spans="1:5">
      <c r="A245" s="14" t="s">
        <v>344</v>
      </c>
      <c r="B245" s="12" t="s">
        <v>345</v>
      </c>
      <c r="C245" s="13" t="s">
        <v>14</v>
      </c>
      <c r="D245" s="17">
        <v>9587.95</v>
      </c>
    </row>
    <row r="246" spans="1:5">
      <c r="D246" s="22"/>
    </row>
    <row r="247" spans="1:5">
      <c r="D247" s="22"/>
    </row>
    <row r="248" spans="1:5">
      <c r="D248" s="22"/>
    </row>
    <row r="249" spans="1:5">
      <c r="D249" s="22"/>
    </row>
    <row r="250" spans="1:5">
      <c r="D250" s="22"/>
    </row>
    <row r="251" spans="1:5">
      <c r="D251" s="22"/>
    </row>
    <row r="252" spans="1:5">
      <c r="D252" s="22"/>
    </row>
    <row r="253" spans="1:5">
      <c r="D253" s="22"/>
    </row>
    <row r="254" spans="1:5">
      <c r="D254" s="22"/>
    </row>
    <row r="255" ht="31" spans="1:5">
      <c r="A255" s="5" t="s">
        <v>346</v>
      </c>
      <c r="C255" s="5"/>
      <c r="D255" s="5"/>
      <c r="E255" s="5" t="s">
        <v>8</v>
      </c>
    </row>
    <row r="256" spans="1:5">
      <c r="A256" s="14" t="s">
        <v>166</v>
      </c>
      <c r="B256" s="15" t="s">
        <v>2</v>
      </c>
      <c r="C256" s="13" t="s">
        <v>167</v>
      </c>
      <c r="D256" s="16" t="s">
        <v>4</v>
      </c>
      <c r="E256" s="5" t="s">
        <v>8</v>
      </c>
    </row>
    <row r="257" spans="1:7">
      <c r="A257" s="14"/>
      <c r="B257" s="15" t="s">
        <v>347</v>
      </c>
      <c r="C257" s="13"/>
      <c r="D257" s="16"/>
      <c r="E257" s="5" t="s">
        <v>8</v>
      </c>
    </row>
    <row r="258" ht="31" spans="1:7">
      <c r="A258" s="14">
        <v>5.1</v>
      </c>
      <c r="B258" s="15" t="s">
        <v>348</v>
      </c>
      <c r="C258" s="13"/>
      <c r="D258" s="16"/>
      <c r="E258" s="5" t="s">
        <v>8</v>
      </c>
    </row>
    <row r="259" ht="31" spans="1:7">
      <c r="A259" s="14" t="s">
        <v>349</v>
      </c>
      <c r="B259" s="12" t="s">
        <v>350</v>
      </c>
      <c r="C259" s="13" t="s">
        <v>14</v>
      </c>
      <c r="D259" s="17">
        <v>9045.75</v>
      </c>
      <c r="E259" s="5" t="s">
        <v>8</v>
      </c>
      <c r="F259" s="6">
        <v>6215.35</v>
      </c>
      <c r="G259" s="7">
        <f t="shared" ref="G259:G264" si="28">(D259-F259)/F259</f>
        <v>0.455388674813164</v>
      </c>
    </row>
    <row r="260" ht="46.5" spans="1:7">
      <c r="A260" s="14" t="s">
        <v>351</v>
      </c>
      <c r="B260" s="12" t="s">
        <v>352</v>
      </c>
      <c r="C260" s="23" t="s">
        <v>14</v>
      </c>
      <c r="D260" s="22">
        <v>8874.95</v>
      </c>
    </row>
    <row r="261" ht="31" spans="1:7">
      <c r="A261" s="14" t="s">
        <v>353</v>
      </c>
      <c r="B261" s="12" t="s">
        <v>195</v>
      </c>
      <c r="C261" s="13" t="s">
        <v>14</v>
      </c>
      <c r="D261" s="25">
        <v>8583.4</v>
      </c>
      <c r="E261" s="5" t="s">
        <v>8</v>
      </c>
      <c r="F261" s="6">
        <v>5772.65</v>
      </c>
      <c r="G261" s="7">
        <f t="shared" si="28"/>
        <v>0.486908092470529</v>
      </c>
    </row>
    <row r="262" ht="46.5" spans="1:7">
      <c r="A262" s="14" t="s">
        <v>354</v>
      </c>
      <c r="B262" s="12" t="s">
        <v>355</v>
      </c>
      <c r="C262" s="24" t="s">
        <v>14</v>
      </c>
      <c r="D262" s="22">
        <v>8404.05</v>
      </c>
    </row>
    <row r="263" ht="62" spans="1:7">
      <c r="A263" s="14">
        <v>5.2</v>
      </c>
      <c r="B263" s="15" t="s">
        <v>356</v>
      </c>
      <c r="C263" s="13"/>
      <c r="D263" s="16"/>
      <c r="E263" s="5" t="s">
        <v>8</v>
      </c>
    </row>
    <row r="264" ht="31" spans="1:7">
      <c r="A264" s="14" t="s">
        <v>357</v>
      </c>
      <c r="B264" s="12" t="s">
        <v>358</v>
      </c>
      <c r="C264" s="13" t="s">
        <v>14</v>
      </c>
      <c r="D264" s="17">
        <v>10852.95</v>
      </c>
      <c r="E264" s="5" t="s">
        <v>8</v>
      </c>
      <c r="F264" s="6">
        <v>7145.8</v>
      </c>
      <c r="G264" s="7">
        <f t="shared" si="28"/>
        <v>0.518787259649025</v>
      </c>
    </row>
    <row r="265" ht="46.5" spans="1:7">
      <c r="A265" s="14" t="s">
        <v>359</v>
      </c>
      <c r="B265" s="12" t="s">
        <v>360</v>
      </c>
      <c r="C265" s="13" t="s">
        <v>14</v>
      </c>
      <c r="D265" s="22">
        <v>10682.15</v>
      </c>
    </row>
    <row r="266" ht="93" spans="1:7">
      <c r="A266" s="14">
        <v>5.3</v>
      </c>
      <c r="B266" s="15" t="s">
        <v>361</v>
      </c>
      <c r="C266" s="13" t="s">
        <v>14</v>
      </c>
      <c r="D266" s="17">
        <v>11505.5</v>
      </c>
      <c r="E266" s="5" t="s">
        <v>8</v>
      </c>
      <c r="F266" s="6">
        <v>7390.8</v>
      </c>
      <c r="G266" s="7">
        <f t="shared" ref="G266:G270" si="29">(D266-F266)/F266</f>
        <v>0.556732694701521</v>
      </c>
    </row>
    <row r="267" ht="108.5" spans="1:7">
      <c r="A267" s="1" t="s">
        <v>362</v>
      </c>
      <c r="B267" s="15" t="s">
        <v>363</v>
      </c>
      <c r="C267" s="13" t="s">
        <v>14</v>
      </c>
      <c r="D267" s="22">
        <v>11334.7</v>
      </c>
    </row>
    <row r="268" ht="62" spans="1:7">
      <c r="A268" s="14">
        <v>5.4</v>
      </c>
      <c r="B268" s="15" t="s">
        <v>364</v>
      </c>
      <c r="C268" s="13" t="s">
        <v>14</v>
      </c>
      <c r="D268" s="17">
        <v>8821.65</v>
      </c>
      <c r="E268" s="5" t="s">
        <v>8</v>
      </c>
      <c r="F268" s="6">
        <v>6927.85</v>
      </c>
      <c r="G268" s="7">
        <f t="shared" si="29"/>
        <v>0.273360422064565</v>
      </c>
    </row>
    <row r="269" ht="77.5" spans="1:7">
      <c r="A269" s="14" t="s">
        <v>365</v>
      </c>
      <c r="B269" s="15" t="s">
        <v>366</v>
      </c>
      <c r="C269" s="13" t="s">
        <v>14</v>
      </c>
      <c r="D269" s="17">
        <v>8650.85</v>
      </c>
    </row>
    <row r="270" ht="77.5" spans="1:7">
      <c r="A270" s="14">
        <v>5.5</v>
      </c>
      <c r="B270" s="15" t="s">
        <v>367</v>
      </c>
      <c r="C270" s="13" t="s">
        <v>14</v>
      </c>
      <c r="D270" s="17">
        <v>12205.85</v>
      </c>
      <c r="E270" s="5" t="s">
        <v>8</v>
      </c>
      <c r="F270" s="6">
        <v>7691.95</v>
      </c>
      <c r="G270" s="7">
        <f t="shared" si="29"/>
        <v>0.586834287794383</v>
      </c>
    </row>
    <row r="271" ht="93" spans="1:7">
      <c r="A271" s="14" t="s">
        <v>368</v>
      </c>
      <c r="B271" s="15" t="s">
        <v>369</v>
      </c>
      <c r="C271" s="13" t="s">
        <v>14</v>
      </c>
      <c r="D271" s="17">
        <v>12035</v>
      </c>
    </row>
    <row r="272" ht="62" spans="1:7">
      <c r="A272" s="14">
        <v>5.6</v>
      </c>
      <c r="B272" s="15" t="s">
        <v>370</v>
      </c>
      <c r="C272" s="13" t="s">
        <v>14</v>
      </c>
      <c r="D272" s="17">
        <v>11125.2</v>
      </c>
      <c r="E272" s="5" t="s">
        <v>8</v>
      </c>
      <c r="F272" s="6">
        <v>7256.95</v>
      </c>
      <c r="G272" s="7">
        <f t="shared" ref="G272:G276" si="30">(D272-F272)/F272</f>
        <v>0.533040740255893</v>
      </c>
    </row>
    <row r="273" ht="77.5" spans="1:7">
      <c r="A273" s="14" t="s">
        <v>371</v>
      </c>
      <c r="B273" s="15" t="s">
        <v>372</v>
      </c>
      <c r="C273" s="13" t="s">
        <v>14</v>
      </c>
      <c r="D273" s="17">
        <v>10954.4</v>
      </c>
    </row>
    <row r="274" ht="62" spans="1:7">
      <c r="A274" s="14">
        <v>5.7</v>
      </c>
      <c r="B274" s="15" t="s">
        <v>373</v>
      </c>
      <c r="C274" s="13" t="s">
        <v>14</v>
      </c>
      <c r="D274" s="17">
        <v>8424.6</v>
      </c>
      <c r="E274" s="5" t="s">
        <v>8</v>
      </c>
      <c r="F274" s="6">
        <v>5958.85</v>
      </c>
      <c r="G274" s="7">
        <f t="shared" si="30"/>
        <v>0.413796286196162</v>
      </c>
    </row>
    <row r="275" ht="77.5" spans="1:7">
      <c r="A275" s="14" t="s">
        <v>374</v>
      </c>
      <c r="B275" s="15" t="s">
        <v>375</v>
      </c>
      <c r="C275" s="13" t="s">
        <v>14</v>
      </c>
      <c r="D275" s="17">
        <v>8253.8</v>
      </c>
    </row>
    <row r="276" ht="77.5" spans="1:7">
      <c r="A276" s="14">
        <v>5.8</v>
      </c>
      <c r="B276" s="15" t="s">
        <v>376</v>
      </c>
      <c r="C276" s="13" t="s">
        <v>14</v>
      </c>
      <c r="D276" s="17">
        <v>11454.35</v>
      </c>
      <c r="E276" s="5" t="s">
        <v>8</v>
      </c>
      <c r="F276" s="6">
        <v>6716.3</v>
      </c>
      <c r="G276" s="7">
        <f t="shared" si="30"/>
        <v>0.705455384661197</v>
      </c>
    </row>
    <row r="277" ht="93" spans="1:7">
      <c r="A277" s="14" t="s">
        <v>377</v>
      </c>
      <c r="B277" s="15" t="s">
        <v>378</v>
      </c>
      <c r="C277" s="13" t="s">
        <v>14</v>
      </c>
      <c r="D277" s="17">
        <v>11283.55</v>
      </c>
    </row>
    <row r="278" spans="1:7">
      <c r="A278" s="14"/>
      <c r="B278" s="15" t="s">
        <v>379</v>
      </c>
      <c r="C278" s="13"/>
      <c r="D278" s="17"/>
      <c r="E278" s="5" t="s">
        <v>8</v>
      </c>
    </row>
    <row r="279" spans="1:7">
      <c r="A279" s="14">
        <v>5.9</v>
      </c>
      <c r="B279" s="15" t="s">
        <v>380</v>
      </c>
      <c r="C279" s="13"/>
      <c r="D279" s="16"/>
      <c r="E279" s="5" t="s">
        <v>8</v>
      </c>
    </row>
    <row r="280" spans="1:7">
      <c r="A280" s="14" t="s">
        <v>381</v>
      </c>
      <c r="B280" s="12" t="s">
        <v>382</v>
      </c>
      <c r="C280" s="13" t="s">
        <v>11</v>
      </c>
      <c r="D280" s="17">
        <v>392.15</v>
      </c>
      <c r="E280" s="5" t="s">
        <v>8</v>
      </c>
      <c r="F280" s="6">
        <v>193.95</v>
      </c>
      <c r="G280" s="7">
        <f t="shared" ref="G280:G292" si="31">(D280-F280)/F280</f>
        <v>1.02191286414024</v>
      </c>
    </row>
    <row r="281" ht="31" spans="1:7">
      <c r="A281" s="14" t="s">
        <v>383</v>
      </c>
      <c r="B281" s="12" t="s">
        <v>384</v>
      </c>
      <c r="C281" s="13" t="s">
        <v>11</v>
      </c>
      <c r="D281" s="17">
        <v>842.5</v>
      </c>
      <c r="E281" s="5" t="s">
        <v>8</v>
      </c>
      <c r="F281" s="6">
        <v>378.6</v>
      </c>
      <c r="G281" s="7">
        <f t="shared" si="31"/>
        <v>1.22530375066033</v>
      </c>
    </row>
    <row r="282" spans="1:7">
      <c r="A282" s="14" t="s">
        <v>385</v>
      </c>
      <c r="B282" s="12" t="s">
        <v>386</v>
      </c>
      <c r="C282" s="13" t="s">
        <v>11</v>
      </c>
      <c r="D282" s="17">
        <v>927.25</v>
      </c>
      <c r="E282" s="5" t="s">
        <v>8</v>
      </c>
      <c r="F282" s="6">
        <v>422.3</v>
      </c>
      <c r="G282" s="7">
        <f t="shared" si="31"/>
        <v>1.19571394743074</v>
      </c>
    </row>
    <row r="283" spans="1:7">
      <c r="A283" s="14" t="s">
        <v>387</v>
      </c>
      <c r="B283" s="12" t="s">
        <v>388</v>
      </c>
      <c r="C283" s="13" t="s">
        <v>11</v>
      </c>
      <c r="D283" s="17">
        <v>927.25</v>
      </c>
      <c r="E283" s="5" t="s">
        <v>8</v>
      </c>
      <c r="F283" s="6">
        <v>422.3</v>
      </c>
      <c r="G283" s="7">
        <f t="shared" si="31"/>
        <v>1.19571394743074</v>
      </c>
    </row>
    <row r="284" spans="1:7">
      <c r="A284" s="14" t="s">
        <v>389</v>
      </c>
      <c r="B284" s="12" t="s">
        <v>390</v>
      </c>
      <c r="C284" s="13" t="s">
        <v>11</v>
      </c>
      <c r="D284" s="17">
        <v>736.4</v>
      </c>
      <c r="E284" s="5" t="s">
        <v>8</v>
      </c>
      <c r="F284" s="6">
        <v>342.9</v>
      </c>
      <c r="G284" s="7">
        <f t="shared" si="31"/>
        <v>1.14756488772237</v>
      </c>
    </row>
    <row r="285" spans="1:7">
      <c r="A285" s="14" t="s">
        <v>391</v>
      </c>
      <c r="B285" s="12" t="s">
        <v>392</v>
      </c>
      <c r="C285" s="13" t="s">
        <v>11</v>
      </c>
      <c r="D285" s="17">
        <v>961.3</v>
      </c>
      <c r="E285" s="5" t="s">
        <v>8</v>
      </c>
      <c r="F285" s="6">
        <v>467.85</v>
      </c>
      <c r="G285" s="7">
        <f t="shared" si="31"/>
        <v>1.05471839264722</v>
      </c>
    </row>
    <row r="286" spans="1:7">
      <c r="A286" s="14" t="s">
        <v>393</v>
      </c>
      <c r="B286" s="12" t="s">
        <v>394</v>
      </c>
      <c r="C286" s="13" t="s">
        <v>11</v>
      </c>
      <c r="D286" s="17">
        <v>764.95</v>
      </c>
      <c r="E286" s="5" t="s">
        <v>8</v>
      </c>
      <c r="F286" s="6">
        <v>419.35</v>
      </c>
      <c r="G286" s="7">
        <f t="shared" si="31"/>
        <v>0.824132586145225</v>
      </c>
    </row>
    <row r="287" spans="1:7">
      <c r="A287" s="14" t="s">
        <v>395</v>
      </c>
      <c r="B287" s="12" t="s">
        <v>396</v>
      </c>
      <c r="C287" s="13" t="s">
        <v>11</v>
      </c>
      <c r="D287" s="17">
        <v>798.35</v>
      </c>
      <c r="E287" s="5" t="s">
        <v>8</v>
      </c>
      <c r="F287" s="6">
        <v>381.4</v>
      </c>
      <c r="G287" s="7">
        <f t="shared" si="31"/>
        <v>1.09320922915574</v>
      </c>
    </row>
    <row r="288" spans="1:7">
      <c r="A288" s="14" t="s">
        <v>397</v>
      </c>
      <c r="B288" s="12" t="s">
        <v>398</v>
      </c>
      <c r="C288" s="13" t="s">
        <v>11</v>
      </c>
      <c r="D288" s="17">
        <v>2154.35</v>
      </c>
      <c r="E288" s="5" t="s">
        <v>8</v>
      </c>
      <c r="F288" s="6">
        <v>1136.85</v>
      </c>
      <c r="G288" s="7">
        <f t="shared" si="31"/>
        <v>0.895016932752782</v>
      </c>
    </row>
    <row r="289" spans="1:7">
      <c r="A289" s="14" t="s">
        <v>399</v>
      </c>
      <c r="B289" s="12" t="s">
        <v>400</v>
      </c>
      <c r="C289" s="13" t="s">
        <v>11</v>
      </c>
      <c r="D289" s="17">
        <v>608.15</v>
      </c>
      <c r="E289" s="5" t="s">
        <v>8</v>
      </c>
      <c r="F289" s="6">
        <v>451.8</v>
      </c>
      <c r="G289" s="7">
        <f t="shared" si="31"/>
        <v>0.346060203629925</v>
      </c>
    </row>
    <row r="290" spans="1:7">
      <c r="A290" s="14" t="s">
        <v>401</v>
      </c>
      <c r="B290" s="12" t="s">
        <v>402</v>
      </c>
      <c r="C290" s="13" t="s">
        <v>11</v>
      </c>
      <c r="D290" s="17">
        <v>803.25</v>
      </c>
      <c r="E290" s="5" t="s">
        <v>8</v>
      </c>
      <c r="F290" s="6">
        <v>378.6</v>
      </c>
      <c r="G290" s="7">
        <f t="shared" si="31"/>
        <v>1.1216323296355</v>
      </c>
    </row>
    <row r="291" spans="1:7">
      <c r="A291" s="14" t="s">
        <v>403</v>
      </c>
      <c r="B291" s="12" t="s">
        <v>404</v>
      </c>
      <c r="C291" s="13" t="s">
        <v>11</v>
      </c>
      <c r="D291" s="17">
        <v>263.65</v>
      </c>
      <c r="E291" s="5" t="s">
        <v>8</v>
      </c>
      <c r="F291" s="6">
        <v>212.2</v>
      </c>
      <c r="G291" s="7">
        <f t="shared" si="31"/>
        <v>0.242459943449576</v>
      </c>
    </row>
    <row r="292" ht="31" spans="1:7">
      <c r="A292" s="14" t="s">
        <v>405</v>
      </c>
      <c r="B292" s="12" t="s">
        <v>406</v>
      </c>
      <c r="C292" s="13" t="s">
        <v>11</v>
      </c>
      <c r="D292" s="17">
        <v>1296.7</v>
      </c>
      <c r="E292" s="5" t="s">
        <v>8</v>
      </c>
      <c r="F292" s="6">
        <v>627.85</v>
      </c>
      <c r="G292" s="7">
        <f t="shared" si="31"/>
        <v>1.06530222186828</v>
      </c>
    </row>
    <row r="293" spans="1:7">
      <c r="A293" s="14" t="s">
        <v>407</v>
      </c>
      <c r="B293" s="12" t="s">
        <v>408</v>
      </c>
      <c r="C293" s="13" t="s">
        <v>11</v>
      </c>
      <c r="D293" s="21">
        <v>0.2</v>
      </c>
      <c r="E293" s="5" t="s">
        <v>8</v>
      </c>
    </row>
    <row r="294" ht="31" spans="1:7">
      <c r="A294" s="14" t="s">
        <v>409</v>
      </c>
      <c r="B294" s="12" t="s">
        <v>410</v>
      </c>
      <c r="C294" s="13" t="s">
        <v>11</v>
      </c>
      <c r="D294" s="17">
        <v>392.15</v>
      </c>
      <c r="E294" s="5" t="s">
        <v>8</v>
      </c>
      <c r="F294" s="6">
        <v>193.95</v>
      </c>
      <c r="G294" s="7">
        <f t="shared" ref="G294:G302" si="32">(D294-F294)/F294</f>
        <v>1.02191286414024</v>
      </c>
    </row>
    <row r="295" spans="1:7">
      <c r="A295" s="14" t="s">
        <v>411</v>
      </c>
      <c r="B295" s="12" t="s">
        <v>412</v>
      </c>
      <c r="C295" s="13"/>
      <c r="D295" s="16"/>
      <c r="E295" s="5" t="s">
        <v>8</v>
      </c>
      <c r="F295" s="8"/>
    </row>
    <row r="296" spans="1:7">
      <c r="A296" s="14" t="s">
        <v>413</v>
      </c>
      <c r="B296" s="12" t="s">
        <v>414</v>
      </c>
      <c r="C296" s="13" t="s">
        <v>39</v>
      </c>
      <c r="D296" s="17">
        <v>208.55</v>
      </c>
      <c r="E296" s="5" t="s">
        <v>8</v>
      </c>
      <c r="F296" s="6">
        <v>122.2</v>
      </c>
      <c r="G296" s="7">
        <f t="shared" si="32"/>
        <v>0.706628477905074</v>
      </c>
    </row>
    <row r="297" spans="1:7">
      <c r="A297" s="14" t="s">
        <v>415</v>
      </c>
      <c r="B297" s="12" t="s">
        <v>416</v>
      </c>
      <c r="C297" s="13" t="s">
        <v>11</v>
      </c>
      <c r="D297" s="17">
        <v>879.05</v>
      </c>
      <c r="E297" s="5" t="s">
        <v>8</v>
      </c>
      <c r="F297" s="6">
        <v>531.1</v>
      </c>
      <c r="G297" s="7">
        <f t="shared" si="32"/>
        <v>0.655149689324044</v>
      </c>
    </row>
    <row r="298" spans="1:7">
      <c r="A298" s="14" t="s">
        <v>417</v>
      </c>
      <c r="B298" s="12" t="s">
        <v>418</v>
      </c>
      <c r="C298" s="13" t="s">
        <v>11</v>
      </c>
      <c r="D298" s="17">
        <v>856.8</v>
      </c>
      <c r="E298" s="5" t="s">
        <v>8</v>
      </c>
      <c r="F298" s="6">
        <v>565.1</v>
      </c>
      <c r="G298" s="7">
        <f t="shared" si="32"/>
        <v>0.516191824455848</v>
      </c>
    </row>
    <row r="299" ht="31" spans="1:7">
      <c r="A299" s="14" t="s">
        <v>419</v>
      </c>
      <c r="B299" s="12" t="s">
        <v>420</v>
      </c>
      <c r="C299" s="13" t="s">
        <v>11</v>
      </c>
      <c r="D299" s="17">
        <v>964.85</v>
      </c>
      <c r="E299" s="5" t="s">
        <v>8</v>
      </c>
      <c r="F299" s="6">
        <v>515.85</v>
      </c>
      <c r="G299" s="7">
        <f t="shared" si="32"/>
        <v>0.870408064359794</v>
      </c>
    </row>
    <row r="300" spans="1:7">
      <c r="A300" s="14" t="s">
        <v>421</v>
      </c>
      <c r="B300" s="12" t="s">
        <v>422</v>
      </c>
      <c r="C300" s="13" t="s">
        <v>11</v>
      </c>
      <c r="D300" s="17">
        <v>951.1</v>
      </c>
      <c r="E300" s="5" t="s">
        <v>8</v>
      </c>
      <c r="F300" s="6">
        <v>521.75</v>
      </c>
      <c r="G300" s="7">
        <f t="shared" si="32"/>
        <v>0.822903689506469</v>
      </c>
    </row>
    <row r="301" ht="31" spans="1:7">
      <c r="A301" s="14" t="s">
        <v>423</v>
      </c>
      <c r="B301" s="12" t="s">
        <v>424</v>
      </c>
      <c r="C301" s="13" t="s">
        <v>11</v>
      </c>
      <c r="D301" s="17">
        <v>1028.4</v>
      </c>
      <c r="E301" s="5" t="s">
        <v>8</v>
      </c>
      <c r="F301" s="6">
        <v>497.45</v>
      </c>
      <c r="G301" s="7">
        <f t="shared" si="32"/>
        <v>1.06734345160318</v>
      </c>
    </row>
    <row r="302" ht="31" spans="1:7">
      <c r="A302" s="14" t="s">
        <v>425</v>
      </c>
      <c r="B302" s="12" t="s">
        <v>426</v>
      </c>
      <c r="C302" s="13" t="s">
        <v>11</v>
      </c>
      <c r="D302" s="17">
        <v>841.95</v>
      </c>
      <c r="E302" s="5" t="s">
        <v>8</v>
      </c>
      <c r="F302" s="6">
        <v>418.95</v>
      </c>
      <c r="G302" s="7">
        <f t="shared" si="32"/>
        <v>1.00966702470462</v>
      </c>
    </row>
    <row r="303" ht="31" spans="1:7">
      <c r="A303" s="18">
        <v>5.1</v>
      </c>
      <c r="B303" s="15" t="s">
        <v>427</v>
      </c>
      <c r="C303" s="13"/>
      <c r="D303" s="16"/>
      <c r="E303" s="5" t="s">
        <v>8</v>
      </c>
    </row>
    <row r="304" spans="1:7">
      <c r="A304" s="14" t="s">
        <v>428</v>
      </c>
      <c r="B304" s="12" t="s">
        <v>429</v>
      </c>
      <c r="C304" s="13" t="s">
        <v>430</v>
      </c>
      <c r="D304" s="17">
        <v>156.05</v>
      </c>
      <c r="E304" s="5" t="s">
        <v>8</v>
      </c>
      <c r="F304" s="6">
        <v>128.7</v>
      </c>
      <c r="G304" s="7">
        <f t="shared" ref="G304:G307" si="33">(D304-F304)/F304</f>
        <v>0.212509712509713</v>
      </c>
    </row>
    <row r="305" spans="1:7">
      <c r="A305" s="14" t="s">
        <v>431</v>
      </c>
      <c r="B305" s="12" t="s">
        <v>432</v>
      </c>
      <c r="C305" s="13" t="s">
        <v>430</v>
      </c>
      <c r="D305" s="17">
        <v>170.25</v>
      </c>
      <c r="E305" s="5" t="s">
        <v>8</v>
      </c>
      <c r="F305" s="6">
        <v>140.3</v>
      </c>
      <c r="G305" s="7">
        <f t="shared" si="33"/>
        <v>0.213471133285816</v>
      </c>
    </row>
    <row r="306" spans="1:7">
      <c r="A306" s="14" t="s">
        <v>433</v>
      </c>
      <c r="B306" s="12" t="s">
        <v>434</v>
      </c>
      <c r="C306" s="13" t="s">
        <v>430</v>
      </c>
      <c r="D306" s="17">
        <v>184.5</v>
      </c>
      <c r="E306" s="5" t="s">
        <v>8</v>
      </c>
      <c r="F306" s="6">
        <v>151.95</v>
      </c>
      <c r="G306" s="7">
        <f t="shared" si="33"/>
        <v>0.2142152023692</v>
      </c>
    </row>
    <row r="307" spans="1:7">
      <c r="A307" s="14" t="s">
        <v>435</v>
      </c>
      <c r="B307" s="12" t="s">
        <v>436</v>
      </c>
      <c r="C307" s="13" t="s">
        <v>430</v>
      </c>
      <c r="D307" s="17">
        <v>201.55</v>
      </c>
      <c r="E307" s="5" t="s">
        <v>8</v>
      </c>
      <c r="F307" s="6">
        <v>163.55</v>
      </c>
      <c r="G307" s="7">
        <f t="shared" si="33"/>
        <v>0.232344848670131</v>
      </c>
    </row>
    <row r="308" ht="62" spans="1:7">
      <c r="A308" s="18">
        <v>5.11</v>
      </c>
      <c r="B308" s="15" t="s">
        <v>437</v>
      </c>
      <c r="C308" s="13"/>
      <c r="D308" s="16"/>
      <c r="E308" s="5" t="s">
        <v>8</v>
      </c>
    </row>
    <row r="309" spans="1:7">
      <c r="A309" s="14" t="s">
        <v>438</v>
      </c>
      <c r="B309" s="12" t="s">
        <v>439</v>
      </c>
      <c r="C309" s="13" t="s">
        <v>11</v>
      </c>
      <c r="D309" s="17">
        <v>384.3</v>
      </c>
      <c r="E309" s="5" t="s">
        <v>8</v>
      </c>
      <c r="F309" s="6">
        <v>171.5</v>
      </c>
      <c r="G309" s="7">
        <f t="shared" ref="G309:G313" si="34">(D309-F309)/F309</f>
        <v>1.24081632653061</v>
      </c>
    </row>
    <row r="310" spans="1:7">
      <c r="A310" s="14"/>
      <c r="B310" s="15" t="s">
        <v>440</v>
      </c>
      <c r="C310" s="13"/>
      <c r="D310" s="16"/>
      <c r="E310" s="5" t="s">
        <v>8</v>
      </c>
    </row>
    <row r="311" ht="93" spans="1:7">
      <c r="A311" s="18">
        <v>5.12</v>
      </c>
      <c r="B311" s="15" t="s">
        <v>441</v>
      </c>
      <c r="C311" s="13" t="s">
        <v>14</v>
      </c>
      <c r="D311" s="17">
        <v>10585.9</v>
      </c>
      <c r="E311" s="5" t="s">
        <v>8</v>
      </c>
      <c r="F311" s="6">
        <v>6972.1</v>
      </c>
      <c r="G311" s="7">
        <f t="shared" si="34"/>
        <v>0.518323030363879</v>
      </c>
    </row>
    <row r="312" ht="93" spans="1:7">
      <c r="A312" s="14" t="s">
        <v>442</v>
      </c>
      <c r="B312" s="15" t="s">
        <v>443</v>
      </c>
      <c r="C312" s="13" t="s">
        <v>14</v>
      </c>
      <c r="D312" s="17">
        <v>10416.75</v>
      </c>
    </row>
    <row r="313" ht="77.5" spans="1:7">
      <c r="A313" s="18">
        <v>5.13</v>
      </c>
      <c r="B313" s="15" t="s">
        <v>444</v>
      </c>
      <c r="C313" s="13" t="s">
        <v>14</v>
      </c>
      <c r="D313" s="17">
        <v>14325.95</v>
      </c>
      <c r="E313" s="5" t="s">
        <v>8</v>
      </c>
      <c r="F313" s="6">
        <v>9330.25</v>
      </c>
      <c r="G313" s="7">
        <f t="shared" si="34"/>
        <v>0.535430454703786</v>
      </c>
    </row>
    <row r="314" ht="93" spans="1:7">
      <c r="A314" s="14" t="s">
        <v>445</v>
      </c>
      <c r="B314" s="15" t="s">
        <v>446</v>
      </c>
      <c r="C314" s="13" t="s">
        <v>14</v>
      </c>
      <c r="D314" s="17">
        <v>14155.35</v>
      </c>
    </row>
    <row r="315" ht="93" spans="1:7">
      <c r="A315" s="18">
        <v>5.14</v>
      </c>
      <c r="B315" s="15" t="s">
        <v>447</v>
      </c>
      <c r="C315" s="13" t="s">
        <v>14</v>
      </c>
      <c r="D315" s="17">
        <v>18234.95</v>
      </c>
      <c r="E315" s="5" t="s">
        <v>8</v>
      </c>
      <c r="F315" s="6">
        <v>10526</v>
      </c>
      <c r="G315" s="7">
        <f t="shared" ref="G315:G319" si="35">(D315-F315)/F315</f>
        <v>0.732372221166635</v>
      </c>
    </row>
    <row r="316" ht="93" spans="1:7">
      <c r="A316" s="14" t="s">
        <v>448</v>
      </c>
      <c r="B316" s="15" t="s">
        <v>449</v>
      </c>
      <c r="C316" s="13" t="s">
        <v>14</v>
      </c>
      <c r="D316" s="17">
        <v>18064.15</v>
      </c>
    </row>
    <row r="317" ht="93" spans="1:7">
      <c r="A317" s="18">
        <v>5.15</v>
      </c>
      <c r="B317" s="15" t="s">
        <v>450</v>
      </c>
      <c r="C317" s="13" t="s">
        <v>14</v>
      </c>
      <c r="D317" s="17">
        <v>13899.2</v>
      </c>
      <c r="E317" s="5" t="s">
        <v>8</v>
      </c>
      <c r="F317" s="6">
        <v>8683.55</v>
      </c>
      <c r="G317" s="7">
        <f t="shared" si="35"/>
        <v>0.600635684714201</v>
      </c>
    </row>
    <row r="318" ht="108.5" spans="1:7">
      <c r="A318" s="14" t="s">
        <v>451</v>
      </c>
      <c r="B318" s="15" t="s">
        <v>452</v>
      </c>
      <c r="C318" s="13" t="s">
        <v>14</v>
      </c>
      <c r="D318" s="17">
        <v>13728.4</v>
      </c>
    </row>
    <row r="319" ht="93" spans="1:7">
      <c r="A319" s="18">
        <v>5.16</v>
      </c>
      <c r="B319" s="15" t="s">
        <v>453</v>
      </c>
      <c r="C319" s="13" t="s">
        <v>14</v>
      </c>
      <c r="D319" s="17">
        <v>20355.8</v>
      </c>
      <c r="E319" s="5" t="s">
        <v>8</v>
      </c>
      <c r="F319" s="6">
        <v>12756.55</v>
      </c>
      <c r="G319" s="7">
        <f t="shared" si="35"/>
        <v>0.595713574595012</v>
      </c>
    </row>
    <row r="320" ht="108.5" spans="1:7">
      <c r="A320" s="14" t="s">
        <v>454</v>
      </c>
      <c r="B320" s="15" t="s">
        <v>455</v>
      </c>
      <c r="C320" s="13" t="s">
        <v>14</v>
      </c>
      <c r="D320" s="17">
        <v>20185</v>
      </c>
    </row>
    <row r="321" ht="93" spans="1:7">
      <c r="A321" s="18">
        <v>5.17</v>
      </c>
      <c r="B321" s="15" t="s">
        <v>456</v>
      </c>
      <c r="C321" s="13" t="s">
        <v>14</v>
      </c>
      <c r="D321" s="17">
        <v>12043.35</v>
      </c>
      <c r="E321" s="5" t="s">
        <v>8</v>
      </c>
      <c r="F321" s="6">
        <v>7690</v>
      </c>
      <c r="G321" s="7">
        <f t="shared" ref="G321:G326" si="36">(D321-F321)/F321</f>
        <v>0.56610533159948</v>
      </c>
    </row>
    <row r="322" ht="108.5" spans="1:7">
      <c r="A322" s="14" t="s">
        <v>457</v>
      </c>
      <c r="B322" s="15" t="s">
        <v>458</v>
      </c>
      <c r="C322" s="13" t="s">
        <v>14</v>
      </c>
      <c r="D322" s="17">
        <v>11872.55</v>
      </c>
    </row>
    <row r="323" ht="62" spans="1:7">
      <c r="A323" s="18">
        <v>5.18</v>
      </c>
      <c r="B323" s="15" t="s">
        <v>459</v>
      </c>
      <c r="C323" s="13"/>
      <c r="D323" s="16"/>
      <c r="E323" s="5" t="s">
        <v>8</v>
      </c>
      <c r="F323" s="8"/>
    </row>
    <row r="324" spans="1:7">
      <c r="A324" s="14" t="s">
        <v>460</v>
      </c>
      <c r="B324" s="12" t="s">
        <v>461</v>
      </c>
      <c r="C324" s="13" t="s">
        <v>11</v>
      </c>
      <c r="D324" s="17">
        <v>1886.9</v>
      </c>
      <c r="E324" s="5" t="s">
        <v>8</v>
      </c>
      <c r="F324" s="6">
        <v>814.55</v>
      </c>
      <c r="G324" s="7">
        <f t="shared" si="36"/>
        <v>1.31649376956602</v>
      </c>
    </row>
    <row r="325" spans="1:7">
      <c r="A325" s="14" t="s">
        <v>462</v>
      </c>
      <c r="B325" s="12" t="s">
        <v>463</v>
      </c>
      <c r="C325" s="13" t="s">
        <v>11</v>
      </c>
      <c r="D325" s="17">
        <v>1706.55</v>
      </c>
      <c r="E325" s="5" t="s">
        <v>8</v>
      </c>
      <c r="F325" s="6">
        <v>710.55</v>
      </c>
      <c r="G325" s="7">
        <f t="shared" si="36"/>
        <v>1.40173105340933</v>
      </c>
    </row>
    <row r="326" spans="1:7">
      <c r="A326" s="14" t="s">
        <v>464</v>
      </c>
      <c r="B326" s="12" t="s">
        <v>465</v>
      </c>
      <c r="C326" s="13" t="s">
        <v>11</v>
      </c>
      <c r="D326" s="17">
        <v>1539</v>
      </c>
      <c r="E326" s="5" t="s">
        <v>8</v>
      </c>
      <c r="F326" s="6">
        <v>669.9</v>
      </c>
      <c r="G326" s="7">
        <f t="shared" si="36"/>
        <v>1.29735781459919</v>
      </c>
    </row>
    <row r="327" spans="1:7">
      <c r="A327" s="14"/>
      <c r="B327" s="15" t="s">
        <v>466</v>
      </c>
      <c r="C327" s="13"/>
      <c r="D327" s="16"/>
      <c r="E327" s="5" t="s">
        <v>8</v>
      </c>
    </row>
    <row r="328" ht="62" spans="1:7">
      <c r="A328" s="18">
        <v>5.19</v>
      </c>
      <c r="B328" s="15" t="s">
        <v>467</v>
      </c>
      <c r="C328" s="13" t="s">
        <v>14</v>
      </c>
      <c r="D328" s="17">
        <v>16089.4</v>
      </c>
      <c r="E328" s="5" t="s">
        <v>8</v>
      </c>
      <c r="F328" s="6">
        <v>9534.25</v>
      </c>
      <c r="G328" s="7">
        <f t="shared" ref="G328:G332" si="37">(D328-F328)/F328</f>
        <v>0.687537037522616</v>
      </c>
    </row>
    <row r="329" ht="77.5" spans="1:7">
      <c r="A329" s="14" t="s">
        <v>468</v>
      </c>
      <c r="B329" s="15" t="s">
        <v>469</v>
      </c>
      <c r="C329" s="13" t="s">
        <v>14</v>
      </c>
      <c r="D329" s="17">
        <v>15918.6</v>
      </c>
    </row>
    <row r="330" ht="62" spans="1:7">
      <c r="A330" s="18">
        <v>5.2</v>
      </c>
      <c r="B330" s="15" t="s">
        <v>470</v>
      </c>
      <c r="C330" s="13" t="s">
        <v>14</v>
      </c>
      <c r="D330" s="17">
        <v>9663.25</v>
      </c>
      <c r="E330" s="5" t="s">
        <v>8</v>
      </c>
      <c r="F330" s="6">
        <v>6516.15</v>
      </c>
      <c r="G330" s="7">
        <f t="shared" si="37"/>
        <v>0.482969237970274</v>
      </c>
    </row>
    <row r="331" ht="77.5" spans="1:7">
      <c r="A331" s="18" t="s">
        <v>471</v>
      </c>
      <c r="B331" s="15" t="s">
        <v>472</v>
      </c>
      <c r="C331" s="13" t="s">
        <v>14</v>
      </c>
      <c r="D331" s="17">
        <v>9492.45</v>
      </c>
    </row>
    <row r="332" ht="46.5" spans="1:7">
      <c r="A332" s="18">
        <v>5.21</v>
      </c>
      <c r="B332" s="15" t="s">
        <v>473</v>
      </c>
      <c r="C332" s="13" t="s">
        <v>11</v>
      </c>
      <c r="D332" s="17">
        <v>485.05</v>
      </c>
      <c r="E332" s="5" t="s">
        <v>8</v>
      </c>
      <c r="F332" s="6">
        <v>371.75</v>
      </c>
      <c r="G332" s="7">
        <f t="shared" si="37"/>
        <v>0.304774714189644</v>
      </c>
    </row>
    <row r="333" spans="1:7">
      <c r="A333" s="14"/>
      <c r="B333" s="15" t="s">
        <v>474</v>
      </c>
      <c r="C333" s="13"/>
      <c r="D333" s="16"/>
      <c r="E333" s="5" t="s">
        <v>8</v>
      </c>
    </row>
    <row r="334" ht="31" spans="1:7">
      <c r="A334" s="18">
        <v>5.22</v>
      </c>
      <c r="B334" s="15" t="s">
        <v>475</v>
      </c>
      <c r="C334" s="13"/>
      <c r="D334" s="16"/>
      <c r="E334" s="5" t="s">
        <v>8</v>
      </c>
    </row>
    <row r="335" spans="1:7">
      <c r="A335" s="14" t="s">
        <v>476</v>
      </c>
      <c r="B335" s="12" t="s">
        <v>477</v>
      </c>
      <c r="C335" s="13" t="s">
        <v>478</v>
      </c>
      <c r="D335" s="17">
        <v>107.1</v>
      </c>
      <c r="E335" s="5" t="s">
        <v>8</v>
      </c>
      <c r="F335" s="6">
        <v>55.3</v>
      </c>
      <c r="G335" s="7">
        <f t="shared" ref="G335:G340" si="38">(D335-F335)/F335</f>
        <v>0.936708860759494</v>
      </c>
    </row>
    <row r="336" spans="1:7">
      <c r="A336" s="14" t="s">
        <v>479</v>
      </c>
      <c r="B336" s="12" t="s">
        <v>480</v>
      </c>
      <c r="C336" s="13" t="s">
        <v>478</v>
      </c>
      <c r="D336" s="17">
        <v>95.8</v>
      </c>
      <c r="E336" s="5" t="s">
        <v>8</v>
      </c>
      <c r="F336" s="6">
        <v>66.7</v>
      </c>
      <c r="G336" s="7">
        <f t="shared" si="38"/>
        <v>0.436281859070465</v>
      </c>
    </row>
    <row r="337" spans="1:7">
      <c r="A337" s="14" t="s">
        <v>481</v>
      </c>
      <c r="B337" s="12" t="s">
        <v>482</v>
      </c>
      <c r="C337" s="13" t="s">
        <v>478</v>
      </c>
      <c r="D337" s="17">
        <v>107.85</v>
      </c>
      <c r="E337" s="5" t="s">
        <v>8</v>
      </c>
      <c r="F337" s="6">
        <v>56.6</v>
      </c>
      <c r="G337" s="7">
        <f t="shared" si="38"/>
        <v>0.90547703180212</v>
      </c>
    </row>
    <row r="338" spans="1:7">
      <c r="A338" s="14" t="s">
        <v>483</v>
      </c>
      <c r="B338" s="12" t="s">
        <v>484</v>
      </c>
      <c r="C338" s="13" t="s">
        <v>478</v>
      </c>
      <c r="D338" s="17">
        <v>107.85</v>
      </c>
      <c r="E338" s="5" t="s">
        <v>8</v>
      </c>
      <c r="F338" s="6">
        <v>56.6</v>
      </c>
      <c r="G338" s="7">
        <f t="shared" si="38"/>
        <v>0.90547703180212</v>
      </c>
    </row>
    <row r="339" spans="1:7">
      <c r="A339" s="14" t="s">
        <v>485</v>
      </c>
      <c r="B339" s="12" t="s">
        <v>486</v>
      </c>
      <c r="C339" s="13" t="s">
        <v>478</v>
      </c>
      <c r="D339" s="17">
        <v>102.2</v>
      </c>
      <c r="E339" s="5" t="s">
        <v>8</v>
      </c>
      <c r="F339" s="6">
        <v>71.3</v>
      </c>
      <c r="G339" s="7">
        <f t="shared" si="38"/>
        <v>0.433380084151473</v>
      </c>
    </row>
    <row r="340" spans="1:7">
      <c r="A340" s="14" t="s">
        <v>487</v>
      </c>
      <c r="B340" s="12" t="s">
        <v>488</v>
      </c>
      <c r="C340" s="13" t="s">
        <v>478</v>
      </c>
      <c r="D340" s="17">
        <v>107.85</v>
      </c>
      <c r="E340" s="5" t="s">
        <v>8</v>
      </c>
      <c r="F340" s="6">
        <v>56.6</v>
      </c>
      <c r="G340" s="7">
        <f t="shared" si="38"/>
        <v>0.90547703180212</v>
      </c>
    </row>
    <row r="341" ht="31" spans="1:7">
      <c r="A341" s="14" t="s">
        <v>489</v>
      </c>
      <c r="B341" s="15" t="s">
        <v>490</v>
      </c>
      <c r="C341" s="13"/>
      <c r="D341" s="16"/>
      <c r="E341" s="5" t="s">
        <v>8</v>
      </c>
      <c r="F341" s="8"/>
    </row>
    <row r="342" spans="1:7">
      <c r="A342" s="14" t="s">
        <v>491</v>
      </c>
      <c r="B342" s="12" t="s">
        <v>477</v>
      </c>
      <c r="C342" s="13" t="s">
        <v>478</v>
      </c>
      <c r="D342" s="17">
        <v>107.1</v>
      </c>
      <c r="E342" s="5" t="s">
        <v>8</v>
      </c>
      <c r="F342" s="6">
        <v>55.3</v>
      </c>
      <c r="G342" s="7">
        <f t="shared" ref="G342:G347" si="39">(D342-F342)/F342</f>
        <v>0.936708860759494</v>
      </c>
    </row>
    <row r="343" spans="1:7">
      <c r="A343" s="14" t="s">
        <v>492</v>
      </c>
      <c r="B343" s="12" t="s">
        <v>480</v>
      </c>
      <c r="C343" s="13" t="s">
        <v>478</v>
      </c>
      <c r="D343" s="17">
        <v>95.8</v>
      </c>
      <c r="E343" s="5" t="s">
        <v>8</v>
      </c>
      <c r="F343" s="6">
        <v>66.7</v>
      </c>
      <c r="G343" s="7">
        <f t="shared" si="39"/>
        <v>0.436281859070465</v>
      </c>
    </row>
    <row r="344" spans="1:7">
      <c r="A344" s="14" t="s">
        <v>493</v>
      </c>
      <c r="B344" s="12" t="s">
        <v>482</v>
      </c>
      <c r="C344" s="13" t="s">
        <v>478</v>
      </c>
      <c r="D344" s="17">
        <v>107.85</v>
      </c>
      <c r="E344" s="5" t="s">
        <v>8</v>
      </c>
      <c r="F344" s="6">
        <v>56.6</v>
      </c>
      <c r="G344" s="7">
        <f t="shared" si="39"/>
        <v>0.90547703180212</v>
      </c>
    </row>
    <row r="345" spans="1:7">
      <c r="A345" s="14" t="s">
        <v>494</v>
      </c>
      <c r="B345" s="12" t="s">
        <v>484</v>
      </c>
      <c r="C345" s="13" t="s">
        <v>478</v>
      </c>
      <c r="D345" s="17">
        <v>107.85</v>
      </c>
      <c r="E345" s="5" t="s">
        <v>8</v>
      </c>
      <c r="F345" s="6">
        <v>56.6</v>
      </c>
      <c r="G345" s="7">
        <f t="shared" si="39"/>
        <v>0.90547703180212</v>
      </c>
    </row>
    <row r="346" spans="1:7">
      <c r="A346" s="14" t="s">
        <v>495</v>
      </c>
      <c r="B346" s="12" t="s">
        <v>486</v>
      </c>
      <c r="C346" s="13" t="s">
        <v>478</v>
      </c>
      <c r="D346" s="17">
        <v>102.2</v>
      </c>
      <c r="E346" s="5" t="s">
        <v>8</v>
      </c>
      <c r="F346" s="6">
        <v>71.3</v>
      </c>
      <c r="G346" s="7">
        <f t="shared" si="39"/>
        <v>0.433380084151473</v>
      </c>
    </row>
    <row r="347" spans="1:7">
      <c r="A347" s="14" t="s">
        <v>496</v>
      </c>
      <c r="B347" s="12" t="s">
        <v>488</v>
      </c>
      <c r="C347" s="13" t="s">
        <v>478</v>
      </c>
      <c r="D347" s="17">
        <v>107.85</v>
      </c>
      <c r="E347" s="5" t="s">
        <v>8</v>
      </c>
      <c r="F347" s="6">
        <v>56.6</v>
      </c>
      <c r="G347" s="7">
        <f t="shared" si="39"/>
        <v>0.90547703180212</v>
      </c>
    </row>
    <row r="348" ht="46.5" spans="1:7">
      <c r="A348" s="14" t="s">
        <v>497</v>
      </c>
      <c r="B348" s="15" t="s">
        <v>498</v>
      </c>
      <c r="C348" s="13"/>
      <c r="D348" s="16"/>
      <c r="E348" s="5" t="s">
        <v>8</v>
      </c>
    </row>
    <row r="349" spans="1:7">
      <c r="A349" s="14" t="s">
        <v>499</v>
      </c>
      <c r="B349" s="12" t="s">
        <v>488</v>
      </c>
      <c r="C349" s="13" t="s">
        <v>478</v>
      </c>
      <c r="D349" s="17">
        <v>99.65</v>
      </c>
      <c r="E349" s="5" t="s">
        <v>8</v>
      </c>
      <c r="F349" s="6">
        <v>54.1</v>
      </c>
      <c r="G349" s="7">
        <f t="shared" ref="G349:G358" si="40">(D349-F349)/F349</f>
        <v>0.841959334565619</v>
      </c>
    </row>
    <row r="350" ht="46.5" spans="1:7">
      <c r="A350" s="14" t="s">
        <v>500</v>
      </c>
      <c r="B350" s="15" t="s">
        <v>501</v>
      </c>
      <c r="C350" s="13"/>
      <c r="D350" s="16"/>
      <c r="E350" s="5" t="s">
        <v>8</v>
      </c>
    </row>
    <row r="351" spans="1:7">
      <c r="A351" s="14" t="s">
        <v>502</v>
      </c>
      <c r="B351" s="12" t="s">
        <v>488</v>
      </c>
      <c r="C351" s="13" t="s">
        <v>478</v>
      </c>
      <c r="D351" s="17">
        <v>99.65</v>
      </c>
      <c r="E351" s="5" t="s">
        <v>8</v>
      </c>
      <c r="F351" s="6">
        <v>54.1</v>
      </c>
      <c r="G351" s="7">
        <f t="shared" si="40"/>
        <v>0.841959334565619</v>
      </c>
    </row>
    <row r="352" spans="1:7">
      <c r="A352" s="14"/>
      <c r="B352" s="15" t="s">
        <v>295</v>
      </c>
      <c r="C352" s="13"/>
      <c r="D352" s="16"/>
      <c r="E352" s="5" t="s">
        <v>8</v>
      </c>
    </row>
    <row r="353" ht="31" spans="1:7">
      <c r="A353" s="18">
        <v>5.23</v>
      </c>
      <c r="B353" s="15" t="s">
        <v>503</v>
      </c>
      <c r="C353" s="13" t="s">
        <v>11</v>
      </c>
      <c r="D353" s="17">
        <v>300.45</v>
      </c>
      <c r="E353" s="5" t="s">
        <v>8</v>
      </c>
      <c r="F353" s="6">
        <v>143.8</v>
      </c>
      <c r="G353" s="7">
        <f t="shared" si="40"/>
        <v>1.08936022253129</v>
      </c>
    </row>
    <row r="354" ht="77.5" spans="1:7">
      <c r="A354" s="18">
        <v>5.24</v>
      </c>
      <c r="B354" s="15" t="s">
        <v>504</v>
      </c>
      <c r="C354" s="13" t="s">
        <v>11</v>
      </c>
      <c r="D354" s="17">
        <v>150.5</v>
      </c>
      <c r="E354" s="5" t="s">
        <v>8</v>
      </c>
      <c r="F354" s="6">
        <v>90.6</v>
      </c>
      <c r="G354" s="7">
        <f t="shared" si="40"/>
        <v>0.661147902869757</v>
      </c>
    </row>
    <row r="355" spans="1:7">
      <c r="A355" s="18">
        <v>5.25</v>
      </c>
      <c r="B355" s="15" t="s">
        <v>505</v>
      </c>
      <c r="C355" s="13" t="s">
        <v>478</v>
      </c>
      <c r="D355" s="17">
        <v>811.85</v>
      </c>
      <c r="E355" s="5" t="s">
        <v>8</v>
      </c>
      <c r="F355" s="6">
        <v>338.7</v>
      </c>
      <c r="G355" s="7">
        <f t="shared" si="40"/>
        <v>1.39695896073221</v>
      </c>
    </row>
    <row r="356" spans="1:7">
      <c r="A356" s="18">
        <v>5.26</v>
      </c>
      <c r="B356" s="15" t="s">
        <v>506</v>
      </c>
      <c r="C356" s="13" t="s">
        <v>14</v>
      </c>
      <c r="D356" s="17">
        <v>74854.65</v>
      </c>
      <c r="E356" s="5" t="s">
        <v>8</v>
      </c>
      <c r="F356" s="6">
        <v>50192.7</v>
      </c>
      <c r="G356" s="7">
        <f t="shared" si="40"/>
        <v>0.491345355001823</v>
      </c>
    </row>
    <row r="357" ht="31" spans="1:7">
      <c r="A357" s="18">
        <v>5.27</v>
      </c>
      <c r="B357" s="15" t="s">
        <v>507</v>
      </c>
      <c r="C357" s="13" t="s">
        <v>14</v>
      </c>
      <c r="D357" s="17">
        <v>28212.6</v>
      </c>
      <c r="E357" s="5" t="s">
        <v>8</v>
      </c>
      <c r="F357" s="6">
        <v>16494.35</v>
      </c>
      <c r="G357" s="7">
        <f t="shared" si="40"/>
        <v>0.710440241658507</v>
      </c>
    </row>
    <row r="358" ht="46.5" spans="1:7">
      <c r="A358" s="18">
        <v>5.28</v>
      </c>
      <c r="B358" s="15" t="s">
        <v>508</v>
      </c>
      <c r="C358" s="13" t="s">
        <v>509</v>
      </c>
      <c r="D358" s="17">
        <v>655.75</v>
      </c>
      <c r="E358" s="5" t="s">
        <v>8</v>
      </c>
      <c r="F358" s="6">
        <v>449.1</v>
      </c>
      <c r="G358" s="7">
        <f t="shared" si="40"/>
        <v>0.460142507236696</v>
      </c>
    </row>
    <row r="359" spans="1:7">
      <c r="A359" s="18">
        <v>5.29</v>
      </c>
      <c r="B359" s="15" t="s">
        <v>510</v>
      </c>
      <c r="C359" s="13"/>
      <c r="D359" s="16"/>
      <c r="E359" s="5" t="s">
        <v>8</v>
      </c>
    </row>
    <row r="360" spans="1:7">
      <c r="A360" s="14" t="s">
        <v>511</v>
      </c>
      <c r="B360" s="12" t="s">
        <v>512</v>
      </c>
      <c r="C360" s="13"/>
      <c r="D360" s="16"/>
      <c r="E360" s="5" t="s">
        <v>8</v>
      </c>
    </row>
    <row r="361" spans="1:7">
      <c r="A361" s="14" t="s">
        <v>513</v>
      </c>
      <c r="B361" s="12" t="s">
        <v>514</v>
      </c>
      <c r="C361" s="13" t="s">
        <v>39</v>
      </c>
      <c r="D361" s="17">
        <v>245.45</v>
      </c>
      <c r="E361" s="5" t="s">
        <v>8</v>
      </c>
      <c r="F361" s="6">
        <v>128.55</v>
      </c>
      <c r="G361" s="7">
        <f t="shared" ref="G361:G365" si="41">(D361-F361)/F361</f>
        <v>0.909373784519642</v>
      </c>
    </row>
    <row r="362" spans="1:7">
      <c r="A362" s="14" t="s">
        <v>515</v>
      </c>
      <c r="B362" s="12" t="s">
        <v>516</v>
      </c>
      <c r="C362" s="13" t="s">
        <v>39</v>
      </c>
      <c r="D362" s="17">
        <v>330.2</v>
      </c>
      <c r="E362" s="5" t="s">
        <v>8</v>
      </c>
      <c r="F362" s="6">
        <v>172.8</v>
      </c>
      <c r="G362" s="7">
        <f t="shared" si="41"/>
        <v>0.910879629629629</v>
      </c>
    </row>
    <row r="363" spans="1:7">
      <c r="A363" s="14" t="s">
        <v>517</v>
      </c>
      <c r="B363" s="12" t="s">
        <v>518</v>
      </c>
      <c r="C363" s="13"/>
      <c r="D363" s="16"/>
      <c r="E363" s="5" t="s">
        <v>8</v>
      </c>
    </row>
    <row r="364" spans="1:7">
      <c r="A364" s="14" t="s">
        <v>519</v>
      </c>
      <c r="B364" s="12" t="s">
        <v>520</v>
      </c>
      <c r="C364" s="13" t="s">
        <v>39</v>
      </c>
      <c r="D364" s="17">
        <v>567.6</v>
      </c>
      <c r="E364" s="5" t="s">
        <v>8</v>
      </c>
      <c r="F364" s="6">
        <v>336.65</v>
      </c>
      <c r="G364" s="7">
        <f t="shared" si="41"/>
        <v>0.686024060597059</v>
      </c>
    </row>
    <row r="365" spans="1:7">
      <c r="A365" s="14" t="s">
        <v>521</v>
      </c>
      <c r="B365" s="12" t="s">
        <v>522</v>
      </c>
      <c r="C365" s="13" t="s">
        <v>39</v>
      </c>
      <c r="D365" s="17">
        <v>753.85</v>
      </c>
      <c r="E365" s="5" t="s">
        <v>8</v>
      </c>
      <c r="F365" s="6">
        <v>469.4</v>
      </c>
      <c r="G365" s="7">
        <f t="shared" si="41"/>
        <v>0.605986365573072</v>
      </c>
    </row>
    <row r="366" spans="1:7">
      <c r="A366" s="14" t="s">
        <v>523</v>
      </c>
      <c r="B366" s="12" t="s">
        <v>524</v>
      </c>
      <c r="C366" s="13"/>
      <c r="D366" s="16"/>
      <c r="E366" s="5" t="s">
        <v>8</v>
      </c>
    </row>
    <row r="367" spans="1:7">
      <c r="A367" s="14" t="s">
        <v>525</v>
      </c>
      <c r="B367" s="12" t="s">
        <v>520</v>
      </c>
      <c r="C367" s="13" t="s">
        <v>39</v>
      </c>
      <c r="D367" s="17">
        <v>237.4</v>
      </c>
      <c r="E367" s="5" t="s">
        <v>8</v>
      </c>
      <c r="F367" s="6">
        <v>127.65</v>
      </c>
      <c r="G367" s="7">
        <f t="shared" ref="G367:G370" si="42">(D367-F367)/F367</f>
        <v>0.859772816294555</v>
      </c>
    </row>
    <row r="368" spans="1:7">
      <c r="A368" s="14" t="s">
        <v>526</v>
      </c>
      <c r="B368" s="12" t="s">
        <v>522</v>
      </c>
      <c r="C368" s="13" t="s">
        <v>39</v>
      </c>
      <c r="D368" s="17">
        <v>319.4</v>
      </c>
      <c r="E368" s="5" t="s">
        <v>8</v>
      </c>
      <c r="F368" s="6">
        <v>171.6</v>
      </c>
      <c r="G368" s="7">
        <f t="shared" si="42"/>
        <v>0.861305361305361</v>
      </c>
    </row>
    <row r="369" spans="1:7">
      <c r="A369" s="18">
        <v>5.3</v>
      </c>
      <c r="B369" s="15" t="s">
        <v>527</v>
      </c>
      <c r="C369" s="13" t="s">
        <v>39</v>
      </c>
      <c r="D369" s="17">
        <v>78.4</v>
      </c>
      <c r="E369" s="5" t="s">
        <v>8</v>
      </c>
      <c r="F369" s="6">
        <v>34.15</v>
      </c>
      <c r="G369" s="7">
        <f t="shared" si="42"/>
        <v>1.29575402635432</v>
      </c>
    </row>
    <row r="370" ht="31" spans="1:7">
      <c r="A370" s="18">
        <v>5.31</v>
      </c>
      <c r="B370" s="15" t="s">
        <v>528</v>
      </c>
      <c r="C370" s="13" t="s">
        <v>14</v>
      </c>
      <c r="D370" s="17">
        <v>1098.8</v>
      </c>
      <c r="E370" s="5" t="s">
        <v>8</v>
      </c>
      <c r="F370" s="6">
        <v>474.5</v>
      </c>
      <c r="G370" s="7">
        <f t="shared" si="42"/>
        <v>1.31570073761855</v>
      </c>
    </row>
    <row r="371" ht="93" spans="1:7">
      <c r="A371" s="14"/>
      <c r="B371" s="15" t="s">
        <v>529</v>
      </c>
      <c r="C371" s="13"/>
      <c r="D371" s="16"/>
      <c r="E371" s="5" t="s">
        <v>8</v>
      </c>
    </row>
    <row r="372" spans="1:7">
      <c r="A372" s="18">
        <v>5.32</v>
      </c>
      <c r="B372" s="15" t="s">
        <v>530</v>
      </c>
      <c r="C372" s="13" t="s">
        <v>14</v>
      </c>
      <c r="D372" s="17">
        <v>467.55</v>
      </c>
      <c r="E372" s="5" t="s">
        <v>8</v>
      </c>
      <c r="F372" s="6">
        <v>192.7</v>
      </c>
      <c r="G372" s="7">
        <f>(D372-F372)/F372</f>
        <v>1.42631032693306</v>
      </c>
    </row>
    <row r="373" spans="1:7">
      <c r="A373" s="14"/>
      <c r="B373" s="15" t="s">
        <v>531</v>
      </c>
      <c r="C373" s="13"/>
      <c r="D373" s="16"/>
      <c r="E373" s="5" t="s">
        <v>8</v>
      </c>
    </row>
    <row r="374" ht="217" spans="1:7">
      <c r="A374" s="14">
        <v>5.33</v>
      </c>
      <c r="B374" s="15" t="s">
        <v>532</v>
      </c>
      <c r="C374" s="13"/>
      <c r="D374" s="16"/>
    </row>
    <row r="375" ht="77.5" spans="1:7">
      <c r="A375" s="14" t="s">
        <v>533</v>
      </c>
      <c r="B375" s="12" t="s">
        <v>534</v>
      </c>
      <c r="C375" s="13"/>
      <c r="D375" s="16"/>
    </row>
    <row r="376" spans="1:7">
      <c r="A376" s="14" t="s">
        <v>535</v>
      </c>
      <c r="B376" s="12" t="s">
        <v>536</v>
      </c>
      <c r="C376" s="13" t="s">
        <v>14</v>
      </c>
      <c r="D376" s="17">
        <v>9504.75</v>
      </c>
    </row>
    <row r="377" spans="1:7">
      <c r="A377" s="14" t="s">
        <v>537</v>
      </c>
      <c r="B377" s="12" t="s">
        <v>538</v>
      </c>
      <c r="C377" s="13" t="s">
        <v>14</v>
      </c>
      <c r="D377" s="17">
        <v>9655.7</v>
      </c>
    </row>
    <row r="378" spans="1:7">
      <c r="A378" s="14" t="s">
        <v>539</v>
      </c>
      <c r="B378" s="12" t="s">
        <v>540</v>
      </c>
      <c r="C378" s="13" t="s">
        <v>14</v>
      </c>
      <c r="D378" s="17">
        <v>9806.7</v>
      </c>
    </row>
    <row r="379" spans="1:7">
      <c r="A379" s="14" t="s">
        <v>541</v>
      </c>
      <c r="B379" s="12" t="s">
        <v>542</v>
      </c>
      <c r="C379" s="13" t="s">
        <v>14</v>
      </c>
      <c r="D379" s="17">
        <v>9957.65</v>
      </c>
    </row>
    <row r="380" spans="1:7">
      <c r="A380" s="14" t="s">
        <v>543</v>
      </c>
      <c r="B380" s="12" t="s">
        <v>544</v>
      </c>
      <c r="C380" s="13" t="s">
        <v>14</v>
      </c>
      <c r="D380" s="17">
        <v>10108.65</v>
      </c>
    </row>
    <row r="381" ht="77.5" spans="1:7">
      <c r="A381" s="14" t="s">
        <v>545</v>
      </c>
      <c r="B381" s="12" t="s">
        <v>546</v>
      </c>
      <c r="C381" s="13"/>
      <c r="D381" s="16"/>
    </row>
    <row r="382" spans="1:7">
      <c r="A382" s="14" t="s">
        <v>547</v>
      </c>
      <c r="B382" s="12" t="s">
        <v>548</v>
      </c>
      <c r="C382" s="13" t="s">
        <v>14</v>
      </c>
      <c r="D382" s="17">
        <v>9860.4</v>
      </c>
    </row>
    <row r="383" spans="1:7">
      <c r="A383" s="14" t="s">
        <v>549</v>
      </c>
      <c r="B383" s="12" t="s">
        <v>538</v>
      </c>
      <c r="C383" s="13" t="s">
        <v>14</v>
      </c>
      <c r="D383" s="17">
        <v>10011.35</v>
      </c>
    </row>
    <row r="384" spans="1:7">
      <c r="A384" s="14" t="s">
        <v>550</v>
      </c>
      <c r="B384" s="12" t="s">
        <v>540</v>
      </c>
      <c r="C384" s="13" t="s">
        <v>14</v>
      </c>
      <c r="D384" s="17">
        <v>10162.35</v>
      </c>
    </row>
    <row r="385" spans="1:7">
      <c r="A385" s="14" t="s">
        <v>551</v>
      </c>
      <c r="B385" s="12" t="s">
        <v>552</v>
      </c>
      <c r="C385" s="13" t="s">
        <v>14</v>
      </c>
      <c r="D385" s="17">
        <v>10313.3</v>
      </c>
    </row>
    <row r="386" spans="1:7">
      <c r="A386" s="14" t="s">
        <v>553</v>
      </c>
      <c r="B386" s="12" t="s">
        <v>554</v>
      </c>
      <c r="C386" s="13" t="s">
        <v>14</v>
      </c>
      <c r="D386" s="17">
        <v>10464.3</v>
      </c>
    </row>
    <row r="387" ht="279" spans="1:7">
      <c r="A387" s="14" t="s">
        <v>555</v>
      </c>
      <c r="B387" s="15" t="s">
        <v>556</v>
      </c>
      <c r="C387" s="13"/>
      <c r="D387" s="16"/>
    </row>
    <row r="388" ht="46.5" spans="1:7">
      <c r="A388" s="14" t="s">
        <v>557</v>
      </c>
      <c r="B388" s="12" t="s">
        <v>558</v>
      </c>
      <c r="C388" s="13"/>
      <c r="D388" s="16"/>
    </row>
    <row r="389" spans="1:7">
      <c r="A389" s="14" t="s">
        <v>559</v>
      </c>
      <c r="B389" s="12" t="s">
        <v>560</v>
      </c>
      <c r="C389" s="13" t="s">
        <v>14</v>
      </c>
      <c r="D389" s="17">
        <v>9333.95</v>
      </c>
    </row>
    <row r="390" ht="46.5" spans="1:7">
      <c r="A390" s="14" t="s">
        <v>561</v>
      </c>
      <c r="B390" s="12" t="s">
        <v>562</v>
      </c>
      <c r="C390" s="13"/>
      <c r="D390" s="16"/>
    </row>
    <row r="391" spans="1:7">
      <c r="A391" s="14" t="s">
        <v>563</v>
      </c>
      <c r="B391" s="12" t="s">
        <v>564</v>
      </c>
      <c r="C391" s="13" t="s">
        <v>14</v>
      </c>
      <c r="D391" s="17">
        <v>9689.6</v>
      </c>
    </row>
    <row r="392" ht="31" spans="1:7">
      <c r="A392" s="18">
        <v>5.35</v>
      </c>
      <c r="B392" s="15" t="s">
        <v>565</v>
      </c>
      <c r="C392" s="13" t="s">
        <v>566</v>
      </c>
      <c r="D392" s="17">
        <v>733.5</v>
      </c>
      <c r="E392" s="5" t="s">
        <v>8</v>
      </c>
      <c r="F392" s="6">
        <v>672.75</v>
      </c>
      <c r="G392" s="7">
        <f t="shared" ref="G392:G395" si="43">(D392-F392)/F392</f>
        <v>0.0903010033444816</v>
      </c>
    </row>
    <row r="393" ht="124" spans="1:7">
      <c r="A393" s="18">
        <v>5.36</v>
      </c>
      <c r="B393" s="15" t="s">
        <v>567</v>
      </c>
      <c r="C393" s="13" t="s">
        <v>14</v>
      </c>
      <c r="D393" s="17">
        <v>33018.75</v>
      </c>
      <c r="E393" s="5" t="s">
        <v>8</v>
      </c>
      <c r="F393" s="6">
        <v>17574.85</v>
      </c>
      <c r="G393" s="7">
        <f t="shared" si="43"/>
        <v>0.878750032005963</v>
      </c>
    </row>
    <row r="394" ht="139.5" spans="1:7">
      <c r="A394" s="14" t="s">
        <v>568</v>
      </c>
      <c r="B394" s="15" t="s">
        <v>569</v>
      </c>
      <c r="C394" s="13" t="s">
        <v>14</v>
      </c>
      <c r="D394" s="17">
        <v>32847.95</v>
      </c>
    </row>
    <row r="395" spans="1:7">
      <c r="A395" s="18">
        <v>5.38</v>
      </c>
      <c r="B395" s="15" t="s">
        <v>570</v>
      </c>
      <c r="C395" s="13" t="s">
        <v>14</v>
      </c>
      <c r="D395" s="17">
        <v>355.65</v>
      </c>
      <c r="E395" s="5" t="s">
        <v>8</v>
      </c>
      <c r="F395" s="6">
        <v>232.3</v>
      </c>
      <c r="G395" s="7">
        <f t="shared" si="43"/>
        <v>0.530994403788205</v>
      </c>
    </row>
    <row r="396" ht="46.5" spans="1:7">
      <c r="A396" s="18">
        <v>5.41</v>
      </c>
      <c r="B396" s="15" t="s">
        <v>571</v>
      </c>
      <c r="C396" s="13"/>
      <c r="D396" s="16"/>
      <c r="E396" s="5" t="s">
        <v>8</v>
      </c>
    </row>
    <row r="397" spans="1:7">
      <c r="A397" s="14" t="s">
        <v>572</v>
      </c>
      <c r="B397" s="12" t="s">
        <v>573</v>
      </c>
      <c r="C397" s="13" t="s">
        <v>11</v>
      </c>
      <c r="D397" s="17">
        <v>69.05</v>
      </c>
      <c r="E397" s="5" t="s">
        <v>8</v>
      </c>
      <c r="F397" s="6">
        <v>32.2</v>
      </c>
      <c r="G397" s="7">
        <f t="shared" ref="G397:G403" si="44">(D397-F397)/F397</f>
        <v>1.1444099378882</v>
      </c>
    </row>
    <row r="398" ht="77.5" spans="1:7">
      <c r="A398" s="18">
        <v>5.42</v>
      </c>
      <c r="B398" s="15" t="s">
        <v>574</v>
      </c>
      <c r="C398" s="13"/>
      <c r="D398" s="16"/>
      <c r="E398" s="5" t="s">
        <v>8</v>
      </c>
    </row>
    <row r="399" spans="1:7">
      <c r="A399" s="14" t="s">
        <v>575</v>
      </c>
      <c r="B399" s="12" t="s">
        <v>576</v>
      </c>
      <c r="C399" s="13" t="s">
        <v>126</v>
      </c>
      <c r="D399" s="17">
        <v>115.1</v>
      </c>
      <c r="E399" s="5" t="s">
        <v>8</v>
      </c>
      <c r="F399" s="6">
        <v>121.1</v>
      </c>
      <c r="G399" s="7">
        <f t="shared" si="44"/>
        <v>-0.0495458298926507</v>
      </c>
    </row>
    <row r="400" spans="1:7">
      <c r="A400" s="14" t="s">
        <v>577</v>
      </c>
      <c r="B400" s="12" t="s">
        <v>578</v>
      </c>
      <c r="C400" s="13" t="s">
        <v>126</v>
      </c>
      <c r="D400" s="17">
        <v>160.1</v>
      </c>
      <c r="E400" s="5" t="s">
        <v>8</v>
      </c>
      <c r="F400" s="6">
        <v>164.85</v>
      </c>
      <c r="G400" s="7">
        <f t="shared" si="44"/>
        <v>-0.0288140734000607</v>
      </c>
    </row>
    <row r="401" spans="1:7">
      <c r="A401" s="14" t="s">
        <v>579</v>
      </c>
      <c r="B401" s="12" t="s">
        <v>580</v>
      </c>
      <c r="C401" s="13" t="s">
        <v>126</v>
      </c>
      <c r="D401" s="17">
        <v>228.95</v>
      </c>
      <c r="E401" s="5" t="s">
        <v>8</v>
      </c>
      <c r="F401" s="6">
        <v>227.95</v>
      </c>
      <c r="G401" s="7">
        <f t="shared" si="44"/>
        <v>0.00438692695766615</v>
      </c>
    </row>
    <row r="402" spans="1:7">
      <c r="A402" s="14" t="s">
        <v>581</v>
      </c>
      <c r="B402" s="12" t="s">
        <v>582</v>
      </c>
      <c r="C402" s="13" t="s">
        <v>126</v>
      </c>
      <c r="D402" s="17">
        <v>267.55</v>
      </c>
      <c r="E402" s="5" t="s">
        <v>8</v>
      </c>
      <c r="F402" s="6">
        <v>314.25</v>
      </c>
      <c r="G402" s="7">
        <f t="shared" si="44"/>
        <v>-0.148607796340493</v>
      </c>
    </row>
    <row r="403" spans="1:7">
      <c r="A403" s="14" t="s">
        <v>583</v>
      </c>
      <c r="B403" s="12" t="s">
        <v>584</v>
      </c>
      <c r="C403" s="13" t="s">
        <v>126</v>
      </c>
      <c r="D403" s="17">
        <v>318.8</v>
      </c>
      <c r="E403" s="5" t="s">
        <v>8</v>
      </c>
      <c r="F403" s="6">
        <v>365.85</v>
      </c>
      <c r="G403" s="7">
        <f t="shared" si="44"/>
        <v>-0.128604619379527</v>
      </c>
    </row>
    <row r="404" ht="31" spans="1:7">
      <c r="A404" s="18">
        <v>5.43</v>
      </c>
      <c r="B404" s="15" t="s">
        <v>585</v>
      </c>
      <c r="C404" s="13"/>
      <c r="D404" s="16"/>
      <c r="E404" s="5" t="s">
        <v>8</v>
      </c>
    </row>
    <row r="405" spans="1:7">
      <c r="A405" s="14" t="s">
        <v>586</v>
      </c>
      <c r="B405" s="12" t="s">
        <v>587</v>
      </c>
      <c r="C405" s="13" t="s">
        <v>39</v>
      </c>
      <c r="D405" s="17">
        <v>859.75</v>
      </c>
      <c r="E405" s="5" t="s">
        <v>8</v>
      </c>
      <c r="F405" s="6">
        <v>584.1</v>
      </c>
      <c r="G405" s="7">
        <f t="shared" ref="G405:G410" si="45">(D405-F405)/F405</f>
        <v>0.471922615990413</v>
      </c>
    </row>
    <row r="406" spans="1:7">
      <c r="A406" s="14" t="s">
        <v>588</v>
      </c>
      <c r="B406" s="12" t="s">
        <v>589</v>
      </c>
      <c r="C406" s="13" t="s">
        <v>39</v>
      </c>
      <c r="D406" s="17">
        <v>1208.05</v>
      </c>
      <c r="E406" s="5" t="s">
        <v>8</v>
      </c>
      <c r="F406" s="6">
        <v>839.65</v>
      </c>
      <c r="G406" s="7">
        <f t="shared" si="45"/>
        <v>0.438754242839278</v>
      </c>
    </row>
    <row r="407" ht="248" spans="1:7">
      <c r="A407" s="18">
        <v>5.44</v>
      </c>
      <c r="B407" s="15" t="s">
        <v>590</v>
      </c>
      <c r="C407" s="13"/>
      <c r="D407" s="16"/>
      <c r="E407" s="5" t="s">
        <v>8</v>
      </c>
    </row>
    <row r="408" spans="1:7">
      <c r="A408" s="14" t="s">
        <v>591</v>
      </c>
      <c r="B408" s="12" t="s">
        <v>592</v>
      </c>
      <c r="C408" s="13" t="s">
        <v>39</v>
      </c>
      <c r="D408" s="17">
        <v>6392.55</v>
      </c>
      <c r="E408" s="5" t="s">
        <v>8</v>
      </c>
      <c r="F408" s="6">
        <v>4741.05</v>
      </c>
      <c r="G408" s="7">
        <f t="shared" si="45"/>
        <v>0.348340557471446</v>
      </c>
    </row>
    <row r="409" spans="1:7">
      <c r="A409" s="14" t="s">
        <v>593</v>
      </c>
      <c r="B409" s="12" t="s">
        <v>594</v>
      </c>
      <c r="C409" s="13" t="s">
        <v>39</v>
      </c>
      <c r="D409" s="17">
        <v>7812.35</v>
      </c>
      <c r="E409" s="5" t="s">
        <v>8</v>
      </c>
      <c r="F409" s="6">
        <v>5829.95</v>
      </c>
      <c r="G409" s="7">
        <f t="shared" si="45"/>
        <v>0.340037221588521</v>
      </c>
    </row>
    <row r="410" spans="1:7">
      <c r="A410" s="14" t="s">
        <v>595</v>
      </c>
      <c r="B410" s="12" t="s">
        <v>596</v>
      </c>
      <c r="C410" s="13" t="s">
        <v>39</v>
      </c>
      <c r="D410" s="17">
        <v>9903.65</v>
      </c>
      <c r="E410" s="5" t="s">
        <v>8</v>
      </c>
      <c r="F410" s="6">
        <v>7499.6</v>
      </c>
      <c r="G410" s="7">
        <f t="shared" si="45"/>
        <v>0.320557096378473</v>
      </c>
    </row>
    <row r="411" ht="139.5" spans="1:7">
      <c r="A411" s="18">
        <v>5.45</v>
      </c>
      <c r="B411" s="15" t="s">
        <v>597</v>
      </c>
      <c r="C411" s="13"/>
      <c r="D411" s="16"/>
      <c r="E411" s="5" t="s">
        <v>8</v>
      </c>
    </row>
    <row r="412" spans="1:7">
      <c r="A412" s="14" t="s">
        <v>598</v>
      </c>
      <c r="B412" s="12" t="s">
        <v>599</v>
      </c>
      <c r="C412" s="13" t="s">
        <v>39</v>
      </c>
      <c r="D412" s="17">
        <v>5305.65</v>
      </c>
      <c r="E412" s="5" t="s">
        <v>8</v>
      </c>
      <c r="F412" s="6">
        <v>3928</v>
      </c>
      <c r="G412" s="7">
        <f t="shared" ref="G412:G414" si="46">(D412-F412)/F412</f>
        <v>0.350725560081466</v>
      </c>
    </row>
    <row r="413" spans="1:7">
      <c r="A413" s="14" t="s">
        <v>600</v>
      </c>
      <c r="B413" s="12" t="s">
        <v>601</v>
      </c>
      <c r="C413" s="13" t="s">
        <v>39</v>
      </c>
      <c r="D413" s="17">
        <v>5981.4</v>
      </c>
      <c r="E413" s="5" t="s">
        <v>8</v>
      </c>
      <c r="F413" s="6">
        <v>4436.15</v>
      </c>
      <c r="G413" s="7">
        <f t="shared" si="46"/>
        <v>0.348331323332169</v>
      </c>
    </row>
    <row r="414" spans="1:7">
      <c r="A414" s="14" t="s">
        <v>602</v>
      </c>
      <c r="B414" s="12" t="s">
        <v>603</v>
      </c>
      <c r="C414" s="13" t="s">
        <v>39</v>
      </c>
      <c r="D414" s="17">
        <v>6889.05</v>
      </c>
      <c r="E414" s="5" t="s">
        <v>8</v>
      </c>
      <c r="F414" s="6">
        <v>5176.6</v>
      </c>
      <c r="G414" s="7">
        <f t="shared" si="46"/>
        <v>0.330805934397095</v>
      </c>
    </row>
    <row r="415" ht="279" spans="1:7">
      <c r="A415" s="18">
        <v>5.46</v>
      </c>
      <c r="B415" s="15" t="s">
        <v>604</v>
      </c>
      <c r="C415" s="13"/>
      <c r="D415" s="16"/>
      <c r="E415" s="5" t="s">
        <v>8</v>
      </c>
    </row>
    <row r="416" spans="1:7">
      <c r="A416" s="14" t="s">
        <v>605</v>
      </c>
      <c r="B416" s="12" t="s">
        <v>606</v>
      </c>
      <c r="C416" s="13" t="s">
        <v>39</v>
      </c>
      <c r="D416" s="17">
        <v>5985.7</v>
      </c>
      <c r="E416" s="5" t="s">
        <v>8</v>
      </c>
      <c r="F416" s="6">
        <v>4392.6</v>
      </c>
      <c r="G416" s="7">
        <f t="shared" ref="G416:G418" si="47">(D416-F416)/F416</f>
        <v>0.362678140509038</v>
      </c>
    </row>
    <row r="417" spans="1:7">
      <c r="A417" s="14" t="s">
        <v>607</v>
      </c>
      <c r="B417" s="12" t="s">
        <v>608</v>
      </c>
      <c r="C417" s="13" t="s">
        <v>39</v>
      </c>
      <c r="D417" s="17">
        <v>6699.85</v>
      </c>
      <c r="E417" s="5" t="s">
        <v>8</v>
      </c>
      <c r="F417" s="6">
        <v>4900.75</v>
      </c>
      <c r="G417" s="7">
        <f t="shared" si="47"/>
        <v>0.367107075447636</v>
      </c>
    </row>
    <row r="418" spans="1:7">
      <c r="A418" s="14" t="s">
        <v>609</v>
      </c>
      <c r="B418" s="12" t="s">
        <v>610</v>
      </c>
      <c r="C418" s="13" t="s">
        <v>39</v>
      </c>
      <c r="D418" s="17">
        <v>7927.6</v>
      </c>
      <c r="E418" s="5" t="s">
        <v>8</v>
      </c>
      <c r="F418" s="6">
        <v>5873.5</v>
      </c>
      <c r="G418" s="7">
        <f t="shared" si="47"/>
        <v>0.349723333617094</v>
      </c>
    </row>
    <row r="419" ht="139.5" spans="1:7">
      <c r="A419" s="18">
        <v>5.47</v>
      </c>
      <c r="B419" s="15" t="s">
        <v>611</v>
      </c>
      <c r="C419" s="13"/>
      <c r="D419" s="16"/>
      <c r="E419" s="5" t="s">
        <v>8</v>
      </c>
    </row>
    <row r="420" spans="1:7">
      <c r="A420" s="14" t="s">
        <v>612</v>
      </c>
      <c r="B420" s="12" t="s">
        <v>613</v>
      </c>
      <c r="C420" s="13" t="s">
        <v>39</v>
      </c>
      <c r="D420" s="17">
        <v>814.85</v>
      </c>
      <c r="E420" s="5" t="s">
        <v>8</v>
      </c>
      <c r="F420" s="6">
        <v>450.2</v>
      </c>
      <c r="G420" s="7">
        <f t="shared" ref="G420:G422" si="48">(D420-F420)/F420</f>
        <v>0.80997334517992</v>
      </c>
    </row>
    <row r="421" spans="1:7">
      <c r="A421" s="14" t="s">
        <v>614</v>
      </c>
      <c r="B421" s="12" t="s">
        <v>615</v>
      </c>
      <c r="C421" s="13" t="s">
        <v>39</v>
      </c>
      <c r="D421" s="17">
        <v>757.1</v>
      </c>
      <c r="E421" s="5" t="s">
        <v>8</v>
      </c>
      <c r="F421" s="6">
        <v>415.1</v>
      </c>
      <c r="G421" s="7">
        <f t="shared" si="48"/>
        <v>0.823897855938328</v>
      </c>
    </row>
    <row r="422" spans="1:7">
      <c r="A422" s="14" t="s">
        <v>616</v>
      </c>
      <c r="B422" s="12" t="s">
        <v>617</v>
      </c>
      <c r="C422" s="13" t="s">
        <v>39</v>
      </c>
      <c r="D422" s="17">
        <v>727.3</v>
      </c>
      <c r="E422" s="5" t="s">
        <v>8</v>
      </c>
      <c r="F422" s="6">
        <v>396.55</v>
      </c>
      <c r="G422" s="7">
        <f t="shared" si="48"/>
        <v>0.834068843777582</v>
      </c>
    </row>
    <row r="423" ht="139.5" spans="1:7">
      <c r="A423" s="18">
        <v>5.48</v>
      </c>
      <c r="B423" s="15" t="s">
        <v>618</v>
      </c>
      <c r="C423" s="13"/>
      <c r="D423" s="16"/>
      <c r="E423" s="5" t="s">
        <v>8</v>
      </c>
    </row>
    <row r="424" ht="31" spans="1:7">
      <c r="A424" s="14"/>
      <c r="B424" s="15" t="s">
        <v>619</v>
      </c>
      <c r="C424" s="13"/>
      <c r="D424" s="16"/>
      <c r="E424" s="5" t="s">
        <v>8</v>
      </c>
    </row>
    <row r="425" spans="1:7">
      <c r="A425" s="14" t="s">
        <v>620</v>
      </c>
      <c r="B425" s="12" t="s">
        <v>621</v>
      </c>
      <c r="C425" s="13" t="s">
        <v>14</v>
      </c>
      <c r="D425" s="17">
        <v>8509.95</v>
      </c>
      <c r="E425" s="5" t="s">
        <v>8</v>
      </c>
      <c r="F425" s="6">
        <v>6623.45</v>
      </c>
      <c r="G425" s="7">
        <f t="shared" ref="G425:G428" si="49">(D425-F425)/F425</f>
        <v>0.284821354430093</v>
      </c>
    </row>
    <row r="426" spans="1:7">
      <c r="A426" s="14" t="s">
        <v>622</v>
      </c>
      <c r="B426" s="12" t="s">
        <v>623</v>
      </c>
      <c r="C426" s="13" t="s">
        <v>14</v>
      </c>
      <c r="D426" s="17">
        <v>9500.3</v>
      </c>
      <c r="E426" s="5" t="s">
        <v>8</v>
      </c>
      <c r="F426" s="6">
        <v>7719.4</v>
      </c>
      <c r="G426" s="7">
        <f t="shared" si="49"/>
        <v>0.230704458895769</v>
      </c>
    </row>
    <row r="427" spans="1:7">
      <c r="A427" s="14" t="s">
        <v>624</v>
      </c>
      <c r="B427" s="12" t="s">
        <v>625</v>
      </c>
      <c r="C427" s="13" t="s">
        <v>14</v>
      </c>
      <c r="D427" s="17">
        <v>664.85</v>
      </c>
      <c r="E427" s="5" t="s">
        <v>8</v>
      </c>
      <c r="F427" s="6">
        <v>650.55</v>
      </c>
      <c r="G427" s="7">
        <f t="shared" si="49"/>
        <v>0.0219814003535471</v>
      </c>
    </row>
    <row r="428" ht="409.5" spans="1:7">
      <c r="A428" s="18">
        <v>5.49</v>
      </c>
      <c r="B428" s="15" t="s">
        <v>626</v>
      </c>
      <c r="C428" s="13" t="s">
        <v>14</v>
      </c>
      <c r="D428" s="17">
        <v>20520.35</v>
      </c>
      <c r="E428" s="5" t="s">
        <v>8</v>
      </c>
      <c r="F428" s="6">
        <v>13875.65</v>
      </c>
      <c r="G428" s="7">
        <f t="shared" si="49"/>
        <v>0.478874863519907</v>
      </c>
    </row>
    <row r="429" ht="139.5" spans="1:7">
      <c r="A429" s="18"/>
      <c r="B429" s="15" t="s">
        <v>627</v>
      </c>
      <c r="C429" s="13"/>
      <c r="D429" s="17"/>
    </row>
    <row r="430" spans="1:7">
      <c r="A430" s="6"/>
      <c r="D430" s="22"/>
    </row>
    <row r="431" spans="1:7">
      <c r="A431" s="6"/>
      <c r="D431" s="22"/>
    </row>
    <row r="432" spans="1:7">
      <c r="A432" s="6"/>
      <c r="D432" s="22"/>
    </row>
    <row r="435" spans="1:7">
      <c r="A435" s="6"/>
      <c r="D435" s="22"/>
    </row>
    <row r="436" spans="1:7">
      <c r="A436" s="5" t="s">
        <v>628</v>
      </c>
      <c r="C436" s="5"/>
      <c r="D436" s="5"/>
      <c r="E436" s="5" t="s">
        <v>8</v>
      </c>
    </row>
    <row r="437" spans="1:7">
      <c r="A437" s="14" t="s">
        <v>166</v>
      </c>
      <c r="B437" s="15" t="s">
        <v>2</v>
      </c>
      <c r="C437" s="13" t="s">
        <v>167</v>
      </c>
      <c r="D437" s="16" t="s">
        <v>4</v>
      </c>
      <c r="E437" s="5" t="s">
        <v>8</v>
      </c>
    </row>
    <row r="438" ht="31" spans="1:7">
      <c r="A438" s="14">
        <v>6.1</v>
      </c>
      <c r="B438" s="15" t="s">
        <v>629</v>
      </c>
      <c r="C438" s="13"/>
      <c r="D438" s="16"/>
      <c r="E438" s="5" t="s">
        <v>8</v>
      </c>
    </row>
    <row r="439" spans="1:7">
      <c r="A439" s="14" t="s">
        <v>630</v>
      </c>
      <c r="B439" s="12" t="s">
        <v>631</v>
      </c>
      <c r="C439" s="13" t="s">
        <v>14</v>
      </c>
      <c r="D439" s="17">
        <v>7370.65</v>
      </c>
      <c r="E439" s="5" t="s">
        <v>8</v>
      </c>
      <c r="F439" s="6">
        <v>4970.3</v>
      </c>
      <c r="G439" s="7">
        <f t="shared" ref="G439:G443" si="50">(D439-F439)/F439</f>
        <v>0.482938655614349</v>
      </c>
    </row>
    <row r="440" spans="1:7">
      <c r="A440" s="14" t="s">
        <v>632</v>
      </c>
      <c r="B440" s="12" t="s">
        <v>633</v>
      </c>
      <c r="C440" s="13" t="s">
        <v>14</v>
      </c>
      <c r="D440" s="17">
        <v>7132.25</v>
      </c>
      <c r="E440" s="5" t="s">
        <v>8</v>
      </c>
      <c r="F440" s="6">
        <v>4751.65</v>
      </c>
      <c r="G440" s="7">
        <f t="shared" si="50"/>
        <v>0.501004914082477</v>
      </c>
    </row>
    <row r="441" ht="31" spans="1:7">
      <c r="A441" s="14">
        <v>6.2</v>
      </c>
      <c r="B441" s="15" t="s">
        <v>634</v>
      </c>
      <c r="C441" s="13"/>
      <c r="D441" s="16"/>
      <c r="E441" s="5" t="s">
        <v>8</v>
      </c>
    </row>
    <row r="442" spans="1:7">
      <c r="A442" s="14" t="s">
        <v>635</v>
      </c>
      <c r="B442" s="12" t="s">
        <v>631</v>
      </c>
      <c r="C442" s="13" t="s">
        <v>14</v>
      </c>
      <c r="D442" s="17">
        <v>6504.9</v>
      </c>
      <c r="E442" s="5" t="s">
        <v>8</v>
      </c>
      <c r="F442" s="6">
        <v>4592.9</v>
      </c>
      <c r="G442" s="7">
        <f t="shared" si="50"/>
        <v>0.416294715756929</v>
      </c>
    </row>
    <row r="443" spans="1:7">
      <c r="A443" s="14" t="s">
        <v>636</v>
      </c>
      <c r="B443" s="12" t="s">
        <v>637</v>
      </c>
      <c r="C443" s="13" t="s">
        <v>14</v>
      </c>
      <c r="D443" s="17">
        <v>6295.15</v>
      </c>
      <c r="E443" s="5" t="s">
        <v>8</v>
      </c>
      <c r="F443" s="6">
        <v>4400.5</v>
      </c>
      <c r="G443" s="7">
        <f t="shared" si="50"/>
        <v>0.430553346210658</v>
      </c>
    </row>
    <row r="444" ht="46.5" spans="1:7">
      <c r="A444" s="14">
        <v>6.3</v>
      </c>
      <c r="B444" s="15" t="s">
        <v>638</v>
      </c>
      <c r="C444" s="13"/>
      <c r="D444" s="16"/>
      <c r="E444" s="5" t="s">
        <v>8</v>
      </c>
    </row>
    <row r="445" spans="1:7">
      <c r="A445" s="14" t="s">
        <v>639</v>
      </c>
      <c r="B445" s="12" t="s">
        <v>640</v>
      </c>
      <c r="C445" s="13" t="s">
        <v>14</v>
      </c>
      <c r="D445" s="17">
        <v>9299.9</v>
      </c>
      <c r="E445" s="5" t="s">
        <v>8</v>
      </c>
      <c r="F445" s="6">
        <v>5640.2</v>
      </c>
      <c r="G445" s="7">
        <f t="shared" ref="G445:G456" si="51">(D445-F445)/F445</f>
        <v>0.648859969504627</v>
      </c>
    </row>
    <row r="446" spans="1:7">
      <c r="A446" s="14" t="s">
        <v>641</v>
      </c>
      <c r="B446" s="12" t="s">
        <v>642</v>
      </c>
      <c r="C446" s="13" t="s">
        <v>14</v>
      </c>
      <c r="D446" s="17">
        <v>8942.35</v>
      </c>
      <c r="E446" s="5" t="s">
        <v>8</v>
      </c>
      <c r="F446" s="6">
        <v>5700.5</v>
      </c>
      <c r="G446" s="7">
        <f t="shared" si="51"/>
        <v>0.568695728444873</v>
      </c>
    </row>
    <row r="447" ht="31" spans="1:7">
      <c r="A447" s="14">
        <v>6.4</v>
      </c>
      <c r="B447" s="15" t="s">
        <v>643</v>
      </c>
      <c r="C447" s="13"/>
      <c r="D447" s="16"/>
      <c r="E447" s="5" t="s">
        <v>8</v>
      </c>
    </row>
    <row r="448" spans="1:7">
      <c r="A448" s="14" t="s">
        <v>644</v>
      </c>
      <c r="B448" s="12" t="s">
        <v>631</v>
      </c>
      <c r="C448" s="13" t="s">
        <v>14</v>
      </c>
      <c r="D448" s="17">
        <v>9344.35</v>
      </c>
      <c r="E448" s="5" t="s">
        <v>8</v>
      </c>
      <c r="F448" s="6">
        <v>5801.5</v>
      </c>
      <c r="G448" s="7">
        <f t="shared" si="51"/>
        <v>0.610678272860467</v>
      </c>
    </row>
    <row r="449" spans="1:7">
      <c r="A449" s="14" t="s">
        <v>645</v>
      </c>
      <c r="B449" s="12" t="s">
        <v>633</v>
      </c>
      <c r="C449" s="13" t="s">
        <v>14</v>
      </c>
      <c r="D449" s="17">
        <v>9105.95</v>
      </c>
      <c r="E449" s="5" t="s">
        <v>8</v>
      </c>
      <c r="F449" s="6">
        <v>5582.85</v>
      </c>
      <c r="G449" s="7">
        <f t="shared" si="51"/>
        <v>0.6310576139427</v>
      </c>
    </row>
    <row r="450" ht="31" spans="1:7">
      <c r="A450" s="14">
        <v>6.5</v>
      </c>
      <c r="B450" s="15" t="s">
        <v>646</v>
      </c>
      <c r="C450" s="13" t="s">
        <v>14</v>
      </c>
      <c r="D450" s="17">
        <v>169.45</v>
      </c>
      <c r="E450" s="5" t="s">
        <v>8</v>
      </c>
      <c r="F450" s="6">
        <v>205.45</v>
      </c>
      <c r="G450" s="7">
        <f t="shared" si="51"/>
        <v>-0.175225115599903</v>
      </c>
    </row>
    <row r="451" ht="46.5" spans="1:7">
      <c r="A451" s="14">
        <v>6.6</v>
      </c>
      <c r="B451" s="15" t="s">
        <v>647</v>
      </c>
      <c r="C451" s="13" t="s">
        <v>11</v>
      </c>
      <c r="D451" s="17">
        <v>234.2</v>
      </c>
      <c r="E451" s="5" t="s">
        <v>8</v>
      </c>
      <c r="F451" s="6">
        <v>106.25</v>
      </c>
      <c r="G451" s="7">
        <f t="shared" si="51"/>
        <v>1.20423529411765</v>
      </c>
    </row>
    <row r="452" ht="62" spans="1:7">
      <c r="A452" s="14">
        <v>6.7</v>
      </c>
      <c r="B452" s="15" t="s">
        <v>648</v>
      </c>
      <c r="C452" s="13" t="s">
        <v>39</v>
      </c>
      <c r="D452" s="17">
        <v>300.75</v>
      </c>
      <c r="E452" s="5" t="s">
        <v>8</v>
      </c>
      <c r="F452" s="6">
        <v>192.2</v>
      </c>
      <c r="G452" s="7">
        <f t="shared" si="51"/>
        <v>0.56477627471384</v>
      </c>
    </row>
    <row r="453" ht="46.5" spans="1:7">
      <c r="A453" s="14">
        <v>6.8</v>
      </c>
      <c r="B453" s="15" t="s">
        <v>649</v>
      </c>
      <c r="C453" s="13" t="s">
        <v>11</v>
      </c>
      <c r="D453" s="17">
        <v>865.65</v>
      </c>
      <c r="E453" s="5" t="s">
        <v>8</v>
      </c>
      <c r="F453" s="6">
        <v>535.5</v>
      </c>
      <c r="G453" s="7">
        <f t="shared" si="51"/>
        <v>0.616526610644258</v>
      </c>
    </row>
    <row r="454" ht="62" spans="1:7">
      <c r="A454" s="14">
        <v>6.9</v>
      </c>
      <c r="B454" s="15" t="s">
        <v>650</v>
      </c>
      <c r="C454" s="13" t="s">
        <v>14</v>
      </c>
      <c r="D454" s="17">
        <v>15077.95</v>
      </c>
      <c r="E454" s="5" t="s">
        <v>8</v>
      </c>
      <c r="F454" s="6">
        <v>8845.6</v>
      </c>
      <c r="G454" s="7">
        <f t="shared" si="51"/>
        <v>0.704570633987519</v>
      </c>
    </row>
    <row r="455" ht="62" spans="1:7">
      <c r="A455" s="18">
        <v>6.1</v>
      </c>
      <c r="B455" s="15" t="s">
        <v>651</v>
      </c>
      <c r="C455" s="13" t="s">
        <v>14</v>
      </c>
      <c r="D455" s="17">
        <v>19066.1</v>
      </c>
      <c r="E455" s="5" t="s">
        <v>8</v>
      </c>
      <c r="F455" s="6">
        <v>10651.75</v>
      </c>
      <c r="G455" s="7">
        <f t="shared" si="51"/>
        <v>0.789950008214612</v>
      </c>
    </row>
    <row r="456" ht="31" spans="1:7">
      <c r="A456" s="18">
        <v>6.11</v>
      </c>
      <c r="B456" s="15" t="s">
        <v>652</v>
      </c>
      <c r="C456" s="13" t="s">
        <v>11</v>
      </c>
      <c r="D456" s="17">
        <v>608.15</v>
      </c>
      <c r="E456" s="5" t="s">
        <v>8</v>
      </c>
      <c r="F456" s="6">
        <v>451.8</v>
      </c>
      <c r="G456" s="7">
        <f t="shared" si="51"/>
        <v>0.346060203629925</v>
      </c>
    </row>
    <row r="457" spans="1:7">
      <c r="A457" s="14"/>
      <c r="B457" s="15" t="s">
        <v>653</v>
      </c>
      <c r="C457" s="13"/>
      <c r="D457" s="16"/>
      <c r="E457" s="5" t="s">
        <v>8</v>
      </c>
    </row>
    <row r="458" ht="31" spans="1:7">
      <c r="A458" s="18">
        <v>6.12</v>
      </c>
      <c r="B458" s="15" t="s">
        <v>654</v>
      </c>
      <c r="C458" s="13"/>
      <c r="D458" s="16"/>
      <c r="E458" s="5" t="s">
        <v>8</v>
      </c>
    </row>
    <row r="459" spans="1:7">
      <c r="A459" s="14" t="s">
        <v>655</v>
      </c>
      <c r="B459" s="12" t="s">
        <v>656</v>
      </c>
      <c r="C459" s="13" t="s">
        <v>11</v>
      </c>
      <c r="D459" s="17">
        <v>931.75</v>
      </c>
      <c r="E459" s="5" t="s">
        <v>8</v>
      </c>
      <c r="F459" s="6">
        <v>618</v>
      </c>
      <c r="G459" s="7">
        <f t="shared" ref="G459:G465" si="52">(D459-F459)/F459</f>
        <v>0.507686084142395</v>
      </c>
    </row>
    <row r="460" spans="1:7">
      <c r="A460" s="14" t="s">
        <v>657</v>
      </c>
      <c r="B460" s="12" t="s">
        <v>658</v>
      </c>
      <c r="C460" s="13" t="s">
        <v>11</v>
      </c>
      <c r="D460" s="17">
        <v>905.05</v>
      </c>
      <c r="E460" s="5" t="s">
        <v>8</v>
      </c>
      <c r="F460" s="6">
        <v>593.5</v>
      </c>
      <c r="G460" s="7">
        <f t="shared" si="52"/>
        <v>0.524936815501264</v>
      </c>
    </row>
    <row r="461" ht="31" spans="1:7">
      <c r="A461" s="18">
        <v>6.13</v>
      </c>
      <c r="B461" s="15" t="s">
        <v>659</v>
      </c>
      <c r="C461" s="13"/>
      <c r="D461" s="16"/>
      <c r="E461" s="5" t="s">
        <v>8</v>
      </c>
    </row>
    <row r="462" spans="1:7">
      <c r="A462" s="14" t="s">
        <v>660</v>
      </c>
      <c r="B462" s="12" t="s">
        <v>661</v>
      </c>
      <c r="C462" s="13" t="s">
        <v>11</v>
      </c>
      <c r="D462" s="17">
        <v>1150.5</v>
      </c>
      <c r="E462" s="5" t="s">
        <v>8</v>
      </c>
      <c r="F462" s="6">
        <v>708.7</v>
      </c>
      <c r="G462" s="7">
        <f t="shared" si="52"/>
        <v>0.623394948497248</v>
      </c>
    </row>
    <row r="463" spans="1:7">
      <c r="A463" s="14" t="s">
        <v>662</v>
      </c>
      <c r="B463" s="12" t="s">
        <v>663</v>
      </c>
      <c r="C463" s="13" t="s">
        <v>11</v>
      </c>
      <c r="D463" s="17">
        <v>1123.8</v>
      </c>
      <c r="E463" s="5" t="s">
        <v>8</v>
      </c>
      <c r="F463" s="6">
        <v>684.2</v>
      </c>
      <c r="G463" s="7">
        <f t="shared" si="52"/>
        <v>0.64250219234142</v>
      </c>
    </row>
    <row r="464" ht="31" spans="1:7">
      <c r="A464" s="18">
        <v>6.14</v>
      </c>
      <c r="B464" s="15" t="s">
        <v>664</v>
      </c>
      <c r="C464" s="13" t="s">
        <v>11</v>
      </c>
      <c r="D464" s="17">
        <v>15</v>
      </c>
      <c r="E464" s="5" t="s">
        <v>8</v>
      </c>
      <c r="F464" s="6">
        <v>18.2</v>
      </c>
      <c r="G464" s="7">
        <f t="shared" si="52"/>
        <v>-0.175824175824176</v>
      </c>
    </row>
    <row r="465" ht="31" spans="1:7">
      <c r="A465" s="18">
        <v>6.15</v>
      </c>
      <c r="B465" s="15" t="s">
        <v>665</v>
      </c>
      <c r="C465" s="13" t="s">
        <v>11</v>
      </c>
      <c r="D465" s="17">
        <v>104.8</v>
      </c>
      <c r="E465" s="5" t="s">
        <v>8</v>
      </c>
      <c r="F465" s="6">
        <v>56.85</v>
      </c>
      <c r="G465" s="7">
        <f t="shared" si="52"/>
        <v>0.843447669305189</v>
      </c>
    </row>
    <row r="466" spans="1:7">
      <c r="A466" s="18"/>
      <c r="B466" s="15" t="s">
        <v>666</v>
      </c>
      <c r="C466" s="13"/>
      <c r="D466" s="17"/>
      <c r="E466" s="5" t="s">
        <v>8</v>
      </c>
    </row>
    <row r="467" ht="31" spans="1:7">
      <c r="A467" s="18">
        <v>6.16</v>
      </c>
      <c r="B467" s="15" t="s">
        <v>667</v>
      </c>
      <c r="C467" s="13"/>
      <c r="D467" s="16"/>
      <c r="E467" s="5" t="s">
        <v>8</v>
      </c>
    </row>
    <row r="468" spans="1:7">
      <c r="A468" s="14" t="s">
        <v>668</v>
      </c>
      <c r="B468" s="12" t="s">
        <v>631</v>
      </c>
      <c r="C468" s="13" t="s">
        <v>14</v>
      </c>
      <c r="D468" s="17">
        <v>11212.5</v>
      </c>
      <c r="E468" s="5" t="s">
        <v>8</v>
      </c>
      <c r="F468" s="6">
        <v>8209.6</v>
      </c>
      <c r="G468" s="7">
        <f t="shared" ref="G468:G474" si="53">(D468-F468)/F468</f>
        <v>0.365779087897096</v>
      </c>
    </row>
    <row r="469" spans="1:7">
      <c r="A469" s="14" t="s">
        <v>669</v>
      </c>
      <c r="B469" s="12" t="s">
        <v>633</v>
      </c>
      <c r="C469" s="13" t="s">
        <v>14</v>
      </c>
      <c r="D469" s="17">
        <v>10831.05</v>
      </c>
      <c r="E469" s="5" t="s">
        <v>8</v>
      </c>
      <c r="F469" s="6">
        <v>7859.75</v>
      </c>
      <c r="G469" s="7">
        <f t="shared" si="53"/>
        <v>0.378040013995356</v>
      </c>
    </row>
    <row r="470" ht="46.5" spans="1:7">
      <c r="A470" s="18">
        <v>6.17</v>
      </c>
      <c r="B470" s="15" t="s">
        <v>670</v>
      </c>
      <c r="C470" s="13" t="s">
        <v>14</v>
      </c>
      <c r="D470" s="17">
        <v>11328.5</v>
      </c>
      <c r="E470" s="5" t="s">
        <v>8</v>
      </c>
      <c r="F470" s="6">
        <v>7679.25</v>
      </c>
      <c r="G470" s="7">
        <f t="shared" si="53"/>
        <v>0.475209167561936</v>
      </c>
    </row>
    <row r="471" ht="46.5" spans="1:7">
      <c r="A471" s="18">
        <v>6.18</v>
      </c>
      <c r="B471" s="15" t="s">
        <v>671</v>
      </c>
      <c r="C471" s="13" t="s">
        <v>14</v>
      </c>
      <c r="D471" s="17">
        <v>12883.05</v>
      </c>
      <c r="E471" s="5" t="s">
        <v>8</v>
      </c>
      <c r="F471" s="6">
        <v>8739</v>
      </c>
      <c r="G471" s="7">
        <f t="shared" si="53"/>
        <v>0.474201853759011</v>
      </c>
    </row>
    <row r="472" ht="62" spans="1:7">
      <c r="A472" s="18">
        <v>6.2</v>
      </c>
      <c r="B472" s="15" t="s">
        <v>672</v>
      </c>
      <c r="C472" s="13" t="s">
        <v>14</v>
      </c>
      <c r="D472" s="17">
        <v>18975.15</v>
      </c>
      <c r="E472" s="5" t="s">
        <v>8</v>
      </c>
      <c r="F472" s="6">
        <v>11871.2</v>
      </c>
      <c r="G472" s="7">
        <f t="shared" si="53"/>
        <v>0.598418862457039</v>
      </c>
    </row>
    <row r="473" ht="62" spans="1:7">
      <c r="A473" s="18">
        <v>6.21</v>
      </c>
      <c r="B473" s="15" t="s">
        <v>673</v>
      </c>
      <c r="C473" s="13" t="s">
        <v>14</v>
      </c>
      <c r="D473" s="17">
        <v>23019.75</v>
      </c>
      <c r="E473" s="5" t="s">
        <v>8</v>
      </c>
      <c r="F473" s="6">
        <v>13635.65</v>
      </c>
      <c r="G473" s="7">
        <f t="shared" si="53"/>
        <v>0.688203349308614</v>
      </c>
    </row>
    <row r="474" ht="46.5" spans="1:7">
      <c r="A474" s="18">
        <v>6.22</v>
      </c>
      <c r="B474" s="15" t="s">
        <v>674</v>
      </c>
      <c r="C474" s="13" t="s">
        <v>11</v>
      </c>
      <c r="D474" s="17">
        <v>885.45</v>
      </c>
      <c r="E474" s="5" t="s">
        <v>8</v>
      </c>
      <c r="F474" s="6">
        <v>572.05</v>
      </c>
      <c r="G474" s="7">
        <f t="shared" si="53"/>
        <v>0.547854208548204</v>
      </c>
    </row>
    <row r="475" spans="1:7">
      <c r="A475" s="18"/>
      <c r="B475" s="15" t="s">
        <v>675</v>
      </c>
      <c r="C475" s="13"/>
      <c r="D475" s="17"/>
      <c r="E475" s="5" t="s">
        <v>8</v>
      </c>
    </row>
    <row r="476" ht="46.5" spans="1:7">
      <c r="A476" s="18">
        <v>6.23</v>
      </c>
      <c r="B476" s="15" t="s">
        <v>676</v>
      </c>
      <c r="C476" s="13" t="s">
        <v>11</v>
      </c>
      <c r="D476" s="17">
        <v>711.5</v>
      </c>
      <c r="E476" s="5" t="s">
        <v>8</v>
      </c>
      <c r="F476" s="6">
        <v>441.85</v>
      </c>
      <c r="G476" s="7">
        <f t="shared" ref="G476:G479" si="54">(D476-F476)/F476</f>
        <v>0.610274980196899</v>
      </c>
    </row>
    <row r="477" ht="31" spans="1:7">
      <c r="A477" s="18">
        <v>6.24</v>
      </c>
      <c r="B477" s="15" t="s">
        <v>677</v>
      </c>
      <c r="C477" s="13" t="s">
        <v>298</v>
      </c>
      <c r="D477" s="17">
        <v>1098.8</v>
      </c>
      <c r="E477" s="5" t="s">
        <v>8</v>
      </c>
      <c r="F477" s="6">
        <v>474.5</v>
      </c>
      <c r="G477" s="7">
        <f t="shared" si="54"/>
        <v>1.31570073761855</v>
      </c>
    </row>
    <row r="478" ht="77.5" spans="1:7">
      <c r="A478" s="14"/>
      <c r="B478" s="15" t="s">
        <v>678</v>
      </c>
      <c r="C478" s="13"/>
      <c r="D478" s="16"/>
      <c r="E478" s="5" t="s">
        <v>8</v>
      </c>
    </row>
    <row r="479" spans="1:7">
      <c r="A479" s="18">
        <v>6.25</v>
      </c>
      <c r="B479" s="15" t="s">
        <v>679</v>
      </c>
      <c r="C479" s="13" t="s">
        <v>14</v>
      </c>
      <c r="D479" s="17">
        <v>467.55</v>
      </c>
      <c r="E479" s="5" t="s">
        <v>8</v>
      </c>
      <c r="F479" s="6">
        <v>192.7</v>
      </c>
      <c r="G479" s="7">
        <f t="shared" si="54"/>
        <v>1.42631032693306</v>
      </c>
    </row>
    <row r="480" spans="1:7">
      <c r="A480" s="18"/>
      <c r="B480" s="15" t="s">
        <v>680</v>
      </c>
      <c r="C480" s="13"/>
      <c r="D480" s="17"/>
      <c r="E480" s="5" t="s">
        <v>8</v>
      </c>
    </row>
    <row r="481" ht="46.5" spans="1:7">
      <c r="A481" s="18">
        <v>6.26</v>
      </c>
      <c r="B481" s="15" t="s">
        <v>681</v>
      </c>
      <c r="C481" s="13"/>
      <c r="D481" s="16"/>
      <c r="E481" s="5" t="s">
        <v>8</v>
      </c>
    </row>
    <row r="482" spans="1:7">
      <c r="A482" s="14" t="s">
        <v>682</v>
      </c>
      <c r="B482" s="12" t="s">
        <v>683</v>
      </c>
      <c r="C482" s="13" t="s">
        <v>14</v>
      </c>
      <c r="D482" s="17">
        <v>7361.35</v>
      </c>
      <c r="E482" s="5" t="s">
        <v>8</v>
      </c>
      <c r="F482" s="6">
        <v>4853.7</v>
      </c>
      <c r="G482" s="7">
        <f t="shared" ref="G482:G486" si="55">(D482-F482)/F482</f>
        <v>0.516647093969549</v>
      </c>
    </row>
    <row r="483" spans="1:7">
      <c r="A483" s="14" t="s">
        <v>684</v>
      </c>
      <c r="B483" s="12" t="s">
        <v>685</v>
      </c>
      <c r="C483" s="13" t="s">
        <v>14</v>
      </c>
      <c r="D483" s="17">
        <v>9439.75</v>
      </c>
      <c r="E483" s="5" t="s">
        <v>8</v>
      </c>
      <c r="F483" s="6">
        <v>5727.65</v>
      </c>
      <c r="G483" s="7">
        <f t="shared" si="55"/>
        <v>0.648101752027446</v>
      </c>
    </row>
    <row r="484" ht="46.5" spans="1:7">
      <c r="A484" s="18">
        <v>6.27</v>
      </c>
      <c r="B484" s="15" t="s">
        <v>686</v>
      </c>
      <c r="C484" s="13"/>
      <c r="D484" s="16"/>
      <c r="E484" s="5" t="s">
        <v>8</v>
      </c>
    </row>
    <row r="485" spans="1:7">
      <c r="A485" s="14" t="s">
        <v>687</v>
      </c>
      <c r="B485" s="12" t="s">
        <v>683</v>
      </c>
      <c r="C485" s="13" t="s">
        <v>14</v>
      </c>
      <c r="D485" s="17">
        <v>6339.2</v>
      </c>
      <c r="E485" s="5" t="s">
        <v>8</v>
      </c>
      <c r="F485" s="6">
        <v>4427.95</v>
      </c>
      <c r="G485" s="7">
        <f t="shared" si="55"/>
        <v>0.431633148522454</v>
      </c>
    </row>
    <row r="486" spans="1:7">
      <c r="A486" s="14" t="s">
        <v>688</v>
      </c>
      <c r="B486" s="12" t="s">
        <v>685</v>
      </c>
      <c r="C486" s="13" t="s">
        <v>14</v>
      </c>
      <c r="D486" s="17">
        <v>8312.9</v>
      </c>
      <c r="E486" s="5" t="s">
        <v>8</v>
      </c>
      <c r="F486" s="6">
        <v>5259.1</v>
      </c>
      <c r="G486" s="7">
        <f t="shared" si="55"/>
        <v>0.580669696335875</v>
      </c>
    </row>
    <row r="487" ht="46.5" spans="1:7">
      <c r="A487" s="18">
        <v>6.28</v>
      </c>
      <c r="B487" s="15" t="s">
        <v>689</v>
      </c>
      <c r="C487" s="13"/>
      <c r="D487" s="16"/>
      <c r="E487" s="5" t="s">
        <v>8</v>
      </c>
    </row>
    <row r="488" spans="1:7">
      <c r="A488" s="14" t="s">
        <v>690</v>
      </c>
      <c r="B488" s="12" t="s">
        <v>683</v>
      </c>
      <c r="C488" s="13" t="s">
        <v>14</v>
      </c>
      <c r="D488" s="17">
        <v>6997.4</v>
      </c>
      <c r="E488" s="5" t="s">
        <v>8</v>
      </c>
      <c r="F488" s="6">
        <v>4993.6</v>
      </c>
      <c r="G488" s="7">
        <f t="shared" ref="G488:G492" si="56">(D488-F488)/F488</f>
        <v>0.401273630246716</v>
      </c>
    </row>
    <row r="489" spans="1:7">
      <c r="A489" s="14" t="s">
        <v>691</v>
      </c>
      <c r="B489" s="12" t="s">
        <v>685</v>
      </c>
      <c r="C489" s="13" t="s">
        <v>14</v>
      </c>
      <c r="D489" s="17">
        <v>8971.1</v>
      </c>
      <c r="E489" s="5" t="s">
        <v>8</v>
      </c>
      <c r="F489" s="6">
        <v>5824.75</v>
      </c>
      <c r="G489" s="7">
        <f t="shared" si="56"/>
        <v>0.540169105970213</v>
      </c>
    </row>
    <row r="490" ht="46.5" spans="1:7">
      <c r="A490" s="18">
        <v>6.29</v>
      </c>
      <c r="B490" s="15" t="s">
        <v>692</v>
      </c>
      <c r="C490" s="13"/>
      <c r="D490" s="16"/>
      <c r="E490" s="5" t="s">
        <v>8</v>
      </c>
    </row>
    <row r="491" spans="1:7">
      <c r="A491" s="14" t="s">
        <v>693</v>
      </c>
      <c r="B491" s="12" t="s">
        <v>683</v>
      </c>
      <c r="C491" s="13" t="s">
        <v>14</v>
      </c>
      <c r="D491" s="17">
        <v>7581.15</v>
      </c>
      <c r="E491" s="5" t="s">
        <v>8</v>
      </c>
      <c r="F491" s="6">
        <v>5066</v>
      </c>
      <c r="G491" s="7">
        <f t="shared" si="56"/>
        <v>0.496476510067114</v>
      </c>
    </row>
    <row r="492" spans="1:7">
      <c r="A492" s="14" t="s">
        <v>694</v>
      </c>
      <c r="B492" s="12" t="s">
        <v>685</v>
      </c>
      <c r="C492" s="13" t="s">
        <v>14</v>
      </c>
      <c r="D492" s="17">
        <v>9481.7</v>
      </c>
      <c r="E492" s="5" t="s">
        <v>8</v>
      </c>
      <c r="F492" s="6">
        <v>5864.55</v>
      </c>
      <c r="G492" s="7">
        <f t="shared" si="56"/>
        <v>0.616782191301976</v>
      </c>
    </row>
    <row r="493" ht="62" spans="1:7">
      <c r="A493" s="18">
        <v>6.3</v>
      </c>
      <c r="B493" s="15" t="s">
        <v>695</v>
      </c>
      <c r="C493" s="13"/>
      <c r="D493" s="16"/>
      <c r="E493" s="5" t="s">
        <v>8</v>
      </c>
    </row>
    <row r="494" spans="1:7">
      <c r="A494" s="14" t="s">
        <v>696</v>
      </c>
      <c r="B494" s="12" t="s">
        <v>683</v>
      </c>
      <c r="C494" s="13" t="s">
        <v>14</v>
      </c>
      <c r="D494" s="17">
        <v>7370.3</v>
      </c>
      <c r="E494" s="5" t="s">
        <v>8</v>
      </c>
      <c r="F494" s="6">
        <v>4836.45</v>
      </c>
      <c r="G494" s="7">
        <f t="shared" ref="G494:G498" si="57">(D494-F494)/F494</f>
        <v>0.523906997901353</v>
      </c>
    </row>
    <row r="495" spans="1:7">
      <c r="A495" s="14" t="s">
        <v>697</v>
      </c>
      <c r="B495" s="12" t="s">
        <v>685</v>
      </c>
      <c r="C495" s="13" t="s">
        <v>14</v>
      </c>
      <c r="D495" s="17">
        <v>9344</v>
      </c>
      <c r="E495" s="5" t="s">
        <v>8</v>
      </c>
      <c r="F495" s="6">
        <v>5667.65</v>
      </c>
      <c r="G495" s="7">
        <f t="shared" si="57"/>
        <v>0.648655086323256</v>
      </c>
    </row>
    <row r="496" ht="62" spans="1:7">
      <c r="A496" s="18">
        <v>6.31</v>
      </c>
      <c r="B496" s="15" t="s">
        <v>698</v>
      </c>
      <c r="C496" s="13"/>
      <c r="D496" s="16"/>
      <c r="E496" s="5" t="s">
        <v>8</v>
      </c>
    </row>
    <row r="497" spans="1:7">
      <c r="A497" s="14" t="s">
        <v>699</v>
      </c>
      <c r="B497" s="12" t="s">
        <v>683</v>
      </c>
      <c r="C497" s="13" t="s">
        <v>14</v>
      </c>
      <c r="D497" s="17">
        <v>7032.05</v>
      </c>
      <c r="E497" s="5" t="s">
        <v>8</v>
      </c>
      <c r="F497" s="6">
        <v>4908.75</v>
      </c>
      <c r="G497" s="7">
        <f t="shared" si="57"/>
        <v>0.432554112554113</v>
      </c>
    </row>
    <row r="498" spans="1:7">
      <c r="A498" s="14" t="s">
        <v>700</v>
      </c>
      <c r="B498" s="12" t="s">
        <v>685</v>
      </c>
      <c r="C498" s="13" t="s">
        <v>14</v>
      </c>
      <c r="D498" s="17">
        <v>9005.75</v>
      </c>
      <c r="E498" s="5" t="s">
        <v>8</v>
      </c>
      <c r="F498" s="6">
        <v>5739.95</v>
      </c>
      <c r="G498" s="7">
        <f t="shared" si="57"/>
        <v>0.568959659927351</v>
      </c>
    </row>
    <row r="499" ht="31" spans="1:7">
      <c r="A499" s="18">
        <v>6.32</v>
      </c>
      <c r="B499" s="15" t="s">
        <v>701</v>
      </c>
      <c r="C499" s="13"/>
      <c r="D499" s="16"/>
      <c r="E499" s="5" t="s">
        <v>8</v>
      </c>
    </row>
    <row r="500" spans="1:7">
      <c r="A500" s="14" t="s">
        <v>702</v>
      </c>
      <c r="B500" s="12" t="s">
        <v>631</v>
      </c>
      <c r="C500" s="13" t="s">
        <v>14</v>
      </c>
      <c r="D500" s="17">
        <v>9333.45</v>
      </c>
      <c r="E500" s="5" t="s">
        <v>8</v>
      </c>
      <c r="F500" s="6">
        <v>5487.7</v>
      </c>
      <c r="G500" s="7">
        <f t="shared" ref="G500:G504" si="58">(D500-F500)/F500</f>
        <v>0.700794504072745</v>
      </c>
    </row>
    <row r="501" spans="1:7">
      <c r="A501" s="14" t="s">
        <v>703</v>
      </c>
      <c r="B501" s="12" t="s">
        <v>633</v>
      </c>
      <c r="C501" s="13" t="s">
        <v>14</v>
      </c>
      <c r="D501" s="17">
        <v>9095.05</v>
      </c>
      <c r="E501" s="5" t="s">
        <v>8</v>
      </c>
      <c r="F501" s="6">
        <v>5269.05</v>
      </c>
      <c r="G501" s="7">
        <f t="shared" si="58"/>
        <v>0.726127100710754</v>
      </c>
    </row>
    <row r="502" ht="31" spans="1:7">
      <c r="A502" s="18">
        <v>6.34</v>
      </c>
      <c r="B502" s="15" t="s">
        <v>704</v>
      </c>
      <c r="C502" s="13"/>
      <c r="D502" s="16"/>
      <c r="E502" s="5" t="s">
        <v>8</v>
      </c>
    </row>
    <row r="503" spans="1:7">
      <c r="A503" s="14" t="s">
        <v>705</v>
      </c>
      <c r="B503" s="12" t="s">
        <v>631</v>
      </c>
      <c r="C503" s="13" t="s">
        <v>14</v>
      </c>
      <c r="D503" s="17">
        <v>8962.35</v>
      </c>
      <c r="E503" s="5" t="s">
        <v>8</v>
      </c>
      <c r="F503" s="6">
        <v>6359.65</v>
      </c>
      <c r="G503" s="7">
        <f t="shared" si="58"/>
        <v>0.409252081482472</v>
      </c>
    </row>
    <row r="504" spans="1:7">
      <c r="A504" s="14" t="s">
        <v>706</v>
      </c>
      <c r="B504" s="12" t="s">
        <v>707</v>
      </c>
      <c r="C504" s="13" t="s">
        <v>14</v>
      </c>
      <c r="D504" s="17">
        <v>8752.55</v>
      </c>
      <c r="E504" s="5" t="s">
        <v>8</v>
      </c>
      <c r="F504" s="6">
        <v>6167.2</v>
      </c>
      <c r="G504" s="7">
        <f t="shared" si="58"/>
        <v>0.419209689972759</v>
      </c>
    </row>
    <row r="505" ht="46.5" spans="1:7">
      <c r="A505" s="18">
        <v>6.35</v>
      </c>
      <c r="B505" s="15" t="s">
        <v>708</v>
      </c>
      <c r="C505" s="13"/>
      <c r="D505" s="16"/>
      <c r="E505" s="5" t="s">
        <v>8</v>
      </c>
    </row>
    <row r="506" spans="1:7">
      <c r="A506" s="14" t="s">
        <v>709</v>
      </c>
      <c r="B506" s="12" t="s">
        <v>631</v>
      </c>
      <c r="C506" s="13" t="s">
        <v>14</v>
      </c>
      <c r="D506" s="17">
        <v>9793.75</v>
      </c>
      <c r="E506" s="5" t="s">
        <v>8</v>
      </c>
      <c r="F506" s="6">
        <v>6303.05</v>
      </c>
      <c r="G506" s="7">
        <f t="shared" ref="G506:G514" si="59">(D506-F506)/F506</f>
        <v>0.553811250109074</v>
      </c>
    </row>
    <row r="507" spans="1:7">
      <c r="A507" s="14" t="s">
        <v>710</v>
      </c>
      <c r="B507" s="12" t="s">
        <v>707</v>
      </c>
      <c r="C507" s="13" t="s">
        <v>14</v>
      </c>
      <c r="D507" s="17">
        <v>9583.95</v>
      </c>
      <c r="E507" s="5" t="s">
        <v>8</v>
      </c>
      <c r="F507" s="6">
        <v>6110.65</v>
      </c>
      <c r="G507" s="7">
        <f t="shared" si="59"/>
        <v>0.568401070262575</v>
      </c>
    </row>
    <row r="508" ht="31" spans="1:7">
      <c r="A508" s="18">
        <v>6.36</v>
      </c>
      <c r="B508" s="15" t="s">
        <v>711</v>
      </c>
      <c r="C508" s="13"/>
      <c r="D508" s="16"/>
      <c r="E508" s="5" t="s">
        <v>8</v>
      </c>
    </row>
    <row r="509" spans="1:7">
      <c r="A509" s="14" t="s">
        <v>712</v>
      </c>
      <c r="B509" s="12" t="s">
        <v>713</v>
      </c>
      <c r="C509" s="13" t="s">
        <v>14</v>
      </c>
      <c r="D509" s="17">
        <v>7197.75</v>
      </c>
      <c r="E509" s="5" t="s">
        <v>8</v>
      </c>
      <c r="F509" s="6">
        <v>5102</v>
      </c>
      <c r="G509" s="7">
        <f t="shared" si="59"/>
        <v>0.410770286162289</v>
      </c>
    </row>
    <row r="510" ht="31" spans="1:7">
      <c r="A510" s="18">
        <v>6.37</v>
      </c>
      <c r="B510" s="15" t="s">
        <v>714</v>
      </c>
      <c r="C510" s="13" t="s">
        <v>14</v>
      </c>
      <c r="D510" s="17">
        <v>13427.3</v>
      </c>
      <c r="E510" s="5" t="s">
        <v>8</v>
      </c>
      <c r="F510" s="6">
        <v>8355</v>
      </c>
      <c r="G510" s="7">
        <f t="shared" si="59"/>
        <v>0.607097546379413</v>
      </c>
    </row>
    <row r="511" ht="77.5" spans="1:7">
      <c r="A511" s="18">
        <v>6.38</v>
      </c>
      <c r="B511" s="15" t="s">
        <v>715</v>
      </c>
      <c r="C511" s="13" t="s">
        <v>14</v>
      </c>
      <c r="D511" s="17">
        <v>10195.45</v>
      </c>
      <c r="E511" s="5" t="s">
        <v>8</v>
      </c>
      <c r="F511" s="6">
        <v>6818.6</v>
      </c>
      <c r="G511" s="7">
        <f t="shared" si="59"/>
        <v>0.495240958554542</v>
      </c>
    </row>
    <row r="512" ht="77.5" spans="1:7">
      <c r="A512" s="18">
        <v>6.4</v>
      </c>
      <c r="B512" s="15" t="s">
        <v>716</v>
      </c>
      <c r="C512" s="13" t="s">
        <v>11</v>
      </c>
      <c r="D512" s="17">
        <v>1023.6</v>
      </c>
      <c r="E512" s="5" t="s">
        <v>8</v>
      </c>
      <c r="F512" s="6">
        <v>692.5</v>
      </c>
      <c r="G512" s="7">
        <f t="shared" si="59"/>
        <v>0.478122743682311</v>
      </c>
    </row>
    <row r="513" ht="31" spans="1:7">
      <c r="A513" s="18">
        <v>6.41</v>
      </c>
      <c r="B513" s="15" t="s">
        <v>717</v>
      </c>
      <c r="C513" s="13" t="s">
        <v>11</v>
      </c>
      <c r="D513" s="17">
        <v>181.15</v>
      </c>
      <c r="E513" s="5" t="s">
        <v>8</v>
      </c>
      <c r="F513" s="6">
        <v>73.95</v>
      </c>
      <c r="G513" s="7">
        <f t="shared" si="59"/>
        <v>1.44962812711291</v>
      </c>
    </row>
    <row r="514" ht="46.5" spans="1:7">
      <c r="A514" s="18">
        <v>6.44</v>
      </c>
      <c r="B514" s="15" t="s">
        <v>718</v>
      </c>
      <c r="C514" s="13" t="s">
        <v>39</v>
      </c>
      <c r="D514" s="17">
        <v>59.45</v>
      </c>
      <c r="E514" s="5" t="s">
        <v>8</v>
      </c>
      <c r="F514" s="6">
        <v>39.2</v>
      </c>
      <c r="G514" s="7">
        <f t="shared" si="59"/>
        <v>0.516581632653061</v>
      </c>
    </row>
    <row r="515" ht="31" spans="1:7">
      <c r="A515" s="18">
        <v>6.45</v>
      </c>
      <c r="B515" s="15" t="s">
        <v>719</v>
      </c>
      <c r="C515" s="13"/>
      <c r="D515" s="16"/>
      <c r="E515" s="5" t="s">
        <v>8</v>
      </c>
    </row>
    <row r="516" spans="1:7">
      <c r="A516" s="14" t="s">
        <v>720</v>
      </c>
      <c r="B516" s="12" t="s">
        <v>721</v>
      </c>
      <c r="C516" s="13" t="s">
        <v>11</v>
      </c>
      <c r="D516" s="17">
        <v>1132.5</v>
      </c>
      <c r="E516" s="5" t="s">
        <v>8</v>
      </c>
      <c r="F516" s="6">
        <v>794</v>
      </c>
      <c r="G516" s="7">
        <f t="shared" ref="G516:G518" si="60">(D516-F516)/F516</f>
        <v>0.42632241813602</v>
      </c>
    </row>
    <row r="517" spans="1:7">
      <c r="A517" s="14" t="s">
        <v>722</v>
      </c>
      <c r="B517" s="12" t="s">
        <v>723</v>
      </c>
      <c r="C517" s="13" t="s">
        <v>11</v>
      </c>
      <c r="D517" s="17">
        <v>1105.8</v>
      </c>
      <c r="E517" s="5" t="s">
        <v>8</v>
      </c>
      <c r="F517" s="6">
        <v>769.5</v>
      </c>
      <c r="G517" s="7">
        <f t="shared" si="60"/>
        <v>0.437037037037037</v>
      </c>
    </row>
    <row r="518" ht="93" spans="1:7">
      <c r="A518" s="18">
        <v>6.47</v>
      </c>
      <c r="B518" s="15" t="s">
        <v>724</v>
      </c>
      <c r="C518" s="13" t="s">
        <v>14</v>
      </c>
      <c r="D518" s="17">
        <v>8699.7</v>
      </c>
      <c r="E518" s="5" t="s">
        <v>8</v>
      </c>
      <c r="F518" s="6">
        <v>5687.1</v>
      </c>
      <c r="G518" s="7">
        <f t="shared" si="60"/>
        <v>0.529725167484307</v>
      </c>
    </row>
    <row r="519" spans="1:7">
      <c r="A519" s="6"/>
      <c r="B519" s="12"/>
      <c r="C519" s="14"/>
      <c r="D519" s="14"/>
    </row>
    <row r="520" spans="1:7">
      <c r="A520" s="5" t="s">
        <v>725</v>
      </c>
      <c r="C520" s="5"/>
      <c r="D520" s="5"/>
      <c r="E520" s="5" t="s">
        <v>8</v>
      </c>
    </row>
    <row r="521" spans="1:7">
      <c r="A521" s="14" t="s">
        <v>166</v>
      </c>
      <c r="B521" s="15" t="s">
        <v>2</v>
      </c>
      <c r="C521" s="13" t="s">
        <v>167</v>
      </c>
      <c r="D521" s="16" t="s">
        <v>4</v>
      </c>
      <c r="E521" s="5" t="s">
        <v>8</v>
      </c>
    </row>
    <row r="522" spans="1:7">
      <c r="A522" s="14"/>
      <c r="B522" s="15" t="s">
        <v>726</v>
      </c>
      <c r="C522" s="13"/>
      <c r="D522" s="16"/>
      <c r="E522" s="5" t="s">
        <v>8</v>
      </c>
    </row>
    <row r="523" ht="46.5" spans="1:7">
      <c r="A523" s="14">
        <v>7.1</v>
      </c>
      <c r="B523" s="15" t="s">
        <v>727</v>
      </c>
      <c r="C523" s="13"/>
      <c r="D523" s="16"/>
      <c r="E523" s="5" t="s">
        <v>8</v>
      </c>
    </row>
    <row r="524" ht="31" spans="1:7">
      <c r="A524" s="14" t="s">
        <v>728</v>
      </c>
      <c r="B524" s="12" t="s">
        <v>729</v>
      </c>
      <c r="C524" s="13" t="s">
        <v>14</v>
      </c>
      <c r="D524" s="17">
        <v>7311.25</v>
      </c>
      <c r="E524" s="5" t="s">
        <v>8</v>
      </c>
      <c r="F524" s="6">
        <v>3965.85</v>
      </c>
      <c r="G524" s="7">
        <f t="shared" ref="G524:G530" si="61">(D524-F524)/F524</f>
        <v>0.843551823694794</v>
      </c>
    </row>
    <row r="525" ht="62" spans="1:7">
      <c r="A525" s="14">
        <v>7.2</v>
      </c>
      <c r="B525" s="15" t="s">
        <v>730</v>
      </c>
      <c r="C525" s="13"/>
      <c r="D525" s="16"/>
      <c r="E525" s="5" t="s">
        <v>8</v>
      </c>
    </row>
    <row r="526" spans="1:7">
      <c r="A526" s="14" t="s">
        <v>731</v>
      </c>
      <c r="B526" s="12" t="s">
        <v>633</v>
      </c>
      <c r="C526" s="13" t="s">
        <v>14</v>
      </c>
      <c r="D526" s="17">
        <v>9275.45</v>
      </c>
      <c r="E526" s="5" t="s">
        <v>8</v>
      </c>
      <c r="F526" s="6">
        <v>4795.15</v>
      </c>
      <c r="G526" s="7">
        <f t="shared" si="61"/>
        <v>0.934339905946634</v>
      </c>
    </row>
    <row r="527" spans="1:7">
      <c r="A527" s="14">
        <v>7.4</v>
      </c>
      <c r="B527" s="15" t="s">
        <v>732</v>
      </c>
      <c r="C527" s="13"/>
      <c r="D527" s="16"/>
      <c r="E527" s="5" t="s">
        <v>8</v>
      </c>
    </row>
    <row r="528" spans="1:7">
      <c r="A528" s="14" t="s">
        <v>733</v>
      </c>
      <c r="B528" s="12" t="s">
        <v>734</v>
      </c>
      <c r="C528" s="13" t="s">
        <v>14</v>
      </c>
      <c r="D528" s="17">
        <v>956</v>
      </c>
      <c r="E528" s="5" t="s">
        <v>8</v>
      </c>
      <c r="F528" s="6">
        <v>417.2</v>
      </c>
      <c r="G528" s="7">
        <f t="shared" si="61"/>
        <v>1.29146692233941</v>
      </c>
    </row>
    <row r="529" spans="1:7">
      <c r="A529" s="14" t="s">
        <v>735</v>
      </c>
      <c r="B529" s="12" t="s">
        <v>736</v>
      </c>
      <c r="C529" s="13" t="s">
        <v>14</v>
      </c>
      <c r="D529" s="17">
        <v>2530.6</v>
      </c>
      <c r="E529" s="5" t="s">
        <v>8</v>
      </c>
      <c r="F529" s="6">
        <v>1221</v>
      </c>
      <c r="G529" s="7">
        <f t="shared" si="61"/>
        <v>1.07256347256347</v>
      </c>
    </row>
    <row r="530" ht="31" spans="1:7">
      <c r="A530" s="14">
        <v>7.5</v>
      </c>
      <c r="B530" s="15" t="s">
        <v>737</v>
      </c>
      <c r="C530" s="13" t="s">
        <v>14</v>
      </c>
      <c r="D530" s="17">
        <v>1046.2</v>
      </c>
      <c r="E530" s="5" t="s">
        <v>8</v>
      </c>
      <c r="F530" s="6">
        <v>481.7</v>
      </c>
      <c r="G530" s="7">
        <f t="shared" si="61"/>
        <v>1.17189121860079</v>
      </c>
    </row>
    <row r="531" spans="1:7">
      <c r="A531" s="14"/>
      <c r="B531" s="15" t="s">
        <v>738</v>
      </c>
      <c r="C531" s="13"/>
      <c r="D531" s="17"/>
      <c r="E531" s="5" t="s">
        <v>8</v>
      </c>
    </row>
    <row r="532" spans="1:7">
      <c r="A532" s="14">
        <v>7.6</v>
      </c>
      <c r="B532" s="15" t="s">
        <v>739</v>
      </c>
      <c r="C532" s="13"/>
      <c r="D532" s="16"/>
      <c r="E532" s="5" t="s">
        <v>8</v>
      </c>
    </row>
    <row r="533" spans="1:7">
      <c r="A533" s="14" t="s">
        <v>740</v>
      </c>
      <c r="B533" s="12" t="s">
        <v>633</v>
      </c>
      <c r="C533" s="13" t="s">
        <v>14</v>
      </c>
      <c r="D533" s="17">
        <v>8812.05</v>
      </c>
      <c r="E533" s="5" t="s">
        <v>8</v>
      </c>
      <c r="F533" s="6">
        <v>4639.9</v>
      </c>
      <c r="G533" s="7">
        <f t="shared" ref="G533:G538" si="62">(D533-F533)/F533</f>
        <v>0.899189637707709</v>
      </c>
    </row>
    <row r="534" spans="1:7">
      <c r="A534" s="14">
        <v>7.7</v>
      </c>
      <c r="B534" s="15" t="s">
        <v>741</v>
      </c>
      <c r="C534" s="13"/>
      <c r="D534" s="16"/>
      <c r="E534" s="5" t="s">
        <v>8</v>
      </c>
    </row>
    <row r="535" spans="1:7">
      <c r="A535" s="14" t="s">
        <v>742</v>
      </c>
      <c r="B535" s="12" t="s">
        <v>633</v>
      </c>
      <c r="C535" s="13" t="s">
        <v>14</v>
      </c>
      <c r="D535" s="17">
        <v>8198.55</v>
      </c>
      <c r="E535" s="5" t="s">
        <v>8</v>
      </c>
      <c r="F535" s="6">
        <v>4326.45</v>
      </c>
      <c r="G535" s="7">
        <f t="shared" si="62"/>
        <v>0.894983184828208</v>
      </c>
    </row>
    <row r="536" ht="31" spans="1:7">
      <c r="A536" s="14">
        <v>7.8</v>
      </c>
      <c r="B536" s="15" t="s">
        <v>743</v>
      </c>
      <c r="C536" s="13"/>
      <c r="D536" s="16"/>
      <c r="E536" s="5" t="s">
        <v>8</v>
      </c>
    </row>
    <row r="537" spans="1:7">
      <c r="A537" s="14" t="s">
        <v>744</v>
      </c>
      <c r="B537" s="12" t="s">
        <v>745</v>
      </c>
      <c r="C537" s="13" t="s">
        <v>14</v>
      </c>
      <c r="D537" s="17">
        <v>10741.6</v>
      </c>
      <c r="E537" s="5" t="s">
        <v>8</v>
      </c>
      <c r="F537" s="6">
        <v>5456.35</v>
      </c>
      <c r="G537" s="7">
        <f t="shared" si="62"/>
        <v>0.968642040924794</v>
      </c>
    </row>
    <row r="538" spans="1:7">
      <c r="A538" s="14" t="s">
        <v>746</v>
      </c>
      <c r="B538" s="12" t="s">
        <v>747</v>
      </c>
      <c r="C538" s="13" t="s">
        <v>14</v>
      </c>
      <c r="D538" s="17">
        <v>10128.1</v>
      </c>
      <c r="E538" s="5" t="s">
        <v>8</v>
      </c>
      <c r="F538" s="6">
        <v>5142.9</v>
      </c>
      <c r="G538" s="7">
        <f t="shared" si="62"/>
        <v>0.969336366641389</v>
      </c>
    </row>
    <row r="539" spans="1:7">
      <c r="A539" s="18">
        <v>7.1</v>
      </c>
      <c r="B539" s="15" t="s">
        <v>748</v>
      </c>
      <c r="C539" s="13"/>
      <c r="D539" s="16"/>
      <c r="E539" s="5" t="s">
        <v>8</v>
      </c>
    </row>
    <row r="540" spans="1:7">
      <c r="A540" s="14" t="s">
        <v>749</v>
      </c>
      <c r="B540" s="12" t="s">
        <v>734</v>
      </c>
      <c r="C540" s="13" t="s">
        <v>14</v>
      </c>
      <c r="D540" s="17">
        <v>1060.5</v>
      </c>
      <c r="E540" s="5" t="s">
        <v>8</v>
      </c>
      <c r="F540" s="6">
        <v>464.05</v>
      </c>
      <c r="G540" s="7">
        <f t="shared" ref="G540:G542" si="63">(D540-F540)/F540</f>
        <v>1.28531408253421</v>
      </c>
    </row>
    <row r="541" spans="1:7">
      <c r="A541" s="14" t="s">
        <v>750</v>
      </c>
      <c r="B541" s="12" t="s">
        <v>736</v>
      </c>
      <c r="C541" s="13" t="s">
        <v>14</v>
      </c>
      <c r="D541" s="17">
        <v>2874.2</v>
      </c>
      <c r="E541" s="5" t="s">
        <v>8</v>
      </c>
      <c r="F541" s="6">
        <v>1385.45</v>
      </c>
      <c r="G541" s="7">
        <f t="shared" si="63"/>
        <v>1.0745606120755</v>
      </c>
    </row>
    <row r="542" ht="31" spans="1:7">
      <c r="A542" s="18">
        <v>7.11</v>
      </c>
      <c r="B542" s="15" t="s">
        <v>751</v>
      </c>
      <c r="C542" s="13" t="s">
        <v>14</v>
      </c>
      <c r="D542" s="17">
        <v>1133.65</v>
      </c>
      <c r="E542" s="5" t="s">
        <v>8</v>
      </c>
      <c r="F542" s="6">
        <v>524.35</v>
      </c>
      <c r="G542" s="7">
        <f t="shared" si="63"/>
        <v>1.16201010775246</v>
      </c>
    </row>
    <row r="543" spans="1:7">
      <c r="A543" s="14"/>
      <c r="B543" s="15" t="s">
        <v>752</v>
      </c>
      <c r="C543" s="13"/>
      <c r="D543" s="16"/>
      <c r="E543" s="5" t="s">
        <v>8</v>
      </c>
    </row>
    <row r="544" ht="46.5" spans="1:7">
      <c r="A544" s="18">
        <v>7.12</v>
      </c>
      <c r="B544" s="15" t="s">
        <v>753</v>
      </c>
      <c r="C544" s="13"/>
      <c r="D544" s="16"/>
      <c r="E544" s="5" t="s">
        <v>8</v>
      </c>
    </row>
    <row r="545" spans="1:7">
      <c r="A545" s="14" t="s">
        <v>754</v>
      </c>
      <c r="B545" s="12" t="s">
        <v>755</v>
      </c>
      <c r="C545" s="13"/>
      <c r="D545" s="16"/>
      <c r="E545" s="5" t="s">
        <v>8</v>
      </c>
    </row>
    <row r="546" spans="1:7">
      <c r="A546" s="14" t="s">
        <v>756</v>
      </c>
      <c r="B546" s="12" t="s">
        <v>757</v>
      </c>
      <c r="C546" s="13" t="s">
        <v>14</v>
      </c>
      <c r="D546" s="17">
        <v>68294</v>
      </c>
      <c r="E546" s="5" t="s">
        <v>8</v>
      </c>
      <c r="F546" s="6">
        <v>29614</v>
      </c>
      <c r="G546" s="7">
        <f t="shared" ref="G546:G550" si="64">(D546-F546)/F546</f>
        <v>1.30613898831634</v>
      </c>
    </row>
    <row r="547" spans="1:7">
      <c r="A547" s="14" t="s">
        <v>758</v>
      </c>
      <c r="B547" s="12" t="s">
        <v>759</v>
      </c>
      <c r="C547" s="13" t="s">
        <v>14</v>
      </c>
      <c r="D547" s="17">
        <v>82518</v>
      </c>
      <c r="E547" s="5" t="s">
        <v>8</v>
      </c>
      <c r="F547" s="6">
        <v>30388</v>
      </c>
      <c r="G547" s="7">
        <f t="shared" si="64"/>
        <v>1.71547979465579</v>
      </c>
    </row>
    <row r="548" spans="1:7">
      <c r="A548" s="14" t="s">
        <v>760</v>
      </c>
      <c r="B548" s="12" t="s">
        <v>761</v>
      </c>
      <c r="C548" s="13"/>
      <c r="D548" s="16"/>
      <c r="E548" s="5" t="s">
        <v>8</v>
      </c>
    </row>
    <row r="549" spans="1:7">
      <c r="A549" s="14" t="s">
        <v>762</v>
      </c>
      <c r="B549" s="12" t="s">
        <v>757</v>
      </c>
      <c r="C549" s="13" t="s">
        <v>14</v>
      </c>
      <c r="D549" s="17">
        <v>91295</v>
      </c>
      <c r="E549" s="5" t="s">
        <v>8</v>
      </c>
      <c r="F549" s="6">
        <v>39434</v>
      </c>
      <c r="G549" s="7">
        <f t="shared" si="64"/>
        <v>1.31513414819699</v>
      </c>
    </row>
    <row r="550" spans="1:7">
      <c r="A550" s="14" t="s">
        <v>763</v>
      </c>
      <c r="B550" s="12" t="s">
        <v>759</v>
      </c>
      <c r="C550" s="13" t="s">
        <v>14</v>
      </c>
      <c r="D550" s="17">
        <v>105519</v>
      </c>
      <c r="E550" s="5" t="s">
        <v>8</v>
      </c>
      <c r="F550" s="6">
        <v>40206</v>
      </c>
      <c r="G550" s="7">
        <f t="shared" si="64"/>
        <v>1.62445903596478</v>
      </c>
    </row>
    <row r="551" ht="62" spans="1:7">
      <c r="A551" s="18">
        <v>7.13</v>
      </c>
      <c r="B551" s="15" t="s">
        <v>764</v>
      </c>
      <c r="C551" s="13"/>
      <c r="D551" s="16"/>
      <c r="E551" s="5" t="s">
        <v>8</v>
      </c>
    </row>
    <row r="552" spans="1:7">
      <c r="A552" s="14" t="s">
        <v>765</v>
      </c>
      <c r="B552" s="12" t="s">
        <v>755</v>
      </c>
      <c r="C552" s="13"/>
      <c r="D552" s="16"/>
      <c r="E552" s="5" t="s">
        <v>8</v>
      </c>
    </row>
    <row r="553" spans="1:7">
      <c r="A553" s="14" t="s">
        <v>766</v>
      </c>
      <c r="B553" s="12" t="s">
        <v>757</v>
      </c>
      <c r="C553" s="13" t="s">
        <v>14</v>
      </c>
      <c r="D553" s="17">
        <v>75263</v>
      </c>
      <c r="E553" s="5" t="s">
        <v>8</v>
      </c>
      <c r="F553" s="6">
        <v>33949</v>
      </c>
      <c r="G553" s="7">
        <f t="shared" ref="G553:G557" si="65">(D553-F553)/F553</f>
        <v>1.2169430616513</v>
      </c>
    </row>
    <row r="554" spans="1:7">
      <c r="A554" s="14" t="s">
        <v>767</v>
      </c>
      <c r="B554" s="12" t="s">
        <v>759</v>
      </c>
      <c r="C554" s="13" t="s">
        <v>14</v>
      </c>
      <c r="D554" s="17">
        <v>89487</v>
      </c>
      <c r="E554" s="5" t="s">
        <v>8</v>
      </c>
      <c r="F554" s="6">
        <v>34723</v>
      </c>
      <c r="G554" s="7">
        <f t="shared" si="65"/>
        <v>1.57716787143968</v>
      </c>
    </row>
    <row r="555" spans="1:7">
      <c r="A555" s="14" t="s">
        <v>768</v>
      </c>
      <c r="B555" s="12" t="s">
        <v>761</v>
      </c>
      <c r="C555" s="13"/>
      <c r="D555" s="16"/>
      <c r="E555" s="5" t="s">
        <v>8</v>
      </c>
    </row>
    <row r="556" spans="1:7">
      <c r="A556" s="14" t="s">
        <v>769</v>
      </c>
      <c r="B556" s="12" t="s">
        <v>757</v>
      </c>
      <c r="C556" s="13" t="s">
        <v>14</v>
      </c>
      <c r="D556" s="17">
        <v>98265</v>
      </c>
      <c r="E556" s="5" t="s">
        <v>8</v>
      </c>
      <c r="F556" s="6">
        <v>43769</v>
      </c>
      <c r="G556" s="7">
        <f t="shared" si="65"/>
        <v>1.24508213575818</v>
      </c>
    </row>
    <row r="557" spans="1:7">
      <c r="A557" s="14" t="s">
        <v>770</v>
      </c>
      <c r="B557" s="12" t="s">
        <v>759</v>
      </c>
      <c r="C557" s="13" t="s">
        <v>14</v>
      </c>
      <c r="D557" s="17">
        <v>112488</v>
      </c>
      <c r="E557" s="5" t="s">
        <v>8</v>
      </c>
      <c r="F557" s="6">
        <v>44542</v>
      </c>
      <c r="G557" s="7">
        <f t="shared" si="65"/>
        <v>1.525436666517</v>
      </c>
    </row>
    <row r="558" ht="62" spans="1:7">
      <c r="A558" s="18">
        <v>7.14</v>
      </c>
      <c r="B558" s="15" t="s">
        <v>771</v>
      </c>
      <c r="C558" s="13"/>
      <c r="D558" s="16"/>
      <c r="E558" s="5" t="s">
        <v>8</v>
      </c>
    </row>
    <row r="559" spans="1:7">
      <c r="A559" s="14" t="s">
        <v>772</v>
      </c>
      <c r="B559" s="12" t="s">
        <v>755</v>
      </c>
      <c r="C559" s="13"/>
      <c r="D559" s="16"/>
      <c r="E559" s="5" t="s">
        <v>8</v>
      </c>
    </row>
    <row r="560" spans="1:7">
      <c r="A560" s="14" t="s">
        <v>773</v>
      </c>
      <c r="B560" s="12" t="s">
        <v>757</v>
      </c>
      <c r="C560" s="13" t="s">
        <v>14</v>
      </c>
      <c r="D560" s="17">
        <v>114277</v>
      </c>
      <c r="E560" s="5" t="s">
        <v>8</v>
      </c>
      <c r="F560" s="6">
        <v>52429</v>
      </c>
      <c r="G560" s="7">
        <f t="shared" ref="G560:G564" si="66">(D560-F560)/F560</f>
        <v>1.17965248240478</v>
      </c>
    </row>
    <row r="561" spans="1:7">
      <c r="A561" s="14" t="s">
        <v>774</v>
      </c>
      <c r="B561" s="12" t="s">
        <v>759</v>
      </c>
      <c r="C561" s="13" t="s">
        <v>14</v>
      </c>
      <c r="D561" s="17">
        <v>128500</v>
      </c>
      <c r="E561" s="5" t="s">
        <v>8</v>
      </c>
      <c r="F561" s="6">
        <v>53202</v>
      </c>
      <c r="G561" s="7">
        <f t="shared" si="66"/>
        <v>1.41532273222811</v>
      </c>
    </row>
    <row r="562" spans="1:7">
      <c r="A562" s="14" t="s">
        <v>775</v>
      </c>
      <c r="B562" s="12" t="s">
        <v>761</v>
      </c>
      <c r="C562" s="13"/>
      <c r="D562" s="16"/>
      <c r="E562" s="5" t="s">
        <v>8</v>
      </c>
    </row>
    <row r="563" spans="1:7">
      <c r="A563" s="14" t="s">
        <v>776</v>
      </c>
      <c r="B563" s="12" t="s">
        <v>757</v>
      </c>
      <c r="C563" s="13" t="s">
        <v>14</v>
      </c>
      <c r="D563" s="17">
        <v>169953</v>
      </c>
      <c r="E563" s="5" t="s">
        <v>8</v>
      </c>
      <c r="F563" s="6">
        <v>76782</v>
      </c>
      <c r="G563" s="7">
        <f t="shared" si="66"/>
        <v>1.21344846448386</v>
      </c>
    </row>
    <row r="564" spans="1:7">
      <c r="A564" s="14" t="s">
        <v>777</v>
      </c>
      <c r="B564" s="12" t="s">
        <v>759</v>
      </c>
      <c r="C564" s="13" t="s">
        <v>14</v>
      </c>
      <c r="D564" s="17">
        <v>184177</v>
      </c>
      <c r="E564" s="5" t="s">
        <v>8</v>
      </c>
      <c r="F564" s="6">
        <v>77556</v>
      </c>
      <c r="G564" s="7">
        <f t="shared" si="66"/>
        <v>1.37476146268503</v>
      </c>
    </row>
    <row r="565" ht="62" spans="1:7">
      <c r="A565" s="18">
        <v>7.15</v>
      </c>
      <c r="B565" s="15" t="s">
        <v>778</v>
      </c>
      <c r="C565" s="13"/>
      <c r="D565" s="16"/>
      <c r="E565" s="5" t="s">
        <v>8</v>
      </c>
    </row>
    <row r="566" spans="1:7">
      <c r="A566" s="14" t="s">
        <v>779</v>
      </c>
      <c r="B566" s="12" t="s">
        <v>755</v>
      </c>
      <c r="C566" s="13"/>
      <c r="D566" s="16"/>
      <c r="E566" s="5" t="s">
        <v>8</v>
      </c>
    </row>
    <row r="567" spans="1:7">
      <c r="A567" s="14" t="s">
        <v>780</v>
      </c>
      <c r="B567" s="12" t="s">
        <v>757</v>
      </c>
      <c r="C567" s="13" t="s">
        <v>14</v>
      </c>
      <c r="D567" s="17">
        <v>64926</v>
      </c>
      <c r="E567" s="5" t="s">
        <v>8</v>
      </c>
      <c r="F567" s="6">
        <v>28105</v>
      </c>
      <c r="G567" s="7">
        <f t="shared" ref="G567:G572" si="67">(D567-F567)/F567</f>
        <v>1.31012275395837</v>
      </c>
    </row>
    <row r="568" spans="1:7">
      <c r="A568" s="14" t="s">
        <v>781</v>
      </c>
      <c r="B568" s="12" t="s">
        <v>759</v>
      </c>
      <c r="C568" s="13" t="s">
        <v>14</v>
      </c>
      <c r="D568" s="17">
        <v>79150</v>
      </c>
      <c r="E568" s="5" t="s">
        <v>8</v>
      </c>
      <c r="F568" s="6">
        <v>28879</v>
      </c>
      <c r="G568" s="7">
        <f t="shared" si="67"/>
        <v>1.74074587070189</v>
      </c>
    </row>
    <row r="569" spans="1:7">
      <c r="A569" s="14" t="s">
        <v>782</v>
      </c>
      <c r="B569" s="12" t="s">
        <v>783</v>
      </c>
      <c r="C569" s="13"/>
      <c r="D569" s="16"/>
      <c r="E569" s="5" t="s">
        <v>8</v>
      </c>
    </row>
    <row r="570" spans="1:7">
      <c r="A570" s="14" t="s">
        <v>784</v>
      </c>
      <c r="B570" s="12" t="s">
        <v>757</v>
      </c>
      <c r="C570" s="13" t="s">
        <v>14</v>
      </c>
      <c r="D570" s="17">
        <v>84560</v>
      </c>
      <c r="E570" s="5" t="s">
        <v>8</v>
      </c>
      <c r="F570" s="6">
        <v>36415</v>
      </c>
      <c r="G570" s="7">
        <f t="shared" si="67"/>
        <v>1.32212000549224</v>
      </c>
    </row>
    <row r="571" spans="1:7">
      <c r="A571" s="14" t="s">
        <v>785</v>
      </c>
      <c r="B571" s="12" t="s">
        <v>759</v>
      </c>
      <c r="C571" s="13" t="s">
        <v>14</v>
      </c>
      <c r="D571" s="17">
        <v>98784</v>
      </c>
      <c r="E571" s="5" t="s">
        <v>8</v>
      </c>
      <c r="F571" s="6">
        <v>37188</v>
      </c>
      <c r="G571" s="7">
        <f t="shared" si="67"/>
        <v>1.65634075508228</v>
      </c>
    </row>
    <row r="572" ht="31" spans="1:7">
      <c r="A572" s="18">
        <v>7.16</v>
      </c>
      <c r="B572" s="15" t="s">
        <v>786</v>
      </c>
      <c r="C572" s="13" t="s">
        <v>14</v>
      </c>
      <c r="D572" s="17">
        <v>169.45</v>
      </c>
      <c r="E572" s="5" t="s">
        <v>8</v>
      </c>
      <c r="F572" s="6">
        <v>854</v>
      </c>
      <c r="G572" s="7">
        <f t="shared" si="67"/>
        <v>-0.801580796252927</v>
      </c>
    </row>
    <row r="573" spans="1:7">
      <c r="A573" s="18">
        <v>7.17</v>
      </c>
      <c r="B573" s="15" t="s">
        <v>787</v>
      </c>
      <c r="C573" s="13"/>
      <c r="D573" s="16"/>
      <c r="E573" s="5" t="s">
        <v>8</v>
      </c>
    </row>
    <row r="574" spans="1:7">
      <c r="A574" s="14" t="s">
        <v>788</v>
      </c>
      <c r="B574" s="12" t="s">
        <v>734</v>
      </c>
      <c r="C574" s="13" t="s">
        <v>14</v>
      </c>
      <c r="D574" s="17">
        <v>2896</v>
      </c>
      <c r="E574" s="5" t="s">
        <v>8</v>
      </c>
      <c r="F574" s="6">
        <v>1803</v>
      </c>
      <c r="G574" s="7">
        <f t="shared" ref="G574:G576" si="68">(D574-F574)/F574</f>
        <v>0.606211869107044</v>
      </c>
    </row>
    <row r="575" ht="31" spans="1:7">
      <c r="A575" s="18">
        <v>7.18</v>
      </c>
      <c r="B575" s="15" t="s">
        <v>789</v>
      </c>
      <c r="C575" s="13" t="s">
        <v>14</v>
      </c>
      <c r="D575" s="17">
        <v>2014</v>
      </c>
      <c r="E575" s="5" t="s">
        <v>8</v>
      </c>
      <c r="F575" s="6">
        <v>1255</v>
      </c>
      <c r="G575" s="7">
        <f t="shared" si="68"/>
        <v>0.604780876494024</v>
      </c>
    </row>
    <row r="576" ht="31" spans="1:7">
      <c r="A576" s="18">
        <v>7.19</v>
      </c>
      <c r="B576" s="15" t="s">
        <v>790</v>
      </c>
      <c r="C576" s="13" t="s">
        <v>11</v>
      </c>
      <c r="D576" s="17">
        <v>608.15</v>
      </c>
      <c r="E576" s="5" t="s">
        <v>8</v>
      </c>
      <c r="F576" s="6">
        <v>451.8</v>
      </c>
      <c r="G576" s="7">
        <f t="shared" si="68"/>
        <v>0.346060203629925</v>
      </c>
    </row>
    <row r="577" spans="1:7">
      <c r="A577" s="18"/>
      <c r="B577" s="15" t="s">
        <v>791</v>
      </c>
      <c r="C577" s="13"/>
      <c r="D577" s="17"/>
      <c r="E577" s="5" t="s">
        <v>8</v>
      </c>
    </row>
    <row r="578" ht="46.5" spans="1:7">
      <c r="A578" s="18">
        <v>7.2</v>
      </c>
      <c r="B578" s="15" t="s">
        <v>792</v>
      </c>
      <c r="C578" s="13"/>
      <c r="D578" s="16"/>
      <c r="E578" s="5" t="s">
        <v>8</v>
      </c>
    </row>
    <row r="579" spans="1:7">
      <c r="A579" s="14" t="s">
        <v>793</v>
      </c>
      <c r="B579" s="12" t="s">
        <v>757</v>
      </c>
      <c r="C579" s="13" t="s">
        <v>14</v>
      </c>
      <c r="D579" s="17">
        <v>94463</v>
      </c>
      <c r="E579" s="5" t="s">
        <v>8</v>
      </c>
      <c r="F579" s="6">
        <v>41797</v>
      </c>
      <c r="G579" s="7">
        <f t="shared" ref="G579:G584" si="69">(D579-F579)/F579</f>
        <v>1.26004258678853</v>
      </c>
    </row>
    <row r="580" spans="1:7">
      <c r="A580" s="14" t="s">
        <v>794</v>
      </c>
      <c r="B580" s="12" t="s">
        <v>759</v>
      </c>
      <c r="C580" s="13" t="s">
        <v>14</v>
      </c>
      <c r="D580" s="17">
        <v>108686</v>
      </c>
      <c r="E580" s="5" t="s">
        <v>8</v>
      </c>
      <c r="F580" s="6">
        <v>42571</v>
      </c>
      <c r="G580" s="7">
        <f t="shared" si="69"/>
        <v>1.55305254750887</v>
      </c>
    </row>
    <row r="581" spans="1:7">
      <c r="A581" s="18">
        <v>7.21</v>
      </c>
      <c r="B581" s="15" t="s">
        <v>795</v>
      </c>
      <c r="C581" s="13"/>
      <c r="D581" s="16"/>
      <c r="E581" s="5" t="s">
        <v>8</v>
      </c>
      <c r="F581" s="8"/>
    </row>
    <row r="582" spans="1:7">
      <c r="A582" s="14" t="s">
        <v>796</v>
      </c>
      <c r="B582" s="12" t="s">
        <v>797</v>
      </c>
      <c r="C582" s="13" t="s">
        <v>14</v>
      </c>
      <c r="D582" s="17">
        <v>3779</v>
      </c>
      <c r="E582" s="5" t="s">
        <v>8</v>
      </c>
      <c r="F582" s="6">
        <v>2351</v>
      </c>
      <c r="G582" s="7">
        <f t="shared" si="69"/>
        <v>0.607401105912378</v>
      </c>
    </row>
    <row r="583" spans="1:7">
      <c r="A583" s="14" t="s">
        <v>798</v>
      </c>
      <c r="B583" s="12" t="s">
        <v>799</v>
      </c>
      <c r="C583" s="13" t="s">
        <v>14</v>
      </c>
      <c r="D583" s="17">
        <v>10706</v>
      </c>
      <c r="E583" s="5" t="s">
        <v>8</v>
      </c>
      <c r="F583" s="6">
        <v>6661</v>
      </c>
      <c r="G583" s="7">
        <f t="shared" si="69"/>
        <v>0.607266176249812</v>
      </c>
    </row>
    <row r="584" ht="46.5" spans="1:7">
      <c r="A584" s="18">
        <v>7.22</v>
      </c>
      <c r="B584" s="15" t="s">
        <v>800</v>
      </c>
      <c r="C584" s="13" t="s">
        <v>801</v>
      </c>
      <c r="D584" s="17">
        <v>303.5</v>
      </c>
      <c r="E584" s="5" t="s">
        <v>8</v>
      </c>
      <c r="F584" s="6">
        <v>25.8</v>
      </c>
      <c r="G584" s="7">
        <f t="shared" si="69"/>
        <v>10.7635658914729</v>
      </c>
    </row>
    <row r="585" spans="1:7">
      <c r="A585" s="26"/>
      <c r="B585" s="15" t="s">
        <v>802</v>
      </c>
      <c r="C585" s="23"/>
      <c r="D585" s="27"/>
    </row>
    <row r="586" spans="1:7">
      <c r="A586" s="18">
        <v>7.24</v>
      </c>
      <c r="B586" s="15" t="s">
        <v>803</v>
      </c>
      <c r="C586" s="13" t="s">
        <v>14</v>
      </c>
      <c r="D586" s="17">
        <v>2896</v>
      </c>
      <c r="E586" s="5" t="s">
        <v>8</v>
      </c>
      <c r="F586" s="6">
        <v>1803</v>
      </c>
      <c r="G586" s="7">
        <f t="shared" ref="G586:G590" si="70">(D586-F586)/F586</f>
        <v>0.606211869107044</v>
      </c>
    </row>
    <row r="587" ht="31" spans="1:7">
      <c r="A587" s="18">
        <v>7.26</v>
      </c>
      <c r="B587" s="15" t="s">
        <v>804</v>
      </c>
      <c r="C587" s="13" t="s">
        <v>126</v>
      </c>
      <c r="D587" s="17">
        <v>54.55</v>
      </c>
      <c r="E587" s="5" t="s">
        <v>8</v>
      </c>
      <c r="F587" s="6">
        <v>35.45</v>
      </c>
      <c r="G587" s="7">
        <f t="shared" si="70"/>
        <v>0.538787023977433</v>
      </c>
    </row>
    <row r="588" ht="93" spans="1:7">
      <c r="A588" s="18">
        <v>7.28</v>
      </c>
      <c r="B588" s="15" t="s">
        <v>805</v>
      </c>
      <c r="C588" s="13"/>
      <c r="D588" s="16"/>
      <c r="E588" s="5" t="s">
        <v>8</v>
      </c>
    </row>
    <row r="589" spans="1:7">
      <c r="A589" s="14" t="s">
        <v>806</v>
      </c>
      <c r="B589" s="12" t="s">
        <v>807</v>
      </c>
      <c r="C589" s="13"/>
      <c r="D589" s="28"/>
      <c r="E589" s="5" t="s">
        <v>8</v>
      </c>
    </row>
    <row r="590" spans="1:7">
      <c r="A590" s="14" t="s">
        <v>808</v>
      </c>
      <c r="B590" s="12" t="s">
        <v>809</v>
      </c>
      <c r="C590" s="13" t="s">
        <v>11</v>
      </c>
      <c r="D590" s="25">
        <v>2854.35</v>
      </c>
      <c r="E590" s="5" t="s">
        <v>8</v>
      </c>
      <c r="F590" s="6">
        <v>1387.1</v>
      </c>
      <c r="G590" s="7">
        <f t="shared" si="70"/>
        <v>1.05778242376181</v>
      </c>
    </row>
    <row r="591" spans="1:7">
      <c r="A591" s="14" t="s">
        <v>810</v>
      </c>
      <c r="B591" s="12" t="s">
        <v>811</v>
      </c>
      <c r="C591" s="13"/>
      <c r="D591" s="28"/>
      <c r="E591" s="5" t="s">
        <v>8</v>
      </c>
    </row>
    <row r="592" spans="1:7">
      <c r="A592" s="14" t="s">
        <v>812</v>
      </c>
      <c r="B592" s="12" t="s">
        <v>809</v>
      </c>
      <c r="C592" s="13" t="s">
        <v>11</v>
      </c>
      <c r="D592" s="25">
        <v>2932.6</v>
      </c>
      <c r="E592" s="5" t="s">
        <v>8</v>
      </c>
      <c r="F592" s="6">
        <v>1387.1</v>
      </c>
      <c r="G592" s="7">
        <f t="shared" ref="G592:G597" si="71">(D592-F592)/F592</f>
        <v>1.11419508326725</v>
      </c>
    </row>
    <row r="593" ht="62" spans="1:7">
      <c r="A593" s="18">
        <v>7.29</v>
      </c>
      <c r="B593" s="15" t="s">
        <v>813</v>
      </c>
      <c r="C593" s="13"/>
      <c r="D593" s="28"/>
      <c r="E593" s="5" t="s">
        <v>8</v>
      </c>
    </row>
    <row r="594" spans="1:7">
      <c r="A594" s="14" t="s">
        <v>814</v>
      </c>
      <c r="B594" s="12" t="s">
        <v>757</v>
      </c>
      <c r="C594" s="13" t="s">
        <v>11</v>
      </c>
      <c r="D594" s="25">
        <v>1833.25</v>
      </c>
      <c r="E594" s="5" t="s">
        <v>8</v>
      </c>
      <c r="F594" s="6">
        <v>873.2</v>
      </c>
      <c r="G594" s="7">
        <f t="shared" si="71"/>
        <v>1.09946174988548</v>
      </c>
    </row>
    <row r="595" spans="1:7">
      <c r="A595" s="14" t="s">
        <v>815</v>
      </c>
      <c r="B595" s="12" t="s">
        <v>759</v>
      </c>
      <c r="C595" s="13" t="s">
        <v>11</v>
      </c>
      <c r="D595" s="25">
        <v>1901.55</v>
      </c>
      <c r="E595" s="5" t="s">
        <v>8</v>
      </c>
      <c r="F595" s="6">
        <v>873.2</v>
      </c>
      <c r="G595" s="7">
        <f t="shared" si="71"/>
        <v>1.17767979844251</v>
      </c>
    </row>
    <row r="596" ht="46.5" spans="1:7">
      <c r="A596" s="18">
        <v>7.3</v>
      </c>
      <c r="B596" s="15" t="s">
        <v>816</v>
      </c>
      <c r="C596" s="13" t="s">
        <v>11</v>
      </c>
      <c r="D596" s="25">
        <v>2159.9</v>
      </c>
      <c r="E596" s="5" t="s">
        <v>8</v>
      </c>
      <c r="F596" s="6">
        <v>1001.35</v>
      </c>
      <c r="G596" s="7">
        <f t="shared" si="71"/>
        <v>1.15698806611075</v>
      </c>
    </row>
    <row r="597" ht="31" spans="1:7">
      <c r="A597" s="18">
        <v>7.31</v>
      </c>
      <c r="B597" s="15" t="s">
        <v>817</v>
      </c>
      <c r="C597" s="13" t="s">
        <v>126</v>
      </c>
      <c r="D597" s="25">
        <v>6788.85</v>
      </c>
      <c r="E597" s="5" t="s">
        <v>8</v>
      </c>
      <c r="F597" s="6">
        <v>3135.1</v>
      </c>
      <c r="G597" s="7">
        <f t="shared" si="71"/>
        <v>1.16543331951134</v>
      </c>
    </row>
    <row r="598" ht="62" spans="1:7">
      <c r="A598" s="18">
        <v>7.32</v>
      </c>
      <c r="B598" s="15" t="s">
        <v>818</v>
      </c>
      <c r="C598" s="13"/>
      <c r="D598" s="28"/>
      <c r="E598" s="5" t="s">
        <v>8</v>
      </c>
    </row>
    <row r="599" spans="1:7">
      <c r="A599" s="14" t="s">
        <v>819</v>
      </c>
      <c r="B599" s="12" t="s">
        <v>757</v>
      </c>
      <c r="C599" s="13" t="s">
        <v>14</v>
      </c>
      <c r="D599" s="25">
        <v>93741.1</v>
      </c>
      <c r="E599" s="5" t="s">
        <v>8</v>
      </c>
      <c r="F599" s="6">
        <v>41029.55</v>
      </c>
      <c r="G599" s="7">
        <f t="shared" ref="G599:G604" si="72">(D599-F599)/F599</f>
        <v>1.28472162136801</v>
      </c>
    </row>
    <row r="600" spans="1:7">
      <c r="A600" s="14" t="s">
        <v>820</v>
      </c>
      <c r="B600" s="12" t="s">
        <v>759</v>
      </c>
      <c r="C600" s="13" t="s">
        <v>14</v>
      </c>
      <c r="D600" s="25">
        <v>107965.1</v>
      </c>
      <c r="E600" s="5" t="s">
        <v>8</v>
      </c>
      <c r="F600" s="6">
        <v>41803.55</v>
      </c>
      <c r="G600" s="7">
        <f t="shared" si="72"/>
        <v>1.58267778693436</v>
      </c>
    </row>
    <row r="601" ht="62" spans="1:7">
      <c r="A601" s="18">
        <v>7.33</v>
      </c>
      <c r="B601" s="15" t="s">
        <v>821</v>
      </c>
      <c r="C601" s="13"/>
      <c r="D601" s="28"/>
      <c r="E601" s="5" t="s">
        <v>8</v>
      </c>
    </row>
    <row r="602" spans="1:7">
      <c r="A602" s="14" t="s">
        <v>822</v>
      </c>
      <c r="B602" s="12" t="s">
        <v>757</v>
      </c>
      <c r="C602" s="13" t="s">
        <v>11</v>
      </c>
      <c r="D602" s="25">
        <v>14931.55</v>
      </c>
      <c r="E602" s="5" t="s">
        <v>8</v>
      </c>
      <c r="F602" s="6">
        <v>6560.75</v>
      </c>
      <c r="G602" s="7">
        <f t="shared" si="72"/>
        <v>1.27589071371413</v>
      </c>
    </row>
    <row r="603" spans="1:7">
      <c r="A603" s="14" t="s">
        <v>823</v>
      </c>
      <c r="B603" s="12" t="s">
        <v>759</v>
      </c>
      <c r="C603" s="13" t="s">
        <v>11</v>
      </c>
      <c r="D603" s="25">
        <v>14994.15</v>
      </c>
      <c r="E603" s="5" t="s">
        <v>8</v>
      </c>
      <c r="F603" s="6">
        <v>6560.75</v>
      </c>
      <c r="G603" s="7">
        <f t="shared" si="72"/>
        <v>1.28543230575773</v>
      </c>
    </row>
    <row r="604" ht="31" spans="1:7">
      <c r="A604" s="18">
        <v>7.34</v>
      </c>
      <c r="B604" s="15" t="s">
        <v>824</v>
      </c>
      <c r="C604" s="13" t="s">
        <v>298</v>
      </c>
      <c r="D604" s="25">
        <v>1098.8</v>
      </c>
      <c r="E604" s="5" t="s">
        <v>8</v>
      </c>
      <c r="F604" s="6">
        <v>475.5</v>
      </c>
      <c r="G604" s="7">
        <f t="shared" si="72"/>
        <v>1.31083070452156</v>
      </c>
    </row>
    <row r="605" ht="77.5" spans="1:7">
      <c r="A605" s="14"/>
      <c r="B605" s="15" t="s">
        <v>825</v>
      </c>
      <c r="C605" s="13"/>
      <c r="D605" s="28"/>
      <c r="E605" s="5" t="s">
        <v>8</v>
      </c>
    </row>
    <row r="606" spans="1:7">
      <c r="A606" s="18">
        <v>7.35</v>
      </c>
      <c r="B606" s="15" t="s">
        <v>826</v>
      </c>
      <c r="C606" s="13" t="s">
        <v>14</v>
      </c>
      <c r="D606" s="29">
        <v>467.55</v>
      </c>
      <c r="E606" s="5" t="s">
        <v>8</v>
      </c>
      <c r="F606" s="6">
        <v>192.7</v>
      </c>
      <c r="G606" s="7">
        <f t="shared" ref="G606:G610" si="73">(D606-F606)/F606</f>
        <v>1.42631032693306</v>
      </c>
    </row>
    <row r="607" ht="46.5" spans="1:7">
      <c r="A607" s="18">
        <v>7.38</v>
      </c>
      <c r="B607" s="15" t="s">
        <v>827</v>
      </c>
      <c r="C607" s="13"/>
      <c r="D607" s="16"/>
      <c r="E607" s="5" t="s">
        <v>8</v>
      </c>
    </row>
    <row r="608" spans="1:7">
      <c r="A608" s="14" t="s">
        <v>828</v>
      </c>
      <c r="B608" s="12" t="s">
        <v>829</v>
      </c>
      <c r="C608" s="13"/>
      <c r="D608" s="16"/>
      <c r="E608" s="5" t="s">
        <v>8</v>
      </c>
    </row>
    <row r="609" spans="1:7">
      <c r="A609" s="14" t="s">
        <v>830</v>
      </c>
      <c r="B609" s="12" t="s">
        <v>831</v>
      </c>
      <c r="C609" s="13" t="s">
        <v>11</v>
      </c>
      <c r="D609" s="17">
        <v>3094.55</v>
      </c>
      <c r="E609" s="5" t="s">
        <v>8</v>
      </c>
      <c r="F609" s="6">
        <v>1796.65</v>
      </c>
      <c r="G609" s="7">
        <f t="shared" si="73"/>
        <v>0.722400022263657</v>
      </c>
    </row>
    <row r="610" spans="1:7">
      <c r="A610" s="14" t="s">
        <v>832</v>
      </c>
      <c r="B610" s="12" t="s">
        <v>833</v>
      </c>
      <c r="C610" s="13" t="s">
        <v>11</v>
      </c>
      <c r="D610" s="17">
        <v>2766.45</v>
      </c>
      <c r="E610" s="5" t="s">
        <v>8</v>
      </c>
      <c r="F610" s="6">
        <v>1558.55</v>
      </c>
      <c r="G610" s="7">
        <f t="shared" si="73"/>
        <v>0.775015238522986</v>
      </c>
    </row>
    <row r="611" spans="1:7">
      <c r="A611" s="30"/>
      <c r="C611" s="8"/>
      <c r="D611" s="8"/>
    </row>
    <row r="612" spans="1:7">
      <c r="A612" s="30"/>
      <c r="C612" s="8"/>
      <c r="D612" s="8"/>
    </row>
    <row r="613" spans="1:7">
      <c r="A613" s="30"/>
      <c r="B613" s="31"/>
      <c r="C613" s="8"/>
      <c r="D613" s="8"/>
      <c r="E613" s="30"/>
    </row>
    <row r="614" spans="1:7">
      <c r="A614" s="11" t="s">
        <v>834</v>
      </c>
      <c r="B614" s="12"/>
      <c r="C614" s="11"/>
      <c r="D614" s="11"/>
      <c r="E614" s="11"/>
    </row>
    <row r="615" spans="1:7">
      <c r="A615" s="14" t="s">
        <v>166</v>
      </c>
      <c r="B615" s="15" t="s">
        <v>2</v>
      </c>
      <c r="C615" s="13" t="s">
        <v>167</v>
      </c>
      <c r="D615" s="16" t="s">
        <v>4</v>
      </c>
    </row>
    <row r="616" ht="77.5" spans="1:7">
      <c r="A616" s="14">
        <v>8.1</v>
      </c>
      <c r="B616" s="15" t="s">
        <v>835</v>
      </c>
      <c r="C616" s="13"/>
      <c r="D616" s="16"/>
    </row>
    <row r="617" spans="1:7">
      <c r="A617" s="14" t="s">
        <v>836</v>
      </c>
      <c r="B617" s="12" t="s">
        <v>837</v>
      </c>
      <c r="C617" s="13"/>
      <c r="D617" s="16"/>
    </row>
    <row r="618" spans="1:7">
      <c r="A618" s="14" t="s">
        <v>838</v>
      </c>
      <c r="B618" s="12" t="s">
        <v>839</v>
      </c>
      <c r="C618" s="13" t="s">
        <v>11</v>
      </c>
      <c r="D618" s="17">
        <v>5742.55</v>
      </c>
      <c r="F618" s="6">
        <v>2903.65</v>
      </c>
      <c r="G618" s="7">
        <f t="shared" ref="G618:G623" si="74">(D618-F618)/F618</f>
        <v>0.977700480429804</v>
      </c>
    </row>
    <row r="619" spans="1:7">
      <c r="A619" s="14" t="s">
        <v>840</v>
      </c>
      <c r="B619" s="12" t="s">
        <v>841</v>
      </c>
      <c r="C619" s="13" t="s">
        <v>11</v>
      </c>
      <c r="D619" s="17">
        <v>5938</v>
      </c>
      <c r="F619" s="6">
        <v>3035.5</v>
      </c>
      <c r="G619" s="7">
        <f t="shared" si="74"/>
        <v>0.956185142480646</v>
      </c>
    </row>
    <row r="620" ht="93" spans="1:7">
      <c r="A620" s="14">
        <v>8.2</v>
      </c>
      <c r="B620" s="15" t="s">
        <v>842</v>
      </c>
      <c r="C620" s="13"/>
      <c r="D620" s="16"/>
    </row>
    <row r="621" spans="1:7">
      <c r="A621" s="14" t="s">
        <v>843</v>
      </c>
      <c r="B621" s="12" t="s">
        <v>844</v>
      </c>
      <c r="C621" s="13"/>
      <c r="D621" s="16"/>
    </row>
    <row r="622" spans="1:7">
      <c r="A622" s="14" t="s">
        <v>845</v>
      </c>
      <c r="B622" s="12" t="s">
        <v>839</v>
      </c>
      <c r="C622" s="13" t="s">
        <v>11</v>
      </c>
      <c r="D622" s="17">
        <v>3414.8</v>
      </c>
      <c r="F622" s="6">
        <v>1949.45</v>
      </c>
      <c r="G622" s="7">
        <f t="shared" si="74"/>
        <v>0.751673548949704</v>
      </c>
    </row>
    <row r="623" spans="1:7">
      <c r="A623" s="14" t="s">
        <v>846</v>
      </c>
      <c r="B623" s="12" t="s">
        <v>841</v>
      </c>
      <c r="C623" s="13" t="s">
        <v>11</v>
      </c>
      <c r="D623" s="17">
        <v>3078.4</v>
      </c>
      <c r="F623" s="6">
        <v>1850.15</v>
      </c>
      <c r="G623" s="7">
        <f t="shared" si="74"/>
        <v>0.663865092019566</v>
      </c>
    </row>
    <row r="624" spans="1:7">
      <c r="A624" s="14" t="s">
        <v>847</v>
      </c>
      <c r="B624" s="12" t="s">
        <v>848</v>
      </c>
      <c r="C624" s="13"/>
      <c r="D624" s="17"/>
    </row>
    <row r="625" spans="1:7">
      <c r="A625" s="14" t="s">
        <v>849</v>
      </c>
      <c r="B625" s="12" t="s">
        <v>839</v>
      </c>
      <c r="C625" s="13" t="s">
        <v>11</v>
      </c>
      <c r="D625" s="17">
        <v>5413.5</v>
      </c>
    </row>
    <row r="626" spans="1:7">
      <c r="A626" s="14" t="s">
        <v>850</v>
      </c>
      <c r="B626" s="12" t="s">
        <v>841</v>
      </c>
      <c r="C626" s="13" t="s">
        <v>11</v>
      </c>
      <c r="D626" s="17">
        <v>5136.3</v>
      </c>
    </row>
    <row r="627" spans="1:7">
      <c r="A627" s="14" t="s">
        <v>851</v>
      </c>
      <c r="B627" s="12" t="s">
        <v>852</v>
      </c>
      <c r="C627" s="13"/>
      <c r="D627" s="17"/>
    </row>
    <row r="628" spans="1:7">
      <c r="A628" s="14" t="s">
        <v>853</v>
      </c>
      <c r="B628" s="12" t="s">
        <v>839</v>
      </c>
      <c r="C628" s="13" t="s">
        <v>11</v>
      </c>
      <c r="D628" s="17">
        <v>4170.7</v>
      </c>
    </row>
    <row r="629" spans="1:7">
      <c r="A629" s="14" t="s">
        <v>854</v>
      </c>
      <c r="B629" s="12" t="s">
        <v>841</v>
      </c>
      <c r="C629" s="13" t="s">
        <v>11</v>
      </c>
      <c r="D629" s="17">
        <v>3848.7</v>
      </c>
    </row>
    <row r="630" ht="46.5" spans="1:7">
      <c r="A630" s="14">
        <v>8.3</v>
      </c>
      <c r="B630" s="15" t="s">
        <v>855</v>
      </c>
      <c r="C630" s="13"/>
      <c r="D630" s="16"/>
    </row>
    <row r="631" spans="1:7">
      <c r="A631" s="14" t="s">
        <v>856</v>
      </c>
      <c r="B631" s="12" t="s">
        <v>857</v>
      </c>
      <c r="C631" s="13" t="s">
        <v>39</v>
      </c>
      <c r="D631" s="17">
        <v>298.6</v>
      </c>
      <c r="F631" s="6">
        <v>144.7</v>
      </c>
      <c r="G631" s="7">
        <f t="shared" ref="G631:G635" si="75">(D631-F631)/F631</f>
        <v>1.0635798203179</v>
      </c>
    </row>
    <row r="632" spans="1:7">
      <c r="A632" s="14" t="s">
        <v>858</v>
      </c>
      <c r="B632" s="12" t="s">
        <v>859</v>
      </c>
      <c r="C632" s="13" t="s">
        <v>39</v>
      </c>
      <c r="D632" s="17">
        <v>510.95</v>
      </c>
      <c r="F632" s="6">
        <v>245.7</v>
      </c>
      <c r="G632" s="7">
        <f t="shared" si="75"/>
        <v>1.07956857956858</v>
      </c>
    </row>
    <row r="633" ht="46.5" spans="1:7">
      <c r="A633" s="14">
        <v>8.4</v>
      </c>
      <c r="B633" s="15" t="s">
        <v>860</v>
      </c>
      <c r="C633" s="13" t="s">
        <v>39</v>
      </c>
      <c r="D633" s="17">
        <v>568.55</v>
      </c>
      <c r="F633" s="6">
        <v>266.25</v>
      </c>
      <c r="G633" s="7">
        <f t="shared" si="75"/>
        <v>1.13539906103286</v>
      </c>
    </row>
    <row r="634" ht="62" spans="1:7">
      <c r="A634" s="14">
        <v>8.5</v>
      </c>
      <c r="B634" s="15" t="s">
        <v>861</v>
      </c>
      <c r="C634" s="13" t="s">
        <v>126</v>
      </c>
      <c r="D634" s="17">
        <v>978.7</v>
      </c>
      <c r="F634" s="6">
        <v>427.95</v>
      </c>
      <c r="G634" s="7">
        <f t="shared" si="75"/>
        <v>1.2869494099778</v>
      </c>
    </row>
    <row r="635" ht="31" spans="1:7">
      <c r="A635" s="14">
        <v>8.6</v>
      </c>
      <c r="B635" s="15" t="s">
        <v>862</v>
      </c>
      <c r="C635" s="13" t="s">
        <v>11</v>
      </c>
      <c r="D635" s="17">
        <v>506.7</v>
      </c>
      <c r="F635" s="6">
        <v>231.5</v>
      </c>
      <c r="G635" s="7">
        <f t="shared" si="75"/>
        <v>1.18876889848812</v>
      </c>
    </row>
    <row r="636" ht="46.5" spans="1:7">
      <c r="A636" s="14">
        <v>8.7</v>
      </c>
      <c r="B636" s="15" t="s">
        <v>863</v>
      </c>
      <c r="C636" s="13"/>
      <c r="D636" s="16"/>
    </row>
    <row r="637" spans="1:7">
      <c r="A637" s="14" t="s">
        <v>864</v>
      </c>
      <c r="B637" s="12" t="s">
        <v>865</v>
      </c>
      <c r="C637" s="13" t="s">
        <v>478</v>
      </c>
      <c r="D637" s="17">
        <v>723.45</v>
      </c>
      <c r="F637" s="6">
        <v>542.55</v>
      </c>
      <c r="G637" s="7">
        <f t="shared" ref="G637:G643" si="76">(D637-F637)/F637</f>
        <v>0.333425490738181</v>
      </c>
    </row>
    <row r="638" spans="1:7">
      <c r="A638" s="14" t="s">
        <v>866</v>
      </c>
      <c r="B638" s="12" t="s">
        <v>867</v>
      </c>
      <c r="C638" s="13" t="s">
        <v>478</v>
      </c>
      <c r="D638" s="17">
        <v>714.4</v>
      </c>
      <c r="F638" s="6">
        <v>521.1</v>
      </c>
      <c r="G638" s="7">
        <f t="shared" si="76"/>
        <v>0.370946075609288</v>
      </c>
    </row>
    <row r="639" ht="31" spans="1:7">
      <c r="A639" s="14">
        <v>8.8</v>
      </c>
      <c r="B639" s="15" t="s">
        <v>868</v>
      </c>
      <c r="C639" s="13"/>
      <c r="D639" s="16"/>
    </row>
    <row r="640" spans="1:7">
      <c r="A640" s="14" t="s">
        <v>869</v>
      </c>
      <c r="B640" s="12" t="s">
        <v>870</v>
      </c>
      <c r="C640" s="13"/>
      <c r="D640" s="16"/>
    </row>
    <row r="641" spans="1:7">
      <c r="A641" s="14" t="s">
        <v>871</v>
      </c>
      <c r="B641" s="12" t="s">
        <v>872</v>
      </c>
      <c r="C641" s="13" t="s">
        <v>126</v>
      </c>
      <c r="D641" s="17">
        <v>36.75</v>
      </c>
      <c r="F641" s="6">
        <v>25.25</v>
      </c>
      <c r="G641" s="7">
        <f t="shared" si="76"/>
        <v>0.455445544554455</v>
      </c>
    </row>
    <row r="642" spans="1:7">
      <c r="A642" s="14" t="s">
        <v>873</v>
      </c>
      <c r="B642" s="12" t="s">
        <v>874</v>
      </c>
      <c r="C642" s="13" t="s">
        <v>126</v>
      </c>
      <c r="D642" s="17">
        <v>40</v>
      </c>
      <c r="F642" s="6">
        <v>25.55</v>
      </c>
      <c r="G642" s="7">
        <f t="shared" si="76"/>
        <v>0.565557729941291</v>
      </c>
    </row>
    <row r="643" spans="1:7">
      <c r="A643" s="14" t="s">
        <v>875</v>
      </c>
      <c r="B643" s="12" t="s">
        <v>876</v>
      </c>
      <c r="C643" s="13" t="s">
        <v>126</v>
      </c>
      <c r="D643" s="17">
        <v>61.7</v>
      </c>
      <c r="F643" s="6">
        <v>44.45</v>
      </c>
      <c r="G643" s="7">
        <f t="shared" si="76"/>
        <v>0.388076490438695</v>
      </c>
    </row>
    <row r="644" ht="46.5" spans="1:7">
      <c r="A644" s="14">
        <v>8.9</v>
      </c>
      <c r="B644" s="15" t="s">
        <v>877</v>
      </c>
      <c r="C644" s="13"/>
      <c r="D644" s="16"/>
    </row>
    <row r="645" spans="1:7">
      <c r="A645" s="14" t="s">
        <v>878</v>
      </c>
      <c r="B645" s="12" t="s">
        <v>879</v>
      </c>
      <c r="C645" s="13"/>
      <c r="D645" s="16"/>
    </row>
    <row r="646" spans="1:7">
      <c r="A646" s="14" t="s">
        <v>880</v>
      </c>
      <c r="B646" s="12" t="s">
        <v>881</v>
      </c>
      <c r="C646" s="13" t="s">
        <v>11</v>
      </c>
      <c r="D646" s="17">
        <v>3190.3</v>
      </c>
      <c r="F646" s="6">
        <v>1634.65</v>
      </c>
      <c r="G646" s="7">
        <f t="shared" ref="G646:G650" si="77">(D646-F646)/F646</f>
        <v>0.951671611659988</v>
      </c>
    </row>
    <row r="647" spans="1:7">
      <c r="A647" s="14" t="s">
        <v>882</v>
      </c>
      <c r="B647" s="12" t="s">
        <v>883</v>
      </c>
      <c r="C647" s="13" t="s">
        <v>11</v>
      </c>
      <c r="D647" s="17">
        <v>3617.55</v>
      </c>
      <c r="F647" s="6">
        <v>2018</v>
      </c>
      <c r="G647" s="7">
        <f t="shared" si="77"/>
        <v>0.792641228939544</v>
      </c>
    </row>
    <row r="648" ht="77.5" spans="1:7">
      <c r="A648" s="18">
        <v>8.1</v>
      </c>
      <c r="B648" s="15" t="s">
        <v>884</v>
      </c>
      <c r="C648" s="13"/>
      <c r="D648" s="16"/>
    </row>
    <row r="649" spans="1:7">
      <c r="A649" s="14" t="s">
        <v>885</v>
      </c>
      <c r="B649" s="12" t="s">
        <v>886</v>
      </c>
      <c r="C649" s="13" t="s">
        <v>11</v>
      </c>
      <c r="D649" s="17">
        <v>3500.45</v>
      </c>
      <c r="F649" s="6">
        <v>2831.95</v>
      </c>
      <c r="G649" s="7">
        <f t="shared" si="77"/>
        <v>0.236056427549921</v>
      </c>
    </row>
    <row r="650" spans="1:7">
      <c r="A650" s="14" t="s">
        <v>887</v>
      </c>
      <c r="B650" s="12" t="s">
        <v>888</v>
      </c>
      <c r="C650" s="13" t="s">
        <v>11</v>
      </c>
      <c r="D650" s="17">
        <v>4051.85</v>
      </c>
      <c r="F650" s="6">
        <v>2831.95</v>
      </c>
      <c r="G650" s="7">
        <f t="shared" si="77"/>
        <v>0.430763255000971</v>
      </c>
    </row>
    <row r="651" ht="108.5" spans="1:7">
      <c r="A651" s="18">
        <v>8.11</v>
      </c>
      <c r="B651" s="15" t="s">
        <v>889</v>
      </c>
      <c r="C651" s="13"/>
      <c r="D651" s="16"/>
    </row>
    <row r="652" ht="31" spans="1:7">
      <c r="A652" s="14" t="s">
        <v>890</v>
      </c>
      <c r="B652" s="12" t="s">
        <v>891</v>
      </c>
      <c r="C652" s="13" t="s">
        <v>11</v>
      </c>
      <c r="D652" s="17">
        <v>10414.8</v>
      </c>
      <c r="F652" s="6">
        <v>6647.35</v>
      </c>
      <c r="G652" s="7">
        <f t="shared" ref="G652:G659" si="78">(D652-F652)/F652</f>
        <v>0.566759686190737</v>
      </c>
    </row>
    <row r="653" ht="77.5" spans="1:7">
      <c r="A653" s="18">
        <v>8.14</v>
      </c>
      <c r="B653" s="15" t="s">
        <v>892</v>
      </c>
      <c r="C653" s="13"/>
      <c r="D653" s="16"/>
      <c r="E653" s="5">
        <v>7.23</v>
      </c>
    </row>
    <row r="654" spans="1:7">
      <c r="A654" s="14" t="s">
        <v>893</v>
      </c>
      <c r="B654" s="12" t="s">
        <v>894</v>
      </c>
      <c r="C654" s="13"/>
      <c r="D654" s="16"/>
      <c r="E654" s="5" t="s">
        <v>895</v>
      </c>
    </row>
    <row r="655" spans="1:7">
      <c r="A655" s="14" t="s">
        <v>896</v>
      </c>
      <c r="B655" s="12" t="s">
        <v>897</v>
      </c>
      <c r="C655" s="13" t="s">
        <v>11</v>
      </c>
      <c r="D655" s="17">
        <v>6282.4</v>
      </c>
      <c r="E655" s="5" t="s">
        <v>898</v>
      </c>
      <c r="F655" s="6">
        <v>2774.75</v>
      </c>
      <c r="G655" s="7">
        <f t="shared" si="78"/>
        <v>1.26413190377511</v>
      </c>
    </row>
    <row r="656" spans="1:7">
      <c r="A656" s="14" t="s">
        <v>899</v>
      </c>
      <c r="B656" s="12" t="s">
        <v>900</v>
      </c>
      <c r="C656" s="13" t="s">
        <v>11</v>
      </c>
      <c r="D656" s="17">
        <v>6035.85</v>
      </c>
      <c r="E656" s="5" t="s">
        <v>901</v>
      </c>
      <c r="F656" s="6">
        <v>2670.75</v>
      </c>
      <c r="G656" s="7">
        <f t="shared" si="78"/>
        <v>1.25998315080034</v>
      </c>
    </row>
    <row r="657" spans="1:7">
      <c r="A657" s="14" t="s">
        <v>902</v>
      </c>
      <c r="B657" s="12" t="s">
        <v>461</v>
      </c>
      <c r="C657" s="13" t="s">
        <v>11</v>
      </c>
      <c r="D657" s="17">
        <v>5789.9</v>
      </c>
      <c r="E657" s="5" t="s">
        <v>903</v>
      </c>
      <c r="F657" s="6">
        <v>2567.05</v>
      </c>
      <c r="G657" s="7">
        <f t="shared" si="78"/>
        <v>1.25546833914415</v>
      </c>
    </row>
    <row r="658" spans="1:7">
      <c r="A658" s="14" t="s">
        <v>904</v>
      </c>
      <c r="B658" s="12" t="s">
        <v>463</v>
      </c>
      <c r="C658" s="13" t="s">
        <v>11</v>
      </c>
      <c r="D658" s="17">
        <v>5542.6</v>
      </c>
      <c r="E658" s="5" t="s">
        <v>905</v>
      </c>
      <c r="F658" s="6">
        <v>2462.9</v>
      </c>
      <c r="G658" s="7">
        <f t="shared" si="78"/>
        <v>1.25043647732348</v>
      </c>
    </row>
    <row r="659" spans="1:7">
      <c r="A659" s="14" t="s">
        <v>906</v>
      </c>
      <c r="B659" s="12" t="s">
        <v>907</v>
      </c>
      <c r="C659" s="13" t="s">
        <v>11</v>
      </c>
      <c r="D659" s="17">
        <v>5295.9</v>
      </c>
      <c r="E659" s="5" t="s">
        <v>908</v>
      </c>
      <c r="F659" s="6">
        <v>2358.85</v>
      </c>
      <c r="G659" s="7">
        <f t="shared" si="78"/>
        <v>1.24511944379677</v>
      </c>
    </row>
    <row r="660" spans="1:7">
      <c r="A660" s="14" t="s">
        <v>909</v>
      </c>
      <c r="B660" s="12" t="s">
        <v>910</v>
      </c>
      <c r="C660" s="13"/>
      <c r="D660" s="16"/>
      <c r="E660" s="5" t="s">
        <v>911</v>
      </c>
    </row>
    <row r="661" spans="1:7">
      <c r="A661" s="14" t="s">
        <v>912</v>
      </c>
      <c r="B661" s="12" t="s">
        <v>897</v>
      </c>
      <c r="C661" s="13" t="s">
        <v>11</v>
      </c>
      <c r="D661" s="17">
        <v>8502.25</v>
      </c>
      <c r="E661" s="5" t="s">
        <v>913</v>
      </c>
      <c r="F661" s="6">
        <v>3744.85</v>
      </c>
      <c r="G661" s="7">
        <f t="shared" ref="G661:G665" si="79">(D661-F661)/F661</f>
        <v>1.27038466160193</v>
      </c>
    </row>
    <row r="662" spans="1:7">
      <c r="A662" s="14" t="s">
        <v>914</v>
      </c>
      <c r="B662" s="12" t="s">
        <v>900</v>
      </c>
      <c r="C662" s="13" t="s">
        <v>11</v>
      </c>
      <c r="D662" s="17">
        <v>8255.75</v>
      </c>
      <c r="E662" s="5" t="s">
        <v>915</v>
      </c>
      <c r="F662" s="6">
        <v>3640.85</v>
      </c>
      <c r="G662" s="7">
        <f t="shared" si="79"/>
        <v>1.2675336803219</v>
      </c>
    </row>
    <row r="663" spans="1:7">
      <c r="A663" s="14" t="s">
        <v>916</v>
      </c>
      <c r="B663" s="12" t="s">
        <v>461</v>
      </c>
      <c r="C663" s="13" t="s">
        <v>11</v>
      </c>
      <c r="D663" s="17">
        <v>8009.75</v>
      </c>
      <c r="E663" s="5" t="s">
        <v>917</v>
      </c>
      <c r="F663" s="6">
        <v>3537.1</v>
      </c>
      <c r="G663" s="7">
        <f t="shared" si="79"/>
        <v>1.26449633880863</v>
      </c>
    </row>
    <row r="664" spans="1:7">
      <c r="A664" s="14" t="s">
        <v>918</v>
      </c>
      <c r="B664" s="12" t="s">
        <v>463</v>
      </c>
      <c r="C664" s="13" t="s">
        <v>11</v>
      </c>
      <c r="D664" s="17">
        <v>7762.5</v>
      </c>
      <c r="E664" s="5" t="s">
        <v>919</v>
      </c>
      <c r="F664" s="6">
        <v>3433</v>
      </c>
      <c r="G664" s="7">
        <f t="shared" si="79"/>
        <v>1.26114185843286</v>
      </c>
    </row>
    <row r="665" spans="1:7">
      <c r="A665" s="14" t="s">
        <v>920</v>
      </c>
      <c r="B665" s="12" t="s">
        <v>907</v>
      </c>
      <c r="C665" s="13" t="s">
        <v>11</v>
      </c>
      <c r="D665" s="17">
        <v>7515.8</v>
      </c>
      <c r="E665" s="5" t="s">
        <v>921</v>
      </c>
      <c r="F665" s="6">
        <v>3328.95</v>
      </c>
      <c r="G665" s="7">
        <f t="shared" si="79"/>
        <v>1.25770888718665</v>
      </c>
    </row>
    <row r="666" spans="1:7">
      <c r="A666" s="14" t="s">
        <v>922</v>
      </c>
      <c r="B666" s="12" t="s">
        <v>923</v>
      </c>
      <c r="C666" s="13"/>
      <c r="D666" s="16"/>
      <c r="E666" s="5" t="s">
        <v>924</v>
      </c>
    </row>
    <row r="667" spans="1:7">
      <c r="A667" s="14" t="s">
        <v>925</v>
      </c>
      <c r="B667" s="12" t="s">
        <v>897</v>
      </c>
      <c r="C667" s="13" t="s">
        <v>11</v>
      </c>
      <c r="D667" s="17">
        <v>7278.2</v>
      </c>
      <c r="E667" s="5" t="s">
        <v>926</v>
      </c>
      <c r="F667" s="6">
        <v>2828.95</v>
      </c>
      <c r="G667" s="7">
        <f t="shared" ref="G667:G671" si="80">(D667-F667)/F667</f>
        <v>1.57275667650542</v>
      </c>
    </row>
    <row r="668" spans="1:7">
      <c r="A668" s="14" t="s">
        <v>927</v>
      </c>
      <c r="B668" s="12" t="s">
        <v>900</v>
      </c>
      <c r="C668" s="13" t="s">
        <v>11</v>
      </c>
      <c r="D668" s="17">
        <v>6889.45</v>
      </c>
      <c r="E668" s="5" t="s">
        <v>928</v>
      </c>
      <c r="F668" s="6">
        <v>2717.25</v>
      </c>
      <c r="G668" s="7">
        <f t="shared" si="80"/>
        <v>1.53544944337106</v>
      </c>
    </row>
    <row r="669" spans="1:7">
      <c r="A669" s="14" t="s">
        <v>929</v>
      </c>
      <c r="B669" s="12" t="s">
        <v>461</v>
      </c>
      <c r="C669" s="13" t="s">
        <v>11</v>
      </c>
      <c r="D669" s="17">
        <v>6501.55</v>
      </c>
      <c r="E669" s="5" t="s">
        <v>930</v>
      </c>
      <c r="F669" s="6">
        <v>2605.75</v>
      </c>
      <c r="G669" s="7">
        <f t="shared" si="80"/>
        <v>1.49507819245899</v>
      </c>
    </row>
    <row r="670" spans="1:7">
      <c r="A670" s="14" t="s">
        <v>931</v>
      </c>
      <c r="B670" s="12" t="s">
        <v>463</v>
      </c>
      <c r="C670" s="13" t="s">
        <v>11</v>
      </c>
      <c r="D670" s="17">
        <v>6110.75</v>
      </c>
      <c r="E670" s="5" t="s">
        <v>932</v>
      </c>
      <c r="F670" s="6">
        <v>2493.65</v>
      </c>
      <c r="G670" s="7">
        <f t="shared" si="80"/>
        <v>1.45052433180278</v>
      </c>
    </row>
    <row r="671" spans="1:7">
      <c r="A671" s="14" t="s">
        <v>933</v>
      </c>
      <c r="B671" s="12" t="s">
        <v>907</v>
      </c>
      <c r="C671" s="13" t="s">
        <v>11</v>
      </c>
      <c r="D671" s="17">
        <v>5722.6</v>
      </c>
      <c r="E671" s="5" t="s">
        <v>934</v>
      </c>
      <c r="F671" s="6">
        <v>2382.1</v>
      </c>
      <c r="G671" s="7">
        <f t="shared" si="80"/>
        <v>1.40233407497586</v>
      </c>
    </row>
    <row r="672" spans="1:7">
      <c r="A672" s="14" t="s">
        <v>935</v>
      </c>
      <c r="B672" s="12" t="s">
        <v>936</v>
      </c>
      <c r="C672" s="13"/>
      <c r="D672" s="16"/>
      <c r="E672" s="5" t="s">
        <v>937</v>
      </c>
    </row>
    <row r="673" spans="1:7">
      <c r="A673" s="14" t="s">
        <v>938</v>
      </c>
      <c r="B673" s="12" t="s">
        <v>897</v>
      </c>
      <c r="C673" s="13" t="s">
        <v>11</v>
      </c>
      <c r="D673" s="17">
        <v>9498.1</v>
      </c>
      <c r="E673" s="5" t="s">
        <v>939</v>
      </c>
      <c r="F673" s="6">
        <v>3799.05</v>
      </c>
      <c r="G673" s="7">
        <f t="shared" ref="G673:G677" si="81">(D673-F673)/F673</f>
        <v>1.50012503125781</v>
      </c>
    </row>
    <row r="674" spans="1:7">
      <c r="A674" s="14" t="s">
        <v>940</v>
      </c>
      <c r="B674" s="12" t="s">
        <v>900</v>
      </c>
      <c r="C674" s="13" t="s">
        <v>11</v>
      </c>
      <c r="D674" s="17">
        <v>9109.3</v>
      </c>
      <c r="E674" s="5" t="s">
        <v>941</v>
      </c>
      <c r="F674" s="6">
        <v>3687.35</v>
      </c>
      <c r="G674" s="7">
        <f t="shared" si="81"/>
        <v>1.47041913569366</v>
      </c>
    </row>
    <row r="675" spans="1:7">
      <c r="A675" s="14" t="s">
        <v>942</v>
      </c>
      <c r="B675" s="12" t="s">
        <v>461</v>
      </c>
      <c r="C675" s="13" t="s">
        <v>11</v>
      </c>
      <c r="D675" s="17">
        <v>8721.45</v>
      </c>
      <c r="E675" s="5" t="s">
        <v>943</v>
      </c>
      <c r="F675" s="6">
        <v>3575.85</v>
      </c>
      <c r="G675" s="7">
        <f t="shared" si="81"/>
        <v>1.43898653467008</v>
      </c>
    </row>
    <row r="676" spans="1:7">
      <c r="A676" s="14" t="s">
        <v>944</v>
      </c>
      <c r="B676" s="12" t="s">
        <v>463</v>
      </c>
      <c r="C676" s="13" t="s">
        <v>11</v>
      </c>
      <c r="D676" s="17">
        <v>8330.65</v>
      </c>
      <c r="E676" s="5" t="s">
        <v>945</v>
      </c>
      <c r="F676" s="6">
        <v>3463.7</v>
      </c>
      <c r="G676" s="7">
        <f t="shared" si="81"/>
        <v>1.40513035193579</v>
      </c>
    </row>
    <row r="677" spans="1:7">
      <c r="A677" s="14" t="s">
        <v>946</v>
      </c>
      <c r="B677" s="12" t="s">
        <v>907</v>
      </c>
      <c r="C677" s="13" t="s">
        <v>11</v>
      </c>
      <c r="D677" s="17">
        <v>7942.5</v>
      </c>
      <c r="E677" s="5" t="s">
        <v>947</v>
      </c>
      <c r="F677" s="6">
        <v>3352.15</v>
      </c>
      <c r="G677" s="7">
        <f t="shared" si="81"/>
        <v>1.36937487880912</v>
      </c>
    </row>
    <row r="678" spans="1:7">
      <c r="A678" s="14" t="s">
        <v>948</v>
      </c>
      <c r="B678" s="12" t="s">
        <v>949</v>
      </c>
      <c r="C678" s="13"/>
      <c r="D678" s="16"/>
      <c r="E678" s="5" t="s">
        <v>950</v>
      </c>
    </row>
    <row r="679" spans="1:7">
      <c r="A679" s="14" t="s">
        <v>951</v>
      </c>
      <c r="B679" s="12" t="s">
        <v>952</v>
      </c>
      <c r="C679" s="13" t="s">
        <v>11</v>
      </c>
      <c r="D679" s="17">
        <v>3256.65</v>
      </c>
      <c r="E679" s="5" t="s">
        <v>953</v>
      </c>
      <c r="F679" s="6">
        <v>1572.55</v>
      </c>
      <c r="G679" s="7">
        <f t="shared" ref="G679:G683" si="82">(D679-F679)/F679</f>
        <v>1.07093574131188</v>
      </c>
    </row>
    <row r="680" spans="1:7">
      <c r="A680" s="14" t="s">
        <v>954</v>
      </c>
      <c r="B680" s="12" t="s">
        <v>955</v>
      </c>
      <c r="C680" s="13" t="s">
        <v>11</v>
      </c>
      <c r="D680" s="17">
        <v>3119.2</v>
      </c>
      <c r="E680" s="5" t="s">
        <v>956</v>
      </c>
      <c r="F680" s="6">
        <v>1511.55</v>
      </c>
      <c r="G680" s="7">
        <f t="shared" si="82"/>
        <v>1.06357712282095</v>
      </c>
    </row>
    <row r="681" ht="62" spans="1:7">
      <c r="A681" s="18">
        <v>8.15</v>
      </c>
      <c r="B681" s="15" t="s">
        <v>957</v>
      </c>
      <c r="C681" s="13" t="s">
        <v>478</v>
      </c>
      <c r="D681" s="17">
        <v>714.4</v>
      </c>
      <c r="E681" s="5">
        <v>7.25</v>
      </c>
      <c r="F681" s="6">
        <v>521.1</v>
      </c>
      <c r="G681" s="7">
        <f t="shared" si="82"/>
        <v>0.370946075609288</v>
      </c>
    </row>
    <row r="682" ht="46.5" spans="1:7">
      <c r="A682" s="18">
        <v>8.16</v>
      </c>
      <c r="B682" s="15" t="s">
        <v>958</v>
      </c>
      <c r="C682" s="13" t="s">
        <v>126</v>
      </c>
      <c r="D682" s="17">
        <v>43.9</v>
      </c>
      <c r="E682" s="5">
        <v>7.27</v>
      </c>
      <c r="F682" s="6">
        <v>29.8</v>
      </c>
      <c r="G682" s="7">
        <f t="shared" si="82"/>
        <v>0.473154362416107</v>
      </c>
    </row>
    <row r="683" ht="108.5" spans="1:7">
      <c r="A683" s="18">
        <v>8.17</v>
      </c>
      <c r="B683" s="15" t="s">
        <v>959</v>
      </c>
      <c r="C683" s="13" t="s">
        <v>11</v>
      </c>
      <c r="D683" s="17">
        <v>3135</v>
      </c>
      <c r="E683" s="5">
        <v>7.36</v>
      </c>
      <c r="F683" s="6">
        <v>1588.2</v>
      </c>
      <c r="G683" s="7">
        <f t="shared" si="82"/>
        <v>0.973932754061201</v>
      </c>
    </row>
    <row r="684" ht="77.5" spans="1:7">
      <c r="A684" s="18">
        <v>8.18</v>
      </c>
      <c r="B684" s="15" t="s">
        <v>960</v>
      </c>
      <c r="C684" s="13"/>
      <c r="D684" s="16"/>
      <c r="E684" s="5">
        <v>7.37</v>
      </c>
    </row>
    <row r="685" spans="1:7">
      <c r="A685" s="14" t="s">
        <v>961</v>
      </c>
      <c r="B685" s="12" t="s">
        <v>962</v>
      </c>
      <c r="C685" s="13"/>
      <c r="D685" s="16"/>
      <c r="E685" s="5" t="s">
        <v>963</v>
      </c>
    </row>
    <row r="686" spans="1:7">
      <c r="A686" s="14" t="s">
        <v>964</v>
      </c>
      <c r="B686" s="12" t="s">
        <v>465</v>
      </c>
      <c r="C686" s="13" t="s">
        <v>11</v>
      </c>
      <c r="D686" s="17">
        <v>2651.35</v>
      </c>
      <c r="E686" s="5" t="s">
        <v>965</v>
      </c>
      <c r="F686" s="6">
        <v>1801.1</v>
      </c>
      <c r="G686" s="7">
        <f t="shared" ref="G686:G694" si="83">(D686-F686)/F686</f>
        <v>0.472072622286381</v>
      </c>
    </row>
    <row r="687" ht="31" spans="1:7">
      <c r="A687" s="18">
        <v>8.19</v>
      </c>
      <c r="B687" s="15" t="s">
        <v>966</v>
      </c>
      <c r="C687" s="13" t="s">
        <v>11</v>
      </c>
      <c r="D687" s="17">
        <v>165.85</v>
      </c>
      <c r="E687" s="5">
        <v>7.39</v>
      </c>
    </row>
    <row r="688" spans="1:7">
      <c r="A688" s="18"/>
      <c r="B688" s="15" t="s">
        <v>967</v>
      </c>
      <c r="C688" s="13"/>
      <c r="D688" s="17"/>
    </row>
    <row r="689" ht="93" spans="1:7">
      <c r="A689" s="18">
        <v>8.2</v>
      </c>
      <c r="B689" s="15" t="s">
        <v>968</v>
      </c>
      <c r="C689" s="13"/>
      <c r="D689" s="16"/>
      <c r="E689" s="32">
        <v>7.4</v>
      </c>
    </row>
    <row r="690" spans="1:7">
      <c r="A690" s="14" t="s">
        <v>969</v>
      </c>
      <c r="B690" s="12" t="s">
        <v>970</v>
      </c>
      <c r="C690" s="13" t="s">
        <v>11</v>
      </c>
      <c r="D690" s="17">
        <v>2902.65</v>
      </c>
      <c r="E690" s="5" t="s">
        <v>971</v>
      </c>
      <c r="F690" s="6">
        <v>1439.75</v>
      </c>
      <c r="G690" s="7">
        <f t="shared" si="83"/>
        <v>1.01607918041327</v>
      </c>
    </row>
    <row r="691" spans="1:7">
      <c r="A691" s="14" t="s">
        <v>972</v>
      </c>
      <c r="B691" s="12" t="s">
        <v>973</v>
      </c>
      <c r="C691" s="13" t="s">
        <v>11</v>
      </c>
      <c r="D691" s="17">
        <v>3040.1</v>
      </c>
      <c r="E691" s="5" t="s">
        <v>974</v>
      </c>
      <c r="F691" s="6">
        <v>1500.75</v>
      </c>
      <c r="G691" s="7">
        <f t="shared" si="83"/>
        <v>1.02572047309678</v>
      </c>
    </row>
    <row r="692" ht="248" spans="1:7">
      <c r="A692" s="18">
        <v>8.21</v>
      </c>
      <c r="B692" s="15" t="s">
        <v>975</v>
      </c>
      <c r="C692" s="13" t="s">
        <v>478</v>
      </c>
      <c r="D692" s="17">
        <v>269.95</v>
      </c>
      <c r="E692" s="5">
        <v>7.41</v>
      </c>
      <c r="F692" s="6">
        <v>134.75</v>
      </c>
      <c r="G692" s="7">
        <f t="shared" si="83"/>
        <v>1.00333951762523</v>
      </c>
    </row>
    <row r="693" ht="77.5" spans="1:7">
      <c r="A693" s="18">
        <v>8.22</v>
      </c>
      <c r="B693" s="15" t="s">
        <v>976</v>
      </c>
      <c r="C693" s="13" t="s">
        <v>126</v>
      </c>
      <c r="D693" s="17">
        <v>437</v>
      </c>
      <c r="E693" s="5">
        <v>7.42</v>
      </c>
      <c r="F693" s="6">
        <v>217.15</v>
      </c>
      <c r="G693" s="7">
        <f t="shared" si="83"/>
        <v>1.01243380151969</v>
      </c>
    </row>
    <row r="694" ht="31" spans="1:7">
      <c r="A694" s="18">
        <v>8.23</v>
      </c>
      <c r="B694" s="15" t="s">
        <v>977</v>
      </c>
      <c r="C694" s="13" t="s">
        <v>126</v>
      </c>
      <c r="D694" s="17">
        <v>40.85</v>
      </c>
      <c r="E694" s="5">
        <v>9.32</v>
      </c>
      <c r="F694" s="6">
        <v>21.85</v>
      </c>
      <c r="G694" s="7">
        <f t="shared" si="83"/>
        <v>0.869565217391304</v>
      </c>
    </row>
    <row r="695" ht="46.5" spans="1:7">
      <c r="A695" s="18">
        <v>8.24</v>
      </c>
      <c r="B695" s="15" t="s">
        <v>978</v>
      </c>
      <c r="C695" s="13"/>
      <c r="D695" s="16"/>
      <c r="E695" s="18">
        <v>9.33</v>
      </c>
    </row>
    <row r="696" spans="1:7">
      <c r="A696" s="14" t="s">
        <v>979</v>
      </c>
      <c r="B696" s="12" t="s">
        <v>980</v>
      </c>
      <c r="C696" s="13" t="s">
        <v>126</v>
      </c>
      <c r="D696" s="17">
        <v>22.35</v>
      </c>
      <c r="E696" s="5" t="s">
        <v>981</v>
      </c>
      <c r="F696" s="6">
        <v>15.8</v>
      </c>
      <c r="G696" s="7">
        <f t="shared" ref="G696:G699" si="84">(D696-F696)/F696</f>
        <v>0.414556962025316</v>
      </c>
    </row>
    <row r="697" spans="1:7">
      <c r="A697" s="14" t="s">
        <v>982</v>
      </c>
      <c r="B697" s="12" t="s">
        <v>983</v>
      </c>
      <c r="C697" s="13" t="s">
        <v>126</v>
      </c>
      <c r="D697" s="17">
        <v>24.05</v>
      </c>
      <c r="E697" s="5" t="s">
        <v>984</v>
      </c>
      <c r="F697" s="6">
        <v>18</v>
      </c>
      <c r="G697" s="7">
        <f t="shared" si="84"/>
        <v>0.336111111111111</v>
      </c>
    </row>
    <row r="698" spans="1:7">
      <c r="A698" s="14" t="s">
        <v>985</v>
      </c>
      <c r="B698" s="12" t="s">
        <v>986</v>
      </c>
      <c r="C698" s="13" t="s">
        <v>126</v>
      </c>
      <c r="D698" s="17">
        <v>28.3</v>
      </c>
      <c r="E698" s="5" t="s">
        <v>987</v>
      </c>
      <c r="F698" s="6">
        <v>21.5</v>
      </c>
      <c r="G698" s="7">
        <f t="shared" si="84"/>
        <v>0.316279069767442</v>
      </c>
    </row>
    <row r="699" spans="1:7">
      <c r="A699" s="14" t="s">
        <v>988</v>
      </c>
      <c r="B699" s="12" t="s">
        <v>989</v>
      </c>
      <c r="C699" s="13" t="s">
        <v>126</v>
      </c>
      <c r="D699" s="17">
        <v>29.75</v>
      </c>
      <c r="E699" s="5" t="s">
        <v>990</v>
      </c>
      <c r="F699" s="6">
        <v>22.65</v>
      </c>
      <c r="G699" s="7">
        <f t="shared" si="84"/>
        <v>0.313465783664459</v>
      </c>
    </row>
    <row r="700" ht="31" spans="1:7">
      <c r="A700" s="18">
        <v>8.25</v>
      </c>
      <c r="B700" s="15" t="s">
        <v>991</v>
      </c>
      <c r="C700" s="13"/>
      <c r="D700" s="16"/>
      <c r="E700" s="5">
        <v>9.34</v>
      </c>
    </row>
    <row r="701" spans="1:7">
      <c r="A701" s="14" t="s">
        <v>992</v>
      </c>
      <c r="B701" s="12" t="s">
        <v>463</v>
      </c>
      <c r="C701" s="13" t="s">
        <v>11</v>
      </c>
      <c r="D701" s="17">
        <v>6646.7</v>
      </c>
      <c r="E701" s="5" t="s">
        <v>993</v>
      </c>
      <c r="F701" s="6">
        <v>4579.1</v>
      </c>
      <c r="G701" s="7">
        <f t="shared" ref="G701:G704" si="85">(D701-F701)/F701</f>
        <v>0.451529776593654</v>
      </c>
    </row>
    <row r="702" spans="1:7">
      <c r="A702" s="14" t="s">
        <v>994</v>
      </c>
      <c r="B702" s="12" t="s">
        <v>465</v>
      </c>
      <c r="C702" s="13" t="s">
        <v>11</v>
      </c>
      <c r="D702" s="17">
        <v>4437.8</v>
      </c>
      <c r="E702" s="5" t="s">
        <v>995</v>
      </c>
      <c r="F702" s="6">
        <v>2995.75</v>
      </c>
      <c r="G702" s="7">
        <f t="shared" si="85"/>
        <v>0.481365267462238</v>
      </c>
    </row>
    <row r="703" spans="1:7">
      <c r="A703" s="14" t="s">
        <v>996</v>
      </c>
      <c r="B703" s="12" t="s">
        <v>997</v>
      </c>
      <c r="C703" s="13" t="s">
        <v>11</v>
      </c>
      <c r="D703" s="17">
        <v>3601.3</v>
      </c>
      <c r="E703" s="5" t="s">
        <v>998</v>
      </c>
      <c r="F703" s="6">
        <v>2425.95</v>
      </c>
      <c r="G703" s="7">
        <f t="shared" si="85"/>
        <v>0.484490611925225</v>
      </c>
    </row>
    <row r="704" spans="1:7">
      <c r="A704" s="14" t="s">
        <v>999</v>
      </c>
      <c r="B704" s="12" t="s">
        <v>1000</v>
      </c>
      <c r="C704" s="13" t="s">
        <v>11</v>
      </c>
      <c r="D704" s="17">
        <v>2423.25</v>
      </c>
      <c r="E704" s="5" t="s">
        <v>1001</v>
      </c>
      <c r="F704" s="6">
        <v>1581.5</v>
      </c>
      <c r="G704" s="7">
        <f t="shared" si="85"/>
        <v>0.532247865950047</v>
      </c>
    </row>
    <row r="705" ht="62" spans="1:7">
      <c r="A705" s="18">
        <v>8.26</v>
      </c>
      <c r="B705" s="15" t="s">
        <v>1002</v>
      </c>
      <c r="C705" s="13"/>
      <c r="D705" s="16"/>
      <c r="E705" s="5">
        <v>9.35</v>
      </c>
    </row>
    <row r="706" spans="1:7">
      <c r="A706" s="14" t="s">
        <v>1003</v>
      </c>
      <c r="B706" s="12" t="s">
        <v>1000</v>
      </c>
      <c r="C706" s="13" t="s">
        <v>11</v>
      </c>
      <c r="D706" s="17">
        <v>1430.2</v>
      </c>
      <c r="E706" s="5" t="s">
        <v>1004</v>
      </c>
      <c r="F706" s="6">
        <v>954</v>
      </c>
      <c r="G706" s="7">
        <f t="shared" ref="G706:G708" si="86">(D706-F706)/F706</f>
        <v>0.49916142557652</v>
      </c>
    </row>
    <row r="707" spans="1:7">
      <c r="A707" s="14" t="s">
        <v>1005</v>
      </c>
      <c r="B707" s="12" t="s">
        <v>1006</v>
      </c>
      <c r="C707" s="13" t="s">
        <v>11</v>
      </c>
      <c r="D707" s="17">
        <v>1492.8</v>
      </c>
      <c r="E707" s="5" t="s">
        <v>1007</v>
      </c>
      <c r="F707" s="6">
        <v>1097.1</v>
      </c>
      <c r="G707" s="7">
        <f t="shared" si="86"/>
        <v>0.360678151490293</v>
      </c>
    </row>
    <row r="708" spans="1:7">
      <c r="A708" s="14" t="s">
        <v>1008</v>
      </c>
      <c r="B708" s="12" t="s">
        <v>465</v>
      </c>
      <c r="C708" s="13" t="s">
        <v>11</v>
      </c>
      <c r="D708" s="17">
        <v>1979.5</v>
      </c>
      <c r="E708" s="5" t="s">
        <v>1009</v>
      </c>
      <c r="F708" s="6">
        <v>1422.9</v>
      </c>
      <c r="G708" s="7">
        <f t="shared" si="86"/>
        <v>0.391172956637852</v>
      </c>
    </row>
    <row r="709" ht="31" spans="1:7">
      <c r="A709" s="18">
        <v>8.27</v>
      </c>
      <c r="B709" s="15" t="s">
        <v>1010</v>
      </c>
      <c r="C709" s="13"/>
      <c r="D709" s="16"/>
      <c r="E709" s="5">
        <v>9.36</v>
      </c>
    </row>
    <row r="710" spans="1:7">
      <c r="A710" s="14" t="s">
        <v>1011</v>
      </c>
      <c r="B710" s="12" t="s">
        <v>1012</v>
      </c>
      <c r="C710" s="13" t="s">
        <v>14</v>
      </c>
      <c r="D710" s="17">
        <v>187277.65</v>
      </c>
      <c r="E710" s="5" t="s">
        <v>1013</v>
      </c>
      <c r="F710" s="6">
        <v>99169.3</v>
      </c>
      <c r="G710" s="7">
        <f t="shared" ref="G710:G713" si="87">(D710-F710)/F710</f>
        <v>0.888463970200455</v>
      </c>
    </row>
    <row r="711" ht="46.5" spans="1:7">
      <c r="A711" s="18">
        <v>8.28</v>
      </c>
      <c r="B711" s="15" t="s">
        <v>1014</v>
      </c>
      <c r="C711" s="13"/>
      <c r="D711" s="17"/>
      <c r="E711" s="5">
        <v>9.37</v>
      </c>
    </row>
    <row r="712" spans="1:7">
      <c r="A712" s="14" t="s">
        <v>1015</v>
      </c>
      <c r="B712" s="12" t="s">
        <v>1016</v>
      </c>
      <c r="C712" s="13" t="s">
        <v>11</v>
      </c>
      <c r="D712" s="17">
        <v>1946.25</v>
      </c>
      <c r="E712" s="5" t="s">
        <v>1017</v>
      </c>
      <c r="F712" s="6">
        <v>1030.7</v>
      </c>
      <c r="G712" s="7">
        <f t="shared" si="87"/>
        <v>0.888279809837974</v>
      </c>
    </row>
    <row r="713" ht="31" spans="1:7">
      <c r="A713" s="18">
        <v>8.29</v>
      </c>
      <c r="B713" s="15" t="s">
        <v>1018</v>
      </c>
      <c r="C713" s="13" t="s">
        <v>11</v>
      </c>
      <c r="D713" s="17">
        <v>1825.05</v>
      </c>
      <c r="E713" s="5">
        <v>9.38</v>
      </c>
      <c r="F713" s="6">
        <v>1030.7</v>
      </c>
      <c r="G713" s="7">
        <f t="shared" si="87"/>
        <v>0.770689822450761</v>
      </c>
    </row>
    <row r="714" ht="77.5" spans="1:7">
      <c r="A714" s="18">
        <v>8.3</v>
      </c>
      <c r="B714" s="15" t="s">
        <v>1019</v>
      </c>
      <c r="C714" s="13"/>
      <c r="D714" s="16"/>
      <c r="E714" s="5">
        <v>9.39</v>
      </c>
    </row>
    <row r="715" spans="1:7">
      <c r="A715" s="14" t="s">
        <v>1020</v>
      </c>
      <c r="B715" s="12" t="s">
        <v>1006</v>
      </c>
      <c r="C715" s="13" t="s">
        <v>11</v>
      </c>
      <c r="D715" s="17">
        <v>1976.45</v>
      </c>
      <c r="E715" s="5" t="s">
        <v>1021</v>
      </c>
      <c r="F715" s="6">
        <v>1287.15</v>
      </c>
      <c r="G715" s="7">
        <f t="shared" ref="G715:G717" si="88">(D715-F715)/F715</f>
        <v>0.535524220176359</v>
      </c>
    </row>
    <row r="716" spans="1:7">
      <c r="A716" s="14" t="s">
        <v>1022</v>
      </c>
      <c r="B716" s="12" t="s">
        <v>465</v>
      </c>
      <c r="C716" s="13" t="s">
        <v>11</v>
      </c>
      <c r="D716" s="17">
        <v>2463.1</v>
      </c>
      <c r="E716" s="5" t="s">
        <v>1023</v>
      </c>
      <c r="F716" s="6">
        <v>1612.95</v>
      </c>
      <c r="G716" s="7">
        <f t="shared" si="88"/>
        <v>0.527077714746272</v>
      </c>
    </row>
    <row r="717" ht="93" spans="1:7">
      <c r="A717" s="18">
        <v>8.31</v>
      </c>
      <c r="B717" s="15" t="s">
        <v>1024</v>
      </c>
      <c r="C717" s="13" t="s">
        <v>11</v>
      </c>
      <c r="D717" s="17">
        <v>1267.95</v>
      </c>
      <c r="E717" s="11">
        <v>11.36</v>
      </c>
      <c r="F717" s="6">
        <v>744.8</v>
      </c>
      <c r="G717" s="7">
        <f t="shared" si="88"/>
        <v>0.702403329752954</v>
      </c>
    </row>
    <row r="718" ht="46.5" spans="1:7">
      <c r="A718" s="18">
        <v>8.32</v>
      </c>
      <c r="B718" s="15" t="s">
        <v>1025</v>
      </c>
      <c r="C718" s="13"/>
      <c r="D718" s="16"/>
      <c r="E718" s="5">
        <v>25.7</v>
      </c>
    </row>
    <row r="719" ht="46.5" spans="1:7">
      <c r="A719" s="14"/>
      <c r="B719" s="15" t="s">
        <v>1026</v>
      </c>
      <c r="C719" s="13"/>
      <c r="D719" s="16"/>
      <c r="E719" s="5" t="s">
        <v>8</v>
      </c>
    </row>
    <row r="720" ht="124" spans="1:7">
      <c r="A720" s="14"/>
      <c r="B720" s="15" t="s">
        <v>1027</v>
      </c>
      <c r="C720" s="13"/>
      <c r="D720" s="16"/>
      <c r="E720" s="5" t="s">
        <v>8</v>
      </c>
    </row>
    <row r="721" ht="248" spans="1:7">
      <c r="A721" s="14"/>
      <c r="B721" s="15" t="s">
        <v>1028</v>
      </c>
      <c r="C721" s="13" t="s">
        <v>11</v>
      </c>
      <c r="D721" s="17">
        <v>5015.05</v>
      </c>
      <c r="E721" s="5" t="s">
        <v>8</v>
      </c>
      <c r="F721" s="6">
        <v>3405.9</v>
      </c>
      <c r="G721" s="7">
        <f>(D721-F721)/F721</f>
        <v>0.47245955547726</v>
      </c>
    </row>
    <row r="722" spans="1:7">
      <c r="D722" s="22"/>
    </row>
    <row r="723" spans="1:7">
      <c r="D723" s="22"/>
    </row>
    <row r="724" spans="1:7">
      <c r="D724" s="22"/>
    </row>
    <row r="725" ht="31" spans="1:7">
      <c r="A725" s="5" t="s">
        <v>1029</v>
      </c>
      <c r="C725" s="5"/>
      <c r="D725" s="5"/>
    </row>
    <row r="726" spans="1:7">
      <c r="A726" s="14" t="s">
        <v>166</v>
      </c>
      <c r="B726" s="15" t="s">
        <v>2</v>
      </c>
      <c r="C726" s="13" t="s">
        <v>167</v>
      </c>
      <c r="D726" s="16" t="s">
        <v>4</v>
      </c>
    </row>
    <row r="727" spans="1:7">
      <c r="A727" s="14"/>
      <c r="B727" s="15" t="s">
        <v>1030</v>
      </c>
      <c r="C727" s="13"/>
      <c r="D727" s="16"/>
    </row>
    <row r="728" ht="46.5" spans="1:7">
      <c r="A728" s="14">
        <v>9.1</v>
      </c>
      <c r="B728" s="15" t="s">
        <v>1031</v>
      </c>
      <c r="C728" s="13"/>
      <c r="D728" s="16"/>
    </row>
    <row r="729" spans="1:7">
      <c r="A729" s="14" t="s">
        <v>1032</v>
      </c>
      <c r="B729" s="12" t="s">
        <v>1033</v>
      </c>
      <c r="C729" s="13" t="s">
        <v>14</v>
      </c>
      <c r="D729" s="17">
        <v>142949.7</v>
      </c>
      <c r="F729" s="6">
        <v>92743.05</v>
      </c>
      <c r="G729" s="7">
        <f t="shared" ref="G729:G732" si="89">(D729-F729)/F729</f>
        <v>0.541352155228882</v>
      </c>
    </row>
    <row r="730" spans="1:7">
      <c r="A730" s="14" t="s">
        <v>1034</v>
      </c>
      <c r="B730" s="12" t="s">
        <v>1035</v>
      </c>
      <c r="C730" s="13" t="s">
        <v>14</v>
      </c>
      <c r="D730" s="17">
        <v>116520.3</v>
      </c>
      <c r="F730" s="6">
        <v>85386.95</v>
      </c>
      <c r="G730" s="7">
        <f t="shared" si="89"/>
        <v>0.364614850395757</v>
      </c>
    </row>
    <row r="731" spans="1:7">
      <c r="A731" s="14" t="s">
        <v>1036</v>
      </c>
      <c r="B731" s="12" t="s">
        <v>1012</v>
      </c>
      <c r="C731" s="13" t="s">
        <v>14</v>
      </c>
      <c r="D731" s="17">
        <v>83378.05</v>
      </c>
      <c r="F731" s="6">
        <v>54930.25</v>
      </c>
      <c r="G731" s="7">
        <f t="shared" si="89"/>
        <v>0.51788950532721</v>
      </c>
    </row>
    <row r="732" ht="62" spans="1:7">
      <c r="A732" s="14">
        <v>9.2</v>
      </c>
      <c r="B732" s="15" t="s">
        <v>1037</v>
      </c>
      <c r="C732" s="13" t="s">
        <v>14</v>
      </c>
      <c r="D732" s="17">
        <v>131981.1</v>
      </c>
      <c r="F732" s="6">
        <v>98053.6</v>
      </c>
      <c r="G732" s="7">
        <f t="shared" si="89"/>
        <v>0.346009733451908</v>
      </c>
    </row>
    <row r="733" ht="31" spans="1:7">
      <c r="A733" s="14">
        <v>9.3</v>
      </c>
      <c r="B733" s="15" t="s">
        <v>1038</v>
      </c>
      <c r="C733" s="13"/>
      <c r="D733" s="16"/>
      <c r="E733" s="11"/>
    </row>
    <row r="734" spans="1:7">
      <c r="A734" s="14" t="s">
        <v>1039</v>
      </c>
      <c r="B734" s="12" t="s">
        <v>1035</v>
      </c>
      <c r="C734" s="13" t="s">
        <v>14</v>
      </c>
      <c r="D734" s="17">
        <v>104754.35</v>
      </c>
      <c r="F734" s="6">
        <v>80046.45</v>
      </c>
      <c r="G734" s="7">
        <f t="shared" ref="G734:G739" si="90">(D734-F734)/F734</f>
        <v>0.308669528754867</v>
      </c>
    </row>
    <row r="735" spans="1:7">
      <c r="A735" s="14" t="s">
        <v>1040</v>
      </c>
      <c r="B735" s="12" t="s">
        <v>1012</v>
      </c>
      <c r="C735" s="13" t="s">
        <v>14</v>
      </c>
      <c r="D735" s="17">
        <v>71337.85</v>
      </c>
      <c r="F735" s="6">
        <v>49465.1</v>
      </c>
      <c r="G735" s="7">
        <f t="shared" si="90"/>
        <v>0.44218550048418</v>
      </c>
    </row>
    <row r="736" spans="1:7">
      <c r="A736" s="14">
        <v>9.4</v>
      </c>
      <c r="B736" s="15" t="s">
        <v>1041</v>
      </c>
      <c r="C736" s="13"/>
      <c r="D736" s="16"/>
    </row>
    <row r="737" spans="1:7">
      <c r="A737" s="14" t="s">
        <v>1042</v>
      </c>
      <c r="B737" s="12" t="s">
        <v>1033</v>
      </c>
      <c r="C737" s="13" t="s">
        <v>14</v>
      </c>
      <c r="D737" s="17">
        <v>14294.95</v>
      </c>
      <c r="F737" s="6">
        <v>9274.15</v>
      </c>
      <c r="G737" s="7">
        <f t="shared" si="90"/>
        <v>0.541375759503567</v>
      </c>
    </row>
    <row r="738" spans="1:7">
      <c r="A738" s="14" t="s">
        <v>1043</v>
      </c>
      <c r="B738" s="12" t="s">
        <v>1035</v>
      </c>
      <c r="C738" s="13" t="s">
        <v>14</v>
      </c>
      <c r="D738" s="17">
        <v>11652.05</v>
      </c>
      <c r="F738" s="6">
        <v>8538.9</v>
      </c>
      <c r="G738" s="7">
        <f t="shared" si="90"/>
        <v>0.364584431249927</v>
      </c>
    </row>
    <row r="739" spans="1:7">
      <c r="A739" s="14" t="s">
        <v>1044</v>
      </c>
      <c r="B739" s="12" t="s">
        <v>1012</v>
      </c>
      <c r="C739" s="13" t="s">
        <v>14</v>
      </c>
      <c r="D739" s="17">
        <v>8338.1</v>
      </c>
      <c r="F739" s="6">
        <v>5493.05</v>
      </c>
      <c r="G739" s="7">
        <f t="shared" si="90"/>
        <v>0.517936301326221</v>
      </c>
    </row>
    <row r="740" ht="62" spans="1:7">
      <c r="A740" s="14">
        <v>9.5</v>
      </c>
      <c r="B740" s="15" t="s">
        <v>1045</v>
      </c>
      <c r="C740" s="13"/>
      <c r="D740" s="16"/>
    </row>
    <row r="741" spans="1:7">
      <c r="A741" s="14" t="s">
        <v>1046</v>
      </c>
      <c r="B741" s="12" t="s">
        <v>1033</v>
      </c>
      <c r="C741" s="13"/>
      <c r="D741" s="16"/>
    </row>
    <row r="742" spans="1:7">
      <c r="A742" s="14" t="s">
        <v>1047</v>
      </c>
      <c r="B742" s="12" t="s">
        <v>1048</v>
      </c>
      <c r="C742" s="13" t="s">
        <v>11</v>
      </c>
      <c r="D742" s="17">
        <v>4111.95</v>
      </c>
      <c r="F742" s="6">
        <v>2548.15</v>
      </c>
      <c r="G742" s="7">
        <f t="shared" ref="G742:G746" si="91">(D742-F742)/F742</f>
        <v>0.613700135392343</v>
      </c>
    </row>
    <row r="743" spans="1:7">
      <c r="A743" s="14" t="s">
        <v>1049</v>
      </c>
      <c r="B743" s="12" t="s">
        <v>1050</v>
      </c>
      <c r="C743" s="13" t="s">
        <v>11</v>
      </c>
      <c r="D743" s="17">
        <v>3747.3</v>
      </c>
      <c r="F743" s="6">
        <v>2293.6</v>
      </c>
      <c r="G743" s="7">
        <f t="shared" si="91"/>
        <v>0.633807115451692</v>
      </c>
    </row>
    <row r="744" spans="1:7">
      <c r="A744" s="14" t="s">
        <v>1051</v>
      </c>
      <c r="B744" s="12" t="s">
        <v>1012</v>
      </c>
      <c r="C744" s="13"/>
      <c r="D744" s="16"/>
    </row>
    <row r="745" spans="1:7">
      <c r="A745" s="14" t="s">
        <v>1052</v>
      </c>
      <c r="B745" s="12" t="s">
        <v>1048</v>
      </c>
      <c r="C745" s="13" t="s">
        <v>11</v>
      </c>
      <c r="D745" s="17">
        <v>2869.1</v>
      </c>
      <c r="F745" s="6">
        <v>1795.6</v>
      </c>
      <c r="G745" s="7">
        <f t="shared" si="91"/>
        <v>0.59785030073513</v>
      </c>
    </row>
    <row r="746" spans="1:7">
      <c r="A746" s="14" t="s">
        <v>1053</v>
      </c>
      <c r="B746" s="12" t="s">
        <v>1050</v>
      </c>
      <c r="C746" s="13" t="s">
        <v>11</v>
      </c>
      <c r="D746" s="17">
        <v>2676.85</v>
      </c>
      <c r="F746" s="6">
        <v>1645.5</v>
      </c>
      <c r="G746" s="7">
        <f t="shared" si="91"/>
        <v>0.626769978729869</v>
      </c>
    </row>
    <row r="747" spans="1:7">
      <c r="A747" s="14" t="s">
        <v>1054</v>
      </c>
      <c r="B747" s="12" t="s">
        <v>1055</v>
      </c>
      <c r="C747" s="13"/>
      <c r="D747" s="16"/>
    </row>
    <row r="748" spans="1:7">
      <c r="A748" s="14" t="s">
        <v>1056</v>
      </c>
      <c r="B748" s="12" t="s">
        <v>1048</v>
      </c>
      <c r="C748" s="13" t="s">
        <v>11</v>
      </c>
      <c r="D748" s="17">
        <v>3638.35</v>
      </c>
      <c r="F748" s="6">
        <v>2500.15</v>
      </c>
      <c r="G748" s="7">
        <f t="shared" ref="G748:G753" si="92">(D748-F748)/F748</f>
        <v>0.45525268483891</v>
      </c>
    </row>
    <row r="749" spans="1:7">
      <c r="A749" s="14" t="s">
        <v>1057</v>
      </c>
      <c r="B749" s="12" t="s">
        <v>1050</v>
      </c>
      <c r="C749" s="13" t="s">
        <v>11</v>
      </c>
      <c r="D749" s="17">
        <v>3338.65</v>
      </c>
      <c r="F749" s="6">
        <v>2237.4</v>
      </c>
      <c r="G749" s="7">
        <f t="shared" si="92"/>
        <v>0.492200768749441</v>
      </c>
    </row>
    <row r="750" ht="77.5" spans="1:7">
      <c r="A750" s="14">
        <v>9.6</v>
      </c>
      <c r="B750" s="15" t="s">
        <v>1058</v>
      </c>
      <c r="C750" s="13"/>
      <c r="D750" s="16"/>
    </row>
    <row r="751" ht="46.5" spans="1:7">
      <c r="A751" s="14" t="s">
        <v>1059</v>
      </c>
      <c r="B751" s="12" t="s">
        <v>1060</v>
      </c>
      <c r="C751" s="13" t="s">
        <v>11</v>
      </c>
      <c r="D751" s="17">
        <v>3069.05</v>
      </c>
      <c r="F751" s="6">
        <v>2301.9</v>
      </c>
      <c r="G751" s="7">
        <f t="shared" si="92"/>
        <v>0.333268169772796</v>
      </c>
    </row>
    <row r="752" ht="62" spans="1:7">
      <c r="A752" s="14" t="s">
        <v>1061</v>
      </c>
      <c r="B752" s="12" t="s">
        <v>1062</v>
      </c>
      <c r="C752" s="13" t="s">
        <v>11</v>
      </c>
      <c r="D752" s="17">
        <v>3212.7</v>
      </c>
      <c r="F752" s="6">
        <v>2418.05</v>
      </c>
      <c r="G752" s="7">
        <f t="shared" si="92"/>
        <v>0.328632575835901</v>
      </c>
    </row>
    <row r="753" ht="77.5" spans="1:7">
      <c r="A753" s="14" t="s">
        <v>1063</v>
      </c>
      <c r="B753" s="12" t="s">
        <v>1064</v>
      </c>
      <c r="C753" s="13" t="s">
        <v>11</v>
      </c>
      <c r="D753" s="17">
        <v>3450.3</v>
      </c>
      <c r="F753" s="6">
        <v>2650.35</v>
      </c>
      <c r="G753" s="7">
        <f t="shared" si="92"/>
        <v>0.301828060444847</v>
      </c>
    </row>
    <row r="754" ht="62" spans="1:7">
      <c r="A754" s="14">
        <v>9.7</v>
      </c>
      <c r="B754" s="15" t="s">
        <v>1065</v>
      </c>
      <c r="C754" s="13"/>
      <c r="D754" s="16"/>
    </row>
    <row r="755" spans="1:7">
      <c r="A755" s="14" t="s">
        <v>1066</v>
      </c>
      <c r="B755" s="12" t="s">
        <v>1033</v>
      </c>
      <c r="C755" s="13" t="s">
        <v>11</v>
      </c>
      <c r="D755" s="17">
        <v>3323.2</v>
      </c>
      <c r="F755" s="6">
        <v>2037.05</v>
      </c>
      <c r="G755" s="7">
        <f t="shared" ref="G755:G759" si="93">(D755-F755)/F755</f>
        <v>0.631378709408213</v>
      </c>
    </row>
    <row r="756" spans="1:7">
      <c r="A756" s="14" t="s">
        <v>1067</v>
      </c>
      <c r="B756" s="12" t="s">
        <v>1012</v>
      </c>
      <c r="C756" s="13" t="s">
        <v>11</v>
      </c>
      <c r="D756" s="17">
        <v>2326.95</v>
      </c>
      <c r="F756" s="6">
        <v>1434.4</v>
      </c>
      <c r="G756" s="7">
        <f t="shared" si="93"/>
        <v>0.622246235359732</v>
      </c>
    </row>
    <row r="757" spans="1:7">
      <c r="A757" s="14" t="s">
        <v>1068</v>
      </c>
      <c r="B757" s="12" t="s">
        <v>1069</v>
      </c>
      <c r="C757" s="13"/>
      <c r="D757" s="16"/>
    </row>
    <row r="758" spans="1:7">
      <c r="A758" s="14" t="s">
        <v>1070</v>
      </c>
      <c r="B758" s="12" t="s">
        <v>1071</v>
      </c>
      <c r="C758" s="13" t="s">
        <v>11</v>
      </c>
      <c r="D758" s="17">
        <v>2724.25</v>
      </c>
      <c r="F758" s="6">
        <v>1643.7</v>
      </c>
      <c r="G758" s="7">
        <f t="shared" si="93"/>
        <v>0.657388817910811</v>
      </c>
    </row>
    <row r="759" ht="31" spans="1:7">
      <c r="A759" s="14" t="s">
        <v>1072</v>
      </c>
      <c r="B759" s="12" t="s">
        <v>1073</v>
      </c>
      <c r="C759" s="13" t="s">
        <v>11</v>
      </c>
      <c r="D759" s="17">
        <v>2698.4</v>
      </c>
      <c r="F759" s="6">
        <v>1704.2</v>
      </c>
      <c r="G759" s="7">
        <f t="shared" si="93"/>
        <v>0.583382232132379</v>
      </c>
    </row>
    <row r="760" spans="1:7">
      <c r="A760" s="14" t="s">
        <v>1074</v>
      </c>
      <c r="B760" s="12" t="s">
        <v>1075</v>
      </c>
      <c r="C760" s="13"/>
      <c r="D760" s="16"/>
    </row>
    <row r="761" ht="31" spans="1:7">
      <c r="A761" s="14" t="s">
        <v>1076</v>
      </c>
      <c r="B761" s="12" t="s">
        <v>1073</v>
      </c>
      <c r="C761" s="13" t="s">
        <v>11</v>
      </c>
      <c r="D761" s="17">
        <v>2907.05</v>
      </c>
      <c r="F761" s="6">
        <v>1845</v>
      </c>
      <c r="G761" s="7">
        <f t="shared" ref="G761:G766" si="94">(D761-F761)/F761</f>
        <v>0.575636856368564</v>
      </c>
    </row>
    <row r="762" spans="1:7">
      <c r="A762" s="14" t="s">
        <v>1077</v>
      </c>
      <c r="B762" s="12" t="s">
        <v>1078</v>
      </c>
      <c r="C762" s="13"/>
      <c r="D762" s="16"/>
    </row>
    <row r="763" ht="31" spans="1:7">
      <c r="A763" s="14" t="s">
        <v>1079</v>
      </c>
      <c r="B763" s="12" t="s">
        <v>1080</v>
      </c>
      <c r="C763" s="13" t="s">
        <v>11</v>
      </c>
      <c r="D763" s="17">
        <v>1693</v>
      </c>
      <c r="F763" s="6">
        <v>972.1</v>
      </c>
      <c r="G763" s="7">
        <f t="shared" si="94"/>
        <v>0.741590371360971</v>
      </c>
    </row>
    <row r="764" ht="31" spans="1:7">
      <c r="A764" s="14" t="s">
        <v>1081</v>
      </c>
      <c r="B764" s="12" t="s">
        <v>1082</v>
      </c>
      <c r="C764" s="13" t="s">
        <v>11</v>
      </c>
      <c r="D764" s="17">
        <v>2012.05</v>
      </c>
      <c r="F764" s="6">
        <v>1239.6</v>
      </c>
      <c r="G764" s="7">
        <f t="shared" si="94"/>
        <v>0.623144562762181</v>
      </c>
    </row>
    <row r="765" ht="31" spans="1:7">
      <c r="A765" s="14" t="s">
        <v>1083</v>
      </c>
      <c r="B765" s="12" t="s">
        <v>1084</v>
      </c>
      <c r="C765" s="13" t="s">
        <v>11</v>
      </c>
      <c r="D765" s="17">
        <v>2081.05</v>
      </c>
      <c r="F765" s="6">
        <v>1300.15</v>
      </c>
      <c r="G765" s="7">
        <f t="shared" si="94"/>
        <v>0.60062300503788</v>
      </c>
    </row>
    <row r="766" ht="31" spans="1:7">
      <c r="A766" s="14" t="s">
        <v>1085</v>
      </c>
      <c r="B766" s="12" t="s">
        <v>1086</v>
      </c>
      <c r="C766" s="13" t="s">
        <v>11</v>
      </c>
      <c r="D766" s="17">
        <v>2053.45</v>
      </c>
      <c r="F766" s="6">
        <v>1346.6</v>
      </c>
      <c r="G766" s="7">
        <f t="shared" si="94"/>
        <v>0.52491459973266</v>
      </c>
    </row>
    <row r="767" spans="1:7">
      <c r="A767" s="14" t="s">
        <v>1087</v>
      </c>
      <c r="B767" s="12" t="s">
        <v>1088</v>
      </c>
      <c r="C767" s="13"/>
      <c r="D767" s="16"/>
    </row>
    <row r="768" spans="1:7">
      <c r="A768" s="14" t="s">
        <v>1089</v>
      </c>
      <c r="B768" s="12" t="s">
        <v>1000</v>
      </c>
      <c r="C768" s="13" t="s">
        <v>11</v>
      </c>
      <c r="D768" s="17">
        <v>2253.45</v>
      </c>
      <c r="F768" s="6">
        <v>1493.05</v>
      </c>
      <c r="G768" s="7">
        <f t="shared" ref="G768:G772" si="95">(D768-F768)/F768</f>
        <v>0.509293057834634</v>
      </c>
    </row>
    <row r="769" spans="1:7">
      <c r="A769" s="14" t="s">
        <v>1090</v>
      </c>
      <c r="B769" s="12" t="s">
        <v>1091</v>
      </c>
      <c r="C769" s="13"/>
      <c r="D769" s="16"/>
    </row>
    <row r="770" spans="1:7">
      <c r="A770" s="14" t="s">
        <v>1092</v>
      </c>
      <c r="B770" s="12" t="s">
        <v>1093</v>
      </c>
      <c r="C770" s="13" t="s">
        <v>11</v>
      </c>
      <c r="D770" s="17">
        <v>2241.8</v>
      </c>
      <c r="F770" s="6">
        <v>1169.6</v>
      </c>
      <c r="G770" s="7">
        <f t="shared" si="95"/>
        <v>0.916723666210671</v>
      </c>
    </row>
    <row r="771" spans="1:7">
      <c r="A771" s="14" t="s">
        <v>1094</v>
      </c>
      <c r="B771" s="12" t="s">
        <v>1095</v>
      </c>
      <c r="C771" s="13" t="s">
        <v>11</v>
      </c>
      <c r="D771" s="17">
        <v>2600.45</v>
      </c>
      <c r="F771" s="6">
        <v>1456.8</v>
      </c>
      <c r="G771" s="7">
        <f t="shared" si="95"/>
        <v>0.785042559033498</v>
      </c>
    </row>
    <row r="772" ht="31" spans="1:7">
      <c r="A772" s="14" t="s">
        <v>1096</v>
      </c>
      <c r="B772" s="12" t="s">
        <v>1097</v>
      </c>
      <c r="C772" s="13" t="s">
        <v>11</v>
      </c>
      <c r="D772" s="17">
        <v>1800.45</v>
      </c>
      <c r="F772" s="6">
        <v>1383.5</v>
      </c>
      <c r="G772" s="7">
        <f t="shared" si="95"/>
        <v>0.301373328514637</v>
      </c>
    </row>
    <row r="773" ht="46.5" spans="1:7">
      <c r="A773" s="14">
        <v>9.9</v>
      </c>
      <c r="B773" s="15" t="s">
        <v>1098</v>
      </c>
      <c r="C773" s="13"/>
      <c r="D773" s="16"/>
    </row>
    <row r="774" spans="1:7">
      <c r="A774" s="14" t="s">
        <v>1099</v>
      </c>
      <c r="B774" s="12" t="s">
        <v>1033</v>
      </c>
      <c r="C774" s="13"/>
      <c r="D774" s="16"/>
    </row>
    <row r="775" spans="1:7">
      <c r="A775" s="14" t="s">
        <v>1100</v>
      </c>
      <c r="B775" s="12" t="s">
        <v>1101</v>
      </c>
      <c r="C775" s="13" t="s">
        <v>11</v>
      </c>
      <c r="D775" s="17">
        <v>4940.2</v>
      </c>
      <c r="F775" s="6">
        <v>3059.6</v>
      </c>
      <c r="G775" s="7">
        <f t="shared" ref="G775:G779" si="96">(D775-F775)/F775</f>
        <v>0.614655510524251</v>
      </c>
    </row>
    <row r="776" spans="1:7">
      <c r="A776" s="14" t="s">
        <v>1102</v>
      </c>
      <c r="B776" s="12" t="s">
        <v>907</v>
      </c>
      <c r="C776" s="13" t="s">
        <v>11</v>
      </c>
      <c r="D776" s="17">
        <v>4523.4</v>
      </c>
      <c r="F776" s="6">
        <v>2768.7</v>
      </c>
      <c r="G776" s="7">
        <f t="shared" si="96"/>
        <v>0.633763137934771</v>
      </c>
    </row>
    <row r="777" spans="1:7">
      <c r="A777" s="14" t="s">
        <v>1103</v>
      </c>
      <c r="B777" s="12" t="s">
        <v>1012</v>
      </c>
      <c r="C777" s="13"/>
      <c r="D777" s="16"/>
    </row>
    <row r="778" spans="1:7">
      <c r="A778" s="14" t="s">
        <v>1104</v>
      </c>
      <c r="B778" s="12" t="s">
        <v>1101</v>
      </c>
      <c r="C778" s="13" t="s">
        <v>11</v>
      </c>
      <c r="D778" s="17">
        <v>3524.85</v>
      </c>
      <c r="F778" s="6">
        <v>2202.6</v>
      </c>
      <c r="G778" s="7">
        <f t="shared" si="96"/>
        <v>0.600313266140016</v>
      </c>
    </row>
    <row r="779" spans="1:7">
      <c r="A779" s="14" t="s">
        <v>1105</v>
      </c>
      <c r="B779" s="12" t="s">
        <v>907</v>
      </c>
      <c r="C779" s="13" t="s">
        <v>11</v>
      </c>
      <c r="D779" s="17">
        <v>3305.2</v>
      </c>
      <c r="F779" s="6">
        <v>2031.1</v>
      </c>
      <c r="G779" s="7">
        <f t="shared" si="96"/>
        <v>0.627295554133228</v>
      </c>
    </row>
    <row r="780" spans="1:7">
      <c r="A780" s="14" t="s">
        <v>1106</v>
      </c>
      <c r="B780" s="12" t="s">
        <v>1055</v>
      </c>
      <c r="C780" s="13"/>
      <c r="D780" s="16"/>
    </row>
    <row r="781" spans="1:7">
      <c r="A781" s="14" t="s">
        <v>1107</v>
      </c>
      <c r="B781" s="12" t="s">
        <v>1101</v>
      </c>
      <c r="C781" s="13" t="s">
        <v>11</v>
      </c>
      <c r="D781" s="17">
        <v>4401.55</v>
      </c>
      <c r="F781" s="6">
        <v>3005</v>
      </c>
      <c r="G781" s="7">
        <f t="shared" ref="G781:G784" si="97">(D781-F781)/F781</f>
        <v>0.464742096505824</v>
      </c>
    </row>
    <row r="782" spans="1:7">
      <c r="A782" s="14" t="s">
        <v>1108</v>
      </c>
      <c r="B782" s="12" t="s">
        <v>907</v>
      </c>
      <c r="C782" s="13" t="s">
        <v>11</v>
      </c>
      <c r="D782" s="17">
        <v>4059.05</v>
      </c>
      <c r="F782" s="6">
        <v>2721.65</v>
      </c>
      <c r="G782" s="7">
        <f t="shared" si="97"/>
        <v>0.491393088751309</v>
      </c>
    </row>
    <row r="783" ht="77.5" spans="1:7">
      <c r="A783" s="18">
        <v>9.1</v>
      </c>
      <c r="B783" s="15" t="s">
        <v>1109</v>
      </c>
      <c r="C783" s="13"/>
      <c r="D783" s="16"/>
    </row>
    <row r="784" spans="1:7">
      <c r="A784" s="14" t="s">
        <v>1110</v>
      </c>
      <c r="B784" s="12" t="s">
        <v>1050</v>
      </c>
      <c r="C784" s="13" t="s">
        <v>11</v>
      </c>
      <c r="D784" s="17">
        <v>3066.2</v>
      </c>
      <c r="F784" s="6">
        <v>2301.9</v>
      </c>
      <c r="G784" s="7">
        <f t="shared" si="97"/>
        <v>0.332030062122594</v>
      </c>
    </row>
    <row r="785" ht="46.5" spans="1:7">
      <c r="A785" s="18">
        <v>9.11</v>
      </c>
      <c r="B785" s="15" t="s">
        <v>1111</v>
      </c>
      <c r="C785" s="13"/>
      <c r="D785" s="16"/>
    </row>
    <row r="786" ht="31" spans="1:7">
      <c r="A786" s="14" t="s">
        <v>1112</v>
      </c>
      <c r="B786" s="12" t="s">
        <v>1113</v>
      </c>
      <c r="C786" s="13" t="s">
        <v>11</v>
      </c>
      <c r="D786" s="17">
        <v>295.9</v>
      </c>
      <c r="F786" s="6">
        <v>236.95</v>
      </c>
      <c r="G786" s="7">
        <f t="shared" ref="G786:G789" si="98">(D786-F786)/F786</f>
        <v>0.248786663853134</v>
      </c>
    </row>
    <row r="787" ht="62" spans="1:7">
      <c r="A787" s="18">
        <v>9.12</v>
      </c>
      <c r="B787" s="15" t="s">
        <v>1114</v>
      </c>
      <c r="C787" s="13" t="s">
        <v>11</v>
      </c>
      <c r="D787" s="17">
        <v>176.4</v>
      </c>
      <c r="F787" s="6">
        <v>74.35</v>
      </c>
      <c r="G787" s="7">
        <f t="shared" si="98"/>
        <v>1.37256220578346</v>
      </c>
    </row>
    <row r="788" ht="62" spans="1:7">
      <c r="A788" s="18">
        <v>9.13</v>
      </c>
      <c r="B788" s="15" t="s">
        <v>1115</v>
      </c>
      <c r="C788" s="13" t="s">
        <v>11</v>
      </c>
      <c r="D788" s="17">
        <v>73.95</v>
      </c>
      <c r="F788" s="6">
        <v>39.3</v>
      </c>
      <c r="G788" s="7">
        <f t="shared" si="98"/>
        <v>0.881679389312977</v>
      </c>
    </row>
    <row r="789" ht="46.5" spans="1:7">
      <c r="A789" s="18">
        <v>9.14</v>
      </c>
      <c r="B789" s="15" t="s">
        <v>1116</v>
      </c>
      <c r="C789" s="13" t="s">
        <v>11</v>
      </c>
      <c r="D789" s="17">
        <v>193.55</v>
      </c>
      <c r="F789" s="6">
        <v>99.8</v>
      </c>
      <c r="G789" s="7">
        <f t="shared" si="98"/>
        <v>0.93937875751503</v>
      </c>
    </row>
    <row r="790" spans="1:7">
      <c r="A790" s="18">
        <v>9.15</v>
      </c>
      <c r="B790" s="15" t="s">
        <v>1117</v>
      </c>
      <c r="C790" s="13"/>
      <c r="D790" s="16"/>
    </row>
    <row r="791" spans="1:7">
      <c r="A791" s="14" t="s">
        <v>1118</v>
      </c>
      <c r="B791" s="12" t="s">
        <v>1119</v>
      </c>
      <c r="C791" s="13"/>
      <c r="D791" s="16"/>
      <c r="F791" s="8"/>
    </row>
    <row r="792" spans="1:7">
      <c r="A792" s="14" t="s">
        <v>1120</v>
      </c>
      <c r="B792" s="12" t="s">
        <v>1121</v>
      </c>
      <c r="C792" s="13" t="s">
        <v>11</v>
      </c>
      <c r="D792" s="17">
        <v>253.3</v>
      </c>
      <c r="F792" s="6">
        <v>150.25</v>
      </c>
      <c r="G792" s="7">
        <f t="shared" ref="G792:G798" si="99">(D792-F792)/F792</f>
        <v>0.68585690515807</v>
      </c>
    </row>
    <row r="793" ht="31" spans="1:7">
      <c r="A793" s="14" t="s">
        <v>1122</v>
      </c>
      <c r="B793" s="12" t="s">
        <v>1123</v>
      </c>
      <c r="C793" s="13"/>
      <c r="D793" s="16"/>
    </row>
    <row r="794" spans="1:7">
      <c r="A794" s="14" t="s">
        <v>1124</v>
      </c>
      <c r="B794" s="12" t="s">
        <v>1121</v>
      </c>
      <c r="C794" s="13" t="s">
        <v>11</v>
      </c>
      <c r="D794" s="17">
        <v>59.8</v>
      </c>
      <c r="F794" s="6">
        <v>50.45</v>
      </c>
      <c r="G794" s="7">
        <f t="shared" si="99"/>
        <v>0.185332011892963</v>
      </c>
    </row>
    <row r="795" spans="1:7">
      <c r="A795" s="18">
        <v>9.16</v>
      </c>
      <c r="B795" s="15" t="s">
        <v>1125</v>
      </c>
      <c r="C795" s="13"/>
      <c r="D795" s="16"/>
    </row>
    <row r="796" spans="1:7">
      <c r="A796" s="14" t="s">
        <v>1126</v>
      </c>
      <c r="B796" s="12" t="s">
        <v>1127</v>
      </c>
      <c r="C796" s="13"/>
      <c r="D796" s="16"/>
    </row>
    <row r="797" ht="31" spans="1:7">
      <c r="A797" s="14" t="s">
        <v>1128</v>
      </c>
      <c r="B797" s="12" t="s">
        <v>1129</v>
      </c>
      <c r="C797" s="13" t="s">
        <v>11</v>
      </c>
      <c r="D797" s="17">
        <v>4402.85</v>
      </c>
      <c r="F797" s="6">
        <v>2613.05</v>
      </c>
      <c r="G797" s="7">
        <f t="shared" si="99"/>
        <v>0.684946709783586</v>
      </c>
    </row>
    <row r="798" ht="31" spans="1:7">
      <c r="A798" s="14" t="s">
        <v>1130</v>
      </c>
      <c r="B798" s="12" t="s">
        <v>1131</v>
      </c>
      <c r="C798" s="13" t="s">
        <v>11</v>
      </c>
      <c r="D798" s="17">
        <v>4542.9</v>
      </c>
      <c r="F798" s="6">
        <v>2744.6</v>
      </c>
      <c r="G798" s="7">
        <f t="shared" si="99"/>
        <v>0.655213874517234</v>
      </c>
    </row>
    <row r="799" spans="1:7">
      <c r="A799" s="14" t="s">
        <v>1132</v>
      </c>
      <c r="B799" s="12" t="s">
        <v>1133</v>
      </c>
      <c r="C799" s="13"/>
      <c r="D799" s="16"/>
    </row>
    <row r="800" ht="31" spans="1:7">
      <c r="A800" s="14" t="s">
        <v>1134</v>
      </c>
      <c r="B800" s="12" t="s">
        <v>1135</v>
      </c>
      <c r="C800" s="13" t="s">
        <v>11</v>
      </c>
      <c r="D800" s="17">
        <v>4193.25</v>
      </c>
      <c r="F800" s="6">
        <v>2537.85</v>
      </c>
      <c r="G800" s="7">
        <f t="shared" ref="G800:G804" si="100">(D800-F800)/F800</f>
        <v>0.652284413972457</v>
      </c>
    </row>
    <row r="801" ht="31" spans="1:7">
      <c r="A801" s="14" t="s">
        <v>1136</v>
      </c>
      <c r="B801" s="12" t="s">
        <v>1131</v>
      </c>
      <c r="C801" s="13" t="s">
        <v>11</v>
      </c>
      <c r="D801" s="17">
        <v>4241.15</v>
      </c>
      <c r="F801" s="6">
        <v>2572.5</v>
      </c>
      <c r="G801" s="7">
        <f t="shared" si="100"/>
        <v>0.648649173955296</v>
      </c>
    </row>
    <row r="802" ht="46.5" spans="1:7">
      <c r="A802" s="18">
        <v>9.17</v>
      </c>
      <c r="B802" s="15" t="s">
        <v>1137</v>
      </c>
      <c r="C802" s="13"/>
      <c r="D802" s="16"/>
    </row>
    <row r="803" spans="1:7">
      <c r="A803" s="14" t="s">
        <v>1138</v>
      </c>
      <c r="B803" s="12" t="s">
        <v>1000</v>
      </c>
      <c r="C803" s="13" t="s">
        <v>11</v>
      </c>
      <c r="D803" s="17">
        <v>802.95</v>
      </c>
      <c r="F803" s="6">
        <v>542.05</v>
      </c>
      <c r="G803" s="7">
        <f t="shared" si="100"/>
        <v>0.481320911355041</v>
      </c>
    </row>
    <row r="804" spans="1:7">
      <c r="A804" s="14" t="s">
        <v>1139</v>
      </c>
      <c r="B804" s="12" t="s">
        <v>1006</v>
      </c>
      <c r="C804" s="13" t="s">
        <v>11</v>
      </c>
      <c r="D804" s="17">
        <v>1020.95</v>
      </c>
      <c r="F804" s="6">
        <v>677.95</v>
      </c>
      <c r="G804" s="7">
        <f t="shared" si="100"/>
        <v>0.50593701600413</v>
      </c>
    </row>
    <row r="805" ht="77.5" spans="1:7">
      <c r="A805" s="18">
        <v>9.18</v>
      </c>
      <c r="B805" s="15" t="s">
        <v>1140</v>
      </c>
      <c r="C805" s="13"/>
      <c r="D805" s="16"/>
    </row>
    <row r="806" spans="1:7">
      <c r="A806" s="14" t="s">
        <v>1141</v>
      </c>
      <c r="B806" s="12" t="s">
        <v>1006</v>
      </c>
      <c r="C806" s="13" t="s">
        <v>11</v>
      </c>
      <c r="D806" s="17">
        <v>1245.75</v>
      </c>
      <c r="F806" s="6">
        <v>990.5</v>
      </c>
      <c r="G806" s="7">
        <f t="shared" ref="G806:G811" si="101">(D806-F806)/F806</f>
        <v>0.257698132256436</v>
      </c>
    </row>
    <row r="807" spans="1:7">
      <c r="A807" s="14" t="s">
        <v>1142</v>
      </c>
      <c r="B807" s="12" t="s">
        <v>465</v>
      </c>
      <c r="C807" s="13" t="s">
        <v>11</v>
      </c>
      <c r="D807" s="17">
        <v>1715.2</v>
      </c>
      <c r="F807" s="6">
        <v>1304.55</v>
      </c>
      <c r="G807" s="7">
        <f t="shared" si="101"/>
        <v>0.314782875320992</v>
      </c>
    </row>
    <row r="808" ht="62" spans="1:7">
      <c r="A808" s="18">
        <v>9.2</v>
      </c>
      <c r="B808" s="15" t="s">
        <v>1143</v>
      </c>
      <c r="C808" s="13"/>
      <c r="D808" s="16"/>
    </row>
    <row r="809" spans="1:7">
      <c r="A809" s="14" t="s">
        <v>1144</v>
      </c>
      <c r="B809" s="12" t="s">
        <v>1145</v>
      </c>
      <c r="C809" s="13" t="s">
        <v>11</v>
      </c>
      <c r="D809" s="17">
        <v>3473.85</v>
      </c>
      <c r="F809" s="6">
        <v>2488.95</v>
      </c>
      <c r="G809" s="7">
        <f t="shared" si="101"/>
        <v>0.395709033929971</v>
      </c>
    </row>
    <row r="810" spans="1:7">
      <c r="A810" s="14" t="s">
        <v>1146</v>
      </c>
      <c r="B810" s="12" t="s">
        <v>1147</v>
      </c>
      <c r="C810" s="13" t="s">
        <v>11</v>
      </c>
      <c r="D810" s="17">
        <v>3167.95</v>
      </c>
      <c r="F810" s="6">
        <v>2372.8</v>
      </c>
      <c r="G810" s="7">
        <f t="shared" si="101"/>
        <v>0.335110418071477</v>
      </c>
    </row>
    <row r="811" ht="31" spans="1:7">
      <c r="A811" s="14" t="s">
        <v>1148</v>
      </c>
      <c r="B811" s="12" t="s">
        <v>1149</v>
      </c>
      <c r="C811" s="13" t="s">
        <v>11</v>
      </c>
      <c r="D811" s="17">
        <v>2819.25</v>
      </c>
      <c r="F811" s="6">
        <v>2129.1</v>
      </c>
      <c r="G811" s="7">
        <f t="shared" si="101"/>
        <v>0.324151049739327</v>
      </c>
    </row>
    <row r="812" ht="62" spans="1:7">
      <c r="A812" s="18">
        <v>9.21</v>
      </c>
      <c r="B812" s="15" t="s">
        <v>1150</v>
      </c>
      <c r="C812" s="13"/>
      <c r="D812" s="16"/>
    </row>
    <row r="813" spans="1:7">
      <c r="A813" s="14" t="s">
        <v>1151</v>
      </c>
      <c r="B813" s="12" t="s">
        <v>1145</v>
      </c>
      <c r="C813" s="13" t="s">
        <v>11</v>
      </c>
      <c r="D813" s="17">
        <v>2392.65</v>
      </c>
      <c r="F813" s="6">
        <v>1559.75</v>
      </c>
      <c r="G813" s="7">
        <f t="shared" ref="G813:G815" si="102">(D813-F813)/F813</f>
        <v>0.533995832665491</v>
      </c>
    </row>
    <row r="814" spans="1:7">
      <c r="A814" s="14" t="s">
        <v>1152</v>
      </c>
      <c r="B814" s="12" t="s">
        <v>1147</v>
      </c>
      <c r="C814" s="13" t="s">
        <v>11</v>
      </c>
      <c r="D814" s="17">
        <v>2172.1</v>
      </c>
      <c r="F814" s="6">
        <v>1559.75</v>
      </c>
      <c r="G814" s="7">
        <f t="shared" si="102"/>
        <v>0.39259496714217</v>
      </c>
    </row>
    <row r="815" ht="31" spans="1:7">
      <c r="A815" s="14" t="s">
        <v>1153</v>
      </c>
      <c r="B815" s="12" t="s">
        <v>1154</v>
      </c>
      <c r="C815" s="13" t="s">
        <v>11</v>
      </c>
      <c r="D815" s="17">
        <v>2093.7</v>
      </c>
      <c r="F815" s="6">
        <v>1501.9</v>
      </c>
      <c r="G815" s="7">
        <f t="shared" si="102"/>
        <v>0.394034223317131</v>
      </c>
    </row>
    <row r="816" ht="31" spans="1:7">
      <c r="A816" s="18">
        <v>9.22</v>
      </c>
      <c r="B816" s="15" t="s">
        <v>1155</v>
      </c>
      <c r="C816" s="13"/>
      <c r="D816" s="16"/>
    </row>
    <row r="817" spans="1:7">
      <c r="A817" s="14" t="s">
        <v>1156</v>
      </c>
      <c r="B817" s="12" t="s">
        <v>1157</v>
      </c>
      <c r="C817" s="13" t="s">
        <v>11</v>
      </c>
      <c r="D817" s="17">
        <v>478</v>
      </c>
      <c r="F817" s="6">
        <v>394.9</v>
      </c>
      <c r="G817" s="7">
        <f t="shared" ref="G817:G821" si="103">(D817-F817)/F817</f>
        <v>0.210433021017979</v>
      </c>
    </row>
    <row r="818" ht="31" spans="1:7">
      <c r="A818" s="18">
        <v>9.23</v>
      </c>
      <c r="B818" s="15" t="s">
        <v>1158</v>
      </c>
      <c r="C818" s="13" t="s">
        <v>11</v>
      </c>
      <c r="D818" s="17">
        <v>462.35</v>
      </c>
      <c r="F818" s="6">
        <v>365.85</v>
      </c>
      <c r="G818" s="7">
        <f t="shared" si="103"/>
        <v>0.26376930435971</v>
      </c>
    </row>
    <row r="819" ht="31" spans="1:7">
      <c r="A819" s="18">
        <v>9.24</v>
      </c>
      <c r="B819" s="15" t="s">
        <v>1159</v>
      </c>
      <c r="C819" s="13"/>
      <c r="D819" s="16"/>
    </row>
    <row r="820" spans="1:7">
      <c r="A820" s="14" t="s">
        <v>1160</v>
      </c>
      <c r="B820" s="12" t="s">
        <v>1161</v>
      </c>
      <c r="C820" s="13" t="s">
        <v>11</v>
      </c>
      <c r="D820" s="17">
        <v>199.15</v>
      </c>
      <c r="F820" s="6">
        <v>162.6</v>
      </c>
      <c r="G820" s="7">
        <f t="shared" si="103"/>
        <v>0.224784747847479</v>
      </c>
    </row>
    <row r="821" spans="1:7">
      <c r="A821" s="14" t="s">
        <v>1162</v>
      </c>
      <c r="B821" s="12" t="s">
        <v>1163</v>
      </c>
      <c r="C821" s="13" t="s">
        <v>11</v>
      </c>
      <c r="D821" s="17">
        <v>206.3</v>
      </c>
      <c r="F821" s="6">
        <v>174.25</v>
      </c>
      <c r="G821" s="7">
        <f t="shared" si="103"/>
        <v>0.183931133428981</v>
      </c>
    </row>
    <row r="822" ht="31" spans="1:7">
      <c r="A822" s="18">
        <v>9.25</v>
      </c>
      <c r="B822" s="15" t="s">
        <v>1164</v>
      </c>
      <c r="C822" s="13"/>
      <c r="D822" s="16"/>
    </row>
    <row r="823" spans="1:7">
      <c r="A823" s="14" t="s">
        <v>1165</v>
      </c>
      <c r="B823" s="12" t="s">
        <v>1166</v>
      </c>
      <c r="C823" s="13" t="s">
        <v>11</v>
      </c>
      <c r="D823" s="17">
        <v>405.45</v>
      </c>
      <c r="F823" s="6">
        <v>377.5</v>
      </c>
      <c r="G823" s="7">
        <f t="shared" ref="G823:G830" si="104">(D823-F823)/F823</f>
        <v>0.0740397350993377</v>
      </c>
    </row>
    <row r="824" spans="1:7">
      <c r="A824" s="18">
        <v>9.26</v>
      </c>
      <c r="B824" s="15" t="s">
        <v>1167</v>
      </c>
      <c r="C824" s="13" t="s">
        <v>11</v>
      </c>
      <c r="D824" s="17">
        <v>106.7</v>
      </c>
      <c r="F824" s="6">
        <v>127.75</v>
      </c>
      <c r="G824" s="7">
        <f t="shared" si="104"/>
        <v>-0.164774951076321</v>
      </c>
    </row>
    <row r="825" ht="46.5" spans="1:7">
      <c r="A825" s="18">
        <v>9.27</v>
      </c>
      <c r="B825" s="15" t="s">
        <v>1168</v>
      </c>
      <c r="C825" s="13"/>
      <c r="D825" s="16"/>
    </row>
    <row r="826" spans="1:7">
      <c r="A826" s="14" t="s">
        <v>1169</v>
      </c>
      <c r="B826" s="12" t="s">
        <v>1048</v>
      </c>
      <c r="C826" s="13"/>
      <c r="D826" s="16"/>
    </row>
    <row r="827" spans="1:7">
      <c r="A827" s="14" t="s">
        <v>1170</v>
      </c>
      <c r="B827" s="12" t="s">
        <v>1171</v>
      </c>
      <c r="C827" s="13"/>
      <c r="D827" s="16"/>
    </row>
    <row r="828" spans="1:7">
      <c r="A828" s="14" t="s">
        <v>1172</v>
      </c>
      <c r="B828" s="12" t="s">
        <v>1033</v>
      </c>
      <c r="C828" s="13" t="s">
        <v>11</v>
      </c>
      <c r="D828" s="17">
        <v>4852.3</v>
      </c>
      <c r="F828" s="6">
        <v>2940.5</v>
      </c>
      <c r="G828" s="7">
        <f t="shared" si="104"/>
        <v>0.650161537153545</v>
      </c>
    </row>
    <row r="829" spans="1:7">
      <c r="A829" s="14" t="s">
        <v>1173</v>
      </c>
      <c r="B829" s="12" t="s">
        <v>1012</v>
      </c>
      <c r="C829" s="13" t="s">
        <v>11</v>
      </c>
      <c r="D829" s="17">
        <v>3599.4</v>
      </c>
      <c r="F829" s="6">
        <v>2181.85</v>
      </c>
      <c r="G829" s="7">
        <f t="shared" si="104"/>
        <v>0.649700941861265</v>
      </c>
    </row>
    <row r="830" spans="1:7">
      <c r="A830" s="14" t="s">
        <v>1174</v>
      </c>
      <c r="B830" s="12" t="s">
        <v>1175</v>
      </c>
      <c r="C830" s="13" t="s">
        <v>11</v>
      </c>
      <c r="D830" s="17">
        <v>4375</v>
      </c>
      <c r="F830" s="6">
        <v>2892.1</v>
      </c>
      <c r="G830" s="7">
        <f t="shared" si="104"/>
        <v>0.512741606445144</v>
      </c>
    </row>
    <row r="831" spans="1:7">
      <c r="A831" s="14" t="s">
        <v>1176</v>
      </c>
      <c r="B831" s="12" t="s">
        <v>1177</v>
      </c>
      <c r="C831" s="13"/>
      <c r="D831" s="16"/>
    </row>
    <row r="832" spans="1:7">
      <c r="A832" s="14" t="s">
        <v>1178</v>
      </c>
      <c r="B832" s="12" t="s">
        <v>1033</v>
      </c>
      <c r="C832" s="13" t="s">
        <v>11</v>
      </c>
      <c r="D832" s="17">
        <v>5045.85</v>
      </c>
      <c r="F832" s="6">
        <v>3040.3</v>
      </c>
      <c r="G832" s="7">
        <f t="shared" ref="G832:G834" si="105">(D832-F832)/F832</f>
        <v>0.659655297174621</v>
      </c>
    </row>
    <row r="833" spans="1:7">
      <c r="A833" s="14" t="s">
        <v>1179</v>
      </c>
      <c r="B833" s="12" t="s">
        <v>1012</v>
      </c>
      <c r="C833" s="13" t="s">
        <v>11</v>
      </c>
      <c r="D833" s="17">
        <v>3792.95</v>
      </c>
      <c r="F833" s="6">
        <v>2281.65</v>
      </c>
      <c r="G833" s="7">
        <f t="shared" si="105"/>
        <v>0.662371529375671</v>
      </c>
    </row>
    <row r="834" spans="1:7">
      <c r="A834" s="14" t="s">
        <v>1180</v>
      </c>
      <c r="B834" s="12" t="s">
        <v>1175</v>
      </c>
      <c r="C834" s="13" t="s">
        <v>11</v>
      </c>
      <c r="D834" s="17">
        <v>4568.5</v>
      </c>
      <c r="F834" s="6">
        <v>2991.95</v>
      </c>
      <c r="G834" s="7">
        <f t="shared" si="105"/>
        <v>0.526930597102224</v>
      </c>
    </row>
    <row r="835" spans="1:7">
      <c r="A835" s="14" t="s">
        <v>1181</v>
      </c>
      <c r="B835" s="12" t="s">
        <v>1050</v>
      </c>
      <c r="C835" s="13"/>
      <c r="D835" s="16"/>
    </row>
    <row r="836" spans="1:7">
      <c r="A836" s="14" t="s">
        <v>1182</v>
      </c>
      <c r="B836" s="12" t="s">
        <v>1171</v>
      </c>
      <c r="C836" s="13"/>
      <c r="D836" s="16"/>
    </row>
    <row r="837" spans="1:7">
      <c r="A837" s="14" t="s">
        <v>1183</v>
      </c>
      <c r="B837" s="12" t="s">
        <v>1033</v>
      </c>
      <c r="C837" s="13" t="s">
        <v>11</v>
      </c>
      <c r="D837" s="17">
        <v>4326.8</v>
      </c>
      <c r="F837" s="6">
        <v>2609.95</v>
      </c>
      <c r="G837" s="7">
        <f t="shared" ref="G837:G839" si="106">(D837-F837)/F837</f>
        <v>0.657809536581161</v>
      </c>
    </row>
    <row r="838" spans="1:7">
      <c r="A838" s="14" t="s">
        <v>1184</v>
      </c>
      <c r="B838" s="12" t="s">
        <v>1012</v>
      </c>
      <c r="C838" s="13" t="s">
        <v>11</v>
      </c>
      <c r="D838" s="17">
        <v>3254.25</v>
      </c>
      <c r="F838" s="6">
        <v>1961.8</v>
      </c>
      <c r="G838" s="7">
        <f t="shared" si="106"/>
        <v>0.658808237333061</v>
      </c>
    </row>
    <row r="839" spans="1:7">
      <c r="A839" s="14" t="s">
        <v>1185</v>
      </c>
      <c r="B839" s="12" t="s">
        <v>1175</v>
      </c>
      <c r="C839" s="13" t="s">
        <v>11</v>
      </c>
      <c r="D839" s="17">
        <v>3918.15</v>
      </c>
      <c r="F839" s="6">
        <v>2568.5</v>
      </c>
      <c r="G839" s="7">
        <f t="shared" si="106"/>
        <v>0.525462332100448</v>
      </c>
    </row>
    <row r="840" spans="1:7">
      <c r="A840" s="14" t="s">
        <v>1186</v>
      </c>
      <c r="B840" s="12" t="s">
        <v>1177</v>
      </c>
      <c r="C840" s="13"/>
      <c r="D840" s="16"/>
    </row>
    <row r="841" spans="1:7">
      <c r="A841" s="14" t="s">
        <v>1187</v>
      </c>
      <c r="B841" s="12" t="s">
        <v>1033</v>
      </c>
      <c r="C841" s="13" t="s">
        <v>11</v>
      </c>
      <c r="D841" s="17">
        <v>4520.3</v>
      </c>
      <c r="F841" s="6">
        <v>2709.75</v>
      </c>
      <c r="G841" s="7">
        <f t="shared" ref="G841:G843" si="107">(D841-F841)/F841</f>
        <v>0.668161269489805</v>
      </c>
    </row>
    <row r="842" spans="1:7">
      <c r="A842" s="14" t="s">
        <v>1188</v>
      </c>
      <c r="B842" s="12" t="s">
        <v>1012</v>
      </c>
      <c r="C842" s="13" t="s">
        <v>11</v>
      </c>
      <c r="D842" s="17">
        <v>3447.8</v>
      </c>
      <c r="F842" s="6">
        <v>2061.5</v>
      </c>
      <c r="G842" s="7">
        <f t="shared" si="107"/>
        <v>0.67247150133398</v>
      </c>
    </row>
    <row r="843" spans="1:7">
      <c r="A843" s="14" t="s">
        <v>1189</v>
      </c>
      <c r="B843" s="12" t="s">
        <v>1175</v>
      </c>
      <c r="C843" s="13" t="s">
        <v>11</v>
      </c>
      <c r="D843" s="17">
        <v>4111.7</v>
      </c>
      <c r="F843" s="6">
        <v>2668.35</v>
      </c>
      <c r="G843" s="7">
        <f t="shared" si="107"/>
        <v>0.540914797534057</v>
      </c>
    </row>
    <row r="844" ht="93" spans="1:7">
      <c r="A844" s="18">
        <v>9.31</v>
      </c>
      <c r="B844" s="15" t="s">
        <v>1190</v>
      </c>
      <c r="C844" s="13"/>
      <c r="D844" s="16"/>
    </row>
    <row r="845" spans="1:7">
      <c r="A845" s="14" t="s">
        <v>1191</v>
      </c>
      <c r="B845" s="12" t="s">
        <v>1048</v>
      </c>
      <c r="C845" s="13" t="s">
        <v>11</v>
      </c>
      <c r="D845" s="17">
        <v>3066.2</v>
      </c>
      <c r="F845" s="6">
        <v>2301.9</v>
      </c>
      <c r="G845" s="7">
        <f t="shared" ref="G845:G851" si="108">(D845-F845)/F845</f>
        <v>0.332030062122594</v>
      </c>
    </row>
    <row r="846" spans="1:7">
      <c r="A846" s="14" t="s">
        <v>1192</v>
      </c>
      <c r="B846" s="12" t="s">
        <v>1050</v>
      </c>
      <c r="C846" s="13" t="s">
        <v>11</v>
      </c>
      <c r="D846" s="17">
        <v>2803</v>
      </c>
      <c r="F846" s="6">
        <v>2069.6</v>
      </c>
      <c r="G846" s="7">
        <f t="shared" si="108"/>
        <v>0.35436799381523</v>
      </c>
    </row>
    <row r="847" spans="1:7">
      <c r="A847" s="14"/>
      <c r="B847" s="15" t="s">
        <v>1193</v>
      </c>
      <c r="C847" s="13"/>
      <c r="D847" s="16"/>
    </row>
    <row r="848" ht="31" spans="1:7">
      <c r="A848" s="18">
        <v>9.4</v>
      </c>
      <c r="B848" s="15" t="s">
        <v>1194</v>
      </c>
      <c r="C848" s="13"/>
      <c r="D848" s="16"/>
    </row>
    <row r="849" spans="1:7">
      <c r="A849" s="14" t="s">
        <v>1195</v>
      </c>
      <c r="B849" s="12" t="s">
        <v>1196</v>
      </c>
      <c r="C849" s="13"/>
      <c r="D849" s="16"/>
    </row>
    <row r="850" spans="1:7">
      <c r="A850" s="14" t="s">
        <v>1197</v>
      </c>
      <c r="B850" s="12" t="s">
        <v>1198</v>
      </c>
      <c r="C850" s="13" t="s">
        <v>39</v>
      </c>
      <c r="D850" s="17">
        <v>221.1</v>
      </c>
      <c r="F850" s="6">
        <v>119.65</v>
      </c>
      <c r="G850" s="7">
        <f t="shared" si="108"/>
        <v>0.847889678228165</v>
      </c>
    </row>
    <row r="851" spans="1:7">
      <c r="A851" s="14" t="s">
        <v>1199</v>
      </c>
      <c r="B851" s="12" t="s">
        <v>1200</v>
      </c>
      <c r="C851" s="13" t="s">
        <v>39</v>
      </c>
      <c r="D851" s="17">
        <v>271.75</v>
      </c>
      <c r="F851" s="6">
        <v>154.75</v>
      </c>
      <c r="G851" s="7">
        <f t="shared" si="108"/>
        <v>0.756058158319871</v>
      </c>
    </row>
    <row r="852" spans="1:7">
      <c r="A852" s="14" t="s">
        <v>1201</v>
      </c>
      <c r="B852" s="12" t="s">
        <v>1012</v>
      </c>
      <c r="C852" s="13"/>
      <c r="D852" s="16"/>
    </row>
    <row r="853" spans="1:7">
      <c r="A853" s="14" t="s">
        <v>1202</v>
      </c>
      <c r="B853" s="12" t="s">
        <v>1198</v>
      </c>
      <c r="C853" s="13" t="s">
        <v>39</v>
      </c>
      <c r="D853" s="17">
        <v>185.95</v>
      </c>
      <c r="F853" s="6">
        <v>97.8</v>
      </c>
      <c r="G853" s="7">
        <f t="shared" ref="G853:G858" si="109">(D853-F853)/F853</f>
        <v>0.901329243353783</v>
      </c>
    </row>
    <row r="854" spans="1:7">
      <c r="A854" s="14" t="s">
        <v>1203</v>
      </c>
      <c r="B854" s="12" t="s">
        <v>1204</v>
      </c>
      <c r="C854" s="13" t="s">
        <v>39</v>
      </c>
      <c r="D854" s="17">
        <v>213.2</v>
      </c>
      <c r="F854" s="6">
        <v>118.35</v>
      </c>
      <c r="G854" s="7">
        <f t="shared" si="109"/>
        <v>0.801436417405999</v>
      </c>
    </row>
    <row r="855" ht="31" spans="1:7">
      <c r="A855" s="18">
        <v>9.41</v>
      </c>
      <c r="B855" s="15" t="s">
        <v>1205</v>
      </c>
      <c r="C855" s="13"/>
      <c r="D855" s="16"/>
    </row>
    <row r="856" spans="1:7">
      <c r="A856" s="14" t="s">
        <v>1206</v>
      </c>
      <c r="B856" s="12" t="s">
        <v>1033</v>
      </c>
      <c r="C856" s="13" t="s">
        <v>11</v>
      </c>
      <c r="D856" s="17">
        <v>2945.1</v>
      </c>
      <c r="F856" s="6">
        <v>1725.45</v>
      </c>
      <c r="G856" s="7">
        <f t="shared" si="109"/>
        <v>0.706859080239937</v>
      </c>
    </row>
    <row r="857" ht="108.5" spans="1:7">
      <c r="A857" s="18">
        <v>9.42</v>
      </c>
      <c r="B857" s="15" t="s">
        <v>1207</v>
      </c>
      <c r="C857" s="13" t="s">
        <v>39</v>
      </c>
      <c r="D857" s="17">
        <v>600.55</v>
      </c>
      <c r="F857" s="6">
        <v>367.35</v>
      </c>
      <c r="G857" s="7">
        <f t="shared" si="109"/>
        <v>0.634816932081121</v>
      </c>
    </row>
    <row r="858" ht="77.5" spans="1:7">
      <c r="A858" s="18">
        <v>9.43</v>
      </c>
      <c r="B858" s="15" t="s">
        <v>1208</v>
      </c>
      <c r="C858" s="13" t="s">
        <v>39</v>
      </c>
      <c r="D858" s="17">
        <v>725.85</v>
      </c>
      <c r="F858" s="6">
        <v>484.5</v>
      </c>
      <c r="G858" s="7">
        <f t="shared" si="109"/>
        <v>0.498142414860681</v>
      </c>
    </row>
    <row r="859" ht="31" spans="1:7">
      <c r="A859" s="18">
        <v>9.44</v>
      </c>
      <c r="B859" s="15" t="s">
        <v>1209</v>
      </c>
      <c r="C859" s="13"/>
      <c r="D859" s="16"/>
    </row>
    <row r="860" spans="1:7">
      <c r="A860" s="14" t="s">
        <v>1210</v>
      </c>
      <c r="B860" s="12" t="s">
        <v>1211</v>
      </c>
      <c r="C860" s="13" t="s">
        <v>39</v>
      </c>
      <c r="D860" s="17">
        <v>38.7</v>
      </c>
      <c r="F860" s="6">
        <v>33.45</v>
      </c>
      <c r="G860" s="7">
        <f t="shared" ref="G860:G862" si="110">(D860-F860)/F860</f>
        <v>0.15695067264574</v>
      </c>
    </row>
    <row r="861" spans="1:7">
      <c r="A861" s="14" t="s">
        <v>1212</v>
      </c>
      <c r="B861" s="12" t="s">
        <v>1213</v>
      </c>
      <c r="C861" s="13" t="s">
        <v>39</v>
      </c>
      <c r="D861" s="17">
        <v>125.2</v>
      </c>
      <c r="F861" s="6">
        <v>92.9</v>
      </c>
      <c r="G861" s="7">
        <f t="shared" si="110"/>
        <v>0.347685683530678</v>
      </c>
    </row>
    <row r="862" spans="1:7">
      <c r="A862" s="18">
        <v>9.45</v>
      </c>
      <c r="B862" s="15" t="s">
        <v>1214</v>
      </c>
      <c r="C862" s="13" t="s">
        <v>39</v>
      </c>
      <c r="D862" s="17">
        <v>73.7</v>
      </c>
      <c r="F862" s="6">
        <v>41.1</v>
      </c>
      <c r="G862" s="7">
        <f t="shared" si="110"/>
        <v>0.793187347931874</v>
      </c>
    </row>
    <row r="863" ht="46.5" spans="1:7">
      <c r="A863" s="18">
        <v>9.46</v>
      </c>
      <c r="B863" s="15" t="s">
        <v>1215</v>
      </c>
      <c r="C863" s="13"/>
      <c r="D863" s="16"/>
      <c r="E863" s="11"/>
    </row>
    <row r="864" spans="1:7">
      <c r="A864" s="14" t="s">
        <v>1216</v>
      </c>
      <c r="B864" s="12" t="s">
        <v>1217</v>
      </c>
      <c r="C864" s="13" t="s">
        <v>39</v>
      </c>
      <c r="D864" s="17">
        <v>285.1</v>
      </c>
      <c r="F864" s="6">
        <v>272.2</v>
      </c>
      <c r="G864" s="7">
        <f t="shared" ref="G864:G866" si="111">(D864-F864)/F864</f>
        <v>0.0473916238060251</v>
      </c>
    </row>
    <row r="865" spans="1:7">
      <c r="A865" s="14" t="s">
        <v>1218</v>
      </c>
      <c r="B865" s="12" t="s">
        <v>1219</v>
      </c>
      <c r="C865" s="13" t="s">
        <v>39</v>
      </c>
      <c r="D865" s="17">
        <v>393.25</v>
      </c>
      <c r="F865" s="6">
        <v>359.3</v>
      </c>
      <c r="G865" s="7">
        <f t="shared" si="111"/>
        <v>0.0944892847202894</v>
      </c>
    </row>
    <row r="866" spans="1:7">
      <c r="A866" s="14" t="s">
        <v>1220</v>
      </c>
      <c r="B866" s="12" t="s">
        <v>1221</v>
      </c>
      <c r="C866" s="13" t="s">
        <v>39</v>
      </c>
      <c r="D866" s="17">
        <v>525.55</v>
      </c>
      <c r="F866" s="6">
        <v>463.85</v>
      </c>
      <c r="G866" s="7">
        <f t="shared" si="111"/>
        <v>0.133017139161367</v>
      </c>
    </row>
    <row r="867" spans="1:7">
      <c r="A867" s="18">
        <v>9.47</v>
      </c>
      <c r="B867" s="15" t="s">
        <v>1222</v>
      </c>
      <c r="C867" s="13"/>
      <c r="D867" s="16"/>
    </row>
    <row r="868" spans="1:7">
      <c r="A868" s="14" t="s">
        <v>1223</v>
      </c>
      <c r="B868" s="12" t="s">
        <v>1224</v>
      </c>
      <c r="C868" s="13" t="s">
        <v>39</v>
      </c>
      <c r="D868" s="17">
        <v>175</v>
      </c>
      <c r="F868" s="6">
        <v>119.25</v>
      </c>
      <c r="G868" s="7">
        <f t="shared" ref="G868:G874" si="112">(D868-F868)/F868</f>
        <v>0.467505241090147</v>
      </c>
    </row>
    <row r="869" spans="1:7">
      <c r="A869" s="14" t="s">
        <v>1225</v>
      </c>
      <c r="B869" s="12" t="s">
        <v>1226</v>
      </c>
      <c r="C869" s="13" t="s">
        <v>39</v>
      </c>
      <c r="D869" s="17">
        <v>186.4</v>
      </c>
      <c r="F869" s="6">
        <v>126.25</v>
      </c>
      <c r="G869" s="7">
        <f t="shared" si="112"/>
        <v>0.476435643564356</v>
      </c>
    </row>
    <row r="870" ht="46.5" spans="1:7">
      <c r="A870" s="18">
        <v>9.48</v>
      </c>
      <c r="B870" s="15" t="s">
        <v>1227</v>
      </c>
      <c r="C870" s="13"/>
      <c r="D870" s="16"/>
    </row>
    <row r="871" spans="1:7">
      <c r="A871" s="14" t="s">
        <v>1228</v>
      </c>
      <c r="B871" s="12" t="s">
        <v>1229</v>
      </c>
      <c r="C871" s="13" t="s">
        <v>478</v>
      </c>
      <c r="D871" s="17">
        <v>219.1</v>
      </c>
      <c r="F871" s="6">
        <v>104.65</v>
      </c>
      <c r="G871" s="7">
        <f t="shared" si="112"/>
        <v>1.09364548494983</v>
      </c>
    </row>
    <row r="872" spans="1:7">
      <c r="A872" s="14" t="s">
        <v>1230</v>
      </c>
      <c r="B872" s="12" t="s">
        <v>1231</v>
      </c>
      <c r="C872" s="13" t="s">
        <v>478</v>
      </c>
      <c r="D872" s="17">
        <v>238.35</v>
      </c>
      <c r="F872" s="6">
        <v>112.45</v>
      </c>
      <c r="G872" s="7">
        <f t="shared" si="112"/>
        <v>1.11960871498444</v>
      </c>
    </row>
    <row r="873" ht="46.5" spans="1:7">
      <c r="A873" s="18">
        <v>9.49</v>
      </c>
      <c r="B873" s="15" t="s">
        <v>1232</v>
      </c>
      <c r="C873" s="13" t="s">
        <v>11</v>
      </c>
      <c r="D873" s="17">
        <v>1421.95</v>
      </c>
      <c r="F873" s="6">
        <v>910.35</v>
      </c>
      <c r="G873" s="7">
        <f t="shared" si="112"/>
        <v>0.561981655407261</v>
      </c>
    </row>
    <row r="874" ht="46.5" spans="1:7">
      <c r="A874" s="18">
        <v>9.5</v>
      </c>
      <c r="B874" s="15" t="s">
        <v>1233</v>
      </c>
      <c r="C874" s="13" t="s">
        <v>11</v>
      </c>
      <c r="D874" s="17">
        <v>1641.15</v>
      </c>
      <c r="F874" s="6">
        <v>1054</v>
      </c>
      <c r="G874" s="7">
        <f t="shared" si="112"/>
        <v>0.557068311195446</v>
      </c>
    </row>
    <row r="875" ht="46.5" spans="1:7">
      <c r="A875" s="18">
        <v>9.51</v>
      </c>
      <c r="B875" s="15" t="s">
        <v>1234</v>
      </c>
      <c r="C875" s="13"/>
      <c r="D875" s="16"/>
    </row>
    <row r="876" spans="1:7">
      <c r="A876" s="14" t="s">
        <v>1235</v>
      </c>
      <c r="B876" s="12" t="s">
        <v>1236</v>
      </c>
      <c r="C876" s="13" t="s">
        <v>11</v>
      </c>
      <c r="D876" s="17">
        <v>1308.35</v>
      </c>
      <c r="F876" s="6">
        <v>846.45</v>
      </c>
      <c r="G876" s="7">
        <f t="shared" ref="G876:G879" si="113">(D876-F876)/F876</f>
        <v>0.545690826392581</v>
      </c>
    </row>
    <row r="877" spans="1:7">
      <c r="A877" s="14" t="s">
        <v>1237</v>
      </c>
      <c r="B877" s="12" t="s">
        <v>1238</v>
      </c>
      <c r="C877" s="13" t="s">
        <v>11</v>
      </c>
      <c r="D877" s="17">
        <v>939.2</v>
      </c>
      <c r="F877" s="6">
        <v>597</v>
      </c>
      <c r="G877" s="7">
        <f t="shared" si="113"/>
        <v>0.57319932998325</v>
      </c>
    </row>
    <row r="878" ht="46.5" spans="1:7">
      <c r="A878" s="18">
        <v>9.52</v>
      </c>
      <c r="B878" s="15" t="s">
        <v>1239</v>
      </c>
      <c r="C878" s="13" t="s">
        <v>11</v>
      </c>
      <c r="D878" s="17">
        <v>155.1</v>
      </c>
      <c r="F878" s="6">
        <v>132.4</v>
      </c>
      <c r="G878" s="7">
        <f t="shared" si="113"/>
        <v>0.171450151057402</v>
      </c>
    </row>
    <row r="879" ht="62" spans="1:7">
      <c r="A879" s="18">
        <v>9.53</v>
      </c>
      <c r="B879" s="15" t="s">
        <v>1240</v>
      </c>
      <c r="C879" s="13" t="s">
        <v>126</v>
      </c>
      <c r="D879" s="17">
        <v>226.55</v>
      </c>
      <c r="F879" s="6">
        <v>118.6</v>
      </c>
      <c r="G879" s="7">
        <f t="shared" si="113"/>
        <v>0.910202360876897</v>
      </c>
    </row>
    <row r="880" ht="31" spans="1:7">
      <c r="A880" s="18">
        <v>9.54</v>
      </c>
      <c r="B880" s="15" t="s">
        <v>1241</v>
      </c>
      <c r="C880" s="13"/>
      <c r="D880" s="16"/>
    </row>
    <row r="881" spans="1:7">
      <c r="A881" s="14" t="s">
        <v>1242</v>
      </c>
      <c r="B881" s="12" t="s">
        <v>1035</v>
      </c>
      <c r="C881" s="13" t="s">
        <v>14</v>
      </c>
      <c r="D881" s="17">
        <v>103140.1</v>
      </c>
      <c r="F881" s="6">
        <v>78067.6</v>
      </c>
      <c r="G881" s="7">
        <f t="shared" ref="G881:G888" si="114">(D881-F881)/F881</f>
        <v>0.321163965588797</v>
      </c>
    </row>
    <row r="882" spans="1:7">
      <c r="A882" s="14" t="s">
        <v>1243</v>
      </c>
      <c r="B882" s="12" t="s">
        <v>1244</v>
      </c>
      <c r="C882" s="13" t="s">
        <v>14</v>
      </c>
      <c r="D882" s="17">
        <v>69178.05</v>
      </c>
      <c r="F882" s="6">
        <v>48258.6</v>
      </c>
      <c r="G882" s="7">
        <f t="shared" si="114"/>
        <v>0.433486466660865</v>
      </c>
    </row>
    <row r="883" spans="1:7">
      <c r="B883" s="15" t="s">
        <v>1245</v>
      </c>
    </row>
    <row r="884" ht="31" spans="1:7">
      <c r="A884" s="18">
        <v>9.55</v>
      </c>
      <c r="B884" s="15" t="s">
        <v>1246</v>
      </c>
      <c r="C884" s="13"/>
      <c r="D884" s="16"/>
    </row>
    <row r="885" spans="1:7">
      <c r="A885" s="14" t="s">
        <v>1247</v>
      </c>
      <c r="B885" s="12" t="s">
        <v>1248</v>
      </c>
      <c r="C885" s="13" t="s">
        <v>126</v>
      </c>
      <c r="D885" s="17">
        <v>53</v>
      </c>
      <c r="F885" s="6">
        <v>35.1</v>
      </c>
      <c r="G885" s="7">
        <f t="shared" si="114"/>
        <v>0.50997150997151</v>
      </c>
    </row>
    <row r="886" spans="1:7">
      <c r="A886" s="14" t="s">
        <v>1249</v>
      </c>
      <c r="B886" s="12" t="s">
        <v>1250</v>
      </c>
      <c r="C886" s="13" t="s">
        <v>126</v>
      </c>
      <c r="D886" s="17">
        <v>45</v>
      </c>
      <c r="F886" s="6">
        <v>27.4</v>
      </c>
      <c r="G886" s="7">
        <f t="shared" si="114"/>
        <v>0.642335766423358</v>
      </c>
    </row>
    <row r="887" spans="1:7">
      <c r="A887" s="14" t="s">
        <v>1251</v>
      </c>
      <c r="B887" s="12" t="s">
        <v>1252</v>
      </c>
      <c r="C887" s="13" t="s">
        <v>126</v>
      </c>
      <c r="D887" s="17">
        <v>39.3</v>
      </c>
      <c r="F887" s="6">
        <v>21.95</v>
      </c>
      <c r="G887" s="7">
        <f t="shared" si="114"/>
        <v>0.790432801822323</v>
      </c>
    </row>
    <row r="888" spans="1:7">
      <c r="A888" s="14" t="s">
        <v>1253</v>
      </c>
      <c r="B888" s="12" t="s">
        <v>1254</v>
      </c>
      <c r="C888" s="13" t="s">
        <v>126</v>
      </c>
      <c r="D888" s="17">
        <v>18.85</v>
      </c>
      <c r="F888" s="6">
        <v>11.65</v>
      </c>
      <c r="G888" s="7">
        <f t="shared" si="114"/>
        <v>0.618025751072961</v>
      </c>
    </row>
    <row r="889" ht="31" spans="1:7">
      <c r="A889" s="18">
        <v>9.56</v>
      </c>
      <c r="B889" s="15" t="s">
        <v>1255</v>
      </c>
      <c r="C889" s="13"/>
      <c r="D889" s="16"/>
    </row>
    <row r="890" spans="1:7">
      <c r="A890" s="14" t="s">
        <v>1256</v>
      </c>
      <c r="B890" s="12" t="s">
        <v>1257</v>
      </c>
      <c r="C890" s="13" t="s">
        <v>126</v>
      </c>
      <c r="D890" s="17">
        <v>71.25</v>
      </c>
      <c r="F890" s="6">
        <v>42.05</v>
      </c>
      <c r="G890" s="7">
        <f t="shared" ref="G890:G893" si="115">(D890-F890)/F890</f>
        <v>0.694411414982164</v>
      </c>
    </row>
    <row r="891" spans="1:7">
      <c r="A891" s="14" t="s">
        <v>1258</v>
      </c>
      <c r="B891" s="12" t="s">
        <v>1259</v>
      </c>
      <c r="C891" s="13" t="s">
        <v>126</v>
      </c>
      <c r="D891" s="17">
        <v>62.05</v>
      </c>
      <c r="F891" s="6">
        <v>34.95</v>
      </c>
      <c r="G891" s="7">
        <f t="shared" si="115"/>
        <v>0.775393419170243</v>
      </c>
    </row>
    <row r="892" spans="1:7">
      <c r="A892" s="14" t="s">
        <v>1260</v>
      </c>
      <c r="B892" s="12" t="s">
        <v>1261</v>
      </c>
      <c r="C892" s="13" t="s">
        <v>126</v>
      </c>
      <c r="D892" s="17">
        <v>48.15</v>
      </c>
      <c r="F892" s="6">
        <v>25.45</v>
      </c>
      <c r="G892" s="7">
        <f t="shared" si="115"/>
        <v>0.891944990176817</v>
      </c>
    </row>
    <row r="893" spans="1:7">
      <c r="A893" s="14" t="s">
        <v>1262</v>
      </c>
      <c r="B893" s="12" t="s">
        <v>1263</v>
      </c>
      <c r="C893" s="13" t="s">
        <v>126</v>
      </c>
      <c r="D893" s="17">
        <v>27.5</v>
      </c>
      <c r="F893" s="6">
        <v>14.55</v>
      </c>
      <c r="G893" s="7">
        <f t="shared" si="115"/>
        <v>0.890034364261168</v>
      </c>
    </row>
    <row r="894" ht="31" spans="1:7">
      <c r="A894" s="14"/>
      <c r="B894" s="15" t="s">
        <v>1264</v>
      </c>
      <c r="C894" s="13"/>
      <c r="D894" s="17"/>
    </row>
    <row r="895" spans="1:7">
      <c r="A895" s="14"/>
      <c r="B895" s="15" t="s">
        <v>1265</v>
      </c>
      <c r="C895" s="13"/>
      <c r="D895" s="17"/>
    </row>
    <row r="896" ht="31" spans="1:7">
      <c r="A896" s="18">
        <v>9.57</v>
      </c>
      <c r="B896" s="15" t="s">
        <v>1266</v>
      </c>
      <c r="C896" s="13"/>
      <c r="D896" s="16"/>
    </row>
    <row r="897" spans="1:7">
      <c r="A897" s="14" t="s">
        <v>1267</v>
      </c>
      <c r="B897" s="12" t="s">
        <v>1248</v>
      </c>
      <c r="C897" s="13" t="s">
        <v>126</v>
      </c>
      <c r="D897" s="17">
        <v>55.75</v>
      </c>
      <c r="F897" s="6">
        <v>35.3</v>
      </c>
      <c r="G897" s="7">
        <f t="shared" ref="G897:G900" si="116">(D897-F897)/F897</f>
        <v>0.579320113314448</v>
      </c>
    </row>
    <row r="898" spans="1:7">
      <c r="A898" s="14" t="s">
        <v>1268</v>
      </c>
      <c r="B898" s="12" t="s">
        <v>1250</v>
      </c>
      <c r="C898" s="13" t="s">
        <v>126</v>
      </c>
      <c r="D898" s="17">
        <v>48.2</v>
      </c>
      <c r="F898" s="6">
        <v>28</v>
      </c>
      <c r="G898" s="7">
        <f t="shared" si="116"/>
        <v>0.721428571428572</v>
      </c>
    </row>
    <row r="899" spans="1:7">
      <c r="A899" s="14" t="s">
        <v>1269</v>
      </c>
      <c r="B899" s="12" t="s">
        <v>1252</v>
      </c>
      <c r="C899" s="13" t="s">
        <v>126</v>
      </c>
      <c r="D899" s="17">
        <v>40.5</v>
      </c>
      <c r="F899" s="6">
        <v>22.55</v>
      </c>
      <c r="G899" s="7">
        <f t="shared" si="116"/>
        <v>0.796008869179601</v>
      </c>
    </row>
    <row r="900" spans="1:7">
      <c r="A900" s="14" t="s">
        <v>1270</v>
      </c>
      <c r="B900" s="12" t="s">
        <v>1254</v>
      </c>
      <c r="C900" s="13" t="s">
        <v>126</v>
      </c>
      <c r="D900" s="17">
        <v>20</v>
      </c>
      <c r="F900" s="6">
        <v>12.2</v>
      </c>
      <c r="G900" s="7">
        <f t="shared" si="116"/>
        <v>0.639344262295082</v>
      </c>
    </row>
    <row r="901" ht="31" spans="1:7">
      <c r="A901" s="18">
        <v>9.58</v>
      </c>
      <c r="B901" s="15" t="s">
        <v>1271</v>
      </c>
      <c r="C901" s="13"/>
      <c r="D901" s="16"/>
    </row>
    <row r="902" spans="1:7">
      <c r="A902" s="14" t="s">
        <v>1272</v>
      </c>
      <c r="B902" s="12" t="s">
        <v>1273</v>
      </c>
      <c r="C902" s="13" t="s">
        <v>126</v>
      </c>
      <c r="D902" s="17">
        <v>91.7</v>
      </c>
      <c r="F902" s="6">
        <v>59.15</v>
      </c>
      <c r="G902" s="7">
        <f t="shared" ref="G902:G905" si="117">(D902-F902)/F902</f>
        <v>0.550295857988166</v>
      </c>
    </row>
    <row r="903" spans="1:7">
      <c r="A903" s="14" t="s">
        <v>1274</v>
      </c>
      <c r="B903" s="12" t="s">
        <v>1275</v>
      </c>
      <c r="C903" s="13" t="s">
        <v>126</v>
      </c>
      <c r="D903" s="17">
        <v>86</v>
      </c>
      <c r="F903" s="6">
        <v>56.25</v>
      </c>
      <c r="G903" s="7">
        <f t="shared" si="117"/>
        <v>0.528888888888889</v>
      </c>
    </row>
    <row r="904" spans="1:7">
      <c r="A904" s="14" t="s">
        <v>1276</v>
      </c>
      <c r="B904" s="12" t="s">
        <v>1277</v>
      </c>
      <c r="C904" s="13" t="s">
        <v>126</v>
      </c>
      <c r="D904" s="17">
        <v>75.35</v>
      </c>
      <c r="F904" s="6">
        <v>46.95</v>
      </c>
      <c r="G904" s="7">
        <f t="shared" si="117"/>
        <v>0.604898828541001</v>
      </c>
    </row>
    <row r="905" spans="1:7">
      <c r="A905" s="14" t="s">
        <v>1278</v>
      </c>
      <c r="B905" s="12" t="s">
        <v>1279</v>
      </c>
      <c r="C905" s="13" t="s">
        <v>126</v>
      </c>
      <c r="D905" s="17">
        <v>66.65</v>
      </c>
      <c r="F905" s="6">
        <v>40.55</v>
      </c>
      <c r="G905" s="7">
        <f t="shared" si="117"/>
        <v>0.643649815043157</v>
      </c>
    </row>
    <row r="906" ht="31" spans="1:7">
      <c r="A906" s="18">
        <v>9.59</v>
      </c>
      <c r="B906" s="15" t="s">
        <v>1280</v>
      </c>
      <c r="C906" s="13"/>
      <c r="D906" s="16"/>
    </row>
    <row r="907" spans="1:7">
      <c r="A907" s="14" t="s">
        <v>1281</v>
      </c>
      <c r="B907" s="12" t="s">
        <v>1282</v>
      </c>
      <c r="C907" s="13" t="s">
        <v>126</v>
      </c>
      <c r="D907" s="17">
        <v>291.35</v>
      </c>
      <c r="F907" s="6">
        <v>199.65</v>
      </c>
      <c r="G907" s="7">
        <f t="shared" ref="G907:G909" si="118">(D907-F907)/F907</f>
        <v>0.459303781617831</v>
      </c>
    </row>
    <row r="908" spans="1:7">
      <c r="A908" s="14" t="s">
        <v>1283</v>
      </c>
      <c r="B908" s="12" t="s">
        <v>1284</v>
      </c>
      <c r="C908" s="13" t="s">
        <v>126</v>
      </c>
      <c r="D908" s="17">
        <v>262.9</v>
      </c>
      <c r="F908" s="6">
        <v>176.45</v>
      </c>
      <c r="G908" s="7">
        <f t="shared" si="118"/>
        <v>0.489940493057523</v>
      </c>
    </row>
    <row r="909" spans="1:7">
      <c r="A909" s="14" t="s">
        <v>1285</v>
      </c>
      <c r="B909" s="12" t="s">
        <v>1286</v>
      </c>
      <c r="C909" s="13" t="s">
        <v>126</v>
      </c>
      <c r="D909" s="17">
        <v>232.7</v>
      </c>
      <c r="F909" s="6">
        <v>151.9</v>
      </c>
      <c r="G909" s="7">
        <f t="shared" si="118"/>
        <v>0.531928900592495</v>
      </c>
    </row>
    <row r="910" ht="31" spans="1:7">
      <c r="A910" s="18">
        <v>9.6</v>
      </c>
      <c r="B910" s="15" t="s">
        <v>1287</v>
      </c>
      <c r="C910" s="13"/>
      <c r="D910" s="16"/>
    </row>
    <row r="911" spans="1:7">
      <c r="A911" s="14" t="s">
        <v>1288</v>
      </c>
      <c r="B911" s="12" t="s">
        <v>1282</v>
      </c>
      <c r="C911" s="13" t="s">
        <v>126</v>
      </c>
      <c r="D911" s="17">
        <v>326.9</v>
      </c>
      <c r="F911" s="6">
        <v>222.2</v>
      </c>
      <c r="G911" s="7">
        <f t="shared" ref="G911:G913" si="119">(D911-F911)/F911</f>
        <v>0.471197119711971</v>
      </c>
    </row>
    <row r="912" spans="1:7">
      <c r="A912" s="14" t="s">
        <v>1289</v>
      </c>
      <c r="B912" s="12" t="s">
        <v>1284</v>
      </c>
      <c r="C912" s="13" t="s">
        <v>126</v>
      </c>
      <c r="D912" s="17">
        <v>291.35</v>
      </c>
      <c r="F912" s="6">
        <v>199.65</v>
      </c>
      <c r="G912" s="7">
        <f t="shared" si="119"/>
        <v>0.459303781617831</v>
      </c>
    </row>
    <row r="913" spans="1:7">
      <c r="A913" s="14" t="s">
        <v>1290</v>
      </c>
      <c r="B913" s="12" t="s">
        <v>1286</v>
      </c>
      <c r="C913" s="13" t="s">
        <v>126</v>
      </c>
      <c r="D913" s="17">
        <v>261.15</v>
      </c>
      <c r="F913" s="6">
        <v>175.15</v>
      </c>
      <c r="G913" s="7">
        <f t="shared" si="119"/>
        <v>0.491007707679132</v>
      </c>
    </row>
    <row r="914" ht="31" spans="1:7">
      <c r="A914" s="18">
        <v>9.61</v>
      </c>
      <c r="B914" s="15" t="s">
        <v>1291</v>
      </c>
      <c r="C914" s="13"/>
      <c r="D914" s="16"/>
    </row>
    <row r="915" spans="1:7">
      <c r="A915" s="14" t="s">
        <v>1292</v>
      </c>
      <c r="B915" s="12" t="s">
        <v>1293</v>
      </c>
      <c r="C915" s="13" t="s">
        <v>39</v>
      </c>
      <c r="D915" s="17">
        <v>336.45</v>
      </c>
      <c r="F915" s="6">
        <v>178.4</v>
      </c>
      <c r="G915" s="7">
        <f t="shared" ref="G915:G917" si="120">(D915-F915)/F915</f>
        <v>0.885930493273542</v>
      </c>
    </row>
    <row r="916" spans="1:7">
      <c r="A916" s="14" t="s">
        <v>1294</v>
      </c>
      <c r="B916" s="12" t="s">
        <v>1295</v>
      </c>
      <c r="C916" s="13" t="s">
        <v>39</v>
      </c>
      <c r="D916" s="17">
        <v>337.9</v>
      </c>
      <c r="F916" s="6">
        <v>174.9</v>
      </c>
      <c r="G916" s="7">
        <f t="shared" si="120"/>
        <v>0.931961120640366</v>
      </c>
    </row>
    <row r="917" spans="1:7">
      <c r="A917" s="14" t="s">
        <v>1296</v>
      </c>
      <c r="B917" s="12" t="s">
        <v>1297</v>
      </c>
      <c r="C917" s="13" t="s">
        <v>39</v>
      </c>
      <c r="D917" s="17">
        <v>357.8</v>
      </c>
      <c r="F917" s="6">
        <v>190</v>
      </c>
      <c r="G917" s="7">
        <f t="shared" si="120"/>
        <v>0.883157894736842</v>
      </c>
    </row>
    <row r="918" ht="31" spans="1:7">
      <c r="A918" s="18">
        <v>9.62</v>
      </c>
      <c r="B918" s="15" t="s">
        <v>1298</v>
      </c>
      <c r="C918" s="13"/>
      <c r="D918" s="16"/>
    </row>
    <row r="919" spans="1:7">
      <c r="A919" s="14" t="s">
        <v>1299</v>
      </c>
      <c r="B919" s="12" t="s">
        <v>1300</v>
      </c>
      <c r="C919" s="13" t="s">
        <v>126</v>
      </c>
      <c r="D919" s="17">
        <v>216.55</v>
      </c>
      <c r="F919" s="6">
        <v>154.85</v>
      </c>
      <c r="G919" s="7">
        <f t="shared" ref="G919:G926" si="121">(D919-F919)/F919</f>
        <v>0.398450113012593</v>
      </c>
    </row>
    <row r="920" spans="1:7">
      <c r="A920" s="14" t="s">
        <v>1301</v>
      </c>
      <c r="B920" s="12" t="s">
        <v>1302</v>
      </c>
      <c r="C920" s="13" t="s">
        <v>126</v>
      </c>
      <c r="D920" s="17">
        <v>193.7</v>
      </c>
      <c r="F920" s="6">
        <v>142.05</v>
      </c>
      <c r="G920" s="7">
        <f t="shared" si="121"/>
        <v>0.363604364660331</v>
      </c>
    </row>
    <row r="921" ht="31" spans="1:7">
      <c r="A921" s="18">
        <v>9.63</v>
      </c>
      <c r="B921" s="15" t="s">
        <v>1303</v>
      </c>
      <c r="C921" s="13"/>
      <c r="D921" s="16"/>
    </row>
    <row r="922" spans="1:7">
      <c r="A922" s="14" t="s">
        <v>1304</v>
      </c>
      <c r="B922" s="12" t="s">
        <v>1305</v>
      </c>
      <c r="C922" s="13" t="s">
        <v>126</v>
      </c>
      <c r="D922" s="17">
        <v>83.9</v>
      </c>
      <c r="F922" s="6">
        <v>64</v>
      </c>
      <c r="G922" s="7">
        <f t="shared" si="121"/>
        <v>0.3109375</v>
      </c>
    </row>
    <row r="923" spans="1:7">
      <c r="A923" s="14" t="s">
        <v>1306</v>
      </c>
      <c r="B923" s="12" t="s">
        <v>1307</v>
      </c>
      <c r="C923" s="13" t="s">
        <v>126</v>
      </c>
      <c r="D923" s="17">
        <v>69.4</v>
      </c>
      <c r="F923" s="6">
        <v>51.05</v>
      </c>
      <c r="G923" s="7">
        <f t="shared" si="121"/>
        <v>0.359451518119491</v>
      </c>
    </row>
    <row r="924" spans="1:7">
      <c r="A924" s="14" t="s">
        <v>1308</v>
      </c>
      <c r="B924" s="12" t="s">
        <v>1309</v>
      </c>
      <c r="C924" s="13" t="s">
        <v>126</v>
      </c>
      <c r="D924" s="17">
        <v>59.45</v>
      </c>
      <c r="F924" s="6">
        <v>44.1</v>
      </c>
      <c r="G924" s="7">
        <f t="shared" si="121"/>
        <v>0.348072562358277</v>
      </c>
    </row>
    <row r="925" spans="1:7">
      <c r="A925" s="14" t="s">
        <v>1310</v>
      </c>
      <c r="B925" s="12" t="s">
        <v>1311</v>
      </c>
      <c r="C925" s="13" t="s">
        <v>126</v>
      </c>
      <c r="D925" s="17">
        <v>44.3</v>
      </c>
      <c r="F925" s="6">
        <v>31.4</v>
      </c>
      <c r="G925" s="7">
        <f t="shared" si="121"/>
        <v>0.410828025477707</v>
      </c>
    </row>
    <row r="926" ht="46.5" spans="1:7">
      <c r="A926" s="18">
        <v>9.64</v>
      </c>
      <c r="B926" s="15" t="s">
        <v>1312</v>
      </c>
      <c r="C926" s="13" t="s">
        <v>126</v>
      </c>
      <c r="D926" s="17">
        <v>122.15</v>
      </c>
      <c r="F926" s="6">
        <v>78.15</v>
      </c>
      <c r="G926" s="7">
        <f t="shared" si="121"/>
        <v>0.563019833653231</v>
      </c>
    </row>
    <row r="927" ht="31" spans="1:7">
      <c r="A927" s="18">
        <v>9.65</v>
      </c>
      <c r="B927" s="15" t="s">
        <v>1313</v>
      </c>
      <c r="C927" s="13"/>
      <c r="D927" s="16"/>
    </row>
    <row r="928" spans="1:7">
      <c r="A928" s="14" t="s">
        <v>1314</v>
      </c>
      <c r="B928" s="12" t="s">
        <v>1315</v>
      </c>
      <c r="C928" s="13" t="s">
        <v>126</v>
      </c>
      <c r="D928" s="17">
        <v>98.35</v>
      </c>
      <c r="F928" s="6">
        <v>68.9</v>
      </c>
      <c r="G928" s="7">
        <f t="shared" ref="G928:G933" si="122">(D928-F928)/F928</f>
        <v>0.427431059506531</v>
      </c>
    </row>
    <row r="929" spans="1:7">
      <c r="A929" s="14" t="s">
        <v>1316</v>
      </c>
      <c r="B929" s="12" t="s">
        <v>1317</v>
      </c>
      <c r="C929" s="13" t="s">
        <v>126</v>
      </c>
      <c r="D929" s="17">
        <v>79.85</v>
      </c>
      <c r="F929" s="6">
        <v>57.3</v>
      </c>
      <c r="G929" s="7">
        <f t="shared" si="122"/>
        <v>0.393542757417103</v>
      </c>
    </row>
    <row r="930" ht="31" spans="1:7">
      <c r="A930" s="18">
        <v>9.66</v>
      </c>
      <c r="B930" s="15" t="s">
        <v>1318</v>
      </c>
      <c r="C930" s="13"/>
      <c r="D930" s="16"/>
    </row>
    <row r="931" spans="1:7">
      <c r="A931" s="14" t="s">
        <v>1319</v>
      </c>
      <c r="B931" s="12" t="s">
        <v>1284</v>
      </c>
      <c r="C931" s="13" t="s">
        <v>126</v>
      </c>
      <c r="D931" s="17">
        <v>39.95</v>
      </c>
      <c r="F931" s="6">
        <v>28.6</v>
      </c>
      <c r="G931" s="7">
        <f t="shared" si="122"/>
        <v>0.396853146853147</v>
      </c>
    </row>
    <row r="932" spans="1:7">
      <c r="A932" s="14" t="s">
        <v>1320</v>
      </c>
      <c r="B932" s="12" t="s">
        <v>1286</v>
      </c>
      <c r="C932" s="13" t="s">
        <v>126</v>
      </c>
      <c r="D932" s="17">
        <v>32.55</v>
      </c>
      <c r="F932" s="6">
        <v>22.65</v>
      </c>
      <c r="G932" s="7">
        <f t="shared" si="122"/>
        <v>0.437086092715232</v>
      </c>
    </row>
    <row r="933" spans="1:7">
      <c r="A933" s="14" t="s">
        <v>1321</v>
      </c>
      <c r="B933" s="12" t="s">
        <v>1322</v>
      </c>
      <c r="C933" s="13" t="s">
        <v>126</v>
      </c>
      <c r="D933" s="17">
        <v>29.7</v>
      </c>
      <c r="F933" s="6">
        <v>19.15</v>
      </c>
      <c r="G933" s="7">
        <f t="shared" si="122"/>
        <v>0.550913838120105</v>
      </c>
    </row>
    <row r="934" ht="31" spans="1:7">
      <c r="A934" s="18">
        <v>9.67</v>
      </c>
      <c r="B934" s="15" t="s">
        <v>1323</v>
      </c>
      <c r="C934" s="13"/>
      <c r="D934" s="16"/>
    </row>
    <row r="935" spans="1:7">
      <c r="A935" s="14" t="s">
        <v>1324</v>
      </c>
      <c r="B935" s="12" t="s">
        <v>1282</v>
      </c>
      <c r="C935" s="13" t="s">
        <v>126</v>
      </c>
      <c r="D935" s="17">
        <v>33.1</v>
      </c>
      <c r="F935" s="6">
        <v>23.05</v>
      </c>
      <c r="G935" s="7">
        <f t="shared" ref="G935:G937" si="123">(D935-F935)/F935</f>
        <v>0.436008676789588</v>
      </c>
    </row>
    <row r="936" spans="1:7">
      <c r="A936" s="14" t="s">
        <v>1325</v>
      </c>
      <c r="B936" s="12" t="s">
        <v>1326</v>
      </c>
      <c r="C936" s="13" t="s">
        <v>126</v>
      </c>
      <c r="D936" s="17">
        <v>29.7</v>
      </c>
      <c r="F936" s="6">
        <v>20.3</v>
      </c>
      <c r="G936" s="7">
        <f t="shared" si="123"/>
        <v>0.463054187192118</v>
      </c>
    </row>
    <row r="937" spans="1:7">
      <c r="A937" s="14" t="s">
        <v>1327</v>
      </c>
      <c r="B937" s="12" t="s">
        <v>1328</v>
      </c>
      <c r="C937" s="13" t="s">
        <v>126</v>
      </c>
      <c r="D937" s="17">
        <v>25.3</v>
      </c>
      <c r="F937" s="6">
        <v>16.8</v>
      </c>
      <c r="G937" s="7">
        <f t="shared" si="123"/>
        <v>0.505952380952381</v>
      </c>
    </row>
    <row r="938" ht="31" spans="1:7">
      <c r="A938" s="18">
        <v>9.68</v>
      </c>
      <c r="B938" s="15" t="s">
        <v>1329</v>
      </c>
      <c r="C938" s="13"/>
      <c r="D938" s="16"/>
    </row>
    <row r="939" spans="1:7">
      <c r="A939" s="14" t="s">
        <v>1330</v>
      </c>
      <c r="B939" s="12" t="s">
        <v>1331</v>
      </c>
      <c r="C939" s="13" t="s">
        <v>126</v>
      </c>
      <c r="D939" s="17">
        <v>67.4</v>
      </c>
      <c r="F939" s="6">
        <v>30.95</v>
      </c>
      <c r="G939" s="7">
        <f t="shared" ref="G939:G942" si="124">(D939-F939)/F939</f>
        <v>1.17770597738288</v>
      </c>
    </row>
    <row r="940" spans="1:7">
      <c r="A940" s="14" t="s">
        <v>1332</v>
      </c>
      <c r="B940" s="12" t="s">
        <v>1333</v>
      </c>
      <c r="C940" s="13" t="s">
        <v>126</v>
      </c>
      <c r="D940" s="17">
        <v>61.05</v>
      </c>
      <c r="F940" s="6">
        <v>26.85</v>
      </c>
      <c r="G940" s="7">
        <f t="shared" si="124"/>
        <v>1.27374301675978</v>
      </c>
    </row>
    <row r="941" spans="1:7">
      <c r="A941" s="14" t="s">
        <v>1334</v>
      </c>
      <c r="B941" s="12" t="s">
        <v>1335</v>
      </c>
      <c r="C941" s="13" t="s">
        <v>126</v>
      </c>
      <c r="D941" s="17">
        <v>53.95</v>
      </c>
      <c r="F941" s="6">
        <v>23.35</v>
      </c>
      <c r="G941" s="7">
        <f t="shared" si="124"/>
        <v>1.31049250535332</v>
      </c>
    </row>
    <row r="942" ht="31" spans="1:7">
      <c r="A942" s="18">
        <v>9.69</v>
      </c>
      <c r="B942" s="15" t="s">
        <v>1336</v>
      </c>
      <c r="C942" s="13" t="s">
        <v>126</v>
      </c>
      <c r="D942" s="17">
        <v>100.6</v>
      </c>
      <c r="F942" s="6">
        <v>77.65</v>
      </c>
      <c r="G942" s="7">
        <f t="shared" si="124"/>
        <v>0.295556986477785</v>
      </c>
    </row>
    <row r="943" spans="1:7">
      <c r="A943" s="18"/>
      <c r="B943" s="15" t="s">
        <v>1337</v>
      </c>
      <c r="C943" s="13"/>
      <c r="D943" s="17"/>
    </row>
    <row r="944" ht="31" spans="1:7">
      <c r="A944" s="18">
        <v>9.7</v>
      </c>
      <c r="B944" s="15" t="s">
        <v>1338</v>
      </c>
      <c r="C944" s="13"/>
      <c r="D944" s="16"/>
    </row>
    <row r="945" spans="1:7">
      <c r="A945" s="14" t="s">
        <v>1339</v>
      </c>
      <c r="B945" s="12" t="s">
        <v>1340</v>
      </c>
      <c r="C945" s="13" t="s">
        <v>126</v>
      </c>
      <c r="D945" s="17">
        <v>118.2</v>
      </c>
      <c r="F945" s="6">
        <v>64.85</v>
      </c>
      <c r="G945" s="7">
        <f t="shared" ref="G945:G948" si="125">(D945-F945)/F945</f>
        <v>0.822667694680031</v>
      </c>
    </row>
    <row r="946" spans="1:7">
      <c r="A946" s="14" t="s">
        <v>1341</v>
      </c>
      <c r="B946" s="12" t="s">
        <v>1342</v>
      </c>
      <c r="C946" s="13" t="s">
        <v>126</v>
      </c>
      <c r="D946" s="17">
        <v>107.1</v>
      </c>
      <c r="F946" s="6">
        <v>57.7</v>
      </c>
      <c r="G946" s="7">
        <f t="shared" si="125"/>
        <v>0.856152512998267</v>
      </c>
    </row>
    <row r="947" spans="1:7">
      <c r="A947" s="14" t="s">
        <v>1343</v>
      </c>
      <c r="B947" s="12" t="s">
        <v>1344</v>
      </c>
      <c r="C947" s="13" t="s">
        <v>126</v>
      </c>
      <c r="D947" s="17">
        <v>80.05</v>
      </c>
      <c r="F947" s="6">
        <v>41.45</v>
      </c>
      <c r="G947" s="7">
        <f t="shared" si="125"/>
        <v>0.93124246079614</v>
      </c>
    </row>
    <row r="948" spans="1:7">
      <c r="A948" s="14" t="s">
        <v>1345</v>
      </c>
      <c r="B948" s="12" t="s">
        <v>1254</v>
      </c>
      <c r="C948" s="13" t="s">
        <v>126</v>
      </c>
      <c r="D948" s="17">
        <v>43.75</v>
      </c>
      <c r="F948" s="6">
        <v>25</v>
      </c>
      <c r="G948" s="7">
        <f t="shared" si="125"/>
        <v>0.75</v>
      </c>
    </row>
    <row r="949" ht="31" spans="1:7">
      <c r="A949" s="18">
        <v>9.71</v>
      </c>
      <c r="B949" s="15" t="s">
        <v>1346</v>
      </c>
      <c r="C949" s="13"/>
      <c r="D949" s="16"/>
    </row>
    <row r="950" spans="1:7">
      <c r="A950" s="14" t="s">
        <v>1347</v>
      </c>
      <c r="B950" s="12" t="s">
        <v>1348</v>
      </c>
      <c r="C950" s="13" t="s">
        <v>126</v>
      </c>
      <c r="D950" s="17">
        <v>129.85</v>
      </c>
      <c r="F950" s="6">
        <v>74.15</v>
      </c>
      <c r="G950" s="7">
        <f t="shared" ref="G950:G952" si="126">(D950-F950)/F950</f>
        <v>0.75118004045853</v>
      </c>
    </row>
    <row r="951" spans="1:7">
      <c r="A951" s="14" t="s">
        <v>1349</v>
      </c>
      <c r="B951" s="12" t="s">
        <v>1350</v>
      </c>
      <c r="C951" s="13" t="s">
        <v>126</v>
      </c>
      <c r="D951" s="17">
        <v>106.35</v>
      </c>
      <c r="F951" s="6">
        <v>58.9</v>
      </c>
      <c r="G951" s="7">
        <f t="shared" si="126"/>
        <v>0.805602716468591</v>
      </c>
    </row>
    <row r="952" spans="1:7">
      <c r="A952" s="14" t="s">
        <v>1351</v>
      </c>
      <c r="B952" s="12" t="s">
        <v>1352</v>
      </c>
      <c r="C952" s="13" t="s">
        <v>126</v>
      </c>
      <c r="D952" s="17">
        <v>89.3</v>
      </c>
      <c r="F952" s="6">
        <v>46.7</v>
      </c>
      <c r="G952" s="7">
        <f t="shared" si="126"/>
        <v>0.91220556745182</v>
      </c>
    </row>
    <row r="953" spans="1:7">
      <c r="A953" s="14"/>
      <c r="B953" s="15" t="s">
        <v>1353</v>
      </c>
      <c r="C953" s="13"/>
      <c r="D953" s="16"/>
    </row>
    <row r="954" ht="31" spans="1:7">
      <c r="A954" s="18">
        <v>9.72</v>
      </c>
      <c r="B954" s="15" t="s">
        <v>1354</v>
      </c>
      <c r="C954" s="13"/>
      <c r="D954" s="16"/>
    </row>
    <row r="955" spans="1:7">
      <c r="A955" s="14" t="s">
        <v>1355</v>
      </c>
      <c r="B955" s="12" t="s">
        <v>1356</v>
      </c>
      <c r="C955" s="13" t="s">
        <v>126</v>
      </c>
      <c r="D955" s="17">
        <v>268.65</v>
      </c>
      <c r="F955" s="6">
        <v>205.95</v>
      </c>
      <c r="G955" s="7">
        <f t="shared" ref="G955:G961" si="127">(D955-F955)/F955</f>
        <v>0.304442825928623</v>
      </c>
    </row>
    <row r="956" spans="1:7">
      <c r="A956" s="14" t="s">
        <v>1357</v>
      </c>
      <c r="B956" s="12" t="s">
        <v>1358</v>
      </c>
      <c r="C956" s="13" t="s">
        <v>126</v>
      </c>
      <c r="D956" s="17">
        <v>185.15</v>
      </c>
      <c r="F956" s="6">
        <v>137.2</v>
      </c>
      <c r="G956" s="7">
        <f t="shared" si="127"/>
        <v>0.349489795918367</v>
      </c>
    </row>
    <row r="957" spans="1:7">
      <c r="A957" s="14" t="s">
        <v>1359</v>
      </c>
      <c r="B957" s="12" t="s">
        <v>1360</v>
      </c>
      <c r="C957" s="13" t="s">
        <v>126</v>
      </c>
      <c r="D957" s="17">
        <v>206.4</v>
      </c>
      <c r="F957" s="6">
        <v>162.45</v>
      </c>
      <c r="G957" s="7">
        <f t="shared" si="127"/>
        <v>0.270544783010157</v>
      </c>
    </row>
    <row r="958" spans="1:7">
      <c r="A958" s="14" t="s">
        <v>1361</v>
      </c>
      <c r="B958" s="12" t="s">
        <v>1362</v>
      </c>
      <c r="C958" s="13" t="s">
        <v>126</v>
      </c>
      <c r="D958" s="17">
        <v>148.25</v>
      </c>
      <c r="F958" s="6">
        <v>109.85</v>
      </c>
      <c r="G958" s="7">
        <f t="shared" si="127"/>
        <v>0.349567592171143</v>
      </c>
    </row>
    <row r="959" spans="1:7">
      <c r="A959" s="14" t="s">
        <v>1363</v>
      </c>
      <c r="B959" s="12" t="s">
        <v>1364</v>
      </c>
      <c r="C959" s="13" t="s">
        <v>126</v>
      </c>
      <c r="D959" s="17">
        <v>173.4</v>
      </c>
      <c r="F959" s="6">
        <v>132.85</v>
      </c>
      <c r="G959" s="7">
        <f t="shared" si="127"/>
        <v>0.305231464057207</v>
      </c>
    </row>
    <row r="960" spans="1:7">
      <c r="A960" s="14" t="s">
        <v>1365</v>
      </c>
      <c r="B960" s="12" t="s">
        <v>1366</v>
      </c>
      <c r="C960" s="13" t="s">
        <v>126</v>
      </c>
      <c r="D960" s="17">
        <v>101.85</v>
      </c>
      <c r="F960" s="6">
        <v>75.45</v>
      </c>
      <c r="G960" s="7">
        <f t="shared" si="127"/>
        <v>0.349900596421471</v>
      </c>
    </row>
    <row r="961" spans="1:7">
      <c r="A961" s="14" t="s">
        <v>1367</v>
      </c>
      <c r="B961" s="12" t="s">
        <v>1368</v>
      </c>
      <c r="C961" s="13" t="s">
        <v>126</v>
      </c>
      <c r="D961" s="17">
        <v>40.9</v>
      </c>
      <c r="F961" s="6">
        <v>30.2</v>
      </c>
      <c r="G961" s="7">
        <f t="shared" si="127"/>
        <v>0.354304635761589</v>
      </c>
    </row>
    <row r="962" ht="31" spans="1:7">
      <c r="A962" s="18">
        <v>9.73</v>
      </c>
      <c r="B962" s="15" t="s">
        <v>1369</v>
      </c>
      <c r="C962" s="13"/>
      <c r="D962" s="16"/>
    </row>
    <row r="963" spans="1:7">
      <c r="A963" s="14" t="s">
        <v>1370</v>
      </c>
      <c r="B963" s="12" t="s">
        <v>1371</v>
      </c>
      <c r="C963" s="13" t="s">
        <v>126</v>
      </c>
      <c r="D963" s="17">
        <v>463.15</v>
      </c>
      <c r="F963" s="6">
        <v>378.7</v>
      </c>
      <c r="G963" s="7">
        <f t="shared" ref="G963:G966" si="128">(D963-F963)/F963</f>
        <v>0.222999735938738</v>
      </c>
    </row>
    <row r="964" spans="1:7">
      <c r="A964" s="14" t="s">
        <v>1372</v>
      </c>
      <c r="B964" s="12" t="s">
        <v>1373</v>
      </c>
      <c r="C964" s="13" t="s">
        <v>126</v>
      </c>
      <c r="D964" s="17">
        <v>414.6</v>
      </c>
      <c r="F964" s="6">
        <v>332.25</v>
      </c>
      <c r="G964" s="7">
        <f t="shared" si="128"/>
        <v>0.247855530474041</v>
      </c>
    </row>
    <row r="965" spans="1:7">
      <c r="A965" s="14" t="s">
        <v>1374</v>
      </c>
      <c r="B965" s="12" t="s">
        <v>1375</v>
      </c>
      <c r="C965" s="13" t="s">
        <v>126</v>
      </c>
      <c r="D965" s="17">
        <v>381.75</v>
      </c>
      <c r="F965" s="6">
        <v>309</v>
      </c>
      <c r="G965" s="7">
        <f t="shared" si="128"/>
        <v>0.235436893203884</v>
      </c>
    </row>
    <row r="966" spans="1:7">
      <c r="A966" s="14" t="s">
        <v>1376</v>
      </c>
      <c r="B966" s="12" t="s">
        <v>1377</v>
      </c>
      <c r="C966" s="13" t="s">
        <v>126</v>
      </c>
      <c r="D966" s="17">
        <v>339.2</v>
      </c>
      <c r="F966" s="6">
        <v>268.1</v>
      </c>
      <c r="G966" s="7">
        <f t="shared" si="128"/>
        <v>0.265199552405819</v>
      </c>
    </row>
    <row r="967" ht="31" spans="1:7">
      <c r="A967" s="18">
        <v>9.74</v>
      </c>
      <c r="B967" s="15" t="s">
        <v>1378</v>
      </c>
      <c r="C967" s="13"/>
      <c r="D967" s="16"/>
    </row>
    <row r="968" spans="1:7">
      <c r="A968" s="14" t="s">
        <v>1379</v>
      </c>
      <c r="B968" s="12" t="s">
        <v>1305</v>
      </c>
      <c r="C968" s="13" t="s">
        <v>126</v>
      </c>
      <c r="D968" s="17">
        <v>441.6</v>
      </c>
      <c r="F968" s="6">
        <v>313.2</v>
      </c>
      <c r="G968" s="7">
        <f t="shared" ref="G968:G971" si="129">(D968-F968)/F968</f>
        <v>0.409961685823755</v>
      </c>
    </row>
    <row r="969" spans="1:7">
      <c r="A969" s="14" t="s">
        <v>1380</v>
      </c>
      <c r="B969" s="12" t="s">
        <v>1307</v>
      </c>
      <c r="C969" s="13" t="s">
        <v>126</v>
      </c>
      <c r="D969" s="17">
        <v>358.4</v>
      </c>
      <c r="F969" s="6">
        <v>251.5</v>
      </c>
      <c r="G969" s="7">
        <f t="shared" si="129"/>
        <v>0.425049701789264</v>
      </c>
    </row>
    <row r="970" spans="1:7">
      <c r="A970" s="14" t="s">
        <v>1381</v>
      </c>
      <c r="B970" s="12" t="s">
        <v>1309</v>
      </c>
      <c r="C970" s="13" t="s">
        <v>126</v>
      </c>
      <c r="D970" s="17">
        <v>287.25</v>
      </c>
      <c r="F970" s="6">
        <v>193.45</v>
      </c>
      <c r="G970" s="7">
        <f t="shared" si="129"/>
        <v>0.484879813905402</v>
      </c>
    </row>
    <row r="971" spans="1:7">
      <c r="A971" s="14" t="s">
        <v>1382</v>
      </c>
      <c r="B971" s="12" t="s">
        <v>1311</v>
      </c>
      <c r="C971" s="13" t="s">
        <v>126</v>
      </c>
      <c r="D971" s="17">
        <v>197.5</v>
      </c>
      <c r="F971" s="6">
        <v>132.1</v>
      </c>
      <c r="G971" s="7">
        <f t="shared" si="129"/>
        <v>0.495079485238456</v>
      </c>
    </row>
    <row r="972" spans="1:7">
      <c r="A972" s="18">
        <v>9.75</v>
      </c>
      <c r="B972" s="15" t="s">
        <v>1383</v>
      </c>
      <c r="C972" s="13"/>
      <c r="D972" s="16"/>
    </row>
    <row r="973" spans="1:7">
      <c r="A973" s="14" t="s">
        <v>1384</v>
      </c>
      <c r="B973" s="12" t="s">
        <v>1385</v>
      </c>
      <c r="C973" s="13" t="s">
        <v>126</v>
      </c>
      <c r="D973" s="17">
        <v>322.2</v>
      </c>
      <c r="F973" s="6">
        <v>227.05</v>
      </c>
      <c r="G973" s="7">
        <f t="shared" ref="G973:G977" si="130">(D973-F973)/F973</f>
        <v>0.41907068927549</v>
      </c>
    </row>
    <row r="974" spans="1:7">
      <c r="A974" s="14" t="s">
        <v>1386</v>
      </c>
      <c r="B974" s="12" t="s">
        <v>1387</v>
      </c>
      <c r="C974" s="13" t="s">
        <v>126</v>
      </c>
      <c r="D974" s="17">
        <v>308</v>
      </c>
      <c r="F974" s="6">
        <v>215.4</v>
      </c>
      <c r="G974" s="7">
        <f t="shared" si="130"/>
        <v>0.429897864438254</v>
      </c>
    </row>
    <row r="975" ht="31" spans="1:7">
      <c r="A975" s="18">
        <v>9.76</v>
      </c>
      <c r="B975" s="15" t="s">
        <v>1388</v>
      </c>
      <c r="C975" s="13" t="s">
        <v>126</v>
      </c>
      <c r="D975" s="17">
        <v>854.65</v>
      </c>
      <c r="F975" s="6">
        <v>556.45</v>
      </c>
      <c r="G975" s="7">
        <f t="shared" si="130"/>
        <v>0.535897205499146</v>
      </c>
    </row>
    <row r="976" ht="31" spans="1:7">
      <c r="A976" s="18">
        <v>9.77</v>
      </c>
      <c r="B976" s="15" t="s">
        <v>1389</v>
      </c>
      <c r="C976" s="13" t="s">
        <v>126</v>
      </c>
      <c r="D976" s="17">
        <v>726.6</v>
      </c>
      <c r="F976" s="6">
        <v>451.95</v>
      </c>
      <c r="G976" s="7">
        <f t="shared" si="130"/>
        <v>0.607699966810488</v>
      </c>
    </row>
    <row r="977" ht="31" spans="1:7">
      <c r="A977" s="18">
        <v>9.78</v>
      </c>
      <c r="B977" s="15" t="s">
        <v>1390</v>
      </c>
      <c r="C977" s="13" t="s">
        <v>126</v>
      </c>
      <c r="D977" s="17">
        <v>1183.3</v>
      </c>
      <c r="F977" s="6">
        <v>794.55</v>
      </c>
      <c r="G977" s="7">
        <f t="shared" si="130"/>
        <v>0.48927065634636</v>
      </c>
    </row>
    <row r="978" ht="31" spans="1:7">
      <c r="A978" s="18">
        <v>9.79</v>
      </c>
      <c r="B978" s="15" t="s">
        <v>1391</v>
      </c>
      <c r="C978" s="13"/>
      <c r="D978" s="16"/>
    </row>
    <row r="979" spans="1:7">
      <c r="A979" s="14" t="s">
        <v>1392</v>
      </c>
      <c r="B979" s="12" t="s">
        <v>1393</v>
      </c>
      <c r="C979" s="13" t="s">
        <v>126</v>
      </c>
      <c r="D979" s="17">
        <v>311.2</v>
      </c>
      <c r="F979" s="6">
        <v>163.9</v>
      </c>
      <c r="G979" s="7">
        <f t="shared" ref="G979:G983" si="131">(D979-F979)/F979</f>
        <v>0.898718730933496</v>
      </c>
    </row>
    <row r="980" spans="1:7">
      <c r="A980" s="14" t="s">
        <v>1394</v>
      </c>
      <c r="B980" s="12" t="s">
        <v>1395</v>
      </c>
      <c r="C980" s="13" t="s">
        <v>126</v>
      </c>
      <c r="D980" s="17">
        <v>356.75</v>
      </c>
      <c r="F980" s="6">
        <v>196.4</v>
      </c>
      <c r="G980" s="7">
        <f t="shared" si="131"/>
        <v>0.816446028513238</v>
      </c>
    </row>
    <row r="981" spans="1:7">
      <c r="A981" s="14" t="s">
        <v>1396</v>
      </c>
      <c r="B981" s="12" t="s">
        <v>1397</v>
      </c>
      <c r="C981" s="13" t="s">
        <v>126</v>
      </c>
      <c r="D981" s="17">
        <v>362.4</v>
      </c>
      <c r="F981" s="6">
        <v>202.2</v>
      </c>
      <c r="G981" s="7">
        <f t="shared" si="131"/>
        <v>0.792284866468843</v>
      </c>
    </row>
    <row r="982" spans="1:7">
      <c r="A982" s="14" t="s">
        <v>1398</v>
      </c>
      <c r="B982" s="12" t="s">
        <v>1322</v>
      </c>
      <c r="C982" s="13" t="s">
        <v>126</v>
      </c>
      <c r="D982" s="17">
        <v>386.6</v>
      </c>
      <c r="F982" s="6">
        <v>219.65</v>
      </c>
      <c r="G982" s="7">
        <f t="shared" si="131"/>
        <v>0.760072843159572</v>
      </c>
    </row>
    <row r="983" ht="31" spans="1:7">
      <c r="A983" s="18">
        <v>9.8</v>
      </c>
      <c r="B983" s="15" t="s">
        <v>1399</v>
      </c>
      <c r="C983" s="13" t="s">
        <v>126</v>
      </c>
      <c r="D983" s="17">
        <v>74.25</v>
      </c>
      <c r="F983" s="6">
        <v>49.1</v>
      </c>
      <c r="G983" s="7">
        <f t="shared" si="131"/>
        <v>0.512219959266802</v>
      </c>
    </row>
    <row r="984" spans="1:7">
      <c r="A984" s="18">
        <v>9.81</v>
      </c>
      <c r="B984" s="15" t="s">
        <v>1400</v>
      </c>
      <c r="C984" s="13"/>
      <c r="D984" s="16"/>
    </row>
    <row r="985" spans="1:7">
      <c r="A985" s="14" t="s">
        <v>1401</v>
      </c>
      <c r="B985" s="12" t="s">
        <v>1284</v>
      </c>
      <c r="C985" s="13" t="s">
        <v>126</v>
      </c>
      <c r="D985" s="17">
        <v>256.65</v>
      </c>
      <c r="F985" s="6">
        <v>171.2</v>
      </c>
      <c r="G985" s="7">
        <f t="shared" ref="G985:G991" si="132">(D985-F985)/F985</f>
        <v>0.499123831775701</v>
      </c>
    </row>
    <row r="986" spans="1:7">
      <c r="A986" s="14" t="s">
        <v>1402</v>
      </c>
      <c r="B986" s="12" t="s">
        <v>1286</v>
      </c>
      <c r="C986" s="13" t="s">
        <v>126</v>
      </c>
      <c r="D986" s="17">
        <v>234.7</v>
      </c>
      <c r="F986" s="6">
        <v>159.2</v>
      </c>
      <c r="G986" s="7">
        <f t="shared" si="132"/>
        <v>0.474246231155779</v>
      </c>
    </row>
    <row r="987" spans="1:7">
      <c r="A987" s="14" t="s">
        <v>1403</v>
      </c>
      <c r="B987" s="12" t="s">
        <v>1322</v>
      </c>
      <c r="C987" s="13" t="s">
        <v>126</v>
      </c>
      <c r="D987" s="17">
        <v>184.95</v>
      </c>
      <c r="F987" s="6">
        <v>124.35</v>
      </c>
      <c r="G987" s="7">
        <f t="shared" si="132"/>
        <v>0.487334137515078</v>
      </c>
    </row>
    <row r="988" ht="31" spans="1:7">
      <c r="A988" s="18">
        <v>9.82</v>
      </c>
      <c r="B988" s="15" t="s">
        <v>1404</v>
      </c>
      <c r="C988" s="13" t="s">
        <v>126</v>
      </c>
      <c r="D988" s="17">
        <v>121.65</v>
      </c>
      <c r="F988" s="6">
        <v>85.15</v>
      </c>
      <c r="G988" s="7">
        <f t="shared" si="132"/>
        <v>0.428655314151497</v>
      </c>
    </row>
    <row r="989" ht="46.5" spans="1:7">
      <c r="A989" s="18">
        <v>9.83</v>
      </c>
      <c r="B989" s="15" t="s">
        <v>1405</v>
      </c>
      <c r="C989" s="13" t="s">
        <v>126</v>
      </c>
      <c r="D989" s="17">
        <v>1124.85</v>
      </c>
      <c r="F989" s="6">
        <v>414.45</v>
      </c>
      <c r="G989" s="7">
        <f t="shared" si="132"/>
        <v>1.71407889974665</v>
      </c>
    </row>
    <row r="990" ht="62" spans="1:7">
      <c r="A990" s="18">
        <v>9.84</v>
      </c>
      <c r="B990" s="15" t="s">
        <v>1406</v>
      </c>
      <c r="C990" s="13" t="s">
        <v>126</v>
      </c>
      <c r="D990" s="17">
        <v>983.15</v>
      </c>
      <c r="F990" s="6">
        <v>388.4</v>
      </c>
      <c r="G990" s="7">
        <f t="shared" si="132"/>
        <v>1.53128218331617</v>
      </c>
    </row>
    <row r="991" ht="31" spans="1:7">
      <c r="A991" s="18">
        <v>9.85</v>
      </c>
      <c r="B991" s="15" t="s">
        <v>1407</v>
      </c>
      <c r="C991" s="13" t="s">
        <v>126</v>
      </c>
      <c r="D991" s="17">
        <v>89</v>
      </c>
      <c r="F991" s="6">
        <v>68.55</v>
      </c>
      <c r="G991" s="7">
        <f t="shared" si="132"/>
        <v>0.298322392414296</v>
      </c>
    </row>
    <row r="992" ht="31" spans="1:7">
      <c r="A992" s="18">
        <v>9.86</v>
      </c>
      <c r="B992" s="15" t="s">
        <v>1408</v>
      </c>
      <c r="C992" s="13"/>
      <c r="D992" s="16"/>
    </row>
    <row r="993" spans="1:7">
      <c r="A993" s="14" t="s">
        <v>1409</v>
      </c>
      <c r="B993" s="12" t="s">
        <v>1410</v>
      </c>
      <c r="C993" s="13" t="s">
        <v>126</v>
      </c>
      <c r="D993" s="17">
        <v>218.15</v>
      </c>
      <c r="F993" s="6">
        <v>169.15</v>
      </c>
      <c r="G993" s="7">
        <f t="shared" ref="G993:G995" si="133">(D993-F993)/F993</f>
        <v>0.289683712681052</v>
      </c>
    </row>
    <row r="994" spans="1:7">
      <c r="A994" s="14" t="s">
        <v>1411</v>
      </c>
      <c r="B994" s="12" t="s">
        <v>1412</v>
      </c>
      <c r="C994" s="13" t="s">
        <v>126</v>
      </c>
      <c r="D994" s="17">
        <v>175.8</v>
      </c>
      <c r="F994" s="6">
        <v>138.25</v>
      </c>
      <c r="G994" s="7">
        <f t="shared" si="133"/>
        <v>0.271609403254973</v>
      </c>
    </row>
    <row r="995" spans="1:7">
      <c r="A995" s="14" t="s">
        <v>1413</v>
      </c>
      <c r="B995" s="12" t="s">
        <v>1414</v>
      </c>
      <c r="C995" s="13" t="s">
        <v>126</v>
      </c>
      <c r="D995" s="17">
        <v>167.25</v>
      </c>
      <c r="F995" s="6">
        <v>126.65</v>
      </c>
      <c r="G995" s="7">
        <f t="shared" si="133"/>
        <v>0.320568495854718</v>
      </c>
    </row>
    <row r="996" ht="31" spans="1:7">
      <c r="A996" s="18">
        <v>9.87</v>
      </c>
      <c r="B996" s="15" t="s">
        <v>1415</v>
      </c>
      <c r="C996" s="13"/>
      <c r="D996" s="16"/>
    </row>
    <row r="997" spans="1:7">
      <c r="A997" s="14" t="s">
        <v>1416</v>
      </c>
      <c r="B997" s="12" t="s">
        <v>1282</v>
      </c>
      <c r="C997" s="13" t="s">
        <v>126</v>
      </c>
      <c r="D997" s="17">
        <v>139.1</v>
      </c>
      <c r="F997" s="6">
        <v>104.8</v>
      </c>
      <c r="G997" s="7">
        <f t="shared" ref="G997:G999" si="134">(D997-F997)/F997</f>
        <v>0.327290076335878</v>
      </c>
    </row>
    <row r="998" spans="1:7">
      <c r="A998" s="14" t="s">
        <v>1417</v>
      </c>
      <c r="B998" s="12" t="s">
        <v>1326</v>
      </c>
      <c r="C998" s="13" t="s">
        <v>126</v>
      </c>
      <c r="D998" s="17">
        <v>126</v>
      </c>
      <c r="F998" s="6">
        <v>88.1</v>
      </c>
      <c r="G998" s="7">
        <f t="shared" si="134"/>
        <v>0.430192962542565</v>
      </c>
    </row>
    <row r="999" spans="1:7">
      <c r="A999" s="14" t="s">
        <v>1418</v>
      </c>
      <c r="B999" s="12" t="s">
        <v>1328</v>
      </c>
      <c r="C999" s="13" t="s">
        <v>126</v>
      </c>
      <c r="D999" s="17">
        <v>111.05</v>
      </c>
      <c r="F999" s="6">
        <v>77.65</v>
      </c>
      <c r="G999" s="7">
        <f t="shared" si="134"/>
        <v>0.430135222150676</v>
      </c>
    </row>
    <row r="1000" spans="1:7">
      <c r="A1000" s="14"/>
      <c r="B1000" s="15" t="s">
        <v>1419</v>
      </c>
      <c r="C1000" s="13"/>
      <c r="D1000" s="16"/>
    </row>
    <row r="1001" ht="31" spans="1:7">
      <c r="A1001" s="18">
        <v>9.88</v>
      </c>
      <c r="B1001" s="15" t="s">
        <v>1420</v>
      </c>
      <c r="C1001" s="13" t="s">
        <v>126</v>
      </c>
      <c r="D1001" s="17">
        <v>998.35</v>
      </c>
      <c r="F1001" s="6">
        <v>678.4</v>
      </c>
      <c r="G1001" s="7">
        <f t="shared" ref="G1001:G1008" si="135">(D1001-F1001)/F1001</f>
        <v>0.471624410377359</v>
      </c>
    </row>
    <row r="1002" ht="31" spans="1:7">
      <c r="A1002" s="18">
        <v>9.89</v>
      </c>
      <c r="B1002" s="15" t="s">
        <v>1421</v>
      </c>
      <c r="C1002" s="13" t="s">
        <v>126</v>
      </c>
      <c r="D1002" s="17">
        <v>952.8</v>
      </c>
      <c r="F1002" s="6">
        <v>730.7</v>
      </c>
      <c r="G1002" s="7">
        <f t="shared" si="135"/>
        <v>0.303955111536882</v>
      </c>
    </row>
    <row r="1003" ht="31" spans="1:7">
      <c r="A1003" s="18">
        <v>9.9</v>
      </c>
      <c r="B1003" s="15" t="s">
        <v>1422</v>
      </c>
      <c r="C1003" s="13"/>
      <c r="D1003" s="16"/>
    </row>
    <row r="1004" spans="1:7">
      <c r="A1004" s="14" t="s">
        <v>1423</v>
      </c>
      <c r="B1004" s="12" t="s">
        <v>1424</v>
      </c>
      <c r="C1004" s="13" t="s">
        <v>126</v>
      </c>
      <c r="D1004" s="17">
        <v>319.75</v>
      </c>
      <c r="F1004" s="6">
        <v>168.5</v>
      </c>
      <c r="G1004" s="7">
        <f t="shared" si="135"/>
        <v>0.897626112759644</v>
      </c>
    </row>
    <row r="1005" spans="1:7">
      <c r="A1005" s="14" t="s">
        <v>1425</v>
      </c>
      <c r="B1005" s="12" t="s">
        <v>1426</v>
      </c>
      <c r="C1005" s="13" t="s">
        <v>126</v>
      </c>
      <c r="D1005" s="17">
        <v>333.95</v>
      </c>
      <c r="F1005" s="6">
        <v>180.15</v>
      </c>
      <c r="G1005" s="7">
        <f t="shared" si="135"/>
        <v>0.853733000277546</v>
      </c>
    </row>
    <row r="1006" spans="1:7">
      <c r="A1006" s="14" t="s">
        <v>1427</v>
      </c>
      <c r="B1006" s="12" t="s">
        <v>1428</v>
      </c>
      <c r="C1006" s="13" t="s">
        <v>126</v>
      </c>
      <c r="D1006" s="17">
        <v>372.4</v>
      </c>
      <c r="F1006" s="6">
        <v>208</v>
      </c>
      <c r="G1006" s="7">
        <f t="shared" si="135"/>
        <v>0.790384615384615</v>
      </c>
    </row>
    <row r="1007" spans="1:7">
      <c r="A1007" s="14" t="s">
        <v>1429</v>
      </c>
      <c r="B1007" s="12" t="s">
        <v>1430</v>
      </c>
      <c r="C1007" s="13" t="s">
        <v>126</v>
      </c>
      <c r="D1007" s="17">
        <v>409.35</v>
      </c>
      <c r="F1007" s="6">
        <v>237.05</v>
      </c>
      <c r="G1007" s="7">
        <f t="shared" si="135"/>
        <v>0.726850875342755</v>
      </c>
    </row>
    <row r="1008" ht="31" spans="1:7">
      <c r="A1008" s="18">
        <v>9.91</v>
      </c>
      <c r="B1008" s="15" t="s">
        <v>1431</v>
      </c>
      <c r="C1008" s="13" t="s">
        <v>126</v>
      </c>
      <c r="D1008" s="17">
        <v>151.05</v>
      </c>
      <c r="F1008" s="6">
        <v>107.2</v>
      </c>
      <c r="G1008" s="7">
        <f t="shared" si="135"/>
        <v>0.409048507462687</v>
      </c>
    </row>
    <row r="1009" spans="1:7">
      <c r="A1009" s="18">
        <v>9.92</v>
      </c>
      <c r="B1009" s="15" t="s">
        <v>1432</v>
      </c>
      <c r="C1009" s="13"/>
      <c r="D1009" s="16"/>
    </row>
    <row r="1010" spans="1:7">
      <c r="A1010" s="14" t="s">
        <v>1433</v>
      </c>
      <c r="B1010" s="12" t="s">
        <v>1284</v>
      </c>
      <c r="C1010" s="13" t="s">
        <v>126</v>
      </c>
      <c r="D1010" s="17">
        <v>231.05</v>
      </c>
      <c r="F1010" s="6">
        <v>211.85</v>
      </c>
      <c r="G1010" s="7">
        <f t="shared" ref="G1010:G1013" si="136">(D1010-F1010)/F1010</f>
        <v>0.090630162851074</v>
      </c>
    </row>
    <row r="1011" spans="1:7">
      <c r="A1011" s="14" t="s">
        <v>1434</v>
      </c>
      <c r="B1011" s="12" t="s">
        <v>1286</v>
      </c>
      <c r="C1011" s="13" t="s">
        <v>126</v>
      </c>
      <c r="D1011" s="17">
        <v>206.25</v>
      </c>
      <c r="F1011" s="6">
        <v>182.45</v>
      </c>
      <c r="G1011" s="7">
        <f t="shared" si="136"/>
        <v>0.130446697725404</v>
      </c>
    </row>
    <row r="1012" spans="1:7">
      <c r="A1012" s="14" t="s">
        <v>1435</v>
      </c>
      <c r="B1012" s="12" t="s">
        <v>1322</v>
      </c>
      <c r="C1012" s="13" t="s">
        <v>126</v>
      </c>
      <c r="D1012" s="17">
        <v>176.4</v>
      </c>
      <c r="F1012" s="6">
        <v>159.2</v>
      </c>
      <c r="G1012" s="7">
        <f t="shared" si="136"/>
        <v>0.108040201005025</v>
      </c>
    </row>
    <row r="1013" ht="31" spans="1:7">
      <c r="A1013" s="18">
        <v>9.93</v>
      </c>
      <c r="B1013" s="15" t="s">
        <v>1436</v>
      </c>
      <c r="C1013" s="13" t="s">
        <v>126</v>
      </c>
      <c r="D1013" s="17">
        <v>155.45</v>
      </c>
      <c r="F1013" s="6">
        <v>125</v>
      </c>
      <c r="G1013" s="7">
        <f t="shared" si="136"/>
        <v>0.2436</v>
      </c>
    </row>
    <row r="1014" ht="31" spans="1:7">
      <c r="A1014" s="18">
        <v>9.94</v>
      </c>
      <c r="B1014" s="15" t="s">
        <v>1437</v>
      </c>
      <c r="C1014" s="13"/>
      <c r="D1014" s="16"/>
    </row>
    <row r="1015" spans="1:7">
      <c r="A1015" s="14" t="s">
        <v>1438</v>
      </c>
      <c r="B1015" s="12" t="s">
        <v>1410</v>
      </c>
      <c r="C1015" s="13" t="s">
        <v>126</v>
      </c>
      <c r="D1015" s="17">
        <v>215.2</v>
      </c>
      <c r="F1015" s="6">
        <v>188.9</v>
      </c>
      <c r="G1015" s="7">
        <f t="shared" ref="G1015:G1017" si="137">(D1015-F1015)/F1015</f>
        <v>0.139227104287983</v>
      </c>
    </row>
    <row r="1016" spans="1:7">
      <c r="A1016" s="14" t="s">
        <v>1439</v>
      </c>
      <c r="B1016" s="12" t="s">
        <v>1412</v>
      </c>
      <c r="C1016" s="13" t="s">
        <v>126</v>
      </c>
      <c r="D1016" s="17">
        <v>191</v>
      </c>
      <c r="F1016" s="6">
        <v>165.65</v>
      </c>
      <c r="G1016" s="7">
        <f t="shared" si="137"/>
        <v>0.153033504376698</v>
      </c>
    </row>
    <row r="1017" spans="1:7">
      <c r="A1017" s="14" t="s">
        <v>1440</v>
      </c>
      <c r="B1017" s="12" t="s">
        <v>1414</v>
      </c>
      <c r="C1017" s="13" t="s">
        <v>126</v>
      </c>
      <c r="D1017" s="17">
        <v>166.8</v>
      </c>
      <c r="F1017" s="6">
        <v>148.25</v>
      </c>
      <c r="G1017" s="7">
        <f t="shared" si="137"/>
        <v>0.125126475548061</v>
      </c>
    </row>
    <row r="1018" spans="1:7">
      <c r="A1018" s="14"/>
      <c r="B1018" s="15" t="s">
        <v>1441</v>
      </c>
      <c r="C1018" s="13"/>
      <c r="D1018" s="16"/>
    </row>
    <row r="1019" ht="46.5" spans="1:7">
      <c r="A1019" s="18">
        <v>9.95</v>
      </c>
      <c r="B1019" s="15" t="s">
        <v>1442</v>
      </c>
      <c r="C1019" s="13"/>
      <c r="D1019" s="16"/>
    </row>
    <row r="1020" spans="1:7">
      <c r="A1020" s="14" t="s">
        <v>1443</v>
      </c>
      <c r="B1020" s="12" t="s">
        <v>1444</v>
      </c>
      <c r="C1020" s="13" t="s">
        <v>126</v>
      </c>
      <c r="D1020" s="17">
        <v>150.1</v>
      </c>
      <c r="F1020" s="6">
        <v>118.2</v>
      </c>
      <c r="G1020" s="7">
        <f t="shared" ref="G1020:G1027" si="138">(D1020-F1020)/F1020</f>
        <v>0.269881556683587</v>
      </c>
    </row>
    <row r="1021" spans="1:7">
      <c r="A1021" s="14" t="s">
        <v>1445</v>
      </c>
      <c r="B1021" s="12" t="s">
        <v>1446</v>
      </c>
      <c r="C1021" s="13" t="s">
        <v>126</v>
      </c>
      <c r="D1021" s="17">
        <v>126.65</v>
      </c>
      <c r="F1021" s="6">
        <v>98.45</v>
      </c>
      <c r="G1021" s="7">
        <f t="shared" si="138"/>
        <v>0.286439817166074</v>
      </c>
    </row>
    <row r="1022" spans="1:7">
      <c r="A1022" s="14" t="s">
        <v>1447</v>
      </c>
      <c r="B1022" s="12" t="s">
        <v>1448</v>
      </c>
      <c r="C1022" s="13" t="s">
        <v>126</v>
      </c>
      <c r="D1022" s="17">
        <v>115.4</v>
      </c>
      <c r="F1022" s="6">
        <v>87.55</v>
      </c>
      <c r="G1022" s="7">
        <f t="shared" si="138"/>
        <v>0.318103940605368</v>
      </c>
    </row>
    <row r="1023" spans="1:7">
      <c r="A1023" s="14" t="s">
        <v>1449</v>
      </c>
      <c r="B1023" s="12" t="s">
        <v>1450</v>
      </c>
      <c r="C1023" s="13" t="s">
        <v>126</v>
      </c>
      <c r="D1023" s="17">
        <v>104.75</v>
      </c>
      <c r="F1023" s="6">
        <v>79.45</v>
      </c>
      <c r="G1023" s="7">
        <f t="shared" si="138"/>
        <v>0.31843926998112</v>
      </c>
    </row>
    <row r="1024" spans="1:7">
      <c r="A1024" s="14" t="s">
        <v>1451</v>
      </c>
      <c r="B1024" s="12" t="s">
        <v>1452</v>
      </c>
      <c r="C1024" s="13" t="s">
        <v>126</v>
      </c>
      <c r="D1024" s="17">
        <v>96.9</v>
      </c>
      <c r="F1024" s="6">
        <v>73.05</v>
      </c>
      <c r="G1024" s="7">
        <f t="shared" si="138"/>
        <v>0.326488706365503</v>
      </c>
    </row>
    <row r="1025" spans="1:7">
      <c r="A1025" s="14" t="s">
        <v>1453</v>
      </c>
      <c r="B1025" s="12" t="s">
        <v>1454</v>
      </c>
      <c r="C1025" s="13" t="s">
        <v>126</v>
      </c>
      <c r="D1025" s="17">
        <v>87.9</v>
      </c>
      <c r="F1025" s="6">
        <v>62.05</v>
      </c>
      <c r="G1025" s="7">
        <f t="shared" si="138"/>
        <v>0.416599516518937</v>
      </c>
    </row>
    <row r="1026" spans="1:7">
      <c r="A1026" s="14" t="s">
        <v>1455</v>
      </c>
      <c r="B1026" s="12" t="s">
        <v>1456</v>
      </c>
      <c r="C1026" s="13" t="s">
        <v>126</v>
      </c>
      <c r="D1026" s="17">
        <v>81.5</v>
      </c>
      <c r="F1026" s="6">
        <v>56.25</v>
      </c>
      <c r="G1026" s="7">
        <f t="shared" si="138"/>
        <v>0.448888888888889</v>
      </c>
    </row>
    <row r="1027" spans="1:7">
      <c r="A1027" s="14" t="s">
        <v>1457</v>
      </c>
      <c r="B1027" s="12" t="s">
        <v>1458</v>
      </c>
      <c r="C1027" s="13" t="s">
        <v>126</v>
      </c>
      <c r="D1027" s="17">
        <v>76.5</v>
      </c>
      <c r="F1027" s="6">
        <v>52.8</v>
      </c>
      <c r="G1027" s="7">
        <f t="shared" si="138"/>
        <v>0.448863636363636</v>
      </c>
    </row>
    <row r="1028" ht="31" spans="1:7">
      <c r="A1028" s="14"/>
      <c r="B1028" s="15" t="s">
        <v>1459</v>
      </c>
      <c r="C1028" s="13"/>
      <c r="D1028" s="17"/>
    </row>
    <row r="1029" ht="46.5" spans="1:7">
      <c r="A1029" s="18">
        <v>9.96</v>
      </c>
      <c r="B1029" s="15" t="s">
        <v>1460</v>
      </c>
      <c r="C1029" s="13"/>
      <c r="D1029" s="16"/>
    </row>
    <row r="1030" spans="1:7">
      <c r="A1030" s="14" t="s">
        <v>1461</v>
      </c>
      <c r="B1030" s="12" t="s">
        <v>1300</v>
      </c>
      <c r="C1030" s="13" t="s">
        <v>126</v>
      </c>
      <c r="D1030" s="17">
        <v>303.25</v>
      </c>
      <c r="F1030" s="6">
        <v>212.45</v>
      </c>
      <c r="G1030" s="7">
        <f t="shared" ref="G1030:G1039" si="139">(D1030-F1030)/F1030</f>
        <v>0.427394681101436</v>
      </c>
    </row>
    <row r="1031" spans="1:7">
      <c r="A1031" s="14" t="s">
        <v>1462</v>
      </c>
      <c r="B1031" s="12" t="s">
        <v>1302</v>
      </c>
      <c r="C1031" s="13" t="s">
        <v>126</v>
      </c>
      <c r="D1031" s="17">
        <v>260.6</v>
      </c>
      <c r="F1031" s="6">
        <v>189.2</v>
      </c>
      <c r="G1031" s="7">
        <f t="shared" si="139"/>
        <v>0.377378435517971</v>
      </c>
    </row>
    <row r="1032" ht="46.5" spans="1:7">
      <c r="A1032" s="18">
        <v>9.97</v>
      </c>
      <c r="B1032" s="15" t="s">
        <v>1463</v>
      </c>
      <c r="C1032" s="13"/>
      <c r="D1032" s="16"/>
    </row>
    <row r="1033" spans="1:7">
      <c r="A1033" s="14" t="s">
        <v>1464</v>
      </c>
      <c r="B1033" s="12" t="s">
        <v>1465</v>
      </c>
      <c r="C1033" s="13" t="s">
        <v>126</v>
      </c>
      <c r="D1033" s="17">
        <v>130.1</v>
      </c>
      <c r="F1033" s="6">
        <v>99.7</v>
      </c>
      <c r="G1033" s="7">
        <f t="shared" si="139"/>
        <v>0.304914744232698</v>
      </c>
    </row>
    <row r="1034" spans="1:7">
      <c r="A1034" s="14" t="s">
        <v>1466</v>
      </c>
      <c r="B1034" s="12" t="s">
        <v>1305</v>
      </c>
      <c r="C1034" s="13" t="s">
        <v>126</v>
      </c>
      <c r="D1034" s="17">
        <v>115.15</v>
      </c>
      <c r="F1034" s="6">
        <v>88.1</v>
      </c>
      <c r="G1034" s="7">
        <f t="shared" si="139"/>
        <v>0.307037457434733</v>
      </c>
    </row>
    <row r="1035" spans="1:7">
      <c r="A1035" s="14" t="s">
        <v>1467</v>
      </c>
      <c r="B1035" s="12" t="s">
        <v>1307</v>
      </c>
      <c r="C1035" s="13" t="s">
        <v>126</v>
      </c>
      <c r="D1035" s="17">
        <v>99.7</v>
      </c>
      <c r="F1035" s="6">
        <v>76.15</v>
      </c>
      <c r="G1035" s="7">
        <f t="shared" si="139"/>
        <v>0.309258043335522</v>
      </c>
    </row>
    <row r="1036" spans="1:7">
      <c r="A1036" s="14" t="s">
        <v>1468</v>
      </c>
      <c r="B1036" s="12" t="s">
        <v>1309</v>
      </c>
      <c r="C1036" s="13" t="s">
        <v>126</v>
      </c>
      <c r="D1036" s="17">
        <v>82.55</v>
      </c>
      <c r="F1036" s="6">
        <v>64.3</v>
      </c>
      <c r="G1036" s="7">
        <f t="shared" si="139"/>
        <v>0.283825816485226</v>
      </c>
    </row>
    <row r="1037" spans="1:7">
      <c r="A1037" s="14" t="s">
        <v>1469</v>
      </c>
      <c r="B1037" s="12" t="s">
        <v>1311</v>
      </c>
      <c r="C1037" s="13" t="s">
        <v>126</v>
      </c>
      <c r="D1037" s="17">
        <v>64.7</v>
      </c>
      <c r="F1037" s="6">
        <v>49.2</v>
      </c>
      <c r="G1037" s="7">
        <f t="shared" si="139"/>
        <v>0.315040650406504</v>
      </c>
    </row>
    <row r="1038" ht="46.5" spans="1:7">
      <c r="A1038" s="18">
        <v>9.98</v>
      </c>
      <c r="B1038" s="15" t="s">
        <v>1470</v>
      </c>
      <c r="C1038" s="13" t="s">
        <v>126</v>
      </c>
      <c r="D1038" s="17">
        <v>100.8</v>
      </c>
      <c r="F1038" s="6">
        <v>66.55</v>
      </c>
      <c r="G1038" s="7">
        <f t="shared" si="139"/>
        <v>0.514650638617581</v>
      </c>
    </row>
    <row r="1039" ht="46.5" spans="1:7">
      <c r="A1039" s="18">
        <v>9.99</v>
      </c>
      <c r="B1039" s="15" t="s">
        <v>1471</v>
      </c>
      <c r="C1039" s="13" t="s">
        <v>126</v>
      </c>
      <c r="D1039" s="17">
        <v>239.4</v>
      </c>
      <c r="F1039" s="6">
        <v>184.45</v>
      </c>
      <c r="G1039" s="7">
        <f t="shared" si="139"/>
        <v>0.297912713472486</v>
      </c>
    </row>
    <row r="1040" ht="46.5" spans="1:7">
      <c r="A1040" s="33">
        <v>9.1</v>
      </c>
      <c r="B1040" s="15" t="s">
        <v>1472</v>
      </c>
      <c r="C1040" s="13"/>
      <c r="D1040" s="16"/>
    </row>
    <row r="1041" spans="1:7">
      <c r="A1041" s="14" t="s">
        <v>1473</v>
      </c>
      <c r="B1041" s="12" t="s">
        <v>1284</v>
      </c>
      <c r="C1041" s="13" t="s">
        <v>126</v>
      </c>
      <c r="D1041" s="17">
        <v>66.25</v>
      </c>
      <c r="F1041" s="6">
        <v>51.1</v>
      </c>
      <c r="G1041" s="7">
        <f t="shared" ref="G1041:G1043" si="140">(D1041-F1041)/F1041</f>
        <v>0.296477495107632</v>
      </c>
    </row>
    <row r="1042" spans="1:7">
      <c r="A1042" s="14" t="s">
        <v>1474</v>
      </c>
      <c r="B1042" s="12" t="s">
        <v>1286</v>
      </c>
      <c r="C1042" s="13" t="s">
        <v>126</v>
      </c>
      <c r="D1042" s="17">
        <v>59.55</v>
      </c>
      <c r="F1042" s="6">
        <v>45.1</v>
      </c>
      <c r="G1042" s="7">
        <f t="shared" si="140"/>
        <v>0.32039911308204</v>
      </c>
    </row>
    <row r="1043" spans="1:7">
      <c r="A1043" s="14" t="s">
        <v>1475</v>
      </c>
      <c r="B1043" s="12" t="s">
        <v>1322</v>
      </c>
      <c r="C1043" s="13" t="s">
        <v>126</v>
      </c>
      <c r="D1043" s="17">
        <v>51.75</v>
      </c>
      <c r="F1043" s="6">
        <v>38.95</v>
      </c>
      <c r="G1043" s="7">
        <f t="shared" si="140"/>
        <v>0.328626444159178</v>
      </c>
    </row>
    <row r="1044" ht="46.5" spans="1:7">
      <c r="A1044" s="14">
        <v>9.101</v>
      </c>
      <c r="B1044" s="15" t="s">
        <v>1476</v>
      </c>
      <c r="C1044" s="13"/>
      <c r="D1044" s="16"/>
    </row>
    <row r="1045" spans="1:7">
      <c r="A1045" s="14" t="s">
        <v>1477</v>
      </c>
      <c r="B1045" s="12" t="s">
        <v>1478</v>
      </c>
      <c r="C1045" s="13" t="s">
        <v>126</v>
      </c>
      <c r="D1045" s="17">
        <v>39.6</v>
      </c>
      <c r="F1045" s="6">
        <v>27.55</v>
      </c>
      <c r="G1045" s="7">
        <f t="shared" ref="G1045:G1049" si="141">(D1045-F1045)/F1045</f>
        <v>0.437386569872958</v>
      </c>
    </row>
    <row r="1046" spans="1:7">
      <c r="A1046" s="14" t="s">
        <v>1479</v>
      </c>
      <c r="B1046" s="12" t="s">
        <v>1480</v>
      </c>
      <c r="C1046" s="13" t="s">
        <v>126</v>
      </c>
      <c r="D1046" s="17">
        <v>72.35</v>
      </c>
      <c r="F1046" s="6">
        <v>38</v>
      </c>
      <c r="G1046" s="7">
        <f t="shared" si="141"/>
        <v>0.903947368421052</v>
      </c>
    </row>
    <row r="1047" ht="46.5" spans="1:7">
      <c r="A1047" s="14">
        <v>9.102</v>
      </c>
      <c r="B1047" s="15" t="s">
        <v>1481</v>
      </c>
      <c r="C1047" s="13" t="s">
        <v>126</v>
      </c>
      <c r="D1047" s="17">
        <v>71.5</v>
      </c>
      <c r="F1047" s="6">
        <v>49.5</v>
      </c>
      <c r="G1047" s="7">
        <f t="shared" si="141"/>
        <v>0.444444444444444</v>
      </c>
    </row>
    <row r="1048" ht="46.5" spans="1:7">
      <c r="A1048" s="14">
        <v>9.103</v>
      </c>
      <c r="B1048" s="15" t="s">
        <v>1482</v>
      </c>
      <c r="C1048" s="13" t="s">
        <v>126</v>
      </c>
      <c r="D1048" s="17">
        <v>868.95</v>
      </c>
      <c r="F1048" s="6">
        <v>622.15</v>
      </c>
      <c r="G1048" s="7">
        <f t="shared" si="141"/>
        <v>0.39668890139034</v>
      </c>
    </row>
    <row r="1049" ht="31" spans="1:7">
      <c r="A1049" s="14">
        <v>9.104</v>
      </c>
      <c r="B1049" s="15" t="s">
        <v>1483</v>
      </c>
      <c r="C1049" s="13" t="s">
        <v>39</v>
      </c>
      <c r="D1049" s="17">
        <v>160.35</v>
      </c>
      <c r="F1049" s="6">
        <v>64.55</v>
      </c>
      <c r="G1049" s="7">
        <f t="shared" si="141"/>
        <v>1.48412083656081</v>
      </c>
    </row>
    <row r="1050" spans="1:7">
      <c r="A1050" s="14"/>
      <c r="B1050" s="15" t="s">
        <v>1484</v>
      </c>
      <c r="C1050" s="13"/>
      <c r="D1050" s="16"/>
    </row>
    <row r="1051" ht="310" spans="1:7">
      <c r="A1051" s="14">
        <v>9.105</v>
      </c>
      <c r="B1051" s="15" t="s">
        <v>1485</v>
      </c>
      <c r="C1051" s="13"/>
      <c r="D1051" s="16"/>
    </row>
    <row r="1052" ht="46.5" spans="1:7">
      <c r="A1052" s="14" t="s">
        <v>1486</v>
      </c>
      <c r="B1052" s="12" t="s">
        <v>1487</v>
      </c>
      <c r="C1052" s="13" t="s">
        <v>11</v>
      </c>
      <c r="D1052" s="17">
        <v>2131.1</v>
      </c>
      <c r="F1052" s="6">
        <v>1309.65</v>
      </c>
      <c r="G1052" s="7">
        <f t="shared" ref="G1052:G1056" si="142">(D1052-F1052)/F1052</f>
        <v>0.627228648875654</v>
      </c>
    </row>
    <row r="1053" ht="46.5" spans="1:7">
      <c r="A1053" s="14" t="s">
        <v>1488</v>
      </c>
      <c r="B1053" s="12" t="s">
        <v>1489</v>
      </c>
      <c r="C1053" s="13" t="s">
        <v>11</v>
      </c>
      <c r="D1053" s="17">
        <v>1818.15</v>
      </c>
      <c r="F1053" s="6">
        <v>1181.85</v>
      </c>
      <c r="G1053" s="7">
        <f t="shared" si="142"/>
        <v>0.538393197106232</v>
      </c>
    </row>
    <row r="1054" ht="62" spans="1:7">
      <c r="A1054" s="14" t="s">
        <v>1490</v>
      </c>
      <c r="B1054" s="12" t="s">
        <v>1491</v>
      </c>
      <c r="C1054" s="13" t="s">
        <v>11</v>
      </c>
      <c r="D1054" s="17">
        <v>2225</v>
      </c>
      <c r="F1054" s="6">
        <v>1309.65</v>
      </c>
      <c r="G1054" s="7">
        <f t="shared" si="142"/>
        <v>0.69892719428855</v>
      </c>
    </row>
    <row r="1055" ht="62" spans="1:7">
      <c r="A1055" s="14" t="s">
        <v>1492</v>
      </c>
      <c r="B1055" s="12" t="s">
        <v>1493</v>
      </c>
      <c r="C1055" s="13" t="s">
        <v>11</v>
      </c>
      <c r="D1055" s="17">
        <v>2062.85</v>
      </c>
      <c r="F1055" s="6">
        <v>1228.35</v>
      </c>
      <c r="G1055" s="7">
        <f t="shared" si="142"/>
        <v>0.679366630032157</v>
      </c>
    </row>
    <row r="1056" ht="46.5" spans="1:7">
      <c r="A1056" s="14" t="s">
        <v>1494</v>
      </c>
      <c r="B1056" s="12" t="s">
        <v>1495</v>
      </c>
      <c r="C1056" s="13" t="s">
        <v>11</v>
      </c>
      <c r="D1056" s="17">
        <v>2034.4</v>
      </c>
      <c r="F1056" s="6">
        <v>1222.6</v>
      </c>
      <c r="G1056" s="7">
        <f t="shared" si="142"/>
        <v>0.663994765254376</v>
      </c>
    </row>
    <row r="1057" spans="1:7">
      <c r="A1057" s="14">
        <v>9.106</v>
      </c>
      <c r="B1057" s="15" t="s">
        <v>1496</v>
      </c>
      <c r="C1057" s="13"/>
      <c r="D1057" s="16"/>
    </row>
    <row r="1058" spans="1:7">
      <c r="A1058" s="14" t="s">
        <v>1497</v>
      </c>
      <c r="B1058" s="12" t="s">
        <v>1498</v>
      </c>
      <c r="C1058" s="13" t="s">
        <v>126</v>
      </c>
      <c r="D1058" s="17">
        <v>42.95</v>
      </c>
      <c r="F1058" s="6">
        <v>34.4</v>
      </c>
      <c r="G1058" s="7">
        <f t="shared" ref="G1058:G1062" si="143">(D1058-F1058)/F1058</f>
        <v>0.248546511627907</v>
      </c>
    </row>
    <row r="1059" spans="1:7">
      <c r="A1059" s="14" t="s">
        <v>1499</v>
      </c>
      <c r="B1059" s="12" t="s">
        <v>1500</v>
      </c>
      <c r="C1059" s="13" t="s">
        <v>126</v>
      </c>
      <c r="D1059" s="17">
        <v>41.55</v>
      </c>
      <c r="F1059" s="6">
        <v>34.4</v>
      </c>
      <c r="G1059" s="7">
        <f t="shared" si="143"/>
        <v>0.207848837209302</v>
      </c>
    </row>
    <row r="1060" spans="1:7">
      <c r="A1060" s="14">
        <v>9.107</v>
      </c>
      <c r="B1060" s="15" t="s">
        <v>1501</v>
      </c>
      <c r="C1060" s="13"/>
      <c r="D1060" s="16"/>
    </row>
    <row r="1061" spans="1:7">
      <c r="A1061" s="14" t="s">
        <v>1502</v>
      </c>
      <c r="B1061" s="12" t="s">
        <v>1503</v>
      </c>
      <c r="C1061" s="13" t="s">
        <v>126</v>
      </c>
      <c r="D1061" s="17">
        <v>75.9</v>
      </c>
      <c r="F1061" s="6">
        <v>55.65</v>
      </c>
      <c r="G1061" s="7">
        <f t="shared" si="143"/>
        <v>0.363881401617251</v>
      </c>
    </row>
    <row r="1062" spans="1:7">
      <c r="A1062" s="14" t="s">
        <v>1504</v>
      </c>
      <c r="B1062" s="12" t="s">
        <v>1505</v>
      </c>
      <c r="C1062" s="13" t="s">
        <v>126</v>
      </c>
      <c r="D1062" s="17">
        <v>89.1</v>
      </c>
      <c r="F1062" s="6">
        <v>69.8</v>
      </c>
      <c r="G1062" s="7">
        <f t="shared" si="143"/>
        <v>0.276504297994269</v>
      </c>
    </row>
    <row r="1063" ht="31" spans="1:7">
      <c r="A1063" s="14">
        <v>9.108</v>
      </c>
      <c r="B1063" s="15" t="s">
        <v>1506</v>
      </c>
      <c r="C1063" s="13"/>
      <c r="D1063" s="16"/>
    </row>
    <row r="1064" spans="1:7">
      <c r="A1064" s="14" t="s">
        <v>1507</v>
      </c>
      <c r="B1064" s="12" t="s">
        <v>1508</v>
      </c>
      <c r="C1064" s="13" t="s">
        <v>126</v>
      </c>
      <c r="D1064" s="17">
        <v>69.75</v>
      </c>
      <c r="F1064" s="6">
        <v>66.25</v>
      </c>
      <c r="G1064" s="7">
        <f t="shared" ref="G1064:G1067" si="144">(D1064-F1064)/F1064</f>
        <v>0.0528301886792453</v>
      </c>
    </row>
    <row r="1065" spans="1:7">
      <c r="A1065" s="14" t="s">
        <v>1509</v>
      </c>
      <c r="B1065" s="12" t="s">
        <v>1510</v>
      </c>
      <c r="C1065" s="13" t="s">
        <v>126</v>
      </c>
      <c r="D1065" s="17">
        <v>106.15</v>
      </c>
      <c r="F1065" s="6">
        <v>91.7</v>
      </c>
      <c r="G1065" s="7">
        <f t="shared" si="144"/>
        <v>0.157579062159215</v>
      </c>
    </row>
    <row r="1066" ht="31" spans="1:7">
      <c r="A1066" s="14">
        <v>9.109</v>
      </c>
      <c r="B1066" s="15" t="s">
        <v>1511</v>
      </c>
      <c r="C1066" s="13" t="s">
        <v>126</v>
      </c>
      <c r="D1066" s="17">
        <v>40.05</v>
      </c>
      <c r="F1066" s="6">
        <v>32.15</v>
      </c>
      <c r="G1066" s="7">
        <f t="shared" si="144"/>
        <v>0.245723172628305</v>
      </c>
    </row>
    <row r="1067" ht="62" spans="1:7">
      <c r="A1067" s="33">
        <v>9.11</v>
      </c>
      <c r="B1067" s="15" t="s">
        <v>1512</v>
      </c>
      <c r="C1067" s="13" t="s">
        <v>11</v>
      </c>
      <c r="D1067" s="17">
        <v>689.4</v>
      </c>
      <c r="F1067" s="6">
        <v>434.5</v>
      </c>
      <c r="G1067" s="7">
        <f t="shared" si="144"/>
        <v>0.586651323360184</v>
      </c>
    </row>
    <row r="1068" ht="46.5" spans="1:7">
      <c r="A1068" s="14">
        <v>9.111</v>
      </c>
      <c r="B1068" s="15" t="s">
        <v>1513</v>
      </c>
      <c r="C1068" s="13"/>
      <c r="D1068" s="16"/>
    </row>
    <row r="1069" spans="1:7">
      <c r="A1069" s="14" t="s">
        <v>1514</v>
      </c>
      <c r="B1069" s="12" t="s">
        <v>1515</v>
      </c>
      <c r="C1069" s="13" t="s">
        <v>39</v>
      </c>
      <c r="D1069" s="17">
        <v>354.35</v>
      </c>
      <c r="F1069" s="6">
        <v>197.3</v>
      </c>
      <c r="G1069" s="7">
        <f t="shared" ref="G1069:G1071" si="145">(D1069-F1069)/F1069</f>
        <v>0.795995945261024</v>
      </c>
    </row>
    <row r="1070" ht="46.5" spans="1:7">
      <c r="A1070" s="14">
        <v>9.112</v>
      </c>
      <c r="B1070" s="15" t="s">
        <v>1516</v>
      </c>
      <c r="C1070" s="13" t="s">
        <v>39</v>
      </c>
      <c r="D1070" s="17">
        <v>102.15</v>
      </c>
      <c r="F1070" s="6">
        <v>64.35</v>
      </c>
      <c r="G1070" s="7">
        <f t="shared" si="145"/>
        <v>0.587412587412588</v>
      </c>
    </row>
    <row r="1071" ht="46.5" spans="1:7">
      <c r="A1071" s="14">
        <v>9.113</v>
      </c>
      <c r="B1071" s="15" t="s">
        <v>1517</v>
      </c>
      <c r="C1071" s="13" t="s">
        <v>126</v>
      </c>
      <c r="D1071" s="17">
        <v>850.05</v>
      </c>
      <c r="F1071" s="6">
        <v>473.65</v>
      </c>
      <c r="G1071" s="7">
        <f t="shared" si="145"/>
        <v>0.794679615750026</v>
      </c>
    </row>
    <row r="1072" ht="31" spans="1:7">
      <c r="A1072" s="14">
        <v>9.114</v>
      </c>
      <c r="B1072" s="15" t="s">
        <v>1518</v>
      </c>
      <c r="C1072" s="13"/>
      <c r="D1072" s="16"/>
    </row>
    <row r="1073" spans="1:7">
      <c r="A1073" s="14" t="s">
        <v>1519</v>
      </c>
      <c r="B1073" s="12" t="s">
        <v>1520</v>
      </c>
      <c r="C1073" s="13" t="s">
        <v>126</v>
      </c>
      <c r="D1073" s="17">
        <v>52.5</v>
      </c>
      <c r="F1073" s="6">
        <v>28.45</v>
      </c>
      <c r="G1073" s="7">
        <f t="shared" ref="G1073:G1076" si="146">(D1073-F1073)/F1073</f>
        <v>0.845342706502636</v>
      </c>
    </row>
    <row r="1074" spans="1:7">
      <c r="A1074" s="14" t="s">
        <v>1521</v>
      </c>
      <c r="B1074" s="12" t="s">
        <v>1522</v>
      </c>
      <c r="C1074" s="13" t="s">
        <v>126</v>
      </c>
      <c r="D1074" s="17">
        <v>39.7</v>
      </c>
      <c r="F1074" s="6">
        <v>21.5</v>
      </c>
      <c r="G1074" s="7">
        <f t="shared" si="146"/>
        <v>0.846511627906977</v>
      </c>
    </row>
    <row r="1075" ht="31" spans="1:7">
      <c r="A1075" s="14">
        <v>9.115</v>
      </c>
      <c r="B1075" s="15" t="s">
        <v>1523</v>
      </c>
      <c r="C1075" s="13" t="s">
        <v>1524</v>
      </c>
      <c r="D1075" s="17">
        <v>414.2</v>
      </c>
      <c r="F1075" s="6">
        <v>198.25</v>
      </c>
      <c r="G1075" s="7">
        <f t="shared" si="146"/>
        <v>1.08928121059269</v>
      </c>
    </row>
    <row r="1076" ht="46.5" spans="1:7">
      <c r="A1076" s="14">
        <v>9.116</v>
      </c>
      <c r="B1076" s="15" t="s">
        <v>1525</v>
      </c>
      <c r="C1076" s="13" t="s">
        <v>126</v>
      </c>
      <c r="D1076" s="17">
        <v>20.4</v>
      </c>
      <c r="F1076" s="6">
        <v>12.55</v>
      </c>
      <c r="G1076" s="7">
        <f t="shared" si="146"/>
        <v>0.625498007968127</v>
      </c>
    </row>
    <row r="1077" ht="108.5" spans="1:7">
      <c r="A1077" s="14">
        <v>9.117</v>
      </c>
      <c r="B1077" s="15" t="s">
        <v>1526</v>
      </c>
      <c r="C1077" s="13"/>
      <c r="D1077" s="16"/>
    </row>
    <row r="1078" spans="1:7">
      <c r="A1078" s="14" t="s">
        <v>1527</v>
      </c>
      <c r="B1078" s="12" t="s">
        <v>1528</v>
      </c>
      <c r="C1078" s="13" t="s">
        <v>39</v>
      </c>
      <c r="D1078" s="17">
        <v>270.2</v>
      </c>
      <c r="F1078" s="6">
        <v>216.8</v>
      </c>
      <c r="G1078" s="7">
        <f t="shared" ref="G1078:G1084" si="147">(D1078-F1078)/F1078</f>
        <v>0.246309963099631</v>
      </c>
    </row>
    <row r="1079" spans="1:7">
      <c r="A1079" s="14" t="s">
        <v>1529</v>
      </c>
      <c r="B1079" s="12" t="s">
        <v>1530</v>
      </c>
      <c r="C1079" s="13" t="s">
        <v>39</v>
      </c>
      <c r="D1079" s="17">
        <v>331.35</v>
      </c>
      <c r="F1079" s="6">
        <v>205.2</v>
      </c>
      <c r="G1079" s="7">
        <f t="shared" si="147"/>
        <v>0.614766081871345</v>
      </c>
    </row>
    <row r="1080" spans="1:7">
      <c r="A1080" s="14">
        <v>9.118</v>
      </c>
      <c r="B1080" s="15" t="s">
        <v>1531</v>
      </c>
      <c r="C1080" s="13"/>
      <c r="D1080" s="16"/>
    </row>
    <row r="1081" ht="201.5" spans="1:7">
      <c r="A1081" s="14" t="s">
        <v>1532</v>
      </c>
      <c r="B1081" s="12" t="s">
        <v>1533</v>
      </c>
      <c r="C1081" s="13" t="s">
        <v>11</v>
      </c>
      <c r="D1081" s="17">
        <v>2969.25</v>
      </c>
      <c r="F1081" s="6">
        <v>1800.45</v>
      </c>
      <c r="G1081" s="7">
        <f t="shared" si="147"/>
        <v>0.64917104057319</v>
      </c>
    </row>
    <row r="1082" ht="201.5" spans="1:7">
      <c r="A1082" s="14" t="s">
        <v>1534</v>
      </c>
      <c r="B1082" s="12" t="s">
        <v>1535</v>
      </c>
      <c r="C1082" s="13" t="s">
        <v>11</v>
      </c>
      <c r="D1082" s="17">
        <v>3253.8</v>
      </c>
      <c r="F1082" s="6">
        <v>1948</v>
      </c>
      <c r="G1082" s="7">
        <f t="shared" si="147"/>
        <v>0.670328542094456</v>
      </c>
    </row>
    <row r="1083" ht="170.5" spans="1:7">
      <c r="A1083" s="14" t="s">
        <v>1536</v>
      </c>
      <c r="B1083" s="12" t="s">
        <v>1537</v>
      </c>
      <c r="C1083" s="13" t="s">
        <v>11</v>
      </c>
      <c r="D1083" s="17">
        <v>3068.85</v>
      </c>
      <c r="F1083" s="6">
        <v>2154.75</v>
      </c>
      <c r="G1083" s="7">
        <f t="shared" si="147"/>
        <v>0.424225548207449</v>
      </c>
    </row>
    <row r="1084" ht="108.5" spans="1:7">
      <c r="A1084" s="14">
        <v>9.119</v>
      </c>
      <c r="B1084" s="15" t="s">
        <v>1538</v>
      </c>
      <c r="C1084" s="13" t="s">
        <v>39</v>
      </c>
      <c r="D1084" s="17">
        <v>492.7</v>
      </c>
      <c r="F1084" s="6">
        <v>438.75</v>
      </c>
      <c r="G1084" s="7">
        <f t="shared" si="147"/>
        <v>0.122962962962963</v>
      </c>
    </row>
    <row r="1085" ht="248" spans="1:7">
      <c r="A1085" s="33">
        <v>9.12</v>
      </c>
      <c r="B1085" s="15" t="s">
        <v>1539</v>
      </c>
      <c r="C1085" s="13"/>
      <c r="D1085" s="16"/>
    </row>
    <row r="1086" spans="1:7">
      <c r="A1086" s="14" t="s">
        <v>1540</v>
      </c>
      <c r="B1086" s="12" t="s">
        <v>1541</v>
      </c>
      <c r="C1086" s="13" t="s">
        <v>11</v>
      </c>
      <c r="D1086" s="17">
        <v>3182.95</v>
      </c>
      <c r="F1086" s="6">
        <v>2768.1</v>
      </c>
      <c r="G1086" s="7">
        <f t="shared" ref="G1086:G1088" si="148">(D1086-F1086)/F1086</f>
        <v>0.149868140601857</v>
      </c>
    </row>
    <row r="1087" spans="1:7">
      <c r="A1087" s="14" t="s">
        <v>1542</v>
      </c>
      <c r="B1087" s="12" t="s">
        <v>1543</v>
      </c>
      <c r="C1087" s="13" t="s">
        <v>11</v>
      </c>
      <c r="D1087" s="17">
        <v>3663.8</v>
      </c>
      <c r="F1087" s="6">
        <v>3232.7</v>
      </c>
      <c r="G1087" s="7">
        <f t="shared" si="148"/>
        <v>0.13335601818913</v>
      </c>
    </row>
    <row r="1088" ht="93" spans="1:7">
      <c r="A1088" s="14">
        <v>9.121</v>
      </c>
      <c r="B1088" s="15" t="s">
        <v>1544</v>
      </c>
      <c r="C1088" s="13" t="s">
        <v>39</v>
      </c>
      <c r="D1088" s="17">
        <v>570.95</v>
      </c>
      <c r="F1088" s="6">
        <v>415.5</v>
      </c>
      <c r="G1088" s="7">
        <f t="shared" si="148"/>
        <v>0.374127557160048</v>
      </c>
    </row>
    <row r="1089" spans="1:19">
      <c r="A1089" s="14">
        <v>9.122</v>
      </c>
      <c r="B1089" s="15" t="s">
        <v>1531</v>
      </c>
      <c r="C1089" s="13"/>
      <c r="D1089" s="16"/>
    </row>
    <row r="1090" ht="93" spans="1:19">
      <c r="A1090" s="14" t="s">
        <v>1545</v>
      </c>
      <c r="B1090" s="12" t="s">
        <v>1546</v>
      </c>
      <c r="C1090" s="13" t="s">
        <v>11</v>
      </c>
      <c r="D1090" s="17">
        <v>3720.75</v>
      </c>
      <c r="F1090" s="6">
        <v>2187.35</v>
      </c>
      <c r="G1090" s="7">
        <f t="shared" ref="G1090:G1092" si="149">(D1090-F1090)/F1090</f>
        <v>0.701030927835052</v>
      </c>
    </row>
    <row r="1091" ht="108.5" spans="1:19">
      <c r="A1091" s="14" t="s">
        <v>1547</v>
      </c>
      <c r="B1091" s="12" t="s">
        <v>1548</v>
      </c>
      <c r="C1091" s="13" t="s">
        <v>11</v>
      </c>
      <c r="D1091" s="17">
        <v>4488.95</v>
      </c>
      <c r="F1091" s="6">
        <v>2535.8</v>
      </c>
      <c r="G1091" s="7">
        <f t="shared" si="149"/>
        <v>0.770230302074296</v>
      </c>
    </row>
    <row r="1092" ht="170.5" spans="1:19">
      <c r="A1092" s="14">
        <v>9.123</v>
      </c>
      <c r="B1092" s="15" t="s">
        <v>1549</v>
      </c>
      <c r="C1092" s="13" t="s">
        <v>39</v>
      </c>
      <c r="D1092" s="17">
        <v>696</v>
      </c>
      <c r="F1092" s="6">
        <v>380.7</v>
      </c>
      <c r="G1092" s="7">
        <f t="shared" si="149"/>
        <v>0.828211189913318</v>
      </c>
    </row>
    <row r="1093" ht="77.5" spans="1:19">
      <c r="A1093" s="14" t="s">
        <v>1550</v>
      </c>
      <c r="B1093" s="15" t="s">
        <v>1551</v>
      </c>
      <c r="C1093" s="13" t="s">
        <v>39</v>
      </c>
      <c r="D1093" s="17">
        <v>135.8</v>
      </c>
    </row>
    <row r="1094" ht="263.5" spans="1:19">
      <c r="A1094" s="34">
        <v>9.124</v>
      </c>
      <c r="B1094" s="15" t="s">
        <v>1552</v>
      </c>
      <c r="C1094" s="13"/>
      <c r="D1094" s="17"/>
      <c r="F1094" s="6">
        <v>2535.8</v>
      </c>
      <c r="G1094" s="7">
        <f>(D1094-F1094)/F1094</f>
        <v>-1</v>
      </c>
      <c r="S1094" s="8" t="s">
        <v>1553</v>
      </c>
    </row>
    <row r="1095" ht="77.5" spans="1:19">
      <c r="A1095" s="34" t="s">
        <v>1554</v>
      </c>
      <c r="B1095" s="15" t="s">
        <v>1555</v>
      </c>
      <c r="C1095" s="13" t="s">
        <v>11</v>
      </c>
      <c r="D1095" s="17">
        <v>3754.2</v>
      </c>
    </row>
    <row r="1096" ht="62" spans="1:19">
      <c r="A1096" s="34" t="s">
        <v>1556</v>
      </c>
      <c r="B1096" s="15" t="s">
        <v>1557</v>
      </c>
      <c r="C1096" s="13" t="s">
        <v>11</v>
      </c>
      <c r="D1096" s="17">
        <v>4138.35</v>
      </c>
    </row>
    <row r="1097" ht="62" spans="1:19">
      <c r="A1097" s="34" t="s">
        <v>1558</v>
      </c>
      <c r="B1097" s="15" t="s">
        <v>1559</v>
      </c>
      <c r="C1097" s="13" t="s">
        <v>11</v>
      </c>
      <c r="D1097" s="17">
        <v>4678.95</v>
      </c>
    </row>
    <row r="1098" ht="62" spans="1:19">
      <c r="A1098" s="14">
        <v>9.126</v>
      </c>
      <c r="B1098" s="15" t="s">
        <v>1560</v>
      </c>
      <c r="C1098" s="13"/>
      <c r="D1098" s="16"/>
    </row>
    <row r="1099" spans="1:19">
      <c r="A1099" s="14" t="s">
        <v>1561</v>
      </c>
      <c r="B1099" s="12" t="s">
        <v>1562</v>
      </c>
      <c r="C1099" s="13" t="s">
        <v>11</v>
      </c>
      <c r="D1099" s="17">
        <v>2486.25</v>
      </c>
      <c r="F1099" s="6">
        <v>1446.6</v>
      </c>
      <c r="G1099" s="7">
        <f t="shared" ref="G1099:G1105" si="150">(D1099-F1099)/F1099</f>
        <v>0.718685192866031</v>
      </c>
    </row>
    <row r="1100" spans="1:19">
      <c r="A1100" s="14" t="s">
        <v>1563</v>
      </c>
      <c r="B1100" s="12" t="s">
        <v>1564</v>
      </c>
      <c r="C1100" s="13" t="s">
        <v>11</v>
      </c>
      <c r="D1100" s="17">
        <v>2777.7</v>
      </c>
      <c r="F1100" s="6">
        <v>1633.8</v>
      </c>
      <c r="G1100" s="7">
        <f t="shared" si="150"/>
        <v>0.700146896804994</v>
      </c>
    </row>
    <row r="1101" ht="62" spans="1:19">
      <c r="A1101" s="14">
        <v>9.127</v>
      </c>
      <c r="B1101" s="15" t="s">
        <v>1565</v>
      </c>
      <c r="C1101" s="13"/>
      <c r="D1101" s="16"/>
    </row>
    <row r="1102" spans="1:19">
      <c r="A1102" s="14" t="s">
        <v>1566</v>
      </c>
      <c r="B1102" s="12" t="s">
        <v>1567</v>
      </c>
      <c r="C1102" s="13" t="s">
        <v>11</v>
      </c>
      <c r="D1102" s="17">
        <v>1045.95</v>
      </c>
      <c r="F1102" s="6">
        <v>837.4</v>
      </c>
      <c r="G1102" s="7">
        <f t="shared" si="150"/>
        <v>0.2490446620492</v>
      </c>
    </row>
    <row r="1103" spans="1:19">
      <c r="A1103" s="14" t="s">
        <v>1568</v>
      </c>
      <c r="B1103" s="12" t="s">
        <v>1569</v>
      </c>
      <c r="C1103" s="13" t="s">
        <v>11</v>
      </c>
      <c r="D1103" s="17">
        <v>897.3</v>
      </c>
      <c r="F1103" s="6">
        <v>518</v>
      </c>
      <c r="G1103" s="7">
        <f t="shared" si="150"/>
        <v>0.732239382239382</v>
      </c>
    </row>
    <row r="1104" ht="186" spans="1:19">
      <c r="A1104" s="14">
        <v>9.128</v>
      </c>
      <c r="B1104" s="15" t="s">
        <v>1570</v>
      </c>
      <c r="C1104" s="13" t="s">
        <v>11</v>
      </c>
      <c r="D1104" s="17">
        <v>5207.45</v>
      </c>
      <c r="F1104" s="6">
        <v>4113.35</v>
      </c>
      <c r="G1104" s="7">
        <f t="shared" si="150"/>
        <v>0.265987577035749</v>
      </c>
    </row>
    <row r="1105" ht="93" spans="1:7">
      <c r="A1105" s="14">
        <v>9.129</v>
      </c>
      <c r="B1105" s="15" t="s">
        <v>1571</v>
      </c>
      <c r="C1105" s="13" t="s">
        <v>11</v>
      </c>
      <c r="D1105" s="17">
        <v>2307.35</v>
      </c>
      <c r="F1105" s="6">
        <v>1590.8</v>
      </c>
      <c r="G1105" s="7">
        <f t="shared" si="150"/>
        <v>0.450433744028162</v>
      </c>
    </row>
    <row r="1106" ht="62" spans="1:7">
      <c r="A1106" s="33">
        <v>9.13</v>
      </c>
      <c r="B1106" s="15" t="s">
        <v>1572</v>
      </c>
      <c r="C1106" s="13"/>
      <c r="D1106" s="16"/>
    </row>
    <row r="1107" spans="1:7">
      <c r="A1107" s="14" t="s">
        <v>1573</v>
      </c>
      <c r="B1107" s="12" t="s">
        <v>1574</v>
      </c>
      <c r="C1107" s="13" t="s">
        <v>11</v>
      </c>
      <c r="D1107" s="17">
        <v>1927.5</v>
      </c>
      <c r="F1107" s="6">
        <v>1370.1</v>
      </c>
      <c r="G1107" s="7">
        <f t="shared" ref="G1107:G1111" si="151">(D1107-F1107)/F1107</f>
        <v>0.406831618130064</v>
      </c>
    </row>
    <row r="1108" spans="1:7">
      <c r="A1108" s="14" t="s">
        <v>1575</v>
      </c>
      <c r="B1108" s="12" t="s">
        <v>1576</v>
      </c>
      <c r="C1108" s="13" t="s">
        <v>11</v>
      </c>
      <c r="D1108" s="17">
        <v>1809.4</v>
      </c>
      <c r="F1108" s="6">
        <v>1565.55</v>
      </c>
      <c r="G1108" s="7">
        <f t="shared" si="151"/>
        <v>0.155759956564786</v>
      </c>
    </row>
    <row r="1109" ht="124" spans="1:7">
      <c r="A1109" s="14">
        <v>9.131</v>
      </c>
      <c r="B1109" s="15" t="s">
        <v>1577</v>
      </c>
      <c r="C1109" s="13"/>
      <c r="D1109" s="16"/>
    </row>
    <row r="1110" spans="1:7">
      <c r="A1110" s="14" t="s">
        <v>1578</v>
      </c>
      <c r="B1110" s="12" t="s">
        <v>465</v>
      </c>
      <c r="C1110" s="13" t="s">
        <v>11</v>
      </c>
      <c r="D1110" s="17">
        <v>1801.6</v>
      </c>
      <c r="F1110" s="6">
        <v>1270.3</v>
      </c>
      <c r="G1110" s="7">
        <f t="shared" si="151"/>
        <v>0.418247658033535</v>
      </c>
    </row>
    <row r="1111" ht="31" spans="1:7">
      <c r="A1111" s="14">
        <v>9.132</v>
      </c>
      <c r="B1111" s="15" t="s">
        <v>1579</v>
      </c>
      <c r="C1111" s="13" t="s">
        <v>478</v>
      </c>
      <c r="D1111" s="17">
        <v>596.15</v>
      </c>
      <c r="F1111" s="6">
        <v>437.8</v>
      </c>
      <c r="G1111" s="7">
        <f t="shared" si="151"/>
        <v>0.361694837825491</v>
      </c>
    </row>
    <row r="1112" ht="155" spans="1:7">
      <c r="A1112" s="14">
        <v>9.133</v>
      </c>
      <c r="B1112" s="15" t="s">
        <v>1580</v>
      </c>
      <c r="C1112" s="13"/>
      <c r="D1112" s="16"/>
    </row>
    <row r="1113" ht="46.5" spans="1:7">
      <c r="A1113" s="14" t="s">
        <v>1581</v>
      </c>
      <c r="B1113" s="12" t="s">
        <v>1582</v>
      </c>
      <c r="C1113" s="13"/>
      <c r="D1113" s="16"/>
    </row>
    <row r="1114" spans="1:7">
      <c r="A1114" s="14" t="s">
        <v>1583</v>
      </c>
      <c r="B1114" s="12" t="s">
        <v>1584</v>
      </c>
      <c r="C1114" s="13" t="s">
        <v>11</v>
      </c>
      <c r="D1114" s="17">
        <v>1790.95</v>
      </c>
      <c r="F1114" s="6">
        <v>1014.1</v>
      </c>
      <c r="G1114" s="7">
        <f t="shared" ref="G1114:G1117" si="152">(D1114-F1114)/F1114</f>
        <v>0.76604871314466</v>
      </c>
    </row>
    <row r="1115" spans="1:7">
      <c r="A1115" s="14" t="s">
        <v>1585</v>
      </c>
      <c r="B1115" s="12" t="s">
        <v>1586</v>
      </c>
      <c r="C1115" s="13"/>
      <c r="D1115" s="16"/>
    </row>
    <row r="1116" spans="1:7">
      <c r="A1116" s="14" t="s">
        <v>1587</v>
      </c>
      <c r="B1116" s="12" t="s">
        <v>1588</v>
      </c>
      <c r="C1116" s="13" t="s">
        <v>11</v>
      </c>
      <c r="D1116" s="17">
        <v>1443.45</v>
      </c>
      <c r="F1116" s="6">
        <v>777.7</v>
      </c>
      <c r="G1116" s="7">
        <f t="shared" si="152"/>
        <v>0.856049890703356</v>
      </c>
    </row>
    <row r="1117" spans="1:7">
      <c r="A1117" s="14" t="s">
        <v>1589</v>
      </c>
      <c r="B1117" s="12" t="s">
        <v>1590</v>
      </c>
      <c r="C1117" s="13" t="s">
        <v>11</v>
      </c>
      <c r="D1117" s="17">
        <v>1427.8</v>
      </c>
      <c r="F1117" s="6">
        <v>771.3</v>
      </c>
      <c r="G1117" s="7">
        <f t="shared" si="152"/>
        <v>0.851160378581616</v>
      </c>
    </row>
    <row r="1118" ht="31" spans="1:7">
      <c r="A1118" s="14" t="s">
        <v>1591</v>
      </c>
      <c r="B1118" s="12" t="s">
        <v>1592</v>
      </c>
      <c r="C1118" s="13"/>
      <c r="D1118" s="16"/>
    </row>
    <row r="1119" spans="1:7">
      <c r="A1119" s="14" t="s">
        <v>1593</v>
      </c>
      <c r="B1119" s="12" t="s">
        <v>1594</v>
      </c>
      <c r="C1119" s="13" t="s">
        <v>11</v>
      </c>
      <c r="D1119" s="17">
        <v>1308.85</v>
      </c>
      <c r="F1119" s="6">
        <v>752.1</v>
      </c>
      <c r="G1119" s="7">
        <f t="shared" ref="G1119:G1125" si="153">(D1119-F1119)/F1119</f>
        <v>0.740260603643132</v>
      </c>
    </row>
    <row r="1120" ht="46.5" spans="1:7">
      <c r="A1120" s="14">
        <v>9.134</v>
      </c>
      <c r="B1120" s="15" t="s">
        <v>1595</v>
      </c>
      <c r="C1120" s="13"/>
      <c r="D1120" s="16"/>
    </row>
    <row r="1121" spans="1:7">
      <c r="A1121" s="14" t="s">
        <v>1596</v>
      </c>
      <c r="B1121" s="12" t="s">
        <v>1048</v>
      </c>
      <c r="C1121" s="13"/>
      <c r="D1121" s="16"/>
    </row>
    <row r="1122" spans="1:7">
      <c r="A1122" s="14" t="s">
        <v>1597</v>
      </c>
      <c r="B1122" s="12" t="s">
        <v>1171</v>
      </c>
      <c r="C1122" s="13"/>
      <c r="D1122" s="16"/>
    </row>
    <row r="1123" spans="1:7">
      <c r="A1123" s="14" t="s">
        <v>1598</v>
      </c>
      <c r="B1123" s="12" t="s">
        <v>1033</v>
      </c>
      <c r="C1123" s="13" t="s">
        <v>11</v>
      </c>
      <c r="D1123" s="17">
        <v>5024.15</v>
      </c>
      <c r="F1123" s="6">
        <v>3236.2</v>
      </c>
      <c r="G1123" s="7">
        <f t="shared" si="153"/>
        <v>0.552484395278413</v>
      </c>
    </row>
    <row r="1124" spans="1:7">
      <c r="A1124" s="14" t="s">
        <v>1599</v>
      </c>
      <c r="B1124" s="12" t="s">
        <v>1012</v>
      </c>
      <c r="C1124" s="13" t="s">
        <v>11</v>
      </c>
      <c r="D1124" s="17">
        <v>3771.2</v>
      </c>
      <c r="F1124" s="6">
        <v>2477.55</v>
      </c>
      <c r="G1124" s="7">
        <f t="shared" si="153"/>
        <v>0.522148897095921</v>
      </c>
    </row>
    <row r="1125" spans="1:7">
      <c r="A1125" s="14" t="s">
        <v>1600</v>
      </c>
      <c r="B1125" s="12" t="s">
        <v>1175</v>
      </c>
      <c r="C1125" s="13" t="s">
        <v>11</v>
      </c>
      <c r="D1125" s="17">
        <v>4546.8</v>
      </c>
      <c r="F1125" s="6">
        <v>3187.8</v>
      </c>
      <c r="G1125" s="7">
        <f t="shared" si="153"/>
        <v>0.426312817617165</v>
      </c>
    </row>
    <row r="1126" spans="1:7">
      <c r="A1126" s="14" t="s">
        <v>1601</v>
      </c>
      <c r="B1126" s="12" t="s">
        <v>1177</v>
      </c>
      <c r="C1126" s="13"/>
      <c r="D1126" s="16"/>
    </row>
    <row r="1127" spans="1:7">
      <c r="A1127" s="14" t="s">
        <v>1602</v>
      </c>
      <c r="B1127" s="12" t="s">
        <v>1033</v>
      </c>
      <c r="C1127" s="13" t="s">
        <v>11</v>
      </c>
      <c r="D1127" s="17">
        <v>5217.65</v>
      </c>
      <c r="F1127" s="6">
        <v>3336</v>
      </c>
      <c r="G1127" s="7">
        <f t="shared" ref="G1127:G1134" si="154">(D1127-F1127)/F1127</f>
        <v>0.564043764988009</v>
      </c>
    </row>
    <row r="1128" spans="1:7">
      <c r="A1128" s="14" t="s">
        <v>1603</v>
      </c>
      <c r="B1128" s="12" t="s">
        <v>1012</v>
      </c>
      <c r="C1128" s="13" t="s">
        <v>11</v>
      </c>
      <c r="D1128" s="17">
        <v>3964.75</v>
      </c>
      <c r="F1128" s="6">
        <v>2577.35</v>
      </c>
      <c r="G1128" s="7">
        <f t="shared" si="154"/>
        <v>0.538304848002794</v>
      </c>
    </row>
    <row r="1129" spans="1:7">
      <c r="A1129" s="14" t="s">
        <v>1604</v>
      </c>
      <c r="B1129" s="12" t="s">
        <v>1175</v>
      </c>
      <c r="C1129" s="13" t="s">
        <v>11</v>
      </c>
      <c r="D1129" s="17">
        <v>4740.3</v>
      </c>
    </row>
    <row r="1130" spans="1:7">
      <c r="A1130" s="14" t="s">
        <v>1605</v>
      </c>
      <c r="B1130" s="12" t="s">
        <v>1050</v>
      </c>
      <c r="C1130" s="13"/>
      <c r="D1130" s="35"/>
      <c r="E1130" s="14"/>
    </row>
    <row r="1131" ht="31" spans="1:7">
      <c r="A1131" s="14" t="s">
        <v>1606</v>
      </c>
      <c r="B1131" s="12" t="s">
        <v>1607</v>
      </c>
      <c r="C1131" s="35"/>
      <c r="D1131" s="35"/>
      <c r="E1131" s="14"/>
    </row>
    <row r="1132" spans="1:7">
      <c r="A1132" s="14" t="s">
        <v>1608</v>
      </c>
      <c r="B1132" s="12" t="s">
        <v>1033</v>
      </c>
      <c r="C1132" s="13" t="s">
        <v>11</v>
      </c>
      <c r="D1132" s="17">
        <v>4498.6</v>
      </c>
      <c r="F1132" s="6">
        <v>2905.6</v>
      </c>
      <c r="G1132" s="7">
        <f t="shared" si="154"/>
        <v>0.548251651982379</v>
      </c>
    </row>
    <row r="1133" spans="1:7">
      <c r="A1133" s="14" t="s">
        <v>1606</v>
      </c>
      <c r="B1133" s="12" t="s">
        <v>1609</v>
      </c>
      <c r="C1133" s="13" t="s">
        <v>11</v>
      </c>
      <c r="D1133" s="17">
        <v>3426.05</v>
      </c>
      <c r="F1133" s="6">
        <v>2257.4</v>
      </c>
      <c r="G1133" s="7">
        <f t="shared" si="154"/>
        <v>0.517697350934704</v>
      </c>
    </row>
    <row r="1134" spans="1:7">
      <c r="A1134" s="14" t="s">
        <v>1610</v>
      </c>
      <c r="B1134" s="12" t="s">
        <v>1175</v>
      </c>
      <c r="C1134" s="13" t="s">
        <v>11</v>
      </c>
      <c r="D1134" s="17">
        <v>4090</v>
      </c>
      <c r="F1134" s="6">
        <v>2864.2</v>
      </c>
      <c r="G1134" s="7">
        <f t="shared" si="154"/>
        <v>0.427972906919908</v>
      </c>
    </row>
    <row r="1135" spans="1:7">
      <c r="A1135" s="14" t="s">
        <v>1611</v>
      </c>
      <c r="B1135" s="12" t="s">
        <v>1177</v>
      </c>
      <c r="C1135" s="13"/>
      <c r="D1135" s="16"/>
    </row>
    <row r="1136" spans="1:7">
      <c r="A1136" s="14" t="s">
        <v>1612</v>
      </c>
      <c r="B1136" s="12" t="s">
        <v>1033</v>
      </c>
      <c r="C1136" s="13" t="s">
        <v>11</v>
      </c>
      <c r="D1136" s="17">
        <v>4692.1</v>
      </c>
      <c r="F1136" s="6">
        <v>3005.45</v>
      </c>
      <c r="G1136" s="7">
        <f t="shared" ref="G1136:G1138" si="155">(D1136-F1136)/F1136</f>
        <v>0.5611971584954</v>
      </c>
    </row>
    <row r="1137" spans="1:7">
      <c r="A1137" s="14" t="s">
        <v>1613</v>
      </c>
      <c r="B1137" s="12" t="s">
        <v>1012</v>
      </c>
      <c r="C1137" s="13" t="s">
        <v>11</v>
      </c>
      <c r="D1137" s="17">
        <v>3619.6</v>
      </c>
      <c r="F1137" s="6">
        <v>2357.35</v>
      </c>
      <c r="G1137" s="7">
        <f t="shared" si="155"/>
        <v>0.535452945044223</v>
      </c>
    </row>
    <row r="1138" spans="1:7">
      <c r="A1138" s="14" t="s">
        <v>1614</v>
      </c>
      <c r="B1138" s="12" t="s">
        <v>1175</v>
      </c>
      <c r="C1138" s="13" t="s">
        <v>11</v>
      </c>
      <c r="D1138" s="17">
        <v>4283.5</v>
      </c>
      <c r="F1138" s="6">
        <v>2964.05</v>
      </c>
      <c r="G1138" s="7">
        <f t="shared" si="155"/>
        <v>0.445151060204787</v>
      </c>
    </row>
    <row r="1139" ht="46.5" spans="1:7">
      <c r="A1139" s="14">
        <v>9.135</v>
      </c>
      <c r="B1139" s="15" t="s">
        <v>1615</v>
      </c>
      <c r="C1139" s="13"/>
      <c r="D1139" s="16"/>
    </row>
    <row r="1140" spans="1:7">
      <c r="A1140" s="14" t="s">
        <v>1616</v>
      </c>
      <c r="B1140" s="12" t="s">
        <v>1617</v>
      </c>
      <c r="C1140" s="13" t="s">
        <v>11</v>
      </c>
      <c r="D1140" s="17">
        <v>1597.15</v>
      </c>
      <c r="F1140" s="6">
        <v>1343.55</v>
      </c>
      <c r="G1140" s="7">
        <f t="shared" ref="G1140:G1145" si="156">(D1140-F1140)/F1140</f>
        <v>0.188753674965576</v>
      </c>
    </row>
    <row r="1141" spans="1:7">
      <c r="A1141" s="14" t="s">
        <v>1618</v>
      </c>
      <c r="B1141" s="12" t="s">
        <v>1238</v>
      </c>
      <c r="C1141" s="13" t="s">
        <v>11</v>
      </c>
      <c r="D1141" s="17">
        <v>1228</v>
      </c>
      <c r="F1141" s="6">
        <v>1094.1</v>
      </c>
      <c r="G1141" s="7">
        <f t="shared" si="156"/>
        <v>0.122383694360662</v>
      </c>
    </row>
    <row r="1142" ht="108.5" spans="1:7">
      <c r="A1142" s="14">
        <v>9.136</v>
      </c>
      <c r="B1142" s="15" t="s">
        <v>1619</v>
      </c>
      <c r="C1142" s="13" t="s">
        <v>39</v>
      </c>
      <c r="D1142" s="17">
        <v>1709.25</v>
      </c>
      <c r="F1142" s="6">
        <v>1249.2</v>
      </c>
      <c r="G1142" s="7">
        <f t="shared" si="156"/>
        <v>0.368275696445725</v>
      </c>
    </row>
    <row r="1143" ht="124" spans="1:7">
      <c r="A1143" s="14">
        <v>9.137</v>
      </c>
      <c r="B1143" s="15" t="s">
        <v>1620</v>
      </c>
      <c r="C1143" s="13" t="s">
        <v>11</v>
      </c>
      <c r="D1143" s="17">
        <v>7533.2</v>
      </c>
      <c r="F1143" s="6">
        <v>5335.85</v>
      </c>
      <c r="G1143" s="7">
        <f t="shared" si="156"/>
        <v>0.411808802721216</v>
      </c>
    </row>
    <row r="1144" ht="217" spans="1:7">
      <c r="A1144" s="14">
        <v>9.138</v>
      </c>
      <c r="B1144" s="15" t="s">
        <v>1621</v>
      </c>
      <c r="C1144" s="13" t="s">
        <v>11</v>
      </c>
      <c r="D1144" s="17">
        <v>40405.55</v>
      </c>
      <c r="F1144" s="6">
        <v>27339.45</v>
      </c>
      <c r="G1144" s="7">
        <f t="shared" si="156"/>
        <v>0.47792109936374</v>
      </c>
    </row>
    <row r="1145" ht="46.5" spans="1:7">
      <c r="A1145" s="14">
        <v>9.139</v>
      </c>
      <c r="B1145" s="15" t="s">
        <v>1622</v>
      </c>
      <c r="C1145" s="13" t="s">
        <v>126</v>
      </c>
      <c r="D1145" s="17">
        <v>8366.15</v>
      </c>
      <c r="F1145" s="6">
        <v>6143.3</v>
      </c>
      <c r="G1145" s="7">
        <f t="shared" si="156"/>
        <v>0.361833216675077</v>
      </c>
    </row>
    <row r="1146" ht="46.5" spans="1:7">
      <c r="A1146" s="33">
        <v>9.14</v>
      </c>
      <c r="B1146" s="15" t="s">
        <v>1623</v>
      </c>
      <c r="C1146" s="13"/>
      <c r="D1146" s="16"/>
    </row>
    <row r="1147" spans="1:7">
      <c r="A1147" s="14" t="s">
        <v>1624</v>
      </c>
      <c r="B1147" s="12" t="s">
        <v>1625</v>
      </c>
      <c r="C1147" s="13" t="s">
        <v>11</v>
      </c>
      <c r="D1147" s="17">
        <v>1224.65</v>
      </c>
      <c r="F1147" s="6">
        <v>1074.65</v>
      </c>
      <c r="G1147" s="7">
        <f t="shared" ref="G1147:G1155" si="157">(D1147-F1147)/F1147</f>
        <v>0.13958032847904</v>
      </c>
    </row>
    <row r="1148" ht="139.5" spans="1:7">
      <c r="A1148" s="14">
        <v>9.141</v>
      </c>
      <c r="B1148" s="15" t="s">
        <v>1626</v>
      </c>
      <c r="C1148" s="13" t="s">
        <v>39</v>
      </c>
      <c r="D1148" s="17">
        <v>573.45</v>
      </c>
      <c r="F1148" s="6">
        <v>614.5</v>
      </c>
      <c r="G1148" s="7">
        <f t="shared" si="157"/>
        <v>-0.0668022782750203</v>
      </c>
    </row>
    <row r="1149" ht="217" spans="1:7">
      <c r="A1149" s="14">
        <v>9.142</v>
      </c>
      <c r="B1149" s="15" t="s">
        <v>1627</v>
      </c>
      <c r="C1149" s="13"/>
      <c r="D1149" s="16"/>
    </row>
    <row r="1150" spans="1:7">
      <c r="A1150" s="14" t="s">
        <v>1628</v>
      </c>
      <c r="B1150" s="12" t="s">
        <v>1629</v>
      </c>
      <c r="C1150" s="13" t="s">
        <v>11</v>
      </c>
      <c r="D1150" s="17">
        <v>3997.45</v>
      </c>
      <c r="F1150" s="6">
        <v>2718.45</v>
      </c>
      <c r="G1150" s="7">
        <f t="shared" si="157"/>
        <v>0.470488697603414</v>
      </c>
    </row>
    <row r="1151" spans="1:7">
      <c r="A1151" s="14" t="s">
        <v>1630</v>
      </c>
      <c r="B1151" s="12" t="s">
        <v>1631</v>
      </c>
      <c r="C1151" s="13" t="s">
        <v>11</v>
      </c>
      <c r="D1151" s="17">
        <v>4713.05</v>
      </c>
      <c r="F1151" s="6">
        <v>3241.1</v>
      </c>
      <c r="G1151" s="7">
        <f t="shared" si="157"/>
        <v>0.454151368362593</v>
      </c>
    </row>
    <row r="1152" ht="124" spans="1:7">
      <c r="A1152" s="14">
        <v>9.143</v>
      </c>
      <c r="B1152" s="15" t="s">
        <v>1632</v>
      </c>
      <c r="C1152" s="13" t="s">
        <v>39</v>
      </c>
      <c r="D1152" s="17">
        <v>623</v>
      </c>
      <c r="F1152" s="6">
        <v>425.9</v>
      </c>
      <c r="G1152" s="7">
        <f t="shared" si="157"/>
        <v>0.462784691242076</v>
      </c>
    </row>
    <row r="1153" ht="155" spans="1:7">
      <c r="A1153" s="14">
        <v>9.144</v>
      </c>
      <c r="B1153" s="15" t="s">
        <v>1633</v>
      </c>
      <c r="C1153" s="13" t="s">
        <v>11</v>
      </c>
      <c r="D1153" s="17">
        <v>4076.05</v>
      </c>
      <c r="F1153" s="6">
        <v>2967.8</v>
      </c>
      <c r="G1153" s="7">
        <f t="shared" si="157"/>
        <v>0.373424759080801</v>
      </c>
    </row>
    <row r="1154" ht="139.5" spans="1:7">
      <c r="A1154" s="14">
        <v>9.145</v>
      </c>
      <c r="B1154" s="15" t="s">
        <v>1634</v>
      </c>
      <c r="C1154" s="13" t="s">
        <v>39</v>
      </c>
      <c r="D1154" s="17">
        <v>763.85</v>
      </c>
      <c r="F1154" s="6">
        <v>472.35</v>
      </c>
      <c r="G1154" s="7">
        <f t="shared" si="157"/>
        <v>0.617127130305917</v>
      </c>
    </row>
    <row r="1155" ht="201.5" spans="1:7">
      <c r="A1155" s="14">
        <v>9.146</v>
      </c>
      <c r="B1155" s="15" t="s">
        <v>1635</v>
      </c>
      <c r="C1155" s="13" t="s">
        <v>11</v>
      </c>
      <c r="D1155" s="17">
        <v>4362</v>
      </c>
      <c r="F1155" s="6">
        <v>3200.1</v>
      </c>
      <c r="G1155" s="7">
        <f t="shared" si="157"/>
        <v>0.363082403674885</v>
      </c>
    </row>
    <row r="1156" ht="372" spans="1:7">
      <c r="A1156" s="14" t="s">
        <v>1636</v>
      </c>
      <c r="B1156" s="15" t="s">
        <v>1637</v>
      </c>
      <c r="C1156" s="13"/>
      <c r="D1156" s="17"/>
    </row>
    <row r="1157" ht="62" spans="1:7">
      <c r="A1157" s="14"/>
      <c r="B1157" s="15" t="s">
        <v>1638</v>
      </c>
      <c r="C1157" s="13"/>
      <c r="D1157" s="17"/>
    </row>
    <row r="1158" ht="31" spans="1:7">
      <c r="A1158" s="14" t="s">
        <v>1639</v>
      </c>
      <c r="B1158" s="12" t="s">
        <v>1640</v>
      </c>
      <c r="C1158" s="13"/>
      <c r="D1158" s="17"/>
    </row>
    <row r="1159" ht="46.5" spans="1:7">
      <c r="A1159" s="14" t="s">
        <v>1641</v>
      </c>
      <c r="B1159" s="12" t="s">
        <v>1642</v>
      </c>
      <c r="C1159" s="13" t="s">
        <v>11</v>
      </c>
      <c r="D1159" s="17">
        <v>8298.85</v>
      </c>
    </row>
    <row r="1160" ht="46.5" spans="1:7">
      <c r="A1160" s="14" t="s">
        <v>1643</v>
      </c>
      <c r="B1160" s="12" t="s">
        <v>1644</v>
      </c>
      <c r="C1160" s="13" t="s">
        <v>11</v>
      </c>
      <c r="D1160" s="17">
        <v>8799.25</v>
      </c>
    </row>
    <row r="1161" ht="46.5" spans="1:7">
      <c r="A1161" s="14" t="s">
        <v>1645</v>
      </c>
      <c r="B1161" s="12" t="s">
        <v>1646</v>
      </c>
      <c r="C1161" s="13" t="s">
        <v>11</v>
      </c>
      <c r="D1161" s="17">
        <v>9628.6</v>
      </c>
    </row>
    <row r="1162" ht="46.5" spans="1:7">
      <c r="A1162" s="14" t="s">
        <v>1647</v>
      </c>
      <c r="B1162" s="12" t="s">
        <v>1648</v>
      </c>
      <c r="C1162" s="13"/>
      <c r="D1162" s="17"/>
    </row>
    <row r="1163" ht="31" spans="1:7">
      <c r="A1163" s="14" t="s">
        <v>1649</v>
      </c>
      <c r="B1163" s="12" t="s">
        <v>1650</v>
      </c>
      <c r="C1163" s="13" t="s">
        <v>11</v>
      </c>
      <c r="D1163" s="17">
        <v>7860.35</v>
      </c>
    </row>
    <row r="1164" ht="31" spans="1:7">
      <c r="A1164" s="14" t="s">
        <v>1651</v>
      </c>
      <c r="B1164" s="12" t="s">
        <v>1652</v>
      </c>
      <c r="C1164" s="13" t="s">
        <v>11</v>
      </c>
      <c r="D1164" s="17">
        <v>8579.55</v>
      </c>
    </row>
    <row r="1165" ht="31" spans="1:7">
      <c r="A1165" s="14" t="s">
        <v>1653</v>
      </c>
      <c r="B1165" s="12" t="s">
        <v>1654</v>
      </c>
      <c r="C1165" s="13"/>
      <c r="D1165" s="17"/>
    </row>
    <row r="1166" ht="46.5" spans="1:7">
      <c r="A1166" s="14" t="s">
        <v>1655</v>
      </c>
      <c r="B1166" s="12" t="s">
        <v>1656</v>
      </c>
      <c r="C1166" s="13" t="s">
        <v>11</v>
      </c>
      <c r="D1166" s="17">
        <v>9873.05</v>
      </c>
    </row>
    <row r="1167" ht="62" spans="1:7">
      <c r="A1167" s="14" t="s">
        <v>1657</v>
      </c>
      <c r="B1167" s="12" t="s">
        <v>1658</v>
      </c>
      <c r="C1167" s="13" t="s">
        <v>11</v>
      </c>
      <c r="D1167" s="17">
        <v>9968.7</v>
      </c>
    </row>
    <row r="1168" ht="31" spans="1:7">
      <c r="A1168" s="14" t="s">
        <v>1659</v>
      </c>
      <c r="B1168" s="12" t="s">
        <v>1660</v>
      </c>
      <c r="C1168" s="13"/>
      <c r="D1168" s="17"/>
    </row>
    <row r="1169" ht="46.5" spans="1:4">
      <c r="A1169" s="14" t="s">
        <v>1661</v>
      </c>
      <c r="B1169" s="12" t="s">
        <v>1662</v>
      </c>
      <c r="C1169" s="13" t="s">
        <v>11</v>
      </c>
      <c r="D1169" s="17">
        <v>10993.55</v>
      </c>
    </row>
    <row r="1170" ht="46.5" spans="1:4">
      <c r="A1170" s="14" t="s">
        <v>1663</v>
      </c>
      <c r="B1170" s="12" t="s">
        <v>1664</v>
      </c>
      <c r="C1170" s="13" t="s">
        <v>11</v>
      </c>
      <c r="D1170" s="17">
        <v>10874.2</v>
      </c>
    </row>
    <row r="1171" ht="46.5" spans="1:4">
      <c r="A1171" s="14" t="s">
        <v>1665</v>
      </c>
      <c r="B1171" s="12" t="s">
        <v>1666</v>
      </c>
      <c r="C1171" s="13" t="s">
        <v>11</v>
      </c>
      <c r="D1171" s="17">
        <v>12372.25</v>
      </c>
    </row>
    <row r="1172" ht="31" spans="1:4">
      <c r="A1172" s="14" t="s">
        <v>1667</v>
      </c>
      <c r="B1172" s="12" t="s">
        <v>1668</v>
      </c>
      <c r="C1172" s="13"/>
      <c r="D1172" s="17"/>
    </row>
    <row r="1173" ht="46.5" spans="1:4">
      <c r="A1173" s="14" t="s">
        <v>1669</v>
      </c>
      <c r="B1173" s="12" t="s">
        <v>1670</v>
      </c>
      <c r="C1173" s="13" t="s">
        <v>11</v>
      </c>
      <c r="D1173" s="17">
        <v>8748.35</v>
      </c>
    </row>
    <row r="1174" ht="46.5" spans="1:4">
      <c r="A1174" s="14" t="s">
        <v>1671</v>
      </c>
      <c r="B1174" s="12" t="s">
        <v>1672</v>
      </c>
      <c r="C1174" s="13" t="s">
        <v>11</v>
      </c>
      <c r="D1174" s="17">
        <v>8543.6</v>
      </c>
    </row>
    <row r="1175" ht="46.5" spans="1:4">
      <c r="A1175" s="14" t="s">
        <v>1673</v>
      </c>
      <c r="B1175" s="12" t="s">
        <v>1674</v>
      </c>
      <c r="C1175" s="13" t="s">
        <v>11</v>
      </c>
      <c r="D1175" s="17">
        <v>9888.35</v>
      </c>
    </row>
    <row r="1176" ht="46.5" spans="1:4">
      <c r="A1176" s="14" t="s">
        <v>1675</v>
      </c>
      <c r="B1176" s="12" t="s">
        <v>1676</v>
      </c>
      <c r="C1176" s="13"/>
      <c r="D1176" s="17"/>
    </row>
    <row r="1177" ht="31" spans="1:4">
      <c r="A1177" s="14" t="s">
        <v>1677</v>
      </c>
      <c r="B1177" s="12" t="s">
        <v>1678</v>
      </c>
      <c r="C1177" s="13" t="s">
        <v>11</v>
      </c>
      <c r="D1177" s="17">
        <v>8106.3</v>
      </c>
    </row>
    <row r="1178" ht="31" spans="1:4">
      <c r="A1178" s="14" t="s">
        <v>1679</v>
      </c>
      <c r="B1178" s="12" t="s">
        <v>1680</v>
      </c>
      <c r="C1178" s="13" t="s">
        <v>11</v>
      </c>
      <c r="D1178" s="17">
        <v>7732.85</v>
      </c>
    </row>
    <row r="1179" ht="46.5" spans="1:4">
      <c r="A1179" s="14" t="s">
        <v>1681</v>
      </c>
      <c r="B1179" s="12" t="s">
        <v>1682</v>
      </c>
      <c r="C1179" s="13"/>
      <c r="D1179" s="17"/>
    </row>
    <row r="1180" ht="31" spans="1:4">
      <c r="A1180" s="14" t="s">
        <v>1683</v>
      </c>
      <c r="B1180" s="12" t="s">
        <v>1678</v>
      </c>
      <c r="C1180" s="13" t="s">
        <v>11</v>
      </c>
      <c r="D1180" s="17">
        <v>7345.35</v>
      </c>
    </row>
    <row r="1181" ht="31" spans="1:4">
      <c r="A1181" s="14" t="s">
        <v>1684</v>
      </c>
      <c r="B1181" s="12" t="s">
        <v>1680</v>
      </c>
      <c r="C1181" s="13" t="s">
        <v>11</v>
      </c>
      <c r="D1181" s="17">
        <v>7196.7</v>
      </c>
    </row>
    <row r="1182" ht="62" spans="1:4">
      <c r="A1182" s="14" t="s">
        <v>1685</v>
      </c>
      <c r="B1182" s="12" t="s">
        <v>1686</v>
      </c>
      <c r="C1182" s="13"/>
      <c r="D1182" s="17"/>
    </row>
    <row r="1183" ht="31" spans="1:4">
      <c r="A1183" s="14" t="s">
        <v>1687</v>
      </c>
      <c r="B1183" s="12" t="s">
        <v>1688</v>
      </c>
      <c r="C1183" s="13" t="s">
        <v>11</v>
      </c>
      <c r="D1183" s="17">
        <v>10078.95</v>
      </c>
    </row>
    <row r="1184" ht="31" spans="1:4">
      <c r="A1184" s="14" t="s">
        <v>1689</v>
      </c>
      <c r="B1184" s="12" t="s">
        <v>1690</v>
      </c>
      <c r="C1184" s="13" t="s">
        <v>11</v>
      </c>
      <c r="D1184" s="17">
        <v>9894.8</v>
      </c>
    </row>
    <row r="1185" ht="46.5" spans="1:4">
      <c r="A1185" s="14" t="s">
        <v>1691</v>
      </c>
      <c r="B1185" s="12" t="s">
        <v>1692</v>
      </c>
      <c r="C1185" s="13"/>
      <c r="D1185" s="17"/>
    </row>
    <row r="1186" ht="31" spans="1:4">
      <c r="A1186" s="14" t="s">
        <v>1693</v>
      </c>
      <c r="B1186" s="12" t="s">
        <v>1694</v>
      </c>
      <c r="C1186" s="13" t="s">
        <v>11</v>
      </c>
      <c r="D1186" s="17">
        <v>8287.05</v>
      </c>
    </row>
    <row r="1187" ht="31" spans="1:4">
      <c r="A1187" s="14" t="s">
        <v>1695</v>
      </c>
      <c r="B1187" s="12" t="s">
        <v>1696</v>
      </c>
      <c r="C1187" s="13" t="s">
        <v>11</v>
      </c>
      <c r="D1187" s="17">
        <v>7943.95</v>
      </c>
    </row>
    <row r="1188" spans="1:4">
      <c r="A1188" s="14" t="s">
        <v>1697</v>
      </c>
      <c r="B1188" s="12" t="s">
        <v>1698</v>
      </c>
      <c r="C1188" s="13"/>
      <c r="D1188" s="17"/>
    </row>
    <row r="1189" spans="1:4">
      <c r="A1189" s="14" t="s">
        <v>1699</v>
      </c>
      <c r="B1189" s="12" t="s">
        <v>1700</v>
      </c>
      <c r="C1189" s="13" t="s">
        <v>11</v>
      </c>
      <c r="D1189" s="17">
        <v>8247.25</v>
      </c>
    </row>
    <row r="1190" spans="1:4">
      <c r="A1190" s="14" t="s">
        <v>1701</v>
      </c>
      <c r="B1190" s="12" t="s">
        <v>1702</v>
      </c>
      <c r="C1190" s="13" t="s">
        <v>11</v>
      </c>
      <c r="D1190" s="17">
        <v>8054.75</v>
      </c>
    </row>
    <row r="1191" spans="1:4">
      <c r="A1191" s="14" t="s">
        <v>1703</v>
      </c>
      <c r="B1191" s="12" t="s">
        <v>1704</v>
      </c>
      <c r="C1191" s="13" t="s">
        <v>11</v>
      </c>
      <c r="D1191" s="17">
        <v>7080.05</v>
      </c>
    </row>
    <row r="1192" spans="1:4">
      <c r="A1192" s="14" t="s">
        <v>1705</v>
      </c>
      <c r="B1192" s="12" t="s">
        <v>1706</v>
      </c>
      <c r="C1192" s="13" t="s">
        <v>11</v>
      </c>
      <c r="D1192" s="17">
        <v>6032.85</v>
      </c>
    </row>
    <row r="1193" spans="1:4">
      <c r="A1193" s="14" t="s">
        <v>1707</v>
      </c>
      <c r="B1193" s="12" t="s">
        <v>1708</v>
      </c>
      <c r="C1193" s="13"/>
      <c r="D1193" s="17"/>
    </row>
    <row r="1194" ht="31" spans="1:4">
      <c r="A1194" s="14" t="s">
        <v>1709</v>
      </c>
      <c r="B1194" s="12" t="s">
        <v>1710</v>
      </c>
      <c r="C1194" s="13" t="s">
        <v>11</v>
      </c>
      <c r="D1194" s="17">
        <v>9155.2</v>
      </c>
    </row>
    <row r="1195" ht="31" spans="1:4">
      <c r="A1195" s="14" t="s">
        <v>1711</v>
      </c>
      <c r="B1195" s="12" t="s">
        <v>1712</v>
      </c>
      <c r="C1195" s="13" t="s">
        <v>11</v>
      </c>
      <c r="D1195" s="17">
        <v>8765.4</v>
      </c>
    </row>
    <row r="1196" ht="31" spans="1:4">
      <c r="A1196" s="14" t="s">
        <v>1713</v>
      </c>
      <c r="B1196" s="12" t="s">
        <v>1714</v>
      </c>
      <c r="C1196" s="13" t="s">
        <v>11</v>
      </c>
      <c r="D1196" s="17">
        <v>7827.75</v>
      </c>
    </row>
    <row r="1197" ht="31" spans="1:4">
      <c r="A1197" s="14" t="s">
        <v>1715</v>
      </c>
      <c r="B1197" s="12" t="s">
        <v>1716</v>
      </c>
      <c r="C1197" s="13" t="s">
        <v>11</v>
      </c>
      <c r="D1197" s="17">
        <v>6528.8</v>
      </c>
    </row>
    <row r="1198" ht="46.5" spans="1:4">
      <c r="A1198" s="14" t="s">
        <v>1717</v>
      </c>
      <c r="B1198" s="12" t="s">
        <v>1718</v>
      </c>
      <c r="C1198" s="13"/>
      <c r="D1198" s="17"/>
    </row>
    <row r="1199" ht="31" spans="1:4">
      <c r="A1199" s="14" t="s">
        <v>1719</v>
      </c>
      <c r="B1199" s="12" t="s">
        <v>1720</v>
      </c>
      <c r="C1199" s="13" t="s">
        <v>11</v>
      </c>
      <c r="D1199" s="17">
        <v>13201.2</v>
      </c>
    </row>
    <row r="1200" ht="31" spans="1:4">
      <c r="A1200" s="14" t="s">
        <v>1721</v>
      </c>
      <c r="B1200" s="12" t="s">
        <v>1722</v>
      </c>
      <c r="C1200" s="13" t="s">
        <v>11</v>
      </c>
      <c r="D1200" s="17">
        <v>12254.9</v>
      </c>
    </row>
    <row r="1201" ht="31" spans="1:4">
      <c r="A1201" s="14" t="s">
        <v>1723</v>
      </c>
      <c r="B1201" s="12" t="s">
        <v>1724</v>
      </c>
      <c r="C1201" s="13" t="s">
        <v>11</v>
      </c>
      <c r="D1201" s="17">
        <v>11919.85</v>
      </c>
    </row>
    <row r="1202" ht="31" spans="1:4">
      <c r="A1202" s="14" t="s">
        <v>1725</v>
      </c>
      <c r="B1202" s="12" t="s">
        <v>1726</v>
      </c>
      <c r="C1202" s="13"/>
      <c r="D1202" s="17"/>
    </row>
    <row r="1203" ht="31" spans="1:4">
      <c r="A1203" s="14" t="s">
        <v>1727</v>
      </c>
      <c r="B1203" s="12" t="s">
        <v>1728</v>
      </c>
      <c r="C1203" s="13" t="s">
        <v>11</v>
      </c>
      <c r="D1203" s="17">
        <v>14449.25</v>
      </c>
    </row>
    <row r="1204" ht="31" spans="1:4">
      <c r="A1204" s="14" t="s">
        <v>1729</v>
      </c>
      <c r="B1204" s="12" t="s">
        <v>1730</v>
      </c>
      <c r="C1204" s="13" t="s">
        <v>11</v>
      </c>
      <c r="D1204" s="17">
        <v>13387.15</v>
      </c>
    </row>
    <row r="1205" ht="31" spans="1:4">
      <c r="A1205" s="14" t="s">
        <v>1731</v>
      </c>
      <c r="B1205" s="12" t="s">
        <v>1732</v>
      </c>
      <c r="C1205" s="13" t="s">
        <v>11</v>
      </c>
      <c r="D1205" s="17">
        <v>14587.05</v>
      </c>
    </row>
    <row r="1206" ht="46.5" spans="1:4">
      <c r="A1206" s="14" t="s">
        <v>1733</v>
      </c>
      <c r="B1206" s="12" t="s">
        <v>1734</v>
      </c>
      <c r="C1206" s="13"/>
      <c r="D1206" s="17"/>
    </row>
    <row r="1207" ht="31" spans="1:4">
      <c r="A1207" s="14" t="s">
        <v>1735</v>
      </c>
      <c r="B1207" s="12" t="s">
        <v>1736</v>
      </c>
      <c r="C1207" s="13" t="s">
        <v>11</v>
      </c>
      <c r="D1207" s="17">
        <v>13078.7</v>
      </c>
    </row>
    <row r="1208" ht="31" spans="1:4">
      <c r="A1208" s="14" t="s">
        <v>1737</v>
      </c>
      <c r="B1208" s="12" t="s">
        <v>1738</v>
      </c>
      <c r="C1208" s="13" t="s">
        <v>11</v>
      </c>
      <c r="D1208" s="17">
        <v>12472.95</v>
      </c>
    </row>
    <row r="1209" ht="31" spans="1:4">
      <c r="A1209" s="14" t="s">
        <v>1739</v>
      </c>
      <c r="B1209" s="12" t="s">
        <v>1740</v>
      </c>
      <c r="C1209" s="13" t="s">
        <v>11</v>
      </c>
      <c r="D1209" s="17">
        <v>13477.1</v>
      </c>
    </row>
    <row r="1210" ht="46.5" spans="1:4">
      <c r="A1210" s="14" t="s">
        <v>1741</v>
      </c>
      <c r="B1210" s="12" t="s">
        <v>1742</v>
      </c>
      <c r="C1210" s="13"/>
      <c r="D1210" s="17"/>
    </row>
    <row r="1211" ht="46.5" spans="1:4">
      <c r="A1211" s="14" t="s">
        <v>1743</v>
      </c>
      <c r="B1211" s="12" t="s">
        <v>1744</v>
      </c>
      <c r="C1211" s="13" t="s">
        <v>11</v>
      </c>
      <c r="D1211" s="17">
        <v>11715.95</v>
      </c>
    </row>
    <row r="1212" ht="46.5" spans="1:4">
      <c r="A1212" s="14" t="s">
        <v>1745</v>
      </c>
      <c r="B1212" s="12" t="s">
        <v>1746</v>
      </c>
      <c r="C1212" s="13" t="s">
        <v>11</v>
      </c>
      <c r="D1212" s="17">
        <v>11466.8</v>
      </c>
    </row>
    <row r="1213" ht="46.5" spans="1:4">
      <c r="A1213" s="14" t="s">
        <v>1747</v>
      </c>
      <c r="B1213" s="12" t="s">
        <v>1748</v>
      </c>
      <c r="C1213" s="13" t="s">
        <v>11</v>
      </c>
      <c r="D1213" s="17">
        <v>12496.3</v>
      </c>
    </row>
    <row r="1214" ht="46.5" spans="1:4">
      <c r="A1214" s="14" t="s">
        <v>1749</v>
      </c>
      <c r="B1214" s="12" t="s">
        <v>1750</v>
      </c>
      <c r="C1214" s="13"/>
      <c r="D1214" s="17"/>
    </row>
    <row r="1215" ht="46.5" spans="1:4">
      <c r="A1215" s="14" t="s">
        <v>1751</v>
      </c>
      <c r="B1215" s="12" t="s">
        <v>1752</v>
      </c>
      <c r="C1215" s="13" t="s">
        <v>11</v>
      </c>
      <c r="D1215" s="17">
        <v>9870.15</v>
      </c>
    </row>
    <row r="1216" ht="46.5" spans="1:4">
      <c r="A1216" s="14" t="s">
        <v>1753</v>
      </c>
      <c r="B1216" s="12" t="s">
        <v>1754</v>
      </c>
      <c r="C1216" s="13" t="s">
        <v>11</v>
      </c>
      <c r="D1216" s="17">
        <v>9308</v>
      </c>
    </row>
    <row r="1217" ht="46.5" spans="1:4">
      <c r="A1217" s="14" t="s">
        <v>1755</v>
      </c>
      <c r="B1217" s="12" t="s">
        <v>1756</v>
      </c>
      <c r="C1217" s="13" t="s">
        <v>11</v>
      </c>
      <c r="D1217" s="17">
        <v>10212.6</v>
      </c>
    </row>
    <row r="1218" ht="46.5" spans="1:4">
      <c r="A1218" s="14" t="s">
        <v>1757</v>
      </c>
      <c r="B1218" s="12" t="s">
        <v>1758</v>
      </c>
      <c r="C1218" s="13"/>
      <c r="D1218" s="17"/>
    </row>
    <row r="1219" ht="46.5" spans="1:4">
      <c r="A1219" s="14" t="s">
        <v>1759</v>
      </c>
      <c r="B1219" s="12" t="s">
        <v>1760</v>
      </c>
      <c r="C1219" s="13" t="s">
        <v>11</v>
      </c>
      <c r="D1219" s="17">
        <v>10474.05</v>
      </c>
    </row>
    <row r="1220" ht="46.5" spans="1:4">
      <c r="A1220" s="14" t="s">
        <v>1761</v>
      </c>
      <c r="B1220" s="12" t="s">
        <v>1762</v>
      </c>
      <c r="C1220" s="13" t="s">
        <v>11</v>
      </c>
      <c r="D1220" s="17">
        <v>10051.2</v>
      </c>
    </row>
    <row r="1221" ht="46.5" spans="1:4">
      <c r="A1221" s="14" t="s">
        <v>1763</v>
      </c>
      <c r="B1221" s="12" t="s">
        <v>1764</v>
      </c>
      <c r="C1221" s="13" t="s">
        <v>11</v>
      </c>
      <c r="D1221" s="17">
        <v>10200.75</v>
      </c>
    </row>
    <row r="1222" ht="62" spans="1:4">
      <c r="A1222" s="14" t="s">
        <v>1765</v>
      </c>
      <c r="B1222" s="12" t="s">
        <v>1766</v>
      </c>
      <c r="C1222" s="13"/>
      <c r="D1222" s="17"/>
    </row>
    <row r="1223" ht="46.5" spans="1:4">
      <c r="A1223" s="14" t="s">
        <v>1767</v>
      </c>
      <c r="B1223" s="12" t="s">
        <v>1768</v>
      </c>
      <c r="C1223" s="13" t="s">
        <v>11</v>
      </c>
      <c r="D1223" s="17">
        <v>22785.35</v>
      </c>
    </row>
    <row r="1224" ht="62" spans="1:4">
      <c r="A1224" s="14" t="s">
        <v>1769</v>
      </c>
      <c r="B1224" s="12" t="s">
        <v>1770</v>
      </c>
      <c r="C1224" s="13"/>
      <c r="D1224" s="17"/>
    </row>
    <row r="1225" ht="62" spans="1:4">
      <c r="A1225" s="14" t="s">
        <v>1771</v>
      </c>
      <c r="B1225" s="12" t="s">
        <v>1772</v>
      </c>
      <c r="C1225" s="13" t="s">
        <v>11</v>
      </c>
      <c r="D1225" s="17">
        <v>20576.3</v>
      </c>
    </row>
    <row r="1226" ht="62" spans="1:4">
      <c r="A1226" s="14" t="s">
        <v>1773</v>
      </c>
      <c r="B1226" s="12" t="s">
        <v>1774</v>
      </c>
      <c r="C1226" s="13"/>
      <c r="D1226" s="17"/>
    </row>
    <row r="1227" ht="62" spans="1:4">
      <c r="A1227" s="14" t="s">
        <v>1775</v>
      </c>
      <c r="B1227" s="12" t="s">
        <v>1776</v>
      </c>
      <c r="C1227" s="13" t="s">
        <v>11</v>
      </c>
      <c r="D1227" s="17">
        <v>19047.6</v>
      </c>
    </row>
    <row r="1228" ht="31" spans="1:4">
      <c r="A1228" s="14" t="s">
        <v>1777</v>
      </c>
      <c r="B1228" s="12" t="s">
        <v>1778</v>
      </c>
      <c r="C1228" s="13"/>
      <c r="D1228" s="17"/>
    </row>
    <row r="1229" ht="31" spans="1:4">
      <c r="A1229" s="14" t="s">
        <v>1779</v>
      </c>
      <c r="B1229" s="12" t="s">
        <v>1780</v>
      </c>
      <c r="C1229" s="13" t="s">
        <v>11</v>
      </c>
      <c r="D1229" s="17">
        <v>12496.05</v>
      </c>
    </row>
    <row r="1230" ht="31" spans="1:4">
      <c r="A1230" s="14" t="s">
        <v>1781</v>
      </c>
      <c r="B1230" s="12" t="s">
        <v>1782</v>
      </c>
      <c r="C1230" s="13" t="s">
        <v>11</v>
      </c>
      <c r="D1230" s="17">
        <v>12454.4</v>
      </c>
    </row>
    <row r="1231" ht="46.5" spans="1:4">
      <c r="A1231" s="14" t="s">
        <v>1783</v>
      </c>
      <c r="B1231" s="12" t="s">
        <v>1784</v>
      </c>
      <c r="C1231" s="13"/>
      <c r="D1231" s="17"/>
    </row>
    <row r="1232" ht="46.5" spans="1:4">
      <c r="A1232" s="14" t="s">
        <v>1785</v>
      </c>
      <c r="B1232" s="12" t="s">
        <v>1786</v>
      </c>
      <c r="C1232" s="13" t="s">
        <v>11</v>
      </c>
      <c r="D1232" s="17">
        <v>11903.75</v>
      </c>
    </row>
    <row r="1233" ht="46.5" spans="1:7">
      <c r="A1233" s="14" t="s">
        <v>1787</v>
      </c>
      <c r="B1233" s="12" t="s">
        <v>1788</v>
      </c>
      <c r="C1233" s="13" t="s">
        <v>11</v>
      </c>
      <c r="D1233" s="17">
        <v>11818.95</v>
      </c>
    </row>
    <row r="1234" ht="77.5" spans="1:7">
      <c r="A1234" s="14" t="s">
        <v>1789</v>
      </c>
      <c r="B1234" s="12" t="s">
        <v>1790</v>
      </c>
      <c r="C1234" s="13"/>
      <c r="D1234" s="17"/>
    </row>
    <row r="1235" ht="46.5" spans="1:7">
      <c r="A1235" s="14" t="s">
        <v>1791</v>
      </c>
      <c r="B1235" s="12" t="s">
        <v>1792</v>
      </c>
      <c r="C1235" s="13" t="s">
        <v>11</v>
      </c>
      <c r="D1235" s="17">
        <v>19994.4</v>
      </c>
    </row>
    <row r="1236" ht="46.5" spans="1:7">
      <c r="A1236" s="14">
        <v>9.148</v>
      </c>
      <c r="B1236" s="15" t="s">
        <v>1793</v>
      </c>
      <c r="C1236" s="13"/>
      <c r="D1236" s="16"/>
    </row>
    <row r="1237" spans="1:7">
      <c r="A1237" s="14" t="s">
        <v>1794</v>
      </c>
      <c r="B1237" s="12" t="s">
        <v>1795</v>
      </c>
      <c r="C1237" s="13" t="s">
        <v>126</v>
      </c>
      <c r="D1237" s="17">
        <v>381.3</v>
      </c>
      <c r="F1237" s="6">
        <v>241.8</v>
      </c>
      <c r="G1237" s="7">
        <f t="shared" ref="G1237:G1248" si="158">(D1237-F1237)/F1237</f>
        <v>0.576923076923077</v>
      </c>
    </row>
    <row r="1238" spans="1:7">
      <c r="A1238" s="14" t="s">
        <v>1796</v>
      </c>
      <c r="B1238" s="12" t="s">
        <v>1797</v>
      </c>
      <c r="C1238" s="13" t="s">
        <v>126</v>
      </c>
      <c r="D1238" s="17">
        <v>422.55</v>
      </c>
      <c r="F1238" s="6">
        <v>270.85</v>
      </c>
      <c r="G1238" s="7">
        <f t="shared" si="158"/>
        <v>0.560088609931696</v>
      </c>
    </row>
    <row r="1239" spans="1:7">
      <c r="A1239" s="14" t="s">
        <v>1798</v>
      </c>
      <c r="B1239" s="12" t="s">
        <v>1799</v>
      </c>
      <c r="C1239" s="13" t="s">
        <v>126</v>
      </c>
      <c r="D1239" s="17">
        <v>459.55</v>
      </c>
      <c r="F1239" s="6">
        <v>288.25</v>
      </c>
      <c r="G1239" s="7">
        <f t="shared" si="158"/>
        <v>0.594275802254987</v>
      </c>
    </row>
    <row r="1240" spans="1:7">
      <c r="A1240" s="14" t="s">
        <v>1800</v>
      </c>
      <c r="B1240" s="12" t="s">
        <v>1801</v>
      </c>
      <c r="C1240" s="13" t="s">
        <v>126</v>
      </c>
      <c r="D1240" s="17">
        <v>624.6</v>
      </c>
      <c r="F1240" s="6">
        <v>387</v>
      </c>
      <c r="G1240" s="7">
        <f t="shared" si="158"/>
        <v>0.613953488372093</v>
      </c>
    </row>
    <row r="1241" spans="1:7">
      <c r="A1241" s="14" t="s">
        <v>1802</v>
      </c>
      <c r="B1241" s="12" t="s">
        <v>1803</v>
      </c>
      <c r="C1241" s="13" t="s">
        <v>126</v>
      </c>
      <c r="D1241" s="17">
        <v>610.35</v>
      </c>
      <c r="F1241" s="6">
        <v>421.8</v>
      </c>
      <c r="G1241" s="7">
        <f t="shared" si="158"/>
        <v>0.44701280227596</v>
      </c>
    </row>
    <row r="1242" ht="31" spans="1:7">
      <c r="A1242" s="14">
        <v>9.149</v>
      </c>
      <c r="B1242" s="15" t="s">
        <v>1804</v>
      </c>
      <c r="C1242" s="13" t="s">
        <v>126</v>
      </c>
      <c r="D1242" s="17">
        <v>231.05</v>
      </c>
      <c r="F1242" s="6">
        <v>149.95</v>
      </c>
      <c r="G1242" s="7">
        <f t="shared" si="158"/>
        <v>0.540846948982995</v>
      </c>
    </row>
    <row r="1243" ht="31" spans="1:7">
      <c r="A1243" s="33">
        <v>9.15</v>
      </c>
      <c r="B1243" s="15" t="s">
        <v>1805</v>
      </c>
      <c r="C1243" s="13" t="s">
        <v>126</v>
      </c>
      <c r="D1243" s="17">
        <v>204</v>
      </c>
      <c r="F1243" s="6">
        <v>124.4</v>
      </c>
      <c r="G1243" s="7">
        <f t="shared" si="158"/>
        <v>0.639871382636656</v>
      </c>
    </row>
    <row r="1244" ht="31" spans="1:7">
      <c r="A1244" s="14">
        <v>9.151</v>
      </c>
      <c r="B1244" s="15" t="s">
        <v>1806</v>
      </c>
      <c r="C1244" s="13" t="s">
        <v>126</v>
      </c>
      <c r="D1244" s="17">
        <v>115.8</v>
      </c>
      <c r="F1244" s="6">
        <v>72.15</v>
      </c>
      <c r="G1244" s="7">
        <f t="shared" si="158"/>
        <v>0.604989604989605</v>
      </c>
    </row>
    <row r="1245" spans="1:7">
      <c r="A1245" s="14">
        <v>9.152</v>
      </c>
      <c r="B1245" s="15" t="s">
        <v>1807</v>
      </c>
      <c r="C1245" s="13" t="s">
        <v>126</v>
      </c>
      <c r="D1245" s="17">
        <v>185.5</v>
      </c>
      <c r="F1245" s="6">
        <v>112.8</v>
      </c>
      <c r="G1245" s="7">
        <f t="shared" si="158"/>
        <v>0.644503546099291</v>
      </c>
    </row>
    <row r="1246" ht="31" spans="1:7">
      <c r="A1246" s="14">
        <v>9.153</v>
      </c>
      <c r="B1246" s="15" t="s">
        <v>1808</v>
      </c>
      <c r="C1246" s="13" t="s">
        <v>126</v>
      </c>
      <c r="D1246" s="17">
        <v>198.3</v>
      </c>
      <c r="F1246" s="6">
        <v>136.05</v>
      </c>
      <c r="G1246" s="7">
        <f t="shared" si="158"/>
        <v>0.45755237045204</v>
      </c>
    </row>
    <row r="1247" ht="124" spans="1:7">
      <c r="A1247" s="14">
        <v>9.154</v>
      </c>
      <c r="B1247" s="15" t="s">
        <v>1809</v>
      </c>
      <c r="C1247" s="13" t="s">
        <v>478</v>
      </c>
      <c r="D1247" s="17">
        <v>166.8</v>
      </c>
      <c r="F1247" s="6">
        <v>78.45</v>
      </c>
      <c r="G1247" s="7">
        <f t="shared" si="158"/>
        <v>1.12619502868069</v>
      </c>
    </row>
    <row r="1248" ht="77.5" spans="1:7">
      <c r="A1248" s="14">
        <v>9.155</v>
      </c>
      <c r="B1248" s="15" t="s">
        <v>1810</v>
      </c>
      <c r="C1248" s="13" t="s">
        <v>11</v>
      </c>
      <c r="D1248" s="17">
        <v>1956.9</v>
      </c>
      <c r="F1248" s="6">
        <v>1155.15</v>
      </c>
      <c r="G1248" s="7">
        <f t="shared" si="158"/>
        <v>0.6940657057525</v>
      </c>
    </row>
    <row r="1249" ht="46.5" spans="1:7">
      <c r="A1249" s="14">
        <v>9.156</v>
      </c>
      <c r="B1249" s="15" t="s">
        <v>1811</v>
      </c>
      <c r="C1249" s="13"/>
      <c r="D1249" s="16"/>
    </row>
    <row r="1250" ht="31" spans="1:7">
      <c r="A1250" s="14" t="s">
        <v>1812</v>
      </c>
      <c r="B1250" s="12" t="s">
        <v>1813</v>
      </c>
      <c r="C1250" s="13" t="s">
        <v>11</v>
      </c>
      <c r="D1250" s="17">
        <v>1031.5</v>
      </c>
      <c r="F1250" s="6">
        <v>700.55</v>
      </c>
      <c r="G1250" s="7">
        <f t="shared" ref="G1250:G1254" si="159">(D1250-F1250)/F1250</f>
        <v>0.472414531439583</v>
      </c>
    </row>
    <row r="1251" ht="31" spans="1:7">
      <c r="A1251" s="14" t="s">
        <v>1814</v>
      </c>
      <c r="B1251" s="12" t="s">
        <v>1815</v>
      </c>
      <c r="C1251" s="13" t="s">
        <v>11</v>
      </c>
      <c r="D1251" s="17">
        <v>1248</v>
      </c>
      <c r="F1251" s="6">
        <v>869.45</v>
      </c>
      <c r="G1251" s="7">
        <f t="shared" si="159"/>
        <v>0.435390189200069</v>
      </c>
    </row>
    <row r="1252" ht="62" spans="1:7">
      <c r="A1252" s="14">
        <v>9.157</v>
      </c>
      <c r="B1252" s="15" t="s">
        <v>1816</v>
      </c>
      <c r="C1252" s="13"/>
      <c r="D1252" s="16"/>
    </row>
    <row r="1253" ht="31" spans="1:7">
      <c r="A1253" s="14" t="s">
        <v>1817</v>
      </c>
      <c r="B1253" s="12" t="s">
        <v>1818</v>
      </c>
      <c r="C1253" s="13" t="s">
        <v>11</v>
      </c>
      <c r="D1253" s="17">
        <v>1415.7</v>
      </c>
      <c r="F1253" s="6">
        <v>1024.5</v>
      </c>
      <c r="G1253" s="7">
        <f t="shared" si="159"/>
        <v>0.381844802342606</v>
      </c>
    </row>
    <row r="1254" ht="31" spans="1:7">
      <c r="A1254" s="14" t="s">
        <v>1819</v>
      </c>
      <c r="B1254" s="12" t="s">
        <v>1820</v>
      </c>
      <c r="C1254" s="13" t="s">
        <v>11</v>
      </c>
      <c r="D1254" s="17">
        <v>1874.7</v>
      </c>
      <c r="F1254" s="6">
        <v>1393.4</v>
      </c>
      <c r="G1254" s="7">
        <f t="shared" si="159"/>
        <v>0.345414095019377</v>
      </c>
    </row>
    <row r="1255" ht="46.5" spans="1:7">
      <c r="A1255" s="14">
        <v>9.158</v>
      </c>
      <c r="B1255" s="15" t="s">
        <v>1821</v>
      </c>
      <c r="C1255" s="13"/>
      <c r="D1255" s="16"/>
    </row>
    <row r="1256" spans="1:7">
      <c r="A1256" s="14" t="s">
        <v>1822</v>
      </c>
      <c r="B1256" s="12" t="s">
        <v>1823</v>
      </c>
      <c r="C1256" s="13" t="s">
        <v>11</v>
      </c>
      <c r="D1256" s="17">
        <v>1212.75</v>
      </c>
      <c r="F1256" s="6">
        <v>749.1</v>
      </c>
      <c r="G1256" s="7">
        <f t="shared" ref="G1256:G1259" si="160">(D1256-F1256)/F1256</f>
        <v>0.618942731277533</v>
      </c>
    </row>
    <row r="1257" spans="1:7">
      <c r="A1257" s="14" t="s">
        <v>1824</v>
      </c>
      <c r="B1257" s="12" t="s">
        <v>1825</v>
      </c>
      <c r="C1257" s="13" t="s">
        <v>11</v>
      </c>
      <c r="D1257" s="17">
        <v>1436.55</v>
      </c>
      <c r="F1257" s="6">
        <v>915.2</v>
      </c>
      <c r="G1257" s="7">
        <f t="shared" si="160"/>
        <v>0.569656905594406</v>
      </c>
    </row>
    <row r="1258" spans="1:7">
      <c r="A1258" s="14" t="s">
        <v>1826</v>
      </c>
      <c r="B1258" s="12" t="s">
        <v>1827</v>
      </c>
      <c r="C1258" s="13" t="s">
        <v>11</v>
      </c>
      <c r="D1258" s="17">
        <v>1912.25</v>
      </c>
      <c r="F1258" s="6">
        <v>1298.5</v>
      </c>
      <c r="G1258" s="7">
        <f t="shared" si="160"/>
        <v>0.472660762418175</v>
      </c>
    </row>
    <row r="1259" ht="77.5" spans="1:7">
      <c r="A1259" s="14">
        <v>9.159</v>
      </c>
      <c r="B1259" s="15" t="s">
        <v>1828</v>
      </c>
      <c r="C1259" s="13" t="s">
        <v>11</v>
      </c>
      <c r="D1259" s="17">
        <v>2135.25</v>
      </c>
      <c r="F1259" s="6">
        <v>1484.65</v>
      </c>
      <c r="G1259" s="7">
        <f t="shared" si="160"/>
        <v>0.438217761762031</v>
      </c>
    </row>
    <row r="1260" ht="77.5" spans="1:7">
      <c r="A1260" s="33">
        <v>9.16</v>
      </c>
      <c r="B1260" s="15" t="s">
        <v>1829</v>
      </c>
      <c r="C1260" s="13"/>
      <c r="D1260" s="16"/>
    </row>
    <row r="1261" spans="1:7">
      <c r="A1261" s="14" t="s">
        <v>1830</v>
      </c>
      <c r="B1261" s="12" t="s">
        <v>1825</v>
      </c>
      <c r="C1261" s="13" t="s">
        <v>11</v>
      </c>
      <c r="D1261" s="17">
        <v>2076.65</v>
      </c>
      <c r="F1261" s="6">
        <v>1279.5</v>
      </c>
      <c r="G1261" s="7">
        <f t="shared" ref="G1261:G1266" si="161">(D1261-F1261)/F1261</f>
        <v>0.623016803438843</v>
      </c>
    </row>
    <row r="1262" spans="1:7">
      <c r="A1262" s="14" t="s">
        <v>1831</v>
      </c>
      <c r="B1262" s="12" t="s">
        <v>1827</v>
      </c>
      <c r="C1262" s="13" t="s">
        <v>11</v>
      </c>
      <c r="D1262" s="17">
        <v>2552.4</v>
      </c>
      <c r="F1262" s="6">
        <v>1662.8</v>
      </c>
      <c r="G1262" s="7">
        <f t="shared" si="161"/>
        <v>0.535001202790474</v>
      </c>
    </row>
    <row r="1263" ht="155" spans="1:7">
      <c r="A1263" s="14">
        <v>9.161</v>
      </c>
      <c r="B1263" s="15" t="s">
        <v>1832</v>
      </c>
      <c r="C1263" s="13" t="s">
        <v>39</v>
      </c>
      <c r="D1263" s="17">
        <v>2202.9</v>
      </c>
      <c r="F1263" s="6">
        <v>1260</v>
      </c>
      <c r="G1263" s="7">
        <f t="shared" si="161"/>
        <v>0.748333333333333</v>
      </c>
    </row>
    <row r="1264" ht="155" spans="1:7">
      <c r="A1264" s="14">
        <v>9.162</v>
      </c>
      <c r="B1264" s="15" t="s">
        <v>1833</v>
      </c>
      <c r="C1264" s="13" t="s">
        <v>11</v>
      </c>
      <c r="D1264" s="17">
        <v>12017.9</v>
      </c>
      <c r="F1264" s="6">
        <v>6839.35</v>
      </c>
      <c r="G1264" s="7">
        <f t="shared" si="161"/>
        <v>0.757169906496962</v>
      </c>
    </row>
    <row r="1265" ht="155" spans="1:7">
      <c r="A1265" s="14">
        <v>9.163</v>
      </c>
      <c r="B1265" s="15" t="s">
        <v>1834</v>
      </c>
      <c r="C1265" s="13" t="s">
        <v>39</v>
      </c>
      <c r="D1265" s="17">
        <v>2202.9</v>
      </c>
      <c r="F1265" s="6">
        <v>1260</v>
      </c>
      <c r="G1265" s="7">
        <f t="shared" si="161"/>
        <v>0.748333333333333</v>
      </c>
    </row>
    <row r="1266" ht="217" spans="1:7">
      <c r="A1266" s="14">
        <v>9.164</v>
      </c>
      <c r="B1266" s="15" t="s">
        <v>1835</v>
      </c>
      <c r="C1266" s="13" t="s">
        <v>11</v>
      </c>
      <c r="D1266" s="17">
        <v>43677.65</v>
      </c>
      <c r="F1266" s="6">
        <v>34058.9</v>
      </c>
      <c r="G1266" s="7">
        <f t="shared" si="161"/>
        <v>0.282415169016028</v>
      </c>
    </row>
    <row r="1267" ht="31" spans="1:7">
      <c r="A1267" s="14">
        <v>9.165</v>
      </c>
      <c r="B1267" s="15" t="s">
        <v>1836</v>
      </c>
      <c r="C1267" s="13"/>
      <c r="D1267" s="16"/>
    </row>
    <row r="1268" spans="1:7">
      <c r="A1268" s="14" t="s">
        <v>1837</v>
      </c>
      <c r="B1268" s="12" t="s">
        <v>1284</v>
      </c>
      <c r="C1268" s="13" t="s">
        <v>126</v>
      </c>
      <c r="D1268" s="17">
        <v>119.2</v>
      </c>
      <c r="F1268" s="6">
        <v>89.7</v>
      </c>
      <c r="G1268" s="7">
        <f t="shared" ref="G1268:G1270" si="162">(D1268-F1268)/F1268</f>
        <v>0.328874024526198</v>
      </c>
    </row>
    <row r="1269" spans="1:7">
      <c r="A1269" s="14" t="s">
        <v>1838</v>
      </c>
      <c r="B1269" s="12" t="s">
        <v>1839</v>
      </c>
      <c r="C1269" s="13" t="s">
        <v>126</v>
      </c>
      <c r="D1269" s="17">
        <v>90.45</v>
      </c>
      <c r="F1269" s="6">
        <v>66.5</v>
      </c>
      <c r="G1269" s="7">
        <f t="shared" si="162"/>
        <v>0.36015037593985</v>
      </c>
    </row>
    <row r="1270" spans="1:7">
      <c r="A1270" s="14" t="s">
        <v>1840</v>
      </c>
      <c r="B1270" s="12" t="s">
        <v>1322</v>
      </c>
      <c r="C1270" s="13" t="s">
        <v>126</v>
      </c>
      <c r="D1270" s="17">
        <v>58.75</v>
      </c>
      <c r="F1270" s="6">
        <v>43.25</v>
      </c>
      <c r="G1270" s="7">
        <f t="shared" si="162"/>
        <v>0.358381502890173</v>
      </c>
    </row>
    <row r="1271" ht="77.5" spans="1:7">
      <c r="A1271" s="14">
        <v>9.166</v>
      </c>
      <c r="B1271" s="15" t="s">
        <v>1841</v>
      </c>
      <c r="C1271" s="13"/>
      <c r="D1271" s="16"/>
    </row>
    <row r="1272" spans="1:7">
      <c r="A1272" s="14" t="s">
        <v>1842</v>
      </c>
      <c r="B1272" s="12" t="s">
        <v>1006</v>
      </c>
      <c r="C1272" s="13" t="s">
        <v>11</v>
      </c>
      <c r="D1272" s="17">
        <v>1362.3</v>
      </c>
    </row>
    <row r="1273" ht="62" spans="1:7">
      <c r="A1273" s="14">
        <v>9.167</v>
      </c>
      <c r="B1273" s="15" t="s">
        <v>1843</v>
      </c>
      <c r="C1273" s="13" t="s">
        <v>11</v>
      </c>
      <c r="D1273" s="17">
        <v>1010.6</v>
      </c>
    </row>
    <row r="1274" ht="93" spans="1:7">
      <c r="A1274" s="14">
        <v>9.168</v>
      </c>
      <c r="B1274" s="15" t="s">
        <v>1844</v>
      </c>
      <c r="C1274" s="13" t="s">
        <v>11</v>
      </c>
      <c r="D1274" s="17">
        <v>2829.25</v>
      </c>
    </row>
    <row r="1275" ht="62" spans="1:7">
      <c r="A1275" s="14">
        <v>9.169</v>
      </c>
      <c r="B1275" s="15" t="s">
        <v>1845</v>
      </c>
      <c r="C1275" s="13" t="s">
        <v>11</v>
      </c>
      <c r="D1275" s="17">
        <v>2593.15</v>
      </c>
    </row>
    <row r="1276" ht="31" spans="1:7">
      <c r="A1276" s="33">
        <v>9.17</v>
      </c>
      <c r="B1276" s="15" t="s">
        <v>1846</v>
      </c>
      <c r="C1276" s="13"/>
      <c r="D1276" s="16"/>
    </row>
    <row r="1277" spans="1:7">
      <c r="A1277" s="14" t="s">
        <v>1847</v>
      </c>
      <c r="B1277" s="12" t="s">
        <v>1848</v>
      </c>
      <c r="C1277" s="13" t="s">
        <v>126</v>
      </c>
      <c r="D1277" s="17">
        <v>186.65</v>
      </c>
    </row>
    <row r="1278" ht="62" spans="1:7">
      <c r="A1278" s="14">
        <v>9.171</v>
      </c>
      <c r="B1278" s="15" t="s">
        <v>1849</v>
      </c>
      <c r="C1278" s="13" t="s">
        <v>126</v>
      </c>
      <c r="D1278" s="17">
        <v>272</v>
      </c>
    </row>
    <row r="1279" ht="46.5" spans="1:7">
      <c r="A1279" s="14">
        <v>9.172</v>
      </c>
      <c r="B1279" s="15" t="s">
        <v>1850</v>
      </c>
      <c r="C1279" s="13" t="s">
        <v>1524</v>
      </c>
      <c r="D1279" s="17">
        <v>885.1</v>
      </c>
    </row>
    <row r="1280" ht="139.5" spans="1:7">
      <c r="A1280" s="14">
        <v>9.173</v>
      </c>
      <c r="B1280" s="15" t="s">
        <v>1851</v>
      </c>
      <c r="C1280" s="13" t="s">
        <v>478</v>
      </c>
      <c r="D1280" s="17">
        <v>533.25</v>
      </c>
    </row>
    <row r="1281" ht="46.5" spans="1:7">
      <c r="A1281" s="14">
        <v>9.174</v>
      </c>
      <c r="B1281" s="15" t="s">
        <v>1852</v>
      </c>
      <c r="C1281" s="13" t="s">
        <v>39</v>
      </c>
      <c r="D1281" s="17">
        <v>43.8</v>
      </c>
    </row>
    <row r="1282" spans="1:7">
      <c r="D1282" s="22"/>
    </row>
    <row r="1283" spans="1:7">
      <c r="D1283" s="22"/>
    </row>
    <row r="1284" spans="1:7">
      <c r="D1284" s="22"/>
    </row>
    <row r="1285" spans="1:7">
      <c r="D1285" s="22"/>
    </row>
    <row r="1286" spans="1:7">
      <c r="D1286" s="22"/>
    </row>
    <row r="1287" spans="1:7">
      <c r="D1287" s="22"/>
    </row>
    <row r="1288" spans="1:7">
      <c r="D1288" s="22"/>
    </row>
    <row r="1289" spans="1:7">
      <c r="D1289" s="22"/>
    </row>
    <row r="1290" spans="1:7">
      <c r="D1290" s="22"/>
    </row>
    <row r="1291" spans="1:7">
      <c r="A1291" s="5" t="s">
        <v>1853</v>
      </c>
      <c r="C1291" s="5"/>
      <c r="D1291" s="5"/>
      <c r="E1291" s="5" t="s">
        <v>8</v>
      </c>
    </row>
    <row r="1292" spans="1:7">
      <c r="A1292" s="14" t="s">
        <v>166</v>
      </c>
      <c r="B1292" s="15" t="s">
        <v>2</v>
      </c>
      <c r="C1292" s="13" t="s">
        <v>167</v>
      </c>
      <c r="D1292" s="16" t="s">
        <v>4</v>
      </c>
      <c r="E1292" s="5" t="s">
        <v>8</v>
      </c>
    </row>
    <row r="1293" ht="46.5" spans="1:7">
      <c r="A1293" s="14">
        <v>10.1</v>
      </c>
      <c r="B1293" s="15" t="s">
        <v>1854</v>
      </c>
      <c r="C1293" s="13" t="s">
        <v>478</v>
      </c>
      <c r="D1293" s="17">
        <v>117.35</v>
      </c>
      <c r="E1293" s="5" t="s">
        <v>8</v>
      </c>
      <c r="F1293" s="6">
        <v>58.45</v>
      </c>
      <c r="G1293" s="7">
        <f t="shared" ref="G1293:G1296" si="163">(D1293-F1293)/F1293</f>
        <v>1.00769888793841</v>
      </c>
    </row>
    <row r="1294" ht="46.5" spans="1:7">
      <c r="A1294" s="14">
        <v>10.2</v>
      </c>
      <c r="B1294" s="15" t="s">
        <v>1855</v>
      </c>
      <c r="C1294" s="13" t="s">
        <v>478</v>
      </c>
      <c r="D1294" s="17">
        <v>133.7</v>
      </c>
      <c r="E1294" s="5" t="s">
        <v>8</v>
      </c>
      <c r="F1294" s="6">
        <v>67.6</v>
      </c>
      <c r="G1294" s="7">
        <f t="shared" si="163"/>
        <v>0.977810650887574</v>
      </c>
    </row>
    <row r="1295" ht="77.5" spans="1:7">
      <c r="A1295" s="14">
        <v>10.3</v>
      </c>
      <c r="B1295" s="15" t="s">
        <v>1856</v>
      </c>
      <c r="C1295" s="13" t="s">
        <v>11</v>
      </c>
      <c r="D1295" s="17">
        <v>11439.6</v>
      </c>
      <c r="E1295" s="5" t="s">
        <v>8</v>
      </c>
      <c r="F1295" s="6">
        <v>5360.65</v>
      </c>
      <c r="G1295" s="7">
        <f t="shared" si="163"/>
        <v>1.13399494464291</v>
      </c>
    </row>
    <row r="1296" ht="62" spans="1:7">
      <c r="A1296" s="14">
        <v>10.4</v>
      </c>
      <c r="B1296" s="15" t="s">
        <v>1857</v>
      </c>
      <c r="C1296" s="13" t="s">
        <v>11</v>
      </c>
      <c r="D1296" s="17">
        <v>6566.2</v>
      </c>
      <c r="E1296" s="5" t="s">
        <v>8</v>
      </c>
      <c r="F1296" s="6">
        <v>3292</v>
      </c>
      <c r="G1296" s="7">
        <f t="shared" si="163"/>
        <v>0.994592952612394</v>
      </c>
    </row>
    <row r="1297" ht="46.5" spans="1:7">
      <c r="A1297" s="14">
        <v>10.5</v>
      </c>
      <c r="B1297" s="15" t="s">
        <v>1858</v>
      </c>
      <c r="C1297" s="13"/>
      <c r="D1297" s="16"/>
      <c r="E1297" s="5" t="s">
        <v>8</v>
      </c>
    </row>
    <row r="1298" spans="1:7">
      <c r="A1298" s="14" t="s">
        <v>1859</v>
      </c>
      <c r="B1298" s="12" t="s">
        <v>1860</v>
      </c>
      <c r="C1298" s="13" t="s">
        <v>11</v>
      </c>
      <c r="D1298" s="17">
        <v>5804.35</v>
      </c>
      <c r="E1298" s="5" t="s">
        <v>8</v>
      </c>
      <c r="F1298" s="6">
        <v>2870.25</v>
      </c>
      <c r="G1298" s="7">
        <f t="shared" ref="G1298:G1304" si="164">(D1298-F1298)/F1298</f>
        <v>1.0222454490027</v>
      </c>
    </row>
    <row r="1299" spans="1:7">
      <c r="A1299" s="14" t="s">
        <v>1861</v>
      </c>
      <c r="B1299" s="12" t="s">
        <v>1862</v>
      </c>
      <c r="C1299" s="13" t="s">
        <v>11</v>
      </c>
      <c r="D1299" s="17">
        <v>5563.75</v>
      </c>
      <c r="E1299" s="5" t="s">
        <v>8</v>
      </c>
      <c r="F1299" s="6">
        <v>2761.9</v>
      </c>
      <c r="G1299" s="7">
        <f t="shared" si="164"/>
        <v>1.01446468011152</v>
      </c>
    </row>
    <row r="1300" ht="108.5" spans="1:7">
      <c r="A1300" s="14">
        <v>10.6</v>
      </c>
      <c r="B1300" s="15" t="s">
        <v>1863</v>
      </c>
      <c r="C1300" s="13"/>
      <c r="D1300" s="16"/>
      <c r="E1300" s="5" t="s">
        <v>8</v>
      </c>
    </row>
    <row r="1301" spans="1:7">
      <c r="A1301" s="14" t="s">
        <v>1864</v>
      </c>
      <c r="B1301" s="12" t="s">
        <v>1865</v>
      </c>
      <c r="C1301" s="13" t="s">
        <v>11</v>
      </c>
      <c r="D1301" s="17">
        <v>3653.2</v>
      </c>
      <c r="E1301" s="5" t="s">
        <v>8</v>
      </c>
      <c r="F1301" s="6">
        <v>2316.1</v>
      </c>
      <c r="G1301" s="7">
        <f t="shared" si="164"/>
        <v>0.577306679331635</v>
      </c>
    </row>
    <row r="1302" spans="1:7">
      <c r="A1302" s="14" t="s">
        <v>1866</v>
      </c>
      <c r="B1302" s="12" t="s">
        <v>1867</v>
      </c>
      <c r="C1302" s="13" t="s">
        <v>11</v>
      </c>
      <c r="D1302" s="17">
        <v>3307.05</v>
      </c>
      <c r="E1302" s="5" t="s">
        <v>8</v>
      </c>
      <c r="F1302" s="6">
        <v>1841.4</v>
      </c>
      <c r="G1302" s="7">
        <f t="shared" si="164"/>
        <v>0.79594330400782</v>
      </c>
    </row>
    <row r="1303" spans="1:7">
      <c r="A1303" s="14" t="s">
        <v>1868</v>
      </c>
      <c r="B1303" s="12" t="s">
        <v>1869</v>
      </c>
      <c r="C1303" s="13" t="s">
        <v>11</v>
      </c>
      <c r="D1303" s="17">
        <v>3191.35</v>
      </c>
      <c r="E1303" s="5" t="s">
        <v>8</v>
      </c>
      <c r="F1303" s="6">
        <v>1717.5</v>
      </c>
      <c r="G1303" s="7">
        <f t="shared" si="164"/>
        <v>0.858136826783115</v>
      </c>
    </row>
    <row r="1304" spans="1:7">
      <c r="A1304" s="14">
        <v>10.7</v>
      </c>
      <c r="B1304" s="15" t="s">
        <v>1870</v>
      </c>
      <c r="C1304" s="13" t="s">
        <v>126</v>
      </c>
      <c r="D1304" s="17">
        <v>492.35</v>
      </c>
      <c r="E1304" s="5" t="s">
        <v>8</v>
      </c>
      <c r="F1304" s="6">
        <v>379.3</v>
      </c>
      <c r="G1304" s="7">
        <f t="shared" si="164"/>
        <v>0.298049037701028</v>
      </c>
    </row>
    <row r="1305" ht="31" spans="1:7">
      <c r="A1305" s="14">
        <v>10.8</v>
      </c>
      <c r="B1305" s="15" t="s">
        <v>1871</v>
      </c>
      <c r="C1305" s="13"/>
      <c r="D1305" s="16"/>
      <c r="E1305" s="5" t="s">
        <v>8</v>
      </c>
    </row>
    <row r="1306" spans="1:7">
      <c r="A1306" s="14" t="s">
        <v>1872</v>
      </c>
      <c r="B1306" s="12" t="s">
        <v>1873</v>
      </c>
      <c r="C1306" s="13" t="s">
        <v>11</v>
      </c>
      <c r="D1306" s="17">
        <v>1281.35</v>
      </c>
      <c r="E1306" s="5" t="s">
        <v>8</v>
      </c>
      <c r="F1306" s="6">
        <v>724.05</v>
      </c>
      <c r="G1306" s="7">
        <f t="shared" ref="G1306:G1308" si="165">(D1306-F1306)/F1306</f>
        <v>0.769698225260686</v>
      </c>
    </row>
    <row r="1307" spans="1:7">
      <c r="A1307" s="14" t="s">
        <v>1874</v>
      </c>
      <c r="B1307" s="12" t="s">
        <v>1875</v>
      </c>
      <c r="C1307" s="13" t="s">
        <v>11</v>
      </c>
      <c r="D1307" s="17">
        <v>1181.8</v>
      </c>
      <c r="E1307" s="5" t="s">
        <v>8</v>
      </c>
      <c r="F1307" s="6">
        <v>724.05</v>
      </c>
      <c r="G1307" s="7">
        <f t="shared" si="165"/>
        <v>0.632207720461294</v>
      </c>
    </row>
    <row r="1308" ht="31" spans="1:7">
      <c r="A1308" s="14">
        <v>10.9</v>
      </c>
      <c r="B1308" s="15" t="s">
        <v>1876</v>
      </c>
      <c r="C1308" s="13" t="s">
        <v>11</v>
      </c>
      <c r="D1308" s="17">
        <v>768.25</v>
      </c>
      <c r="E1308" s="5" t="s">
        <v>8</v>
      </c>
      <c r="F1308" s="6">
        <v>313.6</v>
      </c>
      <c r="G1308" s="7">
        <f t="shared" si="165"/>
        <v>1.44977678571429</v>
      </c>
    </row>
    <row r="1309" ht="62" spans="1:7">
      <c r="A1309" s="18">
        <v>10.1</v>
      </c>
      <c r="B1309" s="15" t="s">
        <v>1877</v>
      </c>
      <c r="C1309" s="13"/>
      <c r="D1309" s="16"/>
      <c r="E1309" s="5" t="s">
        <v>8</v>
      </c>
    </row>
    <row r="1310" ht="31" spans="1:7">
      <c r="A1310" s="14" t="s">
        <v>1878</v>
      </c>
      <c r="B1310" s="12" t="s">
        <v>1879</v>
      </c>
      <c r="C1310" s="13" t="s">
        <v>478</v>
      </c>
      <c r="D1310" s="17">
        <v>82.45</v>
      </c>
      <c r="E1310" s="5" t="s">
        <v>8</v>
      </c>
      <c r="F1310" s="6">
        <v>39.05</v>
      </c>
      <c r="G1310" s="7">
        <f t="shared" ref="G1310:G1315" si="166">(D1310-F1310)/F1310</f>
        <v>1.11139564660691</v>
      </c>
    </row>
    <row r="1311" ht="31" spans="1:7">
      <c r="A1311" s="14" t="s">
        <v>1880</v>
      </c>
      <c r="B1311" s="12" t="s">
        <v>1881</v>
      </c>
      <c r="C1311" s="13" t="s">
        <v>478</v>
      </c>
      <c r="D1311" s="17">
        <v>40.8</v>
      </c>
      <c r="E1311" s="5" t="s">
        <v>8</v>
      </c>
      <c r="F1311" s="6">
        <v>20.25</v>
      </c>
      <c r="G1311" s="7">
        <f t="shared" si="166"/>
        <v>1.01481481481481</v>
      </c>
    </row>
    <row r="1312" ht="108.5" spans="1:7">
      <c r="A1312" s="18">
        <v>10.11</v>
      </c>
      <c r="B1312" s="15" t="s">
        <v>1882</v>
      </c>
      <c r="C1312" s="13"/>
      <c r="D1312" s="16"/>
      <c r="E1312" s="5" t="s">
        <v>8</v>
      </c>
    </row>
    <row r="1313" ht="31" spans="1:7">
      <c r="A1313" s="14" t="s">
        <v>1883</v>
      </c>
      <c r="B1313" s="12" t="s">
        <v>1879</v>
      </c>
      <c r="C1313" s="13" t="s">
        <v>478</v>
      </c>
      <c r="D1313" s="17">
        <v>131.05</v>
      </c>
      <c r="E1313" s="5" t="s">
        <v>8</v>
      </c>
      <c r="F1313" s="6">
        <v>113.6</v>
      </c>
      <c r="G1313" s="7">
        <f t="shared" si="166"/>
        <v>0.153609154929578</v>
      </c>
    </row>
    <row r="1314" ht="31" spans="1:7">
      <c r="A1314" s="14" t="s">
        <v>1884</v>
      </c>
      <c r="B1314" s="12" t="s">
        <v>1881</v>
      </c>
      <c r="C1314" s="13" t="s">
        <v>478</v>
      </c>
      <c r="D1314" s="17">
        <v>128.25</v>
      </c>
      <c r="E1314" s="5" t="s">
        <v>8</v>
      </c>
      <c r="F1314" s="6">
        <v>84.2</v>
      </c>
      <c r="G1314" s="7">
        <f t="shared" si="166"/>
        <v>0.523159144893112</v>
      </c>
    </row>
    <row r="1315" ht="46.5" spans="1:7">
      <c r="A1315" s="18">
        <v>10.12</v>
      </c>
      <c r="B1315" s="15" t="s">
        <v>1885</v>
      </c>
      <c r="C1315" s="13" t="s">
        <v>39</v>
      </c>
      <c r="D1315" s="17">
        <v>49.6</v>
      </c>
      <c r="E1315" s="5" t="s">
        <v>8</v>
      </c>
      <c r="F1315" s="6">
        <v>38.35</v>
      </c>
      <c r="G1315" s="7">
        <f t="shared" si="166"/>
        <v>0.293350717079531</v>
      </c>
    </row>
    <row r="1316" ht="46.5" spans="1:7">
      <c r="A1316" s="18">
        <v>10.13</v>
      </c>
      <c r="B1316" s="15" t="s">
        <v>1886</v>
      </c>
      <c r="C1316" s="13"/>
      <c r="D1316" s="16"/>
      <c r="E1316" s="5" t="s">
        <v>8</v>
      </c>
    </row>
    <row r="1317" ht="31" spans="1:7">
      <c r="A1317" s="14" t="s">
        <v>1887</v>
      </c>
      <c r="B1317" s="12" t="s">
        <v>1888</v>
      </c>
      <c r="C1317" s="13" t="s">
        <v>478</v>
      </c>
      <c r="D1317" s="17">
        <v>141.7</v>
      </c>
      <c r="E1317" s="5" t="s">
        <v>8</v>
      </c>
      <c r="F1317" s="6">
        <v>74.05</v>
      </c>
      <c r="G1317" s="7">
        <f t="shared" ref="G1317:G1322" si="167">(D1317-F1317)/F1317</f>
        <v>0.913571910871033</v>
      </c>
    </row>
    <row r="1318" ht="31" spans="1:7">
      <c r="A1318" s="14" t="s">
        <v>1889</v>
      </c>
      <c r="B1318" s="12" t="s">
        <v>1881</v>
      </c>
      <c r="C1318" s="13" t="s">
        <v>478</v>
      </c>
      <c r="D1318" s="17">
        <v>136</v>
      </c>
      <c r="E1318" s="5" t="s">
        <v>8</v>
      </c>
      <c r="F1318" s="6">
        <v>70.45</v>
      </c>
      <c r="G1318" s="7">
        <f t="shared" si="167"/>
        <v>0.930447125621008</v>
      </c>
    </row>
    <row r="1319" ht="108.5" spans="1:7">
      <c r="A1319" s="18">
        <v>10.14</v>
      </c>
      <c r="B1319" s="15" t="s">
        <v>1890</v>
      </c>
      <c r="C1319" s="13"/>
      <c r="D1319" s="16"/>
      <c r="E1319" s="5" t="s">
        <v>8</v>
      </c>
    </row>
    <row r="1320" spans="1:7">
      <c r="A1320" s="14" t="s">
        <v>1891</v>
      </c>
      <c r="B1320" s="12" t="s">
        <v>1892</v>
      </c>
      <c r="C1320" s="13"/>
      <c r="D1320" s="16"/>
      <c r="E1320" s="5" t="s">
        <v>8</v>
      </c>
    </row>
    <row r="1321" spans="1:7">
      <c r="A1321" s="14" t="s">
        <v>1893</v>
      </c>
      <c r="B1321" s="12" t="s">
        <v>1894</v>
      </c>
      <c r="C1321" s="13" t="s">
        <v>39</v>
      </c>
      <c r="D1321" s="17">
        <v>583.3</v>
      </c>
      <c r="E1321" s="5" t="s">
        <v>8</v>
      </c>
      <c r="F1321" s="6">
        <v>340.35</v>
      </c>
      <c r="G1321" s="7">
        <f t="shared" si="167"/>
        <v>0.713824004701043</v>
      </c>
    </row>
    <row r="1322" ht="31" spans="1:7">
      <c r="A1322" s="14" t="s">
        <v>1895</v>
      </c>
      <c r="B1322" s="12" t="s">
        <v>1881</v>
      </c>
      <c r="C1322" s="13" t="s">
        <v>39</v>
      </c>
      <c r="D1322" s="17">
        <v>570.4</v>
      </c>
      <c r="E1322" s="5" t="s">
        <v>8</v>
      </c>
      <c r="F1322" s="6">
        <v>332.3</v>
      </c>
      <c r="G1322" s="7">
        <f t="shared" si="167"/>
        <v>0.716521215768883</v>
      </c>
    </row>
    <row r="1323" spans="1:7">
      <c r="A1323" s="14" t="s">
        <v>1896</v>
      </c>
      <c r="B1323" s="12" t="s">
        <v>1897</v>
      </c>
      <c r="C1323" s="13"/>
      <c r="D1323" s="16"/>
      <c r="E1323" s="5" t="s">
        <v>8</v>
      </c>
    </row>
    <row r="1324" spans="1:7">
      <c r="A1324" s="14" t="s">
        <v>1898</v>
      </c>
      <c r="B1324" s="12" t="s">
        <v>1894</v>
      </c>
      <c r="C1324" s="13" t="s">
        <v>39</v>
      </c>
      <c r="D1324" s="17">
        <v>611.75</v>
      </c>
      <c r="E1324" s="5" t="s">
        <v>8</v>
      </c>
      <c r="F1324" s="6">
        <v>363.55</v>
      </c>
      <c r="G1324" s="7">
        <f t="shared" ref="G1324:G1328" si="168">(D1324-F1324)/F1324</f>
        <v>0.682712144134232</v>
      </c>
    </row>
    <row r="1325" ht="31" spans="1:7">
      <c r="A1325" s="14" t="s">
        <v>1899</v>
      </c>
      <c r="B1325" s="12" t="s">
        <v>1881</v>
      </c>
      <c r="C1325" s="13" t="s">
        <v>39</v>
      </c>
      <c r="D1325" s="17">
        <v>598.85</v>
      </c>
      <c r="E1325" s="5" t="s">
        <v>8</v>
      </c>
      <c r="F1325" s="6">
        <v>355.55</v>
      </c>
      <c r="G1325" s="7">
        <f t="shared" si="168"/>
        <v>0.684291942061595</v>
      </c>
    </row>
    <row r="1326" spans="1:7">
      <c r="A1326" s="14" t="s">
        <v>1900</v>
      </c>
      <c r="B1326" s="12" t="s">
        <v>1901</v>
      </c>
      <c r="C1326" s="13"/>
      <c r="D1326" s="16"/>
      <c r="E1326" s="5" t="s">
        <v>8</v>
      </c>
      <c r="F1326" s="8"/>
    </row>
    <row r="1327" spans="1:7">
      <c r="A1327" s="14" t="s">
        <v>1902</v>
      </c>
      <c r="B1327" s="12" t="s">
        <v>1894</v>
      </c>
      <c r="C1327" s="13" t="s">
        <v>39</v>
      </c>
      <c r="D1327" s="17">
        <v>640.2</v>
      </c>
      <c r="E1327" s="5" t="s">
        <v>8</v>
      </c>
      <c r="F1327" s="6">
        <v>398.4</v>
      </c>
      <c r="G1327" s="7">
        <f t="shared" si="168"/>
        <v>0.606927710843374</v>
      </c>
    </row>
    <row r="1328" ht="31" spans="1:7">
      <c r="A1328" s="14" t="s">
        <v>1903</v>
      </c>
      <c r="B1328" s="12" t="s">
        <v>1881</v>
      </c>
      <c r="C1328" s="13" t="s">
        <v>39</v>
      </c>
      <c r="D1328" s="17">
        <v>627.3</v>
      </c>
      <c r="E1328" s="5" t="s">
        <v>8</v>
      </c>
      <c r="F1328" s="6">
        <v>390.4</v>
      </c>
      <c r="G1328" s="7">
        <f t="shared" si="168"/>
        <v>0.606813524590164</v>
      </c>
    </row>
    <row r="1329" ht="62" spans="1:7">
      <c r="A1329" s="18">
        <v>10.15</v>
      </c>
      <c r="B1329" s="15" t="s">
        <v>1904</v>
      </c>
      <c r="C1329" s="13"/>
      <c r="D1329" s="16"/>
      <c r="E1329" s="5" t="s">
        <v>8</v>
      </c>
    </row>
    <row r="1330" ht="31" spans="1:7">
      <c r="A1330" s="14" t="s">
        <v>1905</v>
      </c>
      <c r="B1330" s="12" t="s">
        <v>1879</v>
      </c>
      <c r="C1330" s="13" t="s">
        <v>478</v>
      </c>
      <c r="D1330" s="17">
        <v>195.2</v>
      </c>
      <c r="E1330" s="5" t="s">
        <v>8</v>
      </c>
      <c r="F1330" s="6">
        <v>124.05</v>
      </c>
      <c r="G1330" s="7">
        <f t="shared" ref="G1330:G1341" si="169">(D1330-F1330)/F1330</f>
        <v>0.573559048770657</v>
      </c>
    </row>
    <row r="1331" ht="31" spans="1:7">
      <c r="A1331" s="14" t="s">
        <v>1906</v>
      </c>
      <c r="B1331" s="12" t="s">
        <v>1881</v>
      </c>
      <c r="C1331" s="13" t="s">
        <v>478</v>
      </c>
      <c r="D1331" s="17">
        <v>181.25</v>
      </c>
      <c r="E1331" s="5" t="s">
        <v>8</v>
      </c>
      <c r="F1331" s="6">
        <v>115.3</v>
      </c>
      <c r="G1331" s="7">
        <f t="shared" si="169"/>
        <v>0.571986123156982</v>
      </c>
    </row>
    <row r="1332" ht="46.5" spans="1:7">
      <c r="A1332" s="18">
        <v>10.16</v>
      </c>
      <c r="B1332" s="15" t="s">
        <v>1907</v>
      </c>
      <c r="C1332" s="13"/>
      <c r="D1332" s="16"/>
      <c r="E1332" s="5" t="s">
        <v>8</v>
      </c>
    </row>
    <row r="1333" spans="1:7">
      <c r="A1333" s="14" t="s">
        <v>1908</v>
      </c>
      <c r="B1333" s="12" t="s">
        <v>1909</v>
      </c>
      <c r="C1333" s="13" t="s">
        <v>478</v>
      </c>
      <c r="D1333" s="17">
        <v>194.4</v>
      </c>
      <c r="E1333" s="5" t="s">
        <v>8</v>
      </c>
      <c r="F1333" s="6">
        <v>90.25</v>
      </c>
      <c r="G1333" s="7">
        <f t="shared" si="169"/>
        <v>1.15401662049862</v>
      </c>
    </row>
    <row r="1334" spans="1:7">
      <c r="A1334" s="14" t="s">
        <v>1910</v>
      </c>
      <c r="B1334" s="12" t="s">
        <v>1911</v>
      </c>
      <c r="C1334" s="13" t="s">
        <v>478</v>
      </c>
      <c r="D1334" s="17">
        <v>206.35</v>
      </c>
      <c r="E1334" s="5" t="s">
        <v>8</v>
      </c>
      <c r="F1334" s="6">
        <v>93.9</v>
      </c>
      <c r="G1334" s="7">
        <f t="shared" si="169"/>
        <v>1.1975505857295</v>
      </c>
    </row>
    <row r="1335" spans="1:7">
      <c r="A1335" s="14" t="s">
        <v>1912</v>
      </c>
      <c r="B1335" s="12" t="s">
        <v>1913</v>
      </c>
      <c r="C1335" s="13" t="s">
        <v>478</v>
      </c>
      <c r="D1335" s="17">
        <v>194.4</v>
      </c>
      <c r="E1335" s="5" t="s">
        <v>8</v>
      </c>
      <c r="F1335" s="6">
        <v>112.2</v>
      </c>
      <c r="G1335" s="7">
        <f t="shared" si="169"/>
        <v>0.732620320855615</v>
      </c>
    </row>
    <row r="1336" ht="46.5" spans="1:7">
      <c r="A1336" s="18">
        <v>10.17</v>
      </c>
      <c r="B1336" s="15" t="s">
        <v>1914</v>
      </c>
      <c r="C1336" s="13" t="s">
        <v>126</v>
      </c>
      <c r="D1336" s="17">
        <v>226</v>
      </c>
      <c r="E1336" s="5" t="s">
        <v>8</v>
      </c>
      <c r="F1336" s="6">
        <v>112.15</v>
      </c>
      <c r="G1336" s="7">
        <f t="shared" si="169"/>
        <v>1.01515827017387</v>
      </c>
    </row>
    <row r="1337" ht="77.5" spans="1:7">
      <c r="A1337" s="18">
        <v>10.18</v>
      </c>
      <c r="B1337" s="15" t="s">
        <v>1915</v>
      </c>
      <c r="C1337" s="13" t="s">
        <v>126</v>
      </c>
      <c r="D1337" s="17">
        <v>220.65</v>
      </c>
      <c r="E1337" s="5" t="s">
        <v>8</v>
      </c>
      <c r="F1337" s="6">
        <v>130.1</v>
      </c>
      <c r="G1337" s="7">
        <f t="shared" si="169"/>
        <v>0.696003074558032</v>
      </c>
    </row>
    <row r="1338" ht="31" spans="1:7">
      <c r="A1338" s="18">
        <v>10.19</v>
      </c>
      <c r="B1338" s="15" t="s">
        <v>1916</v>
      </c>
      <c r="C1338" s="13" t="s">
        <v>478</v>
      </c>
      <c r="D1338" s="17">
        <v>97.2</v>
      </c>
      <c r="E1338" s="5" t="s">
        <v>8</v>
      </c>
      <c r="F1338" s="6">
        <v>68</v>
      </c>
      <c r="G1338" s="7">
        <f t="shared" si="169"/>
        <v>0.429411764705882</v>
      </c>
    </row>
    <row r="1339" spans="1:7">
      <c r="A1339" s="18">
        <v>10.2</v>
      </c>
      <c r="B1339" s="15" t="s">
        <v>1917</v>
      </c>
      <c r="C1339" s="13" t="s">
        <v>478</v>
      </c>
      <c r="D1339" s="17">
        <v>159.35</v>
      </c>
      <c r="E1339" s="5" t="s">
        <v>8</v>
      </c>
      <c r="F1339" s="6">
        <v>96.25</v>
      </c>
      <c r="G1339" s="7">
        <f t="shared" si="169"/>
        <v>0.655584415584415</v>
      </c>
    </row>
    <row r="1340" spans="1:7">
      <c r="A1340" s="18">
        <v>10.21</v>
      </c>
      <c r="B1340" s="15" t="s">
        <v>1918</v>
      </c>
      <c r="C1340" s="13" t="s">
        <v>478</v>
      </c>
      <c r="D1340" s="17">
        <v>278.3</v>
      </c>
      <c r="E1340" s="5" t="s">
        <v>8</v>
      </c>
      <c r="F1340" s="6">
        <v>140.7</v>
      </c>
      <c r="G1340" s="7">
        <f t="shared" si="169"/>
        <v>0.977967306325516</v>
      </c>
    </row>
    <row r="1341" spans="1:7">
      <c r="A1341" s="18">
        <v>10.22</v>
      </c>
      <c r="B1341" s="15" t="s">
        <v>1919</v>
      </c>
      <c r="C1341" s="13" t="s">
        <v>1920</v>
      </c>
      <c r="D1341" s="17">
        <v>5.1</v>
      </c>
      <c r="E1341" s="5" t="s">
        <v>8</v>
      </c>
      <c r="F1341" s="6">
        <v>2.85</v>
      </c>
      <c r="G1341" s="7">
        <f t="shared" si="169"/>
        <v>0.789473684210526</v>
      </c>
    </row>
    <row r="1342" ht="46.5" spans="1:7">
      <c r="A1342" s="18">
        <v>10.25</v>
      </c>
      <c r="B1342" s="15" t="s">
        <v>1921</v>
      </c>
      <c r="C1342" s="13"/>
      <c r="D1342" s="16"/>
      <c r="E1342" s="5" t="s">
        <v>8</v>
      </c>
    </row>
    <row r="1343" ht="31" spans="1:7">
      <c r="A1343" s="14" t="s">
        <v>1922</v>
      </c>
      <c r="B1343" s="12" t="s">
        <v>1923</v>
      </c>
      <c r="C1343" s="13" t="s">
        <v>478</v>
      </c>
      <c r="D1343" s="17">
        <v>123.6</v>
      </c>
      <c r="E1343" s="5" t="s">
        <v>8</v>
      </c>
      <c r="F1343" s="6">
        <v>65.8</v>
      </c>
      <c r="G1343" s="7">
        <f t="shared" ref="G1343:G1348" si="170">(D1343-F1343)/F1343</f>
        <v>0.878419452887538</v>
      </c>
    </row>
    <row r="1344" spans="1:7">
      <c r="A1344" s="14" t="s">
        <v>1924</v>
      </c>
      <c r="B1344" s="12" t="s">
        <v>1925</v>
      </c>
      <c r="C1344" s="13" t="s">
        <v>478</v>
      </c>
      <c r="D1344" s="17">
        <v>172.6</v>
      </c>
      <c r="E1344" s="5" t="s">
        <v>8</v>
      </c>
      <c r="F1344" s="6">
        <v>85.95</v>
      </c>
      <c r="G1344" s="7">
        <f t="shared" si="170"/>
        <v>1.00814426992437</v>
      </c>
    </row>
    <row r="1345" ht="46.5" spans="1:7">
      <c r="A1345" s="18">
        <v>10.26</v>
      </c>
      <c r="B1345" s="15" t="s">
        <v>1926</v>
      </c>
      <c r="C1345" s="13"/>
      <c r="D1345" s="16"/>
      <c r="E1345" s="5" t="s">
        <v>8</v>
      </c>
    </row>
    <row r="1346" spans="1:7">
      <c r="A1346" s="14" t="s">
        <v>1927</v>
      </c>
      <c r="B1346" s="12" t="s">
        <v>1928</v>
      </c>
      <c r="C1346" s="13" t="s">
        <v>478</v>
      </c>
      <c r="D1346" s="17">
        <v>196.8</v>
      </c>
      <c r="E1346" s="5" t="s">
        <v>8</v>
      </c>
      <c r="F1346" s="6">
        <v>92</v>
      </c>
      <c r="G1346" s="7">
        <f t="shared" si="170"/>
        <v>1.13913043478261</v>
      </c>
    </row>
    <row r="1347" spans="1:7">
      <c r="A1347" s="14" t="s">
        <v>1929</v>
      </c>
      <c r="B1347" s="12" t="s">
        <v>1930</v>
      </c>
      <c r="C1347" s="13" t="s">
        <v>478</v>
      </c>
      <c r="D1347" s="17">
        <v>205.75</v>
      </c>
      <c r="E1347" s="5" t="s">
        <v>8</v>
      </c>
      <c r="F1347" s="6">
        <v>118.05</v>
      </c>
      <c r="G1347" s="7">
        <f t="shared" si="170"/>
        <v>0.7429055484964</v>
      </c>
    </row>
    <row r="1348" spans="1:7">
      <c r="A1348" s="14" t="s">
        <v>1931</v>
      </c>
      <c r="B1348" s="12" t="s">
        <v>1932</v>
      </c>
      <c r="C1348" s="13" t="s">
        <v>478</v>
      </c>
      <c r="D1348" s="17">
        <v>203.05</v>
      </c>
      <c r="E1348" s="5" t="s">
        <v>8</v>
      </c>
      <c r="F1348" s="6">
        <v>100.25</v>
      </c>
      <c r="G1348" s="7">
        <f t="shared" si="170"/>
        <v>1.02543640897756</v>
      </c>
    </row>
    <row r="1349" ht="62" spans="1:7">
      <c r="A1349" s="18">
        <v>10.27</v>
      </c>
      <c r="B1349" s="15" t="s">
        <v>1933</v>
      </c>
      <c r="C1349" s="13"/>
      <c r="D1349" s="16"/>
      <c r="E1349" s="5" t="s">
        <v>8</v>
      </c>
    </row>
    <row r="1350" spans="1:7">
      <c r="A1350" s="14" t="s">
        <v>1934</v>
      </c>
      <c r="B1350" s="12" t="s">
        <v>1935</v>
      </c>
      <c r="C1350" s="13" t="s">
        <v>126</v>
      </c>
      <c r="D1350" s="17">
        <v>131.1</v>
      </c>
      <c r="E1350" s="5" t="s">
        <v>8</v>
      </c>
      <c r="F1350" s="6">
        <v>70.1</v>
      </c>
      <c r="G1350" s="7">
        <f t="shared" ref="G1350:G1355" si="171">(D1350-F1350)/F1350</f>
        <v>0.87018544935806</v>
      </c>
    </row>
    <row r="1351" spans="1:7">
      <c r="A1351" s="14" t="s">
        <v>1936</v>
      </c>
      <c r="B1351" s="12" t="s">
        <v>1937</v>
      </c>
      <c r="C1351" s="13" t="s">
        <v>126</v>
      </c>
      <c r="D1351" s="17">
        <v>137.65</v>
      </c>
      <c r="E1351" s="5" t="s">
        <v>8</v>
      </c>
      <c r="F1351" s="6">
        <v>74.75</v>
      </c>
      <c r="G1351" s="7">
        <f t="shared" si="171"/>
        <v>0.841471571906355</v>
      </c>
    </row>
    <row r="1352" spans="1:7">
      <c r="A1352" s="14" t="s">
        <v>1938</v>
      </c>
      <c r="B1352" s="12" t="s">
        <v>1939</v>
      </c>
      <c r="C1352" s="13" t="s">
        <v>126</v>
      </c>
      <c r="D1352" s="17">
        <v>170.95</v>
      </c>
      <c r="E1352" s="5" t="s">
        <v>8</v>
      </c>
      <c r="F1352" s="6">
        <v>91.8</v>
      </c>
      <c r="G1352" s="7">
        <f t="shared" si="171"/>
        <v>0.862200435729847</v>
      </c>
    </row>
    <row r="1353" spans="1:7">
      <c r="A1353" s="14" t="s">
        <v>1940</v>
      </c>
      <c r="B1353" s="12" t="s">
        <v>1941</v>
      </c>
      <c r="C1353" s="13" t="s">
        <v>126</v>
      </c>
      <c r="D1353" s="17">
        <v>182.2</v>
      </c>
      <c r="E1353" s="5" t="s">
        <v>8</v>
      </c>
      <c r="F1353" s="6">
        <v>102.8</v>
      </c>
      <c r="G1353" s="7">
        <f t="shared" si="171"/>
        <v>0.772373540856031</v>
      </c>
    </row>
    <row r="1354" spans="1:7">
      <c r="A1354" s="14" t="s">
        <v>1942</v>
      </c>
      <c r="B1354" s="12" t="s">
        <v>1943</v>
      </c>
      <c r="C1354" s="13" t="s">
        <v>126</v>
      </c>
      <c r="D1354" s="17">
        <v>224.5</v>
      </c>
      <c r="E1354" s="5" t="s">
        <v>8</v>
      </c>
      <c r="F1354" s="6">
        <v>125.65</v>
      </c>
      <c r="G1354" s="7">
        <f t="shared" si="171"/>
        <v>0.786709112614405</v>
      </c>
    </row>
    <row r="1355" ht="124" spans="1:7">
      <c r="A1355" s="18">
        <v>10.28</v>
      </c>
      <c r="B1355" s="15" t="s">
        <v>1944</v>
      </c>
      <c r="C1355" s="13" t="s">
        <v>478</v>
      </c>
      <c r="D1355" s="17">
        <v>772.4</v>
      </c>
      <c r="E1355" s="5" t="s">
        <v>8</v>
      </c>
      <c r="F1355" s="6">
        <v>472.4</v>
      </c>
      <c r="G1355" s="7">
        <f t="shared" si="171"/>
        <v>0.635055038103302</v>
      </c>
    </row>
    <row r="1356" ht="31" spans="1:7">
      <c r="A1356" s="18">
        <v>10.29</v>
      </c>
      <c r="B1356" s="15" t="s">
        <v>1945</v>
      </c>
      <c r="C1356" s="13"/>
      <c r="D1356" s="16"/>
      <c r="E1356" s="5" t="s">
        <v>8</v>
      </c>
    </row>
    <row r="1357" spans="1:7">
      <c r="A1357" s="14" t="s">
        <v>1946</v>
      </c>
      <c r="B1357" s="12" t="s">
        <v>1947</v>
      </c>
      <c r="C1357" s="13" t="s">
        <v>11</v>
      </c>
      <c r="D1357" s="17">
        <v>844.7</v>
      </c>
      <c r="E1357" s="5" t="s">
        <v>8</v>
      </c>
      <c r="F1357" s="6">
        <v>544.45</v>
      </c>
      <c r="G1357" s="7">
        <f t="shared" ref="G1357:G1362" si="172">(D1357-F1357)/F1357</f>
        <v>0.551473964551382</v>
      </c>
    </row>
    <row r="1358" ht="31" spans="1:7">
      <c r="A1358" s="14" t="s">
        <v>1948</v>
      </c>
      <c r="B1358" s="12" t="s">
        <v>1949</v>
      </c>
      <c r="C1358" s="13" t="s">
        <v>11</v>
      </c>
      <c r="D1358" s="17">
        <v>1133.55</v>
      </c>
      <c r="E1358" s="5" t="s">
        <v>8</v>
      </c>
      <c r="F1358" s="6">
        <v>1041.55</v>
      </c>
      <c r="G1358" s="7">
        <f t="shared" si="172"/>
        <v>0.0883298929480102</v>
      </c>
    </row>
    <row r="1359" ht="31" spans="1:7">
      <c r="A1359" s="18">
        <v>10.3</v>
      </c>
      <c r="B1359" s="15" t="s">
        <v>1950</v>
      </c>
      <c r="C1359" s="13"/>
      <c r="D1359" s="16"/>
      <c r="E1359" s="5" t="s">
        <v>8</v>
      </c>
    </row>
    <row r="1360" spans="1:7">
      <c r="A1360" s="14" t="s">
        <v>1951</v>
      </c>
      <c r="B1360" s="12" t="s">
        <v>1952</v>
      </c>
      <c r="C1360" s="13" t="s">
        <v>11</v>
      </c>
      <c r="D1360" s="17">
        <v>1064.65</v>
      </c>
      <c r="E1360" s="5" t="s">
        <v>8</v>
      </c>
      <c r="F1360" s="6">
        <v>689.05</v>
      </c>
      <c r="G1360" s="7">
        <f t="shared" si="172"/>
        <v>0.545098323779116</v>
      </c>
    </row>
    <row r="1361" spans="1:7">
      <c r="A1361" s="14" t="s">
        <v>1953</v>
      </c>
      <c r="B1361" s="12" t="s">
        <v>1954</v>
      </c>
      <c r="C1361" s="13" t="s">
        <v>11</v>
      </c>
      <c r="D1361" s="17">
        <v>1390.15</v>
      </c>
      <c r="E1361" s="5" t="s">
        <v>8</v>
      </c>
      <c r="F1361" s="6">
        <v>949.7</v>
      </c>
      <c r="G1361" s="7">
        <f t="shared" si="172"/>
        <v>0.463778035169001</v>
      </c>
    </row>
    <row r="1362" ht="77.5" spans="1:7">
      <c r="A1362" s="18">
        <v>10.31</v>
      </c>
      <c r="B1362" s="15" t="s">
        <v>1955</v>
      </c>
      <c r="C1362" s="13" t="s">
        <v>478</v>
      </c>
      <c r="D1362" s="17">
        <v>130.5</v>
      </c>
      <c r="E1362" s="5" t="s">
        <v>8</v>
      </c>
      <c r="F1362" s="6">
        <v>66</v>
      </c>
      <c r="G1362" s="7">
        <f t="shared" si="172"/>
        <v>0.977272727272727</v>
      </c>
    </row>
    <row r="1363" spans="1:7">
      <c r="A1363" s="6"/>
      <c r="D1363" s="22"/>
    </row>
    <row r="1364" spans="1:7">
      <c r="A1364" s="6"/>
      <c r="D1364" s="22"/>
    </row>
    <row r="1365" spans="1:7">
      <c r="A1365" s="6"/>
      <c r="D1365" s="22"/>
    </row>
    <row r="1366" spans="1:7">
      <c r="A1366" s="5" t="s">
        <v>1956</v>
      </c>
      <c r="C1366" s="5"/>
      <c r="D1366" s="5"/>
    </row>
    <row r="1367" spans="1:7">
      <c r="A1367" s="14" t="s">
        <v>166</v>
      </c>
      <c r="B1367" s="15" t="s">
        <v>2</v>
      </c>
      <c r="C1367" s="13" t="s">
        <v>167</v>
      </c>
      <c r="D1367" s="16" t="s">
        <v>4</v>
      </c>
    </row>
    <row r="1368" ht="46.5" spans="1:7">
      <c r="A1368" s="14">
        <v>11.1</v>
      </c>
      <c r="B1368" s="15" t="s">
        <v>1957</v>
      </c>
      <c r="C1368" s="13"/>
      <c r="D1368" s="16"/>
    </row>
    <row r="1369" spans="1:7">
      <c r="A1369" s="14" t="s">
        <v>1958</v>
      </c>
      <c r="B1369" s="12" t="s">
        <v>1959</v>
      </c>
      <c r="C1369" s="13" t="s">
        <v>11</v>
      </c>
      <c r="D1369" s="17">
        <v>1006.95</v>
      </c>
      <c r="E1369" s="5" t="s">
        <v>8</v>
      </c>
      <c r="F1369" s="6">
        <v>675.95</v>
      </c>
      <c r="G1369" s="7">
        <f t="shared" ref="G1369:G1371" si="173">(D1369-F1369)/F1369</f>
        <v>0.489681189437088</v>
      </c>
    </row>
    <row r="1370" spans="1:7">
      <c r="A1370" s="14" t="s">
        <v>1960</v>
      </c>
      <c r="B1370" s="12" t="s">
        <v>1961</v>
      </c>
      <c r="C1370" s="13" t="s">
        <v>11</v>
      </c>
      <c r="D1370" s="17">
        <v>965.55</v>
      </c>
      <c r="E1370" s="5" t="s">
        <v>8</v>
      </c>
      <c r="F1370" s="6">
        <v>638</v>
      </c>
      <c r="G1370" s="7">
        <f t="shared" si="173"/>
        <v>0.513401253918495</v>
      </c>
    </row>
    <row r="1371" ht="46.5" spans="1:7">
      <c r="A1371" s="14">
        <v>11.2</v>
      </c>
      <c r="B1371" s="15" t="s">
        <v>1962</v>
      </c>
      <c r="C1371" s="13" t="s">
        <v>11</v>
      </c>
      <c r="D1371" s="17">
        <v>792.05</v>
      </c>
      <c r="E1371" s="5" t="s">
        <v>8</v>
      </c>
      <c r="F1371" s="6">
        <v>516</v>
      </c>
      <c r="G1371" s="7">
        <f t="shared" si="173"/>
        <v>0.534980620155039</v>
      </c>
    </row>
    <row r="1372" ht="46.5" spans="1:7">
      <c r="A1372" s="14">
        <v>11.3</v>
      </c>
      <c r="B1372" s="15" t="s">
        <v>1963</v>
      </c>
      <c r="C1372" s="13"/>
      <c r="D1372" s="16"/>
    </row>
    <row r="1373" spans="1:7">
      <c r="A1373" s="14" t="s">
        <v>1964</v>
      </c>
      <c r="B1373" s="12" t="s">
        <v>1965</v>
      </c>
      <c r="C1373" s="13" t="s">
        <v>11</v>
      </c>
      <c r="D1373" s="17">
        <v>614.2</v>
      </c>
      <c r="E1373" s="5" t="s">
        <v>8</v>
      </c>
      <c r="F1373" s="6">
        <v>362.6</v>
      </c>
      <c r="G1373" s="7">
        <f t="shared" ref="G1373:G1375" si="174">(D1373-F1373)/F1373</f>
        <v>0.693877551020408</v>
      </c>
    </row>
    <row r="1374" ht="108.5" spans="1:7">
      <c r="A1374" s="14">
        <v>11.4</v>
      </c>
      <c r="B1374" s="15" t="s">
        <v>1966</v>
      </c>
      <c r="C1374" s="13" t="s">
        <v>11</v>
      </c>
      <c r="D1374" s="17">
        <v>978.45</v>
      </c>
      <c r="E1374" s="5" t="s">
        <v>8</v>
      </c>
      <c r="F1374" s="6">
        <v>555.25</v>
      </c>
      <c r="G1374" s="7">
        <f t="shared" si="174"/>
        <v>0.762179198559208</v>
      </c>
    </row>
    <row r="1375" ht="93" spans="1:7">
      <c r="A1375" s="14">
        <v>11.5</v>
      </c>
      <c r="B1375" s="15" t="s">
        <v>1967</v>
      </c>
      <c r="C1375" s="13" t="s">
        <v>11</v>
      </c>
      <c r="D1375" s="17">
        <v>1056.15</v>
      </c>
      <c r="E1375" s="5" t="s">
        <v>8</v>
      </c>
      <c r="F1375" s="6">
        <v>609.05</v>
      </c>
      <c r="G1375" s="7">
        <f t="shared" si="174"/>
        <v>0.734094080945735</v>
      </c>
    </row>
    <row r="1376" ht="31" spans="1:7">
      <c r="A1376" s="14">
        <v>11.6</v>
      </c>
      <c r="B1376" s="15" t="s">
        <v>1968</v>
      </c>
      <c r="C1376" s="13"/>
      <c r="D1376" s="16"/>
      <c r="E1376" s="5" t="s">
        <v>8</v>
      </c>
    </row>
    <row r="1377" spans="1:7">
      <c r="A1377" s="14" t="s">
        <v>1969</v>
      </c>
      <c r="B1377" s="12" t="s">
        <v>1006</v>
      </c>
      <c r="C1377" s="13" t="s">
        <v>11</v>
      </c>
      <c r="D1377" s="17">
        <v>662.05</v>
      </c>
      <c r="E1377" s="5" t="s">
        <v>8</v>
      </c>
      <c r="F1377" s="6">
        <v>350.05</v>
      </c>
      <c r="G1377" s="7">
        <f t="shared" ref="G1377:G1379" si="175">(D1377-F1377)/F1377</f>
        <v>0.891301242679617</v>
      </c>
    </row>
    <row r="1378" ht="31" spans="1:7">
      <c r="A1378" s="14">
        <v>11.7</v>
      </c>
      <c r="B1378" s="15" t="s">
        <v>1970</v>
      </c>
      <c r="C1378" s="13" t="s">
        <v>14</v>
      </c>
      <c r="D1378" s="17">
        <v>8595.15</v>
      </c>
      <c r="E1378" s="11"/>
      <c r="F1378" s="6">
        <v>5804.35</v>
      </c>
      <c r="G1378" s="7">
        <f t="shared" si="175"/>
        <v>0.480811804939399</v>
      </c>
    </row>
    <row r="1379" ht="31" spans="1:7">
      <c r="A1379" s="14">
        <v>11.8</v>
      </c>
      <c r="B1379" s="15" t="s">
        <v>1971</v>
      </c>
      <c r="C1379" s="13" t="s">
        <v>11</v>
      </c>
      <c r="D1379" s="17">
        <v>83.85</v>
      </c>
      <c r="E1379" s="5" t="s">
        <v>8</v>
      </c>
      <c r="F1379" s="6">
        <v>36.85</v>
      </c>
      <c r="G1379" s="7">
        <f t="shared" si="175"/>
        <v>1.27544097693351</v>
      </c>
    </row>
    <row r="1380" spans="1:7">
      <c r="B1380" s="15" t="s">
        <v>1972</v>
      </c>
      <c r="D1380" s="22"/>
    </row>
    <row r="1381" ht="93" spans="1:7">
      <c r="A1381" s="14">
        <v>11.9</v>
      </c>
      <c r="B1381" s="15" t="s">
        <v>1973</v>
      </c>
      <c r="C1381" s="13"/>
      <c r="D1381" s="16"/>
    </row>
    <row r="1382" spans="1:7">
      <c r="A1382" s="14" t="s">
        <v>1974</v>
      </c>
      <c r="B1382" s="12" t="s">
        <v>1975</v>
      </c>
      <c r="C1382" s="13" t="s">
        <v>11</v>
      </c>
      <c r="D1382" s="17">
        <v>1065.75</v>
      </c>
      <c r="F1382" s="6">
        <v>616.8</v>
      </c>
      <c r="G1382" s="7">
        <f t="shared" ref="G1382:G1387" si="176">(D1382-F1382)/F1382</f>
        <v>0.727869649805448</v>
      </c>
    </row>
    <row r="1383" spans="1:7">
      <c r="A1383" s="14" t="s">
        <v>1976</v>
      </c>
      <c r="B1383" s="12" t="s">
        <v>1977</v>
      </c>
      <c r="C1383" s="13" t="s">
        <v>11</v>
      </c>
      <c r="D1383" s="17">
        <v>1092.5</v>
      </c>
      <c r="F1383" s="6">
        <v>642.65</v>
      </c>
      <c r="G1383" s="7">
        <f t="shared" si="176"/>
        <v>0.699992219715242</v>
      </c>
    </row>
    <row r="1384" spans="1:7">
      <c r="A1384" s="14" t="s">
        <v>1978</v>
      </c>
      <c r="B1384" s="12" t="s">
        <v>1979</v>
      </c>
      <c r="C1384" s="13" t="s">
        <v>11</v>
      </c>
      <c r="D1384" s="17">
        <v>1075.1</v>
      </c>
      <c r="F1384" s="6">
        <v>629.75</v>
      </c>
      <c r="G1384" s="7">
        <f t="shared" si="176"/>
        <v>0.707185391028186</v>
      </c>
    </row>
    <row r="1385" spans="1:7">
      <c r="A1385" s="14" t="s">
        <v>1980</v>
      </c>
      <c r="B1385" s="12" t="s">
        <v>1981</v>
      </c>
      <c r="C1385" s="13" t="s">
        <v>11</v>
      </c>
      <c r="D1385" s="17">
        <v>1067.5</v>
      </c>
      <c r="F1385" s="6">
        <v>618.1</v>
      </c>
      <c r="G1385" s="7">
        <f t="shared" si="176"/>
        <v>0.727066817667044</v>
      </c>
    </row>
    <row r="1386" spans="1:7">
      <c r="A1386" s="14" t="s">
        <v>1982</v>
      </c>
      <c r="B1386" s="12" t="s">
        <v>1983</v>
      </c>
      <c r="C1386" s="13" t="s">
        <v>11</v>
      </c>
      <c r="D1386" s="17">
        <v>1061.7</v>
      </c>
      <c r="F1386" s="6">
        <v>616.8</v>
      </c>
      <c r="G1386" s="7">
        <f t="shared" si="176"/>
        <v>0.721303501945526</v>
      </c>
    </row>
    <row r="1387" spans="1:7">
      <c r="A1387" s="14" t="s">
        <v>1984</v>
      </c>
      <c r="B1387" s="12" t="s">
        <v>1985</v>
      </c>
      <c r="C1387" s="13" t="s">
        <v>11</v>
      </c>
      <c r="D1387" s="17">
        <v>1034.25</v>
      </c>
      <c r="F1387" s="6">
        <v>588.9</v>
      </c>
      <c r="G1387" s="7">
        <f t="shared" si="176"/>
        <v>0.756240448293429</v>
      </c>
    </row>
    <row r="1388" ht="93" spans="1:7">
      <c r="A1388" s="34" t="s">
        <v>1986</v>
      </c>
      <c r="B1388" s="15" t="s">
        <v>1987</v>
      </c>
      <c r="C1388" s="13"/>
      <c r="D1388" s="17"/>
    </row>
    <row r="1389" spans="1:7">
      <c r="A1389" s="34" t="s">
        <v>1988</v>
      </c>
      <c r="B1389" s="15" t="s">
        <v>1989</v>
      </c>
      <c r="C1389" s="13" t="s">
        <v>11</v>
      </c>
      <c r="D1389" s="17">
        <v>1072.1</v>
      </c>
    </row>
    <row r="1390" spans="1:7">
      <c r="A1390" s="34" t="s">
        <v>1990</v>
      </c>
      <c r="B1390" s="15" t="s">
        <v>1977</v>
      </c>
      <c r="C1390" s="13" t="s">
        <v>11</v>
      </c>
      <c r="D1390" s="17">
        <v>1110.3</v>
      </c>
    </row>
    <row r="1391" spans="1:7">
      <c r="A1391" s="34" t="s">
        <v>1991</v>
      </c>
      <c r="B1391" s="15" t="s">
        <v>1979</v>
      </c>
      <c r="C1391" s="13" t="s">
        <v>11</v>
      </c>
      <c r="D1391" s="17">
        <v>1085.45</v>
      </c>
    </row>
    <row r="1392" spans="1:7">
      <c r="A1392" s="34" t="s">
        <v>1992</v>
      </c>
      <c r="B1392" s="15" t="s">
        <v>1981</v>
      </c>
      <c r="C1392" s="13" t="s">
        <v>11</v>
      </c>
      <c r="D1392" s="17">
        <v>1071.05</v>
      </c>
    </row>
    <row r="1393" spans="1:7">
      <c r="A1393" s="34" t="s">
        <v>1993</v>
      </c>
      <c r="B1393" s="15" t="s">
        <v>1983</v>
      </c>
      <c r="C1393" s="13" t="s">
        <v>11</v>
      </c>
      <c r="D1393" s="17">
        <v>1066.35</v>
      </c>
    </row>
    <row r="1394" spans="1:7">
      <c r="A1394" s="34" t="s">
        <v>1994</v>
      </c>
      <c r="B1394" s="15" t="s">
        <v>1985</v>
      </c>
      <c r="C1394" s="13" t="s">
        <v>11</v>
      </c>
      <c r="D1394" s="17">
        <v>1027.1</v>
      </c>
    </row>
    <row r="1395" ht="93" spans="1:7">
      <c r="A1395" s="34">
        <v>11.11</v>
      </c>
      <c r="B1395" s="15" t="s">
        <v>1995</v>
      </c>
      <c r="C1395" s="13"/>
      <c r="D1395" s="17"/>
    </row>
    <row r="1396" spans="1:7">
      <c r="A1396" s="34" t="s">
        <v>1996</v>
      </c>
      <c r="B1396" s="15" t="s">
        <v>1975</v>
      </c>
      <c r="C1396" s="13" t="s">
        <v>11</v>
      </c>
      <c r="D1396" s="17">
        <v>1110.75</v>
      </c>
    </row>
    <row r="1397" spans="1:7">
      <c r="A1397" s="34" t="s">
        <v>1997</v>
      </c>
      <c r="B1397" s="15" t="s">
        <v>1977</v>
      </c>
      <c r="C1397" s="13" t="s">
        <v>11</v>
      </c>
      <c r="D1397" s="17">
        <v>1164.25</v>
      </c>
    </row>
    <row r="1398" spans="1:7">
      <c r="A1398" s="34" t="s">
        <v>1998</v>
      </c>
      <c r="B1398" s="15" t="s">
        <v>1979</v>
      </c>
      <c r="C1398" s="13" t="s">
        <v>11</v>
      </c>
      <c r="D1398" s="17">
        <v>1129.45</v>
      </c>
    </row>
    <row r="1399" spans="1:7">
      <c r="A1399" s="34" t="s">
        <v>1999</v>
      </c>
      <c r="B1399" s="15" t="s">
        <v>1981</v>
      </c>
      <c r="C1399" s="13" t="s">
        <v>11</v>
      </c>
      <c r="D1399" s="17">
        <v>1109.85</v>
      </c>
    </row>
    <row r="1400" spans="1:7">
      <c r="A1400" s="34" t="s">
        <v>2000</v>
      </c>
      <c r="B1400" s="15" t="s">
        <v>1983</v>
      </c>
      <c r="C1400" s="13" t="s">
        <v>11</v>
      </c>
      <c r="D1400" s="17">
        <v>1102.7</v>
      </c>
    </row>
    <row r="1401" spans="1:7">
      <c r="A1401" s="34" t="s">
        <v>2001</v>
      </c>
      <c r="B1401" s="15" t="s">
        <v>1985</v>
      </c>
      <c r="C1401" s="13" t="s">
        <v>11</v>
      </c>
      <c r="D1401" s="17">
        <v>1048.25</v>
      </c>
    </row>
    <row r="1402" ht="77.5" spans="1:7">
      <c r="A1402" s="18">
        <v>11.12</v>
      </c>
      <c r="B1402" s="15" t="s">
        <v>2002</v>
      </c>
      <c r="C1402" s="13"/>
      <c r="D1402" s="16"/>
    </row>
    <row r="1403" ht="31" spans="1:7">
      <c r="A1403" s="14" t="s">
        <v>2003</v>
      </c>
      <c r="B1403" s="12" t="s">
        <v>2004</v>
      </c>
      <c r="C1403" s="13"/>
      <c r="D1403" s="16"/>
    </row>
    <row r="1404" spans="1:7">
      <c r="A1404" s="14" t="s">
        <v>2005</v>
      </c>
      <c r="B1404" s="12" t="s">
        <v>1975</v>
      </c>
      <c r="C1404" s="13" t="s">
        <v>11</v>
      </c>
      <c r="D1404" s="17">
        <v>1864.3</v>
      </c>
      <c r="F1404" s="6">
        <v>879.65</v>
      </c>
      <c r="G1404" s="7">
        <f t="shared" ref="G1404:G1409" si="177">(D1404-F1404)/F1404</f>
        <v>1.11936565679532</v>
      </c>
    </row>
    <row r="1405" spans="1:7">
      <c r="A1405" s="14" t="s">
        <v>2006</v>
      </c>
      <c r="B1405" s="12" t="s">
        <v>1977</v>
      </c>
      <c r="C1405" s="13" t="s">
        <v>11</v>
      </c>
      <c r="D1405" s="17">
        <v>1891.05</v>
      </c>
      <c r="F1405" s="6">
        <v>905.5</v>
      </c>
      <c r="G1405" s="7">
        <f t="shared" si="177"/>
        <v>1.08840419657648</v>
      </c>
    </row>
    <row r="1406" spans="1:7">
      <c r="A1406" s="14" t="s">
        <v>2007</v>
      </c>
      <c r="B1406" s="12" t="s">
        <v>1979</v>
      </c>
      <c r="C1406" s="13" t="s">
        <v>11</v>
      </c>
      <c r="D1406" s="17">
        <v>1873.65</v>
      </c>
      <c r="F1406" s="6">
        <v>892.6</v>
      </c>
      <c r="G1406" s="7">
        <f t="shared" si="177"/>
        <v>1.09909253865113</v>
      </c>
    </row>
    <row r="1407" spans="1:7">
      <c r="A1407" s="14" t="s">
        <v>2008</v>
      </c>
      <c r="B1407" s="12" t="s">
        <v>1981</v>
      </c>
      <c r="C1407" s="13" t="s">
        <v>11</v>
      </c>
      <c r="D1407" s="17">
        <v>1863.6</v>
      </c>
      <c r="F1407" s="6">
        <v>880.95</v>
      </c>
      <c r="G1407" s="7">
        <f t="shared" si="177"/>
        <v>1.11544355525285</v>
      </c>
    </row>
    <row r="1408" spans="1:7">
      <c r="A1408" s="14" t="s">
        <v>2009</v>
      </c>
      <c r="B1408" s="12" t="s">
        <v>1983</v>
      </c>
      <c r="C1408" s="13" t="s">
        <v>11</v>
      </c>
      <c r="D1408" s="17">
        <v>1860.25</v>
      </c>
      <c r="F1408" s="6">
        <v>879.65</v>
      </c>
      <c r="G1408" s="7">
        <f t="shared" si="177"/>
        <v>1.11476155289035</v>
      </c>
    </row>
    <row r="1409" spans="1:7">
      <c r="A1409" s="14" t="s">
        <v>2010</v>
      </c>
      <c r="B1409" s="12" t="s">
        <v>1985</v>
      </c>
      <c r="C1409" s="13" t="s">
        <v>11</v>
      </c>
      <c r="D1409" s="17">
        <v>1832.8</v>
      </c>
      <c r="F1409" s="6">
        <v>852.6</v>
      </c>
      <c r="G1409" s="7">
        <f t="shared" si="177"/>
        <v>1.14965986394558</v>
      </c>
    </row>
    <row r="1410" spans="1:7">
      <c r="A1410" s="18">
        <v>11.13</v>
      </c>
      <c r="B1410" s="15" t="s">
        <v>2011</v>
      </c>
      <c r="C1410" s="13"/>
      <c r="D1410" s="16"/>
      <c r="E1410" s="5" t="s">
        <v>8</v>
      </c>
    </row>
    <row r="1411" spans="1:7">
      <c r="A1411" s="14" t="s">
        <v>2012</v>
      </c>
      <c r="B1411" s="12" t="s">
        <v>2013</v>
      </c>
      <c r="C1411" s="13" t="s">
        <v>39</v>
      </c>
      <c r="D1411" s="17">
        <v>91.75</v>
      </c>
      <c r="E1411" s="5" t="s">
        <v>8</v>
      </c>
      <c r="F1411" s="6">
        <v>52.5</v>
      </c>
      <c r="G1411" s="7">
        <f t="shared" ref="G1411:G1414" si="178">(D1411-F1411)/F1411</f>
        <v>0.747619047619048</v>
      </c>
    </row>
    <row r="1412" ht="31" spans="1:7">
      <c r="A1412" s="18">
        <v>11.14</v>
      </c>
      <c r="B1412" s="15" t="s">
        <v>2014</v>
      </c>
      <c r="C1412" s="13" t="s">
        <v>11</v>
      </c>
      <c r="D1412" s="17">
        <v>97.65</v>
      </c>
      <c r="F1412" s="6">
        <v>41.25</v>
      </c>
      <c r="G1412" s="7">
        <f t="shared" si="178"/>
        <v>1.36727272727273</v>
      </c>
    </row>
    <row r="1413" ht="93" spans="1:7">
      <c r="A1413" s="18">
        <v>11.15</v>
      </c>
      <c r="B1413" s="15" t="s">
        <v>2015</v>
      </c>
      <c r="C1413" s="13"/>
      <c r="D1413" s="16"/>
      <c r="E1413" s="5" t="s">
        <v>8</v>
      </c>
    </row>
    <row r="1414" spans="1:7">
      <c r="A1414" s="14" t="s">
        <v>2016</v>
      </c>
      <c r="B1414" s="12" t="s">
        <v>2017</v>
      </c>
      <c r="C1414" s="13" t="s">
        <v>11</v>
      </c>
      <c r="D1414" s="17">
        <v>1714.8</v>
      </c>
      <c r="E1414" s="5" t="s">
        <v>8</v>
      </c>
      <c r="F1414" s="6">
        <v>948.85</v>
      </c>
      <c r="G1414" s="7">
        <f t="shared" si="178"/>
        <v>0.8072403435738</v>
      </c>
    </row>
    <row r="1415" spans="1:7">
      <c r="A1415" s="14"/>
      <c r="B1415" s="15" t="s">
        <v>2018</v>
      </c>
      <c r="C1415" s="13"/>
      <c r="D1415" s="16"/>
    </row>
    <row r="1416" ht="62" spans="1:7">
      <c r="A1416" s="18">
        <v>11.16</v>
      </c>
      <c r="B1416" s="15" t="s">
        <v>2019</v>
      </c>
      <c r="C1416" s="13"/>
      <c r="D1416" s="16"/>
      <c r="E1416" s="11"/>
    </row>
    <row r="1417" spans="1:7">
      <c r="A1417" s="14" t="s">
        <v>2020</v>
      </c>
      <c r="B1417" s="12" t="s">
        <v>2021</v>
      </c>
      <c r="C1417" s="13" t="s">
        <v>11</v>
      </c>
      <c r="D1417" s="17">
        <v>1549.45</v>
      </c>
      <c r="E1417" s="5" t="s">
        <v>8</v>
      </c>
      <c r="F1417" s="6">
        <v>952.35</v>
      </c>
      <c r="G1417" s="7">
        <f t="shared" ref="G1417:G1421" si="179">(D1417-F1417)/F1417</f>
        <v>0.626975376699743</v>
      </c>
    </row>
    <row r="1418" spans="1:7">
      <c r="A1418" s="14" t="s">
        <v>2022</v>
      </c>
      <c r="B1418" s="12" t="s">
        <v>2023</v>
      </c>
      <c r="C1418" s="13" t="s">
        <v>11</v>
      </c>
      <c r="D1418" s="17">
        <v>1507.1</v>
      </c>
    </row>
    <row r="1419" spans="1:7">
      <c r="A1419" s="14" t="s">
        <v>2024</v>
      </c>
      <c r="B1419" s="12" t="s">
        <v>2025</v>
      </c>
      <c r="C1419" s="13" t="s">
        <v>11</v>
      </c>
      <c r="D1419" s="17">
        <v>1450</v>
      </c>
    </row>
    <row r="1420" spans="1:7">
      <c r="A1420" s="14" t="s">
        <v>2026</v>
      </c>
      <c r="B1420" s="12" t="s">
        <v>1985</v>
      </c>
      <c r="C1420" s="13" t="s">
        <v>11</v>
      </c>
      <c r="D1420" s="17">
        <v>1386.8</v>
      </c>
      <c r="E1420" s="5" t="s">
        <v>8</v>
      </c>
      <c r="F1420" s="6">
        <v>818.15</v>
      </c>
      <c r="G1420" s="7">
        <f t="shared" si="179"/>
        <v>0.695043696143739</v>
      </c>
    </row>
    <row r="1421" spans="1:7">
      <c r="A1421" s="18">
        <v>11.17</v>
      </c>
      <c r="B1421" s="15" t="s">
        <v>2027</v>
      </c>
      <c r="C1421" s="13" t="s">
        <v>11</v>
      </c>
      <c r="D1421" s="17">
        <v>124.05</v>
      </c>
      <c r="F1421" s="6">
        <v>51.55</v>
      </c>
      <c r="G1421" s="7">
        <f t="shared" si="179"/>
        <v>1.40640155189137</v>
      </c>
    </row>
    <row r="1422" ht="62" spans="1:7">
      <c r="A1422" s="18">
        <v>11.18</v>
      </c>
      <c r="B1422" s="15" t="s">
        <v>2028</v>
      </c>
      <c r="C1422" s="13"/>
      <c r="D1422" s="16"/>
      <c r="E1422" s="5" t="s">
        <v>8</v>
      </c>
    </row>
    <row r="1423" spans="1:7">
      <c r="A1423" s="14" t="s">
        <v>2029</v>
      </c>
      <c r="B1423" s="12" t="s">
        <v>2021</v>
      </c>
      <c r="C1423" s="13" t="s">
        <v>11</v>
      </c>
      <c r="D1423" s="17">
        <v>2422.8</v>
      </c>
      <c r="E1423" s="11"/>
      <c r="F1423" s="6">
        <v>1280.5</v>
      </c>
      <c r="G1423" s="7">
        <f t="shared" ref="G1423:G1426" si="180">(D1423-F1423)/F1423</f>
        <v>0.892073408824678</v>
      </c>
    </row>
    <row r="1424" spans="1:7">
      <c r="A1424" s="14" t="s">
        <v>2030</v>
      </c>
      <c r="B1424" s="12" t="s">
        <v>2031</v>
      </c>
      <c r="C1424" s="13" t="s">
        <v>11</v>
      </c>
      <c r="D1424" s="17">
        <v>2370.95</v>
      </c>
      <c r="F1424" s="6">
        <v>1233.85</v>
      </c>
      <c r="G1424" s="7">
        <f t="shared" si="180"/>
        <v>0.921586902783969</v>
      </c>
    </row>
    <row r="1425" spans="1:7">
      <c r="A1425" s="14" t="s">
        <v>2032</v>
      </c>
      <c r="B1425" s="12" t="s">
        <v>2025</v>
      </c>
      <c r="C1425" s="13" t="s">
        <v>11</v>
      </c>
      <c r="D1425" s="17">
        <v>2308.75</v>
      </c>
      <c r="E1425" s="11"/>
      <c r="F1425" s="6">
        <v>1187.25</v>
      </c>
      <c r="G1425" s="7">
        <f t="shared" si="180"/>
        <v>0.944619919983154</v>
      </c>
    </row>
    <row r="1426" spans="1:7">
      <c r="A1426" s="14" t="s">
        <v>2033</v>
      </c>
      <c r="B1426" s="12" t="s">
        <v>1985</v>
      </c>
      <c r="C1426" s="13" t="s">
        <v>11</v>
      </c>
      <c r="D1426" s="17">
        <v>2229.15</v>
      </c>
      <c r="E1426" s="11"/>
      <c r="F1426" s="6">
        <v>1117.9</v>
      </c>
      <c r="G1426" s="7">
        <f t="shared" si="180"/>
        <v>0.994051346274264</v>
      </c>
    </row>
    <row r="1427" ht="62" spans="1:7">
      <c r="A1427" s="18">
        <v>11.19</v>
      </c>
      <c r="B1427" s="15" t="s">
        <v>2034</v>
      </c>
      <c r="C1427" s="13"/>
      <c r="D1427" s="16"/>
    </row>
    <row r="1428" spans="1:7">
      <c r="A1428" s="14" t="s">
        <v>2035</v>
      </c>
      <c r="B1428" s="12" t="s">
        <v>2021</v>
      </c>
      <c r="C1428" s="13" t="s">
        <v>11</v>
      </c>
      <c r="D1428" s="17">
        <v>1533.8</v>
      </c>
      <c r="E1428" s="5" t="s">
        <v>8</v>
      </c>
      <c r="F1428" s="6">
        <v>939.6</v>
      </c>
      <c r="G1428" s="7">
        <f t="shared" ref="G1428:G1431" si="181">(D1428-F1428)/F1428</f>
        <v>0.632396764580673</v>
      </c>
    </row>
    <row r="1429" spans="1:7">
      <c r="A1429" s="14" t="s">
        <v>2036</v>
      </c>
      <c r="B1429" s="12" t="s">
        <v>2037</v>
      </c>
      <c r="C1429" s="13" t="s">
        <v>11</v>
      </c>
      <c r="D1429" s="17">
        <v>1483.6</v>
      </c>
      <c r="F1429" s="6">
        <v>957.5</v>
      </c>
      <c r="G1429" s="7">
        <f t="shared" si="181"/>
        <v>0.549451697127937</v>
      </c>
    </row>
    <row r="1430" spans="1:7">
      <c r="A1430" s="14" t="s">
        <v>2038</v>
      </c>
      <c r="B1430" s="12" t="s">
        <v>2025</v>
      </c>
      <c r="C1430" s="13" t="s">
        <v>11</v>
      </c>
      <c r="D1430" s="17">
        <v>1442.15</v>
      </c>
      <c r="E1430" s="5" t="s">
        <v>8</v>
      </c>
      <c r="F1430" s="6">
        <v>892.3</v>
      </c>
      <c r="G1430" s="7">
        <f t="shared" si="181"/>
        <v>0.616216519107924</v>
      </c>
    </row>
    <row r="1431" spans="1:7">
      <c r="A1431" s="14" t="s">
        <v>2039</v>
      </c>
      <c r="B1431" s="12" t="s">
        <v>1985</v>
      </c>
      <c r="C1431" s="13" t="s">
        <v>11</v>
      </c>
      <c r="D1431" s="17">
        <v>1379</v>
      </c>
      <c r="E1431" s="5" t="s">
        <v>8</v>
      </c>
      <c r="F1431" s="6">
        <v>837.45</v>
      </c>
      <c r="G1431" s="7">
        <f t="shared" si="181"/>
        <v>0.646665472565526</v>
      </c>
    </row>
    <row r="1432" ht="62" spans="1:7">
      <c r="A1432" s="18">
        <v>11.2</v>
      </c>
      <c r="B1432" s="15" t="s">
        <v>2040</v>
      </c>
      <c r="C1432" s="13"/>
      <c r="D1432" s="16"/>
    </row>
    <row r="1433" spans="1:7">
      <c r="A1433" s="14" t="s">
        <v>2041</v>
      </c>
      <c r="B1433" s="12" t="s">
        <v>2021</v>
      </c>
      <c r="C1433" s="13" t="s">
        <v>11</v>
      </c>
      <c r="D1433" s="17">
        <v>1402</v>
      </c>
      <c r="E1433" s="5" t="s">
        <v>8</v>
      </c>
      <c r="F1433" s="6">
        <v>906.75</v>
      </c>
      <c r="G1433" s="7">
        <f t="shared" ref="G1433:G1436" si="182">(D1433-F1433)/F1433</f>
        <v>0.546181417149159</v>
      </c>
    </row>
    <row r="1434" spans="1:7">
      <c r="A1434" s="14" t="s">
        <v>2042</v>
      </c>
      <c r="B1434" s="12" t="s">
        <v>2043</v>
      </c>
      <c r="C1434" s="13" t="s">
        <v>11</v>
      </c>
      <c r="D1434" s="17">
        <v>1328.35</v>
      </c>
      <c r="F1434" s="6">
        <v>878.6</v>
      </c>
      <c r="G1434" s="7">
        <f t="shared" si="182"/>
        <v>0.511893922148873</v>
      </c>
    </row>
    <row r="1435" spans="1:7">
      <c r="A1435" s="14" t="s">
        <v>2044</v>
      </c>
      <c r="B1435" s="12" t="s">
        <v>2025</v>
      </c>
      <c r="C1435" s="13" t="s">
        <v>11</v>
      </c>
      <c r="D1435" s="17">
        <v>1119.5</v>
      </c>
      <c r="E1435" s="5" t="s">
        <v>8</v>
      </c>
      <c r="F1435" s="6">
        <v>716.35</v>
      </c>
      <c r="G1435" s="7">
        <f t="shared" si="182"/>
        <v>0.562783555524534</v>
      </c>
    </row>
    <row r="1436" spans="1:7">
      <c r="A1436" s="14" t="s">
        <v>2045</v>
      </c>
      <c r="B1436" s="12" t="s">
        <v>1985</v>
      </c>
      <c r="C1436" s="13" t="s">
        <v>11</v>
      </c>
      <c r="D1436" s="17">
        <v>1056.35</v>
      </c>
      <c r="E1436" s="5" t="s">
        <v>8</v>
      </c>
      <c r="F1436" s="6">
        <v>661.35</v>
      </c>
      <c r="G1436" s="7">
        <f t="shared" si="182"/>
        <v>0.597263173811144</v>
      </c>
    </row>
    <row r="1437" ht="62" spans="1:7">
      <c r="A1437" s="18">
        <v>11.21</v>
      </c>
      <c r="B1437" s="15" t="s">
        <v>2046</v>
      </c>
      <c r="C1437" s="13"/>
      <c r="D1437" s="16"/>
      <c r="E1437" s="5" t="s">
        <v>8</v>
      </c>
    </row>
    <row r="1438" spans="1:7">
      <c r="A1438" s="14" t="s">
        <v>2047</v>
      </c>
      <c r="B1438" s="12" t="s">
        <v>2048</v>
      </c>
      <c r="C1438" s="13"/>
      <c r="D1438" s="16"/>
      <c r="E1438" s="11"/>
    </row>
    <row r="1439" spans="1:7">
      <c r="A1439" s="14" t="s">
        <v>2049</v>
      </c>
      <c r="B1439" s="12" t="s">
        <v>2050</v>
      </c>
      <c r="C1439" s="13" t="s">
        <v>11</v>
      </c>
      <c r="D1439" s="17">
        <v>1739.9</v>
      </c>
      <c r="F1439" s="6">
        <v>1073.35</v>
      </c>
      <c r="G1439" s="7">
        <f t="shared" ref="G1439:G1444" si="183">(D1439-F1439)/F1439</f>
        <v>0.620999673918107</v>
      </c>
    </row>
    <row r="1440" spans="1:7">
      <c r="A1440" s="14" t="s">
        <v>2051</v>
      </c>
      <c r="B1440" s="12" t="s">
        <v>2052</v>
      </c>
      <c r="C1440" s="13"/>
      <c r="D1440" s="16"/>
    </row>
    <row r="1441" spans="1:7">
      <c r="A1441" s="14" t="s">
        <v>2053</v>
      </c>
      <c r="B1441" s="12" t="s">
        <v>2050</v>
      </c>
      <c r="C1441" s="13" t="s">
        <v>11</v>
      </c>
      <c r="D1441" s="17">
        <v>1886.65</v>
      </c>
      <c r="E1441" s="5" t="s">
        <v>8</v>
      </c>
      <c r="F1441" s="6">
        <v>1143.6</v>
      </c>
      <c r="G1441" s="7">
        <f t="shared" si="183"/>
        <v>0.64974641483036</v>
      </c>
    </row>
    <row r="1442" ht="62" spans="1:7">
      <c r="A1442" s="18">
        <v>11.22</v>
      </c>
      <c r="B1442" s="15" t="s">
        <v>2054</v>
      </c>
      <c r="C1442" s="13"/>
      <c r="D1442" s="16"/>
      <c r="E1442" s="5" t="s">
        <v>8</v>
      </c>
    </row>
    <row r="1443" spans="1:7">
      <c r="A1443" s="14" t="s">
        <v>2055</v>
      </c>
      <c r="B1443" s="12" t="s">
        <v>2056</v>
      </c>
      <c r="C1443" s="13"/>
      <c r="D1443" s="16"/>
      <c r="E1443" s="36"/>
    </row>
    <row r="1444" spans="1:7">
      <c r="A1444" s="14" t="s">
        <v>2057</v>
      </c>
      <c r="B1444" s="12" t="s">
        <v>2058</v>
      </c>
      <c r="C1444" s="13" t="s">
        <v>11</v>
      </c>
      <c r="D1444" s="17">
        <v>1475.35</v>
      </c>
      <c r="F1444" s="6">
        <v>909.7</v>
      </c>
      <c r="G1444" s="7">
        <f t="shared" si="183"/>
        <v>0.621798395075299</v>
      </c>
    </row>
    <row r="1445" spans="1:7">
      <c r="A1445" s="14"/>
      <c r="B1445" s="15" t="s">
        <v>2059</v>
      </c>
      <c r="C1445" s="13"/>
      <c r="D1445" s="17"/>
    </row>
    <row r="1446" ht="62" spans="1:7">
      <c r="A1446" s="18">
        <v>11.23</v>
      </c>
      <c r="B1446" s="15" t="s">
        <v>2060</v>
      </c>
      <c r="C1446" s="13"/>
      <c r="D1446" s="16"/>
      <c r="E1446" s="11"/>
    </row>
    <row r="1447" spans="1:7">
      <c r="A1447" s="14" t="s">
        <v>2061</v>
      </c>
      <c r="B1447" s="12" t="s">
        <v>2062</v>
      </c>
      <c r="C1447" s="13" t="s">
        <v>11</v>
      </c>
      <c r="D1447" s="17">
        <v>3737.45</v>
      </c>
      <c r="F1447" s="6">
        <v>2724.75</v>
      </c>
      <c r="G1447" s="7">
        <f t="shared" ref="G1447:G1454" si="184">(D1447-F1447)/F1447</f>
        <v>0.371667125424351</v>
      </c>
    </row>
    <row r="1448" spans="1:7">
      <c r="A1448" s="14" t="s">
        <v>2063</v>
      </c>
      <c r="B1448" s="12" t="s">
        <v>2064</v>
      </c>
      <c r="C1448" s="13" t="s">
        <v>11</v>
      </c>
      <c r="D1448" s="17">
        <v>2346.8</v>
      </c>
      <c r="E1448" s="5" t="s">
        <v>8</v>
      </c>
      <c r="F1448" s="6">
        <v>1522.6</v>
      </c>
      <c r="G1448" s="7">
        <f t="shared" si="184"/>
        <v>0.54131091553921</v>
      </c>
    </row>
    <row r="1449" spans="1:7">
      <c r="A1449" s="14" t="s">
        <v>2065</v>
      </c>
      <c r="B1449" s="12" t="s">
        <v>2066</v>
      </c>
      <c r="C1449" s="13" t="s">
        <v>11</v>
      </c>
      <c r="D1449" s="17">
        <v>3164.8</v>
      </c>
      <c r="E1449" s="5" t="s">
        <v>8</v>
      </c>
      <c r="F1449" s="6">
        <v>2190.5</v>
      </c>
      <c r="G1449" s="7">
        <f t="shared" si="184"/>
        <v>0.444784295822872</v>
      </c>
    </row>
    <row r="1450" spans="1:7">
      <c r="A1450" s="14" t="s">
        <v>2067</v>
      </c>
      <c r="B1450" s="12" t="s">
        <v>2068</v>
      </c>
      <c r="C1450" s="13" t="s">
        <v>11</v>
      </c>
      <c r="D1450" s="17">
        <v>3001.2</v>
      </c>
      <c r="E1450" s="5" t="s">
        <v>8</v>
      </c>
      <c r="F1450" s="6">
        <v>1389.05</v>
      </c>
      <c r="G1450" s="7">
        <f t="shared" si="184"/>
        <v>1.16061336884921</v>
      </c>
    </row>
    <row r="1451" spans="1:7">
      <c r="A1451" s="14" t="s">
        <v>2069</v>
      </c>
      <c r="B1451" s="12" t="s">
        <v>2070</v>
      </c>
      <c r="C1451" s="13" t="s">
        <v>11</v>
      </c>
      <c r="D1451" s="17">
        <v>2428.6</v>
      </c>
      <c r="E1451" s="5" t="s">
        <v>8</v>
      </c>
      <c r="F1451" s="6">
        <v>1589.4</v>
      </c>
      <c r="G1451" s="7">
        <f t="shared" si="184"/>
        <v>0.527997986661633</v>
      </c>
    </row>
    <row r="1452" spans="1:7">
      <c r="A1452" s="14" t="s">
        <v>2071</v>
      </c>
      <c r="B1452" s="12" t="s">
        <v>2072</v>
      </c>
      <c r="C1452" s="13" t="s">
        <v>11</v>
      </c>
      <c r="D1452" s="17">
        <v>2510.4</v>
      </c>
      <c r="E1452" s="5" t="s">
        <v>8</v>
      </c>
      <c r="F1452" s="6">
        <v>1625.45</v>
      </c>
      <c r="G1452" s="7">
        <f t="shared" si="184"/>
        <v>0.544433849087945</v>
      </c>
    </row>
    <row r="1453" spans="1:7">
      <c r="A1453" s="18">
        <v>11.24</v>
      </c>
      <c r="B1453" s="15" t="s">
        <v>2073</v>
      </c>
      <c r="C1453" s="13" t="s">
        <v>39</v>
      </c>
      <c r="D1453" s="17">
        <v>719.9</v>
      </c>
      <c r="E1453" s="5" t="s">
        <v>8</v>
      </c>
      <c r="F1453" s="6">
        <v>306.25</v>
      </c>
      <c r="G1453" s="7">
        <f t="shared" si="184"/>
        <v>1.35069387755102</v>
      </c>
    </row>
    <row r="1454" ht="31" spans="1:7">
      <c r="A1454" s="18">
        <v>11.25</v>
      </c>
      <c r="B1454" s="15" t="s">
        <v>2074</v>
      </c>
      <c r="C1454" s="13" t="s">
        <v>11</v>
      </c>
      <c r="D1454" s="17">
        <v>851.8</v>
      </c>
      <c r="F1454" s="6">
        <v>357.95</v>
      </c>
      <c r="G1454" s="7">
        <f t="shared" si="184"/>
        <v>1.37966196396145</v>
      </c>
    </row>
    <row r="1455" spans="1:7">
      <c r="A1455" s="18"/>
      <c r="B1455" s="15" t="s">
        <v>2075</v>
      </c>
      <c r="C1455" s="13"/>
      <c r="D1455" s="17"/>
    </row>
    <row r="1456" ht="46.5" spans="1:7">
      <c r="A1456" s="18">
        <v>11.26</v>
      </c>
      <c r="B1456" s="15" t="s">
        <v>2076</v>
      </c>
      <c r="C1456" s="13"/>
      <c r="D1456" s="16"/>
      <c r="E1456" s="11"/>
    </row>
    <row r="1457" spans="1:7">
      <c r="A1457" s="14" t="s">
        <v>2077</v>
      </c>
      <c r="B1457" s="12" t="s">
        <v>465</v>
      </c>
      <c r="C1457" s="13" t="s">
        <v>11</v>
      </c>
      <c r="D1457" s="17">
        <v>1948.25</v>
      </c>
      <c r="E1457" s="5" t="s">
        <v>8</v>
      </c>
      <c r="F1457" s="6">
        <v>1158.1</v>
      </c>
      <c r="G1457" s="7">
        <f t="shared" ref="G1457:G1462" si="185">(D1457-F1457)/F1457</f>
        <v>0.682281322856403</v>
      </c>
    </row>
    <row r="1458" ht="62" spans="1:7">
      <c r="A1458" s="18">
        <v>11.27</v>
      </c>
      <c r="B1458" s="15" t="s">
        <v>2078</v>
      </c>
      <c r="C1458" s="13" t="s">
        <v>11</v>
      </c>
      <c r="D1458" s="17">
        <v>2354.7</v>
      </c>
      <c r="E1458" s="11"/>
    </row>
    <row r="1459" spans="1:7">
      <c r="A1459" s="14"/>
      <c r="B1459" s="15" t="s">
        <v>2079</v>
      </c>
      <c r="C1459" s="13"/>
      <c r="D1459" s="16"/>
    </row>
    <row r="1460" ht="31" spans="1:7">
      <c r="A1460" s="18">
        <v>11.28</v>
      </c>
      <c r="B1460" s="15" t="s">
        <v>2080</v>
      </c>
      <c r="C1460" s="13"/>
      <c r="D1460" s="16"/>
      <c r="E1460" s="11"/>
    </row>
    <row r="1461" spans="1:7">
      <c r="A1461" s="14" t="s">
        <v>2081</v>
      </c>
      <c r="B1461" s="12" t="s">
        <v>757</v>
      </c>
      <c r="C1461" s="13" t="s">
        <v>11</v>
      </c>
      <c r="D1461" s="17">
        <v>1280.1</v>
      </c>
      <c r="E1461" s="5" t="s">
        <v>8</v>
      </c>
      <c r="F1461" s="6">
        <v>631.7</v>
      </c>
      <c r="G1461" s="7">
        <f t="shared" si="185"/>
        <v>1.02643659965173</v>
      </c>
    </row>
    <row r="1462" spans="1:7">
      <c r="A1462" s="14" t="s">
        <v>2082</v>
      </c>
      <c r="B1462" s="12" t="s">
        <v>759</v>
      </c>
      <c r="C1462" s="13" t="s">
        <v>11</v>
      </c>
      <c r="D1462" s="17">
        <v>1342.65</v>
      </c>
      <c r="E1462" s="5" t="s">
        <v>8</v>
      </c>
      <c r="F1462" s="6">
        <v>631.7</v>
      </c>
      <c r="G1462" s="7">
        <f t="shared" si="185"/>
        <v>1.12545512110179</v>
      </c>
    </row>
    <row r="1463" ht="46.5" spans="1:7">
      <c r="A1463" s="18">
        <v>11.29</v>
      </c>
      <c r="B1463" s="15" t="s">
        <v>2083</v>
      </c>
      <c r="C1463" s="13"/>
      <c r="D1463" s="16"/>
    </row>
    <row r="1464" spans="1:7">
      <c r="A1464" s="14" t="s">
        <v>2084</v>
      </c>
      <c r="B1464" s="12" t="s">
        <v>757</v>
      </c>
      <c r="C1464" s="13" t="s">
        <v>11</v>
      </c>
      <c r="D1464" s="17">
        <v>1526.05</v>
      </c>
      <c r="F1464" s="6">
        <v>743.7</v>
      </c>
      <c r="G1464" s="7">
        <f t="shared" ref="G1464:G1470" si="186">(D1464-F1464)/F1464</f>
        <v>1.05196988032809</v>
      </c>
    </row>
    <row r="1465" spans="1:7">
      <c r="A1465" s="14" t="s">
        <v>2085</v>
      </c>
      <c r="B1465" s="12" t="s">
        <v>759</v>
      </c>
      <c r="C1465" s="13" t="s">
        <v>11</v>
      </c>
      <c r="D1465" s="17">
        <v>1588.65</v>
      </c>
      <c r="F1465" s="6">
        <v>743.7</v>
      </c>
      <c r="G1465" s="7">
        <f t="shared" si="186"/>
        <v>1.13614360629286</v>
      </c>
    </row>
    <row r="1466" ht="62" spans="1:7">
      <c r="A1466" s="18">
        <v>11.3</v>
      </c>
      <c r="B1466" s="15" t="s">
        <v>2086</v>
      </c>
      <c r="C1466" s="13"/>
      <c r="D1466" s="16"/>
      <c r="E1466" s="11"/>
    </row>
    <row r="1467" spans="1:7">
      <c r="A1467" s="14" t="s">
        <v>2087</v>
      </c>
      <c r="B1467" s="12" t="s">
        <v>757</v>
      </c>
      <c r="C1467" s="13" t="s">
        <v>11</v>
      </c>
      <c r="D1467" s="17">
        <v>1647</v>
      </c>
      <c r="E1467" s="5" t="s">
        <v>8</v>
      </c>
      <c r="F1467" s="6">
        <v>813.1</v>
      </c>
      <c r="G1467" s="7">
        <f t="shared" si="186"/>
        <v>1.02558110933465</v>
      </c>
    </row>
    <row r="1468" spans="1:7">
      <c r="A1468" s="14" t="s">
        <v>2088</v>
      </c>
      <c r="B1468" s="12" t="s">
        <v>759</v>
      </c>
      <c r="C1468" s="13" t="s">
        <v>11</v>
      </c>
      <c r="D1468" s="17">
        <v>1709.6</v>
      </c>
      <c r="E1468" s="5" t="s">
        <v>8</v>
      </c>
      <c r="F1468" s="6">
        <v>813.1</v>
      </c>
      <c r="G1468" s="7">
        <f t="shared" si="186"/>
        <v>1.10257040954372</v>
      </c>
    </row>
    <row r="1469" spans="1:7">
      <c r="A1469" s="18">
        <v>11.31</v>
      </c>
      <c r="B1469" s="15" t="s">
        <v>2089</v>
      </c>
      <c r="C1469" s="13" t="s">
        <v>39</v>
      </c>
      <c r="D1469" s="17">
        <v>191.4</v>
      </c>
      <c r="E1469" s="5" t="s">
        <v>8</v>
      </c>
      <c r="F1469" s="6">
        <v>84.85</v>
      </c>
      <c r="G1469" s="7">
        <f t="shared" si="186"/>
        <v>1.25574543311727</v>
      </c>
    </row>
    <row r="1470" ht="31" spans="1:7">
      <c r="A1470" s="18">
        <v>11.32</v>
      </c>
      <c r="B1470" s="15" t="s">
        <v>2090</v>
      </c>
      <c r="C1470" s="13" t="s">
        <v>11</v>
      </c>
      <c r="D1470" s="17">
        <v>44.15</v>
      </c>
      <c r="E1470" s="5" t="s">
        <v>8</v>
      </c>
      <c r="F1470" s="6">
        <v>18.95</v>
      </c>
      <c r="G1470" s="7">
        <f t="shared" si="186"/>
        <v>1.32981530343008</v>
      </c>
    </row>
    <row r="1471" spans="1:7">
      <c r="A1471" s="18"/>
      <c r="B1471" s="15" t="s">
        <v>2091</v>
      </c>
      <c r="C1471" s="13"/>
      <c r="D1471" s="17"/>
    </row>
    <row r="1472" ht="31" spans="1:7">
      <c r="A1472" s="18">
        <v>11.33</v>
      </c>
      <c r="B1472" s="15" t="s">
        <v>2092</v>
      </c>
      <c r="C1472" s="13"/>
      <c r="D1472" s="16"/>
    </row>
    <row r="1473" spans="1:7">
      <c r="A1473" s="14" t="s">
        <v>2093</v>
      </c>
      <c r="B1473" s="12" t="s">
        <v>1033</v>
      </c>
      <c r="C1473" s="13" t="s">
        <v>11</v>
      </c>
      <c r="D1473" s="17">
        <v>4508.95</v>
      </c>
      <c r="E1473" s="5" t="s">
        <v>8</v>
      </c>
      <c r="F1473" s="6">
        <v>3094.5</v>
      </c>
      <c r="G1473" s="7">
        <f t="shared" ref="G1473:G1476" si="187">(D1473-F1473)/F1473</f>
        <v>0.457085151074487</v>
      </c>
    </row>
    <row r="1474" spans="1:7">
      <c r="A1474" s="14" t="s">
        <v>2094</v>
      </c>
      <c r="B1474" s="12" t="s">
        <v>2095</v>
      </c>
      <c r="C1474" s="13" t="s">
        <v>11</v>
      </c>
      <c r="D1474" s="17">
        <v>3029.75</v>
      </c>
      <c r="E1474" s="5" t="s">
        <v>8</v>
      </c>
      <c r="F1474" s="6">
        <v>2307.8</v>
      </c>
      <c r="G1474" s="7">
        <f t="shared" si="187"/>
        <v>0.312830401247942</v>
      </c>
    </row>
    <row r="1475" ht="77.5" spans="1:7">
      <c r="A1475" s="18">
        <v>11.34</v>
      </c>
      <c r="B1475" s="15" t="s">
        <v>2096</v>
      </c>
      <c r="C1475" s="13" t="s">
        <v>11</v>
      </c>
      <c r="D1475" s="17">
        <v>12020.45</v>
      </c>
      <c r="E1475" s="11"/>
      <c r="F1475" s="6">
        <v>7266.95</v>
      </c>
      <c r="G1475" s="7">
        <f t="shared" si="187"/>
        <v>0.654125871238966</v>
      </c>
    </row>
    <row r="1476" ht="62" spans="1:7">
      <c r="A1476" s="18">
        <v>11.35</v>
      </c>
      <c r="B1476" s="15" t="s">
        <v>2097</v>
      </c>
      <c r="C1476" s="13" t="s">
        <v>478</v>
      </c>
      <c r="D1476" s="17">
        <v>177.8</v>
      </c>
      <c r="E1476" s="5" t="s">
        <v>8</v>
      </c>
      <c r="F1476" s="6">
        <v>85.6</v>
      </c>
      <c r="G1476" s="7">
        <f t="shared" si="187"/>
        <v>1.07710280373832</v>
      </c>
    </row>
    <row r="1477" spans="1:7">
      <c r="A1477" s="6"/>
      <c r="B1477" s="15" t="s">
        <v>2098</v>
      </c>
      <c r="D1477" s="22"/>
    </row>
    <row r="1478" ht="77.5" spans="1:7">
      <c r="A1478" s="18">
        <v>11.37</v>
      </c>
      <c r="B1478" s="15" t="s">
        <v>2099</v>
      </c>
      <c r="C1478" s="13" t="s">
        <v>11</v>
      </c>
      <c r="D1478" s="17">
        <v>1096.55</v>
      </c>
      <c r="F1478" s="6">
        <v>688.35</v>
      </c>
      <c r="G1478" s="7">
        <f t="shared" ref="G1478:G1482" si="188">(D1478-F1478)/F1478</f>
        <v>0.593012275731822</v>
      </c>
    </row>
    <row r="1479" ht="93" spans="1:7">
      <c r="A1479" s="14" t="s">
        <v>2100</v>
      </c>
      <c r="B1479" s="15" t="s">
        <v>2101</v>
      </c>
      <c r="C1479" s="13" t="s">
        <v>11</v>
      </c>
      <c r="D1479" s="17">
        <v>1112.7</v>
      </c>
      <c r="E1479" s="11"/>
      <c r="F1479" s="6">
        <v>660.2</v>
      </c>
      <c r="G1479" s="7">
        <f t="shared" si="188"/>
        <v>0.685398364132081</v>
      </c>
    </row>
    <row r="1480" ht="93" spans="1:7">
      <c r="A1480" s="18">
        <v>11.38</v>
      </c>
      <c r="B1480" s="15" t="s">
        <v>2102</v>
      </c>
      <c r="C1480" s="13" t="s">
        <v>11</v>
      </c>
      <c r="D1480" s="17">
        <v>1315.3</v>
      </c>
      <c r="F1480" s="6">
        <v>747.9</v>
      </c>
      <c r="G1480" s="7">
        <f t="shared" si="188"/>
        <v>0.758657574542051</v>
      </c>
    </row>
    <row r="1481" ht="93" spans="1:7">
      <c r="A1481" s="18">
        <v>11.39</v>
      </c>
      <c r="B1481" s="15" t="s">
        <v>2103</v>
      </c>
      <c r="C1481" s="13" t="s">
        <v>11</v>
      </c>
      <c r="D1481" s="17">
        <v>1330</v>
      </c>
      <c r="E1481" s="11"/>
      <c r="F1481" s="6">
        <v>822.45</v>
      </c>
      <c r="G1481" s="7">
        <f t="shared" si="188"/>
        <v>0.617119581737492</v>
      </c>
    </row>
    <row r="1482" ht="93" spans="1:7">
      <c r="A1482" s="18">
        <v>11.4</v>
      </c>
      <c r="B1482" s="15" t="s">
        <v>2104</v>
      </c>
      <c r="C1482" s="13" t="s">
        <v>11</v>
      </c>
      <c r="D1482" s="17">
        <v>1439.4</v>
      </c>
      <c r="F1482" s="6">
        <v>901.05</v>
      </c>
      <c r="G1482" s="7">
        <f t="shared" si="188"/>
        <v>0.597469618778092</v>
      </c>
    </row>
    <row r="1483" spans="1:7">
      <c r="A1483" s="14"/>
      <c r="B1483" s="15" t="s">
        <v>2105</v>
      </c>
      <c r="C1483" s="13"/>
      <c r="D1483" s="16"/>
    </row>
    <row r="1484" ht="77.5" spans="1:7">
      <c r="A1484" s="18">
        <v>11.41</v>
      </c>
      <c r="B1484" s="15" t="s">
        <v>2106</v>
      </c>
      <c r="C1484" s="13"/>
      <c r="D1484" s="16"/>
    </row>
    <row r="1485" spans="1:7">
      <c r="A1485" s="14" t="s">
        <v>2107</v>
      </c>
      <c r="B1485" s="12" t="s">
        <v>2108</v>
      </c>
      <c r="C1485" s="13" t="s">
        <v>11</v>
      </c>
      <c r="D1485" s="17">
        <v>1524.3</v>
      </c>
      <c r="F1485" s="6">
        <v>988.45</v>
      </c>
      <c r="G1485" s="7">
        <f t="shared" ref="G1485:G1488" si="189">(D1485-F1485)/F1485</f>
        <v>0.542111386514239</v>
      </c>
    </row>
    <row r="1486" spans="1:7">
      <c r="A1486" s="14" t="s">
        <v>2109</v>
      </c>
      <c r="B1486" s="12" t="s">
        <v>2110</v>
      </c>
      <c r="C1486" s="13" t="s">
        <v>11</v>
      </c>
      <c r="D1486" s="17">
        <v>1553.45</v>
      </c>
      <c r="F1486" s="6">
        <v>1119.4</v>
      </c>
      <c r="G1486" s="7">
        <f t="shared" si="189"/>
        <v>0.387752367339646</v>
      </c>
    </row>
    <row r="1487" spans="1:7">
      <c r="A1487" s="14" t="s">
        <v>2111</v>
      </c>
      <c r="B1487" s="12" t="s">
        <v>2112</v>
      </c>
      <c r="C1487" s="13" t="s">
        <v>11</v>
      </c>
      <c r="D1487" s="17">
        <v>1885.5</v>
      </c>
      <c r="F1487" s="6">
        <v>1414.95</v>
      </c>
      <c r="G1487" s="7">
        <f t="shared" si="189"/>
        <v>0.332555920703912</v>
      </c>
    </row>
    <row r="1488" spans="1:7">
      <c r="A1488" s="14" t="s">
        <v>2113</v>
      </c>
      <c r="B1488" s="12" t="s">
        <v>2114</v>
      </c>
      <c r="C1488" s="13" t="s">
        <v>11</v>
      </c>
      <c r="D1488" s="17">
        <v>2089.65</v>
      </c>
      <c r="F1488" s="6">
        <v>2057</v>
      </c>
      <c r="G1488" s="7">
        <f t="shared" si="189"/>
        <v>0.0158726300437531</v>
      </c>
    </row>
    <row r="1489" ht="124" spans="1:4">
      <c r="A1489" s="14" t="s">
        <v>2115</v>
      </c>
      <c r="B1489" s="15" t="s">
        <v>2116</v>
      </c>
      <c r="C1489" s="13"/>
      <c r="D1489" s="16"/>
    </row>
    <row r="1490" spans="1:4">
      <c r="A1490" s="14" t="s">
        <v>2117</v>
      </c>
      <c r="B1490" s="12" t="s">
        <v>2118</v>
      </c>
      <c r="C1490" s="13"/>
      <c r="D1490" s="16"/>
    </row>
    <row r="1491" spans="1:4">
      <c r="A1491" s="14" t="s">
        <v>2119</v>
      </c>
      <c r="B1491" s="12" t="s">
        <v>2120</v>
      </c>
      <c r="C1491" s="13" t="s">
        <v>11</v>
      </c>
      <c r="D1491" s="17">
        <v>1453.63</v>
      </c>
    </row>
    <row r="1492" spans="1:4">
      <c r="A1492" s="14" t="s">
        <v>2121</v>
      </c>
      <c r="B1492" s="12" t="s">
        <v>2122</v>
      </c>
      <c r="C1492" s="13" t="s">
        <v>11</v>
      </c>
      <c r="D1492" s="17">
        <v>1534.85</v>
      </c>
    </row>
    <row r="1493" spans="1:4">
      <c r="A1493" s="14" t="s">
        <v>2123</v>
      </c>
      <c r="B1493" s="12" t="s">
        <v>2124</v>
      </c>
      <c r="C1493" s="13" t="s">
        <v>11</v>
      </c>
      <c r="D1493" s="17">
        <v>1577.13</v>
      </c>
    </row>
    <row r="1494" spans="1:4">
      <c r="A1494" s="14" t="s">
        <v>2125</v>
      </c>
      <c r="B1494" s="12" t="s">
        <v>2126</v>
      </c>
      <c r="C1494" s="13" t="s">
        <v>11</v>
      </c>
      <c r="D1494" s="17">
        <v>1870.23</v>
      </c>
    </row>
    <row r="1495" spans="1:4">
      <c r="A1495" s="14" t="s">
        <v>2127</v>
      </c>
      <c r="B1495" s="12" t="s">
        <v>2128</v>
      </c>
      <c r="C1495" s="13" t="s">
        <v>11</v>
      </c>
      <c r="D1495" s="17">
        <v>1801.7</v>
      </c>
    </row>
    <row r="1496" spans="1:4">
      <c r="A1496" s="14" t="s">
        <v>2129</v>
      </c>
      <c r="B1496" s="12" t="s">
        <v>2130</v>
      </c>
      <c r="C1496" s="13"/>
      <c r="D1496" s="16"/>
    </row>
    <row r="1497" spans="1:4">
      <c r="A1497" s="14" t="s">
        <v>2131</v>
      </c>
      <c r="B1497" s="12" t="s">
        <v>2132</v>
      </c>
      <c r="C1497" s="13" t="s">
        <v>11</v>
      </c>
      <c r="D1497" s="17">
        <v>1502.77</v>
      </c>
    </row>
    <row r="1498" spans="1:4">
      <c r="A1498" s="14" t="s">
        <v>2133</v>
      </c>
      <c r="B1498" s="12" t="s">
        <v>2124</v>
      </c>
      <c r="C1498" s="13" t="s">
        <v>11</v>
      </c>
      <c r="D1498" s="17">
        <v>1798.78</v>
      </c>
    </row>
    <row r="1499" spans="1:4">
      <c r="A1499" s="14" t="s">
        <v>2134</v>
      </c>
      <c r="B1499" s="12" t="s">
        <v>2122</v>
      </c>
      <c r="C1499" s="13" t="s">
        <v>11</v>
      </c>
      <c r="D1499" s="17">
        <v>1728.79</v>
      </c>
    </row>
    <row r="1500" spans="1:4">
      <c r="A1500" s="14" t="s">
        <v>2135</v>
      </c>
      <c r="B1500" s="12" t="s">
        <v>2136</v>
      </c>
      <c r="C1500" s="13" t="s">
        <v>11</v>
      </c>
      <c r="D1500" s="17">
        <v>2056.88</v>
      </c>
    </row>
    <row r="1501" spans="1:4">
      <c r="A1501" s="14" t="s">
        <v>2137</v>
      </c>
      <c r="B1501" s="12" t="s">
        <v>2138</v>
      </c>
      <c r="C1501" s="13" t="s">
        <v>11</v>
      </c>
      <c r="D1501" s="17">
        <v>2541.01</v>
      </c>
    </row>
    <row r="1502" spans="1:4">
      <c r="A1502" s="14" t="s">
        <v>2139</v>
      </c>
      <c r="B1502" s="12" t="s">
        <v>2140</v>
      </c>
      <c r="C1502" s="13"/>
      <c r="D1502" s="16"/>
    </row>
    <row r="1503" spans="1:4">
      <c r="A1503" s="14" t="s">
        <v>2141</v>
      </c>
      <c r="B1503" s="12" t="s">
        <v>2132</v>
      </c>
      <c r="C1503" s="13" t="s">
        <v>11</v>
      </c>
      <c r="D1503" s="17">
        <v>1464.85</v>
      </c>
    </row>
    <row r="1504" spans="1:4">
      <c r="A1504" s="14" t="s">
        <v>2142</v>
      </c>
      <c r="B1504" s="12" t="s">
        <v>2124</v>
      </c>
      <c r="C1504" s="13" t="s">
        <v>11</v>
      </c>
      <c r="D1504" s="17">
        <v>1797.32</v>
      </c>
    </row>
    <row r="1505" spans="1:7">
      <c r="A1505" s="14" t="s">
        <v>2143</v>
      </c>
      <c r="B1505" s="12" t="s">
        <v>2122</v>
      </c>
      <c r="C1505" s="13" t="s">
        <v>11</v>
      </c>
      <c r="D1505" s="17">
        <v>1724.41</v>
      </c>
    </row>
    <row r="1506" spans="1:7">
      <c r="A1506" s="14" t="s">
        <v>2144</v>
      </c>
      <c r="B1506" s="12" t="s">
        <v>2136</v>
      </c>
      <c r="C1506" s="13" t="s">
        <v>11</v>
      </c>
      <c r="D1506" s="17">
        <v>2056.88</v>
      </c>
    </row>
    <row r="1507" spans="1:7">
      <c r="A1507" s="14" t="s">
        <v>2145</v>
      </c>
      <c r="B1507" s="12" t="s">
        <v>2138</v>
      </c>
      <c r="C1507" s="13" t="s">
        <v>11</v>
      </c>
      <c r="D1507" s="17">
        <v>2838.48</v>
      </c>
    </row>
    <row r="1508" ht="31" spans="1:7">
      <c r="A1508" s="18">
        <v>11.42</v>
      </c>
      <c r="B1508" s="15" t="s">
        <v>2146</v>
      </c>
      <c r="C1508" s="13" t="s">
        <v>11</v>
      </c>
      <c r="D1508" s="37">
        <v>850.11</v>
      </c>
      <c r="E1508" s="38"/>
      <c r="F1508" s="6">
        <v>466.45</v>
      </c>
      <c r="G1508" s="7">
        <f t="shared" ref="G1508:G1511" si="190">(D1508-F1508)/F1508</f>
        <v>0.822510451280952</v>
      </c>
    </row>
    <row r="1509" ht="31" spans="1:7">
      <c r="A1509" s="18">
        <v>11.43</v>
      </c>
      <c r="B1509" s="15" t="s">
        <v>2147</v>
      </c>
      <c r="C1509" s="13" t="s">
        <v>11</v>
      </c>
      <c r="D1509" s="37">
        <v>753.25</v>
      </c>
      <c r="E1509" s="38"/>
      <c r="F1509" s="6">
        <v>386.2</v>
      </c>
      <c r="G1509" s="7">
        <f t="shared" si="190"/>
        <v>0.950414293112377</v>
      </c>
    </row>
    <row r="1510" ht="108.5" spans="1:7">
      <c r="A1510" s="18">
        <v>11.44</v>
      </c>
      <c r="B1510" s="15" t="s">
        <v>2148</v>
      </c>
      <c r="C1510" s="13" t="s">
        <v>11</v>
      </c>
      <c r="D1510" s="17">
        <v>954.15</v>
      </c>
      <c r="E1510" s="5" t="s">
        <v>8</v>
      </c>
      <c r="F1510" s="6">
        <v>476.6</v>
      </c>
      <c r="G1510" s="7">
        <f t="shared" si="190"/>
        <v>1.00199328577423</v>
      </c>
    </row>
    <row r="1511" ht="77.5" spans="1:7">
      <c r="A1511" s="18">
        <v>11.45</v>
      </c>
      <c r="B1511" s="15" t="s">
        <v>2149</v>
      </c>
      <c r="C1511" s="13" t="s">
        <v>11</v>
      </c>
      <c r="D1511" s="17">
        <v>1708.1</v>
      </c>
      <c r="E1511" s="5" t="s">
        <v>8</v>
      </c>
      <c r="F1511" s="6">
        <v>1113.2</v>
      </c>
      <c r="G1511" s="7">
        <f t="shared" si="190"/>
        <v>0.534405318002156</v>
      </c>
    </row>
    <row r="1512" ht="77.5" spans="1:7">
      <c r="A1512" s="18">
        <v>11.46</v>
      </c>
      <c r="B1512" s="15" t="s">
        <v>2150</v>
      </c>
      <c r="C1512" s="13"/>
      <c r="D1512" s="16"/>
    </row>
    <row r="1513" spans="1:7">
      <c r="A1513" s="14" t="s">
        <v>2151</v>
      </c>
      <c r="B1513" s="12" t="s">
        <v>2108</v>
      </c>
      <c r="C1513" s="13" t="s">
        <v>11</v>
      </c>
      <c r="D1513" s="17">
        <v>1593.89</v>
      </c>
      <c r="F1513" s="6">
        <v>1004.25</v>
      </c>
      <c r="G1513" s="7">
        <f t="shared" ref="G1513:G1517" si="191">(D1513-F1513)/F1513</f>
        <v>0.587144635299975</v>
      </c>
    </row>
    <row r="1514" spans="1:7">
      <c r="A1514" s="14" t="s">
        <v>2152</v>
      </c>
      <c r="B1514" s="12" t="s">
        <v>2110</v>
      </c>
      <c r="C1514" s="13" t="s">
        <v>11</v>
      </c>
      <c r="D1514" s="17">
        <v>1623.05</v>
      </c>
      <c r="F1514" s="6">
        <v>1135.2</v>
      </c>
      <c r="G1514" s="7">
        <f t="shared" si="191"/>
        <v>0.429748062015504</v>
      </c>
    </row>
    <row r="1515" spans="1:7">
      <c r="A1515" s="14" t="s">
        <v>2153</v>
      </c>
      <c r="B1515" s="12" t="s">
        <v>2112</v>
      </c>
      <c r="C1515" s="13" t="s">
        <v>11</v>
      </c>
      <c r="D1515" s="17">
        <v>1958.44</v>
      </c>
      <c r="F1515" s="6">
        <v>1432.8</v>
      </c>
      <c r="G1515" s="7">
        <f t="shared" si="191"/>
        <v>0.366862088218872</v>
      </c>
    </row>
    <row r="1516" spans="1:7">
      <c r="A1516" s="14" t="s">
        <v>2154</v>
      </c>
      <c r="B1516" s="12" t="s">
        <v>2114</v>
      </c>
      <c r="C1516" s="13" t="s">
        <v>11</v>
      </c>
      <c r="D1516" s="17">
        <v>2162.59</v>
      </c>
      <c r="F1516" s="6">
        <v>2075.7</v>
      </c>
      <c r="G1516" s="7">
        <f t="shared" si="191"/>
        <v>0.041860577154695</v>
      </c>
    </row>
    <row r="1517" ht="77.5" spans="1:7">
      <c r="A1517" s="14" t="s">
        <v>2155</v>
      </c>
      <c r="B1517" s="15" t="s">
        <v>2156</v>
      </c>
      <c r="C1517" s="13" t="s">
        <v>39</v>
      </c>
      <c r="D1517" s="17">
        <v>216.2</v>
      </c>
      <c r="E1517" s="11"/>
      <c r="F1517" s="6">
        <v>131.9</v>
      </c>
      <c r="G1517" s="7">
        <f t="shared" si="191"/>
        <v>0.639120545868082</v>
      </c>
    </row>
    <row r="1518" ht="93" spans="1:7">
      <c r="A1518" s="18">
        <v>11.47</v>
      </c>
      <c r="B1518" s="15" t="s">
        <v>2157</v>
      </c>
      <c r="C1518" s="13"/>
      <c r="D1518" s="16"/>
    </row>
    <row r="1519" spans="1:7">
      <c r="A1519" s="14" t="s">
        <v>2158</v>
      </c>
      <c r="B1519" s="12" t="s">
        <v>2108</v>
      </c>
      <c r="C1519" s="13" t="s">
        <v>11</v>
      </c>
      <c r="D1519" s="17">
        <v>1864.75</v>
      </c>
      <c r="F1519" s="6">
        <v>1109.65</v>
      </c>
      <c r="G1519" s="7">
        <f t="shared" ref="G1519:G1522" si="192">(D1519-F1519)/F1519</f>
        <v>0.680484837561393</v>
      </c>
    </row>
    <row r="1520" spans="1:7">
      <c r="A1520" s="14" t="s">
        <v>2159</v>
      </c>
      <c r="B1520" s="12" t="s">
        <v>2110</v>
      </c>
      <c r="C1520" s="13" t="s">
        <v>11</v>
      </c>
      <c r="D1520" s="17">
        <v>1893.9</v>
      </c>
      <c r="F1520" s="6">
        <v>1240.6</v>
      </c>
      <c r="G1520" s="7">
        <f t="shared" si="192"/>
        <v>0.526600032242464</v>
      </c>
    </row>
    <row r="1521" spans="1:7">
      <c r="A1521" s="14" t="s">
        <v>2160</v>
      </c>
      <c r="B1521" s="12" t="s">
        <v>2112</v>
      </c>
      <c r="C1521" s="13" t="s">
        <v>11</v>
      </c>
      <c r="D1521" s="17">
        <v>2229.25</v>
      </c>
      <c r="F1521" s="6">
        <v>1538.25</v>
      </c>
      <c r="G1521" s="7">
        <f t="shared" si="192"/>
        <v>0.44921176661791</v>
      </c>
    </row>
    <row r="1522" spans="1:7">
      <c r="A1522" s="14" t="s">
        <v>2161</v>
      </c>
      <c r="B1522" s="12" t="s">
        <v>2114</v>
      </c>
      <c r="C1522" s="13" t="s">
        <v>11</v>
      </c>
      <c r="D1522" s="17">
        <v>2433.4</v>
      </c>
      <c r="F1522" s="6">
        <v>2181.1</v>
      </c>
      <c r="G1522" s="7">
        <f t="shared" si="192"/>
        <v>0.115675576543946</v>
      </c>
    </row>
    <row r="1523" ht="62" spans="1:7">
      <c r="A1523" s="18">
        <v>11.48</v>
      </c>
      <c r="B1523" s="15" t="s">
        <v>2162</v>
      </c>
      <c r="C1523" s="13"/>
      <c r="D1523" s="16"/>
      <c r="E1523" s="11"/>
    </row>
    <row r="1524" spans="1:7">
      <c r="A1524" s="14" t="s">
        <v>2163</v>
      </c>
      <c r="B1524" s="12" t="s">
        <v>2108</v>
      </c>
      <c r="C1524" s="13" t="s">
        <v>11</v>
      </c>
      <c r="D1524" s="17">
        <v>373.35</v>
      </c>
      <c r="F1524" s="6">
        <v>199.85</v>
      </c>
      <c r="G1524" s="7">
        <f t="shared" ref="G1524:G1527" si="193">(D1524-F1524)/F1524</f>
        <v>0.868151113335001</v>
      </c>
    </row>
    <row r="1525" spans="1:7">
      <c r="A1525" s="14" t="s">
        <v>2164</v>
      </c>
      <c r="B1525" s="12" t="s">
        <v>2110</v>
      </c>
      <c r="C1525" s="13" t="s">
        <v>11</v>
      </c>
      <c r="D1525" s="17">
        <v>309.05</v>
      </c>
      <c r="E1525" s="5" t="s">
        <v>8</v>
      </c>
      <c r="F1525" s="6">
        <v>167.05</v>
      </c>
      <c r="G1525" s="7">
        <f t="shared" si="193"/>
        <v>0.850044896737504</v>
      </c>
    </row>
    <row r="1526" spans="1:7">
      <c r="A1526" s="14" t="s">
        <v>2165</v>
      </c>
      <c r="B1526" s="12" t="s">
        <v>2112</v>
      </c>
      <c r="C1526" s="13" t="s">
        <v>11</v>
      </c>
      <c r="D1526" s="17">
        <v>244.75</v>
      </c>
      <c r="E1526" s="5" t="s">
        <v>8</v>
      </c>
      <c r="F1526" s="6">
        <v>134.25</v>
      </c>
      <c r="G1526" s="7">
        <f t="shared" si="193"/>
        <v>0.823091247672253</v>
      </c>
    </row>
    <row r="1527" spans="1:7">
      <c r="A1527" s="14" t="s">
        <v>2166</v>
      </c>
      <c r="B1527" s="12" t="s">
        <v>2114</v>
      </c>
      <c r="C1527" s="13" t="s">
        <v>11</v>
      </c>
      <c r="D1527" s="17">
        <v>174.5</v>
      </c>
      <c r="F1527" s="6">
        <v>97.2</v>
      </c>
      <c r="G1527" s="7">
        <f t="shared" si="193"/>
        <v>0.795267489711934</v>
      </c>
    </row>
    <row r="1528" ht="93" spans="1:7">
      <c r="A1528" s="18">
        <v>11.49</v>
      </c>
      <c r="B1528" s="15" t="s">
        <v>2167</v>
      </c>
      <c r="C1528" s="13"/>
      <c r="D1528" s="16"/>
      <c r="E1528" s="36"/>
    </row>
    <row r="1529" spans="1:7">
      <c r="A1529" s="14" t="s">
        <v>2168</v>
      </c>
      <c r="B1529" s="12" t="s">
        <v>2108</v>
      </c>
      <c r="C1529" s="13" t="s">
        <v>11</v>
      </c>
      <c r="D1529" s="17">
        <v>1696.2</v>
      </c>
      <c r="F1529" s="6">
        <v>1038.6</v>
      </c>
      <c r="G1529" s="7">
        <f t="shared" ref="G1529:G1532" si="194">(D1529-F1529)/F1529</f>
        <v>0.63316002310803</v>
      </c>
    </row>
    <row r="1530" spans="1:7">
      <c r="A1530" s="14" t="s">
        <v>2169</v>
      </c>
      <c r="B1530" s="12" t="s">
        <v>2110</v>
      </c>
      <c r="C1530" s="13" t="s">
        <v>11</v>
      </c>
      <c r="D1530" s="17">
        <v>1725.35</v>
      </c>
      <c r="F1530" s="6">
        <v>1169.55</v>
      </c>
      <c r="G1530" s="7">
        <f t="shared" si="194"/>
        <v>0.475225514086615</v>
      </c>
    </row>
    <row r="1531" spans="1:7">
      <c r="A1531" s="14" t="s">
        <v>2170</v>
      </c>
      <c r="B1531" s="12" t="s">
        <v>2112</v>
      </c>
      <c r="C1531" s="13" t="s">
        <v>11</v>
      </c>
      <c r="D1531" s="17">
        <v>2060.75</v>
      </c>
      <c r="F1531" s="6">
        <v>1467.2</v>
      </c>
      <c r="G1531" s="7">
        <f t="shared" si="194"/>
        <v>0.404546074154853</v>
      </c>
    </row>
    <row r="1532" spans="1:7">
      <c r="A1532" s="14" t="s">
        <v>2171</v>
      </c>
      <c r="B1532" s="12" t="s">
        <v>2114</v>
      </c>
      <c r="C1532" s="13" t="s">
        <v>11</v>
      </c>
      <c r="D1532" s="17">
        <v>2264.9</v>
      </c>
      <c r="F1532" s="6">
        <v>2110.1</v>
      </c>
      <c r="G1532" s="7">
        <f t="shared" si="194"/>
        <v>0.0733614520638833</v>
      </c>
    </row>
    <row r="1533" ht="170.5" spans="1:7">
      <c r="A1533" s="14" t="s">
        <v>2172</v>
      </c>
      <c r="B1533" s="15" t="s">
        <v>2173</v>
      </c>
      <c r="C1533" s="13" t="s">
        <v>11</v>
      </c>
      <c r="D1533" s="17">
        <v>3623.95</v>
      </c>
    </row>
    <row r="1534" ht="31" spans="1:7">
      <c r="A1534" s="18">
        <v>11.5</v>
      </c>
      <c r="B1534" s="15" t="s">
        <v>2174</v>
      </c>
      <c r="C1534" s="13" t="s">
        <v>11</v>
      </c>
      <c r="D1534" s="17">
        <v>13.3</v>
      </c>
      <c r="F1534" s="6">
        <v>8.3</v>
      </c>
      <c r="G1534" s="7">
        <f t="shared" ref="G1534:G1539" si="195">(D1534-F1534)/F1534</f>
        <v>0.602409638554217</v>
      </c>
    </row>
    <row r="1535" ht="108.5" spans="1:7">
      <c r="A1535" s="18">
        <v>11.51</v>
      </c>
      <c r="B1535" s="15" t="s">
        <v>2175</v>
      </c>
      <c r="C1535" s="13"/>
      <c r="D1535" s="16"/>
      <c r="E1535" s="11"/>
    </row>
    <row r="1536" ht="31" spans="1:7">
      <c r="A1536" s="14" t="s">
        <v>2176</v>
      </c>
      <c r="B1536" s="12" t="s">
        <v>2177</v>
      </c>
      <c r="C1536" s="13" t="s">
        <v>11</v>
      </c>
      <c r="D1536" s="17">
        <v>6603.35</v>
      </c>
      <c r="E1536" s="11"/>
      <c r="F1536" s="6">
        <v>5006.1</v>
      </c>
      <c r="G1536" s="7">
        <f t="shared" si="195"/>
        <v>0.319060745890014</v>
      </c>
    </row>
    <row r="1537" ht="124" spans="1:7">
      <c r="A1537" s="18">
        <v>11.52</v>
      </c>
      <c r="B1537" s="15" t="s">
        <v>2178</v>
      </c>
      <c r="C1537" s="13"/>
      <c r="D1537" s="16"/>
      <c r="E1537" s="5" t="s">
        <v>8</v>
      </c>
    </row>
    <row r="1538" ht="31" spans="1:7">
      <c r="A1538" s="14" t="s">
        <v>2179</v>
      </c>
      <c r="B1538" s="12" t="s">
        <v>2177</v>
      </c>
      <c r="C1538" s="13" t="s">
        <v>11</v>
      </c>
      <c r="D1538" s="17">
        <v>6927.35</v>
      </c>
      <c r="E1538" s="11"/>
      <c r="F1538" s="6">
        <v>5233.75</v>
      </c>
      <c r="G1538" s="7">
        <f t="shared" si="195"/>
        <v>0.323592070695008</v>
      </c>
    </row>
    <row r="1539" ht="77.5" spans="1:7">
      <c r="A1539" s="18">
        <v>11.53</v>
      </c>
      <c r="B1539" s="15" t="s">
        <v>2180</v>
      </c>
      <c r="C1539" s="13" t="s">
        <v>11</v>
      </c>
      <c r="D1539" s="17">
        <v>3891.15</v>
      </c>
      <c r="E1539" s="11"/>
      <c r="F1539" s="6">
        <v>1603.75</v>
      </c>
      <c r="G1539" s="7">
        <f t="shared" si="195"/>
        <v>1.42628215120811</v>
      </c>
    </row>
    <row r="1540" ht="77.5" spans="1:7">
      <c r="A1540" s="18">
        <v>11.54</v>
      </c>
      <c r="B1540" s="15" t="s">
        <v>2181</v>
      </c>
      <c r="C1540" s="13"/>
      <c r="D1540" s="16"/>
      <c r="E1540" s="5" t="s">
        <v>8</v>
      </c>
    </row>
    <row r="1541" ht="124" spans="1:7">
      <c r="A1541" s="14"/>
      <c r="B1541" s="15" t="s">
        <v>2182</v>
      </c>
      <c r="C1541" s="13"/>
      <c r="D1541" s="16"/>
      <c r="E1541" s="5" t="s">
        <v>8</v>
      </c>
    </row>
    <row r="1542" ht="124" spans="1:7">
      <c r="A1542" s="14"/>
      <c r="B1542" s="15" t="s">
        <v>2183</v>
      </c>
      <c r="C1542" s="13"/>
      <c r="D1542" s="16"/>
      <c r="E1542" s="5" t="s">
        <v>8</v>
      </c>
    </row>
    <row r="1543" ht="248" spans="1:7">
      <c r="A1543" s="14"/>
      <c r="B1543" s="15" t="s">
        <v>2184</v>
      </c>
      <c r="C1543" s="13"/>
      <c r="D1543" s="16"/>
      <c r="E1543" s="5" t="s">
        <v>8</v>
      </c>
    </row>
    <row r="1544" spans="1:7">
      <c r="A1544" s="14" t="s">
        <v>2185</v>
      </c>
      <c r="B1544" s="12" t="s">
        <v>2186</v>
      </c>
      <c r="C1544" s="13" t="s">
        <v>11</v>
      </c>
      <c r="D1544" s="17">
        <v>5623.95</v>
      </c>
      <c r="E1544" s="5" t="s">
        <v>8</v>
      </c>
      <c r="F1544" s="6">
        <v>4024.5</v>
      </c>
      <c r="G1544" s="7">
        <f t="shared" ref="G1544:G1547" si="196">(D1544-F1544)/F1544</f>
        <v>0.397428251956765</v>
      </c>
    </row>
    <row r="1545" spans="1:7">
      <c r="A1545" s="14" t="s">
        <v>2187</v>
      </c>
      <c r="B1545" s="12" t="s">
        <v>2188</v>
      </c>
      <c r="C1545" s="13" t="s">
        <v>11</v>
      </c>
      <c r="D1545" s="17">
        <v>5977.35</v>
      </c>
      <c r="E1545" s="5" t="s">
        <v>8</v>
      </c>
      <c r="F1545" s="6">
        <v>4275.4</v>
      </c>
      <c r="G1545" s="7">
        <f t="shared" si="196"/>
        <v>0.398079711839828</v>
      </c>
    </row>
    <row r="1546" ht="93" spans="1:7">
      <c r="A1546" s="18">
        <v>11.55</v>
      </c>
      <c r="B1546" s="15" t="s">
        <v>2189</v>
      </c>
      <c r="C1546" s="13"/>
      <c r="D1546" s="16"/>
      <c r="E1546" s="5">
        <v>8.12</v>
      </c>
    </row>
    <row r="1547" spans="1:7">
      <c r="A1547" s="14" t="s">
        <v>2190</v>
      </c>
      <c r="B1547" s="12" t="s">
        <v>2191</v>
      </c>
      <c r="C1547" s="13" t="s">
        <v>11</v>
      </c>
      <c r="D1547" s="17">
        <v>3186.7</v>
      </c>
      <c r="E1547" s="11" t="s">
        <v>2192</v>
      </c>
      <c r="F1547" s="6">
        <v>2887.85</v>
      </c>
      <c r="G1547" s="7">
        <f t="shared" si="196"/>
        <v>0.103485291826099</v>
      </c>
    </row>
    <row r="1548" ht="93" spans="1:7">
      <c r="A1548" s="18">
        <v>11.56</v>
      </c>
      <c r="B1548" s="15" t="s">
        <v>2193</v>
      </c>
      <c r="C1548" s="13"/>
      <c r="D1548" s="16"/>
      <c r="E1548" s="5">
        <v>8.13</v>
      </c>
    </row>
    <row r="1549" spans="1:7">
      <c r="A1549" s="14" t="s">
        <v>2194</v>
      </c>
      <c r="B1549" s="12" t="s">
        <v>2195</v>
      </c>
      <c r="C1549" s="13" t="s">
        <v>11</v>
      </c>
      <c r="D1549" s="17">
        <v>4481.3</v>
      </c>
      <c r="E1549" s="11" t="s">
        <v>2196</v>
      </c>
      <c r="F1549" s="6">
        <v>2937.7</v>
      </c>
      <c r="G1549" s="7">
        <f>(D1549-F1549)/F1549</f>
        <v>0.525445076079927</v>
      </c>
    </row>
    <row r="1550" spans="1:7">
      <c r="A1550" s="14" t="s">
        <v>2197</v>
      </c>
      <c r="B1550" s="12" t="s">
        <v>2198</v>
      </c>
      <c r="C1550" s="13" t="s">
        <v>11</v>
      </c>
      <c r="D1550" s="17">
        <v>3071.05</v>
      </c>
    </row>
    <row r="1551" spans="1:7">
      <c r="B1551" s="39"/>
    </row>
    <row r="1552" spans="1:7">
      <c r="B1552" s="39"/>
    </row>
    <row r="1556" spans="1:7">
      <c r="A1556" s="5" t="s">
        <v>2199</v>
      </c>
      <c r="C1556" s="5"/>
      <c r="D1556" s="5"/>
      <c r="E1556" s="5" t="s">
        <v>8</v>
      </c>
    </row>
    <row r="1557" spans="1:7">
      <c r="A1557" s="14" t="s">
        <v>166</v>
      </c>
      <c r="B1557" s="15" t="s">
        <v>2</v>
      </c>
      <c r="C1557" s="13" t="s">
        <v>167</v>
      </c>
      <c r="D1557" s="16" t="s">
        <v>4</v>
      </c>
      <c r="E1557" s="5" t="s">
        <v>8</v>
      </c>
    </row>
    <row r="1558" spans="1:7">
      <c r="A1558" s="14"/>
      <c r="B1558" s="15" t="s">
        <v>2200</v>
      </c>
      <c r="C1558" s="13"/>
      <c r="D1558" s="16"/>
      <c r="E1558" s="5" t="s">
        <v>8</v>
      </c>
    </row>
    <row r="1559" ht="93" spans="1:7">
      <c r="A1559" s="14">
        <v>12.1</v>
      </c>
      <c r="B1559" s="15" t="s">
        <v>2201</v>
      </c>
      <c r="C1559" s="13"/>
      <c r="D1559" s="16"/>
      <c r="E1559" s="5" t="s">
        <v>8</v>
      </c>
    </row>
    <row r="1560" spans="1:7">
      <c r="A1560" s="14" t="s">
        <v>2202</v>
      </c>
      <c r="B1560" s="12" t="s">
        <v>2203</v>
      </c>
      <c r="C1560" s="13" t="s">
        <v>11</v>
      </c>
      <c r="D1560" s="17">
        <v>1457.15</v>
      </c>
      <c r="E1560" s="11"/>
      <c r="F1560" s="6">
        <v>957.95</v>
      </c>
      <c r="G1560" s="7">
        <f t="shared" ref="G1560:G1562" si="197">(D1560-F1560)/F1560</f>
        <v>0.521112792943264</v>
      </c>
    </row>
    <row r="1561" spans="1:7">
      <c r="A1561" s="14" t="s">
        <v>2204</v>
      </c>
      <c r="B1561" s="12" t="s">
        <v>2205</v>
      </c>
      <c r="C1561" s="13" t="s">
        <v>11</v>
      </c>
      <c r="D1561" s="17">
        <v>1257.55</v>
      </c>
      <c r="E1561" s="11"/>
      <c r="F1561" s="6">
        <v>818.95</v>
      </c>
      <c r="G1561" s="7">
        <f t="shared" si="197"/>
        <v>0.535563831735759</v>
      </c>
    </row>
    <row r="1562" spans="1:7">
      <c r="A1562" s="14" t="s">
        <v>2206</v>
      </c>
      <c r="B1562" s="12" t="s">
        <v>2207</v>
      </c>
      <c r="C1562" s="13" t="s">
        <v>11</v>
      </c>
      <c r="D1562" s="17">
        <v>1087.65</v>
      </c>
      <c r="E1562" s="11"/>
      <c r="F1562" s="6">
        <v>700.55</v>
      </c>
      <c r="G1562" s="7">
        <f t="shared" si="197"/>
        <v>0.552565841124831</v>
      </c>
    </row>
    <row r="1563" ht="31" spans="1:7">
      <c r="A1563" s="14">
        <v>12.2</v>
      </c>
      <c r="B1563" s="15" t="s">
        <v>2208</v>
      </c>
      <c r="C1563" s="13"/>
      <c r="D1563" s="16"/>
      <c r="E1563" s="5" t="s">
        <v>8</v>
      </c>
    </row>
    <row r="1564" spans="1:7">
      <c r="A1564" s="14" t="s">
        <v>2209</v>
      </c>
      <c r="B1564" s="12" t="s">
        <v>2210</v>
      </c>
      <c r="C1564" s="13" t="s">
        <v>39</v>
      </c>
      <c r="D1564" s="17">
        <v>116.15</v>
      </c>
      <c r="E1564" s="11"/>
      <c r="F1564" s="6">
        <v>49.65</v>
      </c>
      <c r="G1564" s="7">
        <f t="shared" ref="G1564:G1566" si="198">(D1564-F1564)/F1564</f>
        <v>1.33937562940584</v>
      </c>
    </row>
    <row r="1565" spans="1:7">
      <c r="A1565" s="14" t="s">
        <v>2211</v>
      </c>
      <c r="B1565" s="12" t="s">
        <v>2212</v>
      </c>
      <c r="C1565" s="13" t="s">
        <v>39</v>
      </c>
      <c r="D1565" s="17">
        <v>92.95</v>
      </c>
      <c r="E1565" s="11"/>
      <c r="F1565" s="6">
        <v>39.7</v>
      </c>
      <c r="G1565" s="7">
        <f t="shared" si="198"/>
        <v>1.34130982367758</v>
      </c>
    </row>
    <row r="1566" spans="1:7">
      <c r="A1566" s="14" t="s">
        <v>2213</v>
      </c>
      <c r="B1566" s="12" t="s">
        <v>2214</v>
      </c>
      <c r="C1566" s="13" t="s">
        <v>39</v>
      </c>
      <c r="D1566" s="17">
        <v>92.95</v>
      </c>
      <c r="E1566" s="11"/>
      <c r="F1566" s="6">
        <v>39.7</v>
      </c>
      <c r="G1566" s="7">
        <f t="shared" si="198"/>
        <v>1.34130982367758</v>
      </c>
    </row>
    <row r="1567" ht="31" spans="1:7">
      <c r="A1567" s="14">
        <v>12.3</v>
      </c>
      <c r="B1567" s="15" t="s">
        <v>2215</v>
      </c>
      <c r="C1567" s="13"/>
      <c r="D1567" s="16"/>
      <c r="E1567" s="5" t="s">
        <v>8</v>
      </c>
    </row>
    <row r="1568" spans="1:7">
      <c r="A1568" s="14" t="s">
        <v>2216</v>
      </c>
      <c r="B1568" s="12" t="s">
        <v>2210</v>
      </c>
      <c r="C1568" s="13" t="s">
        <v>39</v>
      </c>
      <c r="D1568" s="17">
        <v>671.45</v>
      </c>
      <c r="E1568" s="11"/>
      <c r="F1568" s="6">
        <v>283</v>
      </c>
      <c r="G1568" s="7">
        <f t="shared" ref="G1568:G1570" si="199">(D1568-F1568)/F1568</f>
        <v>1.3726148409894</v>
      </c>
    </row>
    <row r="1569" spans="1:7">
      <c r="A1569" s="14" t="s">
        <v>2217</v>
      </c>
      <c r="B1569" s="12" t="s">
        <v>2212</v>
      </c>
      <c r="C1569" s="13" t="s">
        <v>39</v>
      </c>
      <c r="D1569" s="17">
        <v>536.3</v>
      </c>
      <c r="E1569" s="11"/>
      <c r="F1569" s="6">
        <v>226.05</v>
      </c>
      <c r="G1569" s="7">
        <f t="shared" si="199"/>
        <v>1.37248396372484</v>
      </c>
    </row>
    <row r="1570" spans="1:7">
      <c r="A1570" s="14" t="s">
        <v>2218</v>
      </c>
      <c r="B1570" s="12" t="s">
        <v>2214</v>
      </c>
      <c r="C1570" s="13" t="s">
        <v>39</v>
      </c>
      <c r="D1570" s="17">
        <v>536.3</v>
      </c>
      <c r="E1570" s="11"/>
      <c r="F1570" s="6">
        <v>226.05</v>
      </c>
      <c r="G1570" s="7">
        <f t="shared" si="199"/>
        <v>1.37248396372484</v>
      </c>
    </row>
    <row r="1571" ht="31" spans="1:7">
      <c r="A1571" s="14">
        <v>12.4</v>
      </c>
      <c r="B1571" s="15" t="s">
        <v>2219</v>
      </c>
      <c r="C1571" s="13"/>
      <c r="D1571" s="16"/>
      <c r="E1571" s="5" t="s">
        <v>8</v>
      </c>
    </row>
    <row r="1572" spans="1:7">
      <c r="A1572" s="14" t="s">
        <v>2220</v>
      </c>
      <c r="B1572" s="12" t="s">
        <v>2205</v>
      </c>
      <c r="C1572" s="13" t="s">
        <v>39</v>
      </c>
      <c r="D1572" s="17">
        <v>1083.3</v>
      </c>
      <c r="E1572" s="11"/>
      <c r="F1572" s="6">
        <v>608.35</v>
      </c>
      <c r="G1572" s="7">
        <f t="shared" ref="G1572:G1575" si="200">(D1572-F1572)/F1572</f>
        <v>0.780718336483932</v>
      </c>
    </row>
    <row r="1573" spans="1:7">
      <c r="A1573" s="14" t="s">
        <v>2221</v>
      </c>
      <c r="B1573" s="12" t="s">
        <v>2222</v>
      </c>
      <c r="C1573" s="13" t="s">
        <v>39</v>
      </c>
      <c r="D1573" s="17">
        <v>980.5</v>
      </c>
      <c r="E1573" s="11"/>
      <c r="F1573" s="6">
        <v>539.1</v>
      </c>
      <c r="G1573" s="7">
        <f t="shared" si="200"/>
        <v>0.818772027453163</v>
      </c>
    </row>
    <row r="1574" ht="31" spans="1:7">
      <c r="A1574" s="14">
        <v>12.5</v>
      </c>
      <c r="B1574" s="15" t="s">
        <v>2223</v>
      </c>
      <c r="C1574" s="13"/>
      <c r="D1574" s="16"/>
      <c r="E1574" s="5" t="s">
        <v>8</v>
      </c>
    </row>
    <row r="1575" spans="1:7">
      <c r="A1575" s="14" t="s">
        <v>2224</v>
      </c>
      <c r="B1575" s="12" t="s">
        <v>2225</v>
      </c>
      <c r="C1575" s="13" t="s">
        <v>39</v>
      </c>
      <c r="D1575" s="17">
        <v>1863.9</v>
      </c>
      <c r="E1575" s="11"/>
      <c r="F1575" s="6">
        <v>1115</v>
      </c>
      <c r="G1575" s="7">
        <f t="shared" si="200"/>
        <v>0.671659192825112</v>
      </c>
    </row>
    <row r="1576" ht="46.5" spans="1:7">
      <c r="A1576" s="14">
        <v>12.6</v>
      </c>
      <c r="B1576" s="15" t="s">
        <v>2226</v>
      </c>
      <c r="C1576" s="13"/>
      <c r="D1576" s="16"/>
      <c r="E1576" s="5" t="s">
        <v>8</v>
      </c>
    </row>
    <row r="1577" spans="1:7">
      <c r="A1577" s="14" t="s">
        <v>2227</v>
      </c>
      <c r="B1577" s="12" t="s">
        <v>2203</v>
      </c>
      <c r="C1577" s="13" t="s">
        <v>39</v>
      </c>
      <c r="D1577" s="17">
        <v>857.55</v>
      </c>
      <c r="E1577" s="11"/>
      <c r="F1577" s="6">
        <v>471.65</v>
      </c>
      <c r="G1577" s="7">
        <f t="shared" ref="G1577:G1584" si="201">(D1577-F1577)/F1577</f>
        <v>0.818191455528464</v>
      </c>
    </row>
    <row r="1578" ht="46.5" spans="1:7">
      <c r="A1578" s="14">
        <v>12.7</v>
      </c>
      <c r="B1578" s="15" t="s">
        <v>2228</v>
      </c>
      <c r="C1578" s="13"/>
      <c r="D1578" s="16"/>
      <c r="E1578" s="5" t="s">
        <v>8</v>
      </c>
    </row>
    <row r="1579" spans="1:7">
      <c r="A1579" s="14" t="s">
        <v>2229</v>
      </c>
      <c r="B1579" s="12" t="s">
        <v>2205</v>
      </c>
      <c r="C1579" s="13" t="s">
        <v>39</v>
      </c>
      <c r="D1579" s="17">
        <v>1029.65</v>
      </c>
      <c r="E1579" s="11"/>
      <c r="F1579" s="6">
        <v>564.7</v>
      </c>
      <c r="G1579" s="7">
        <f t="shared" si="201"/>
        <v>0.823357534974323</v>
      </c>
    </row>
    <row r="1580" spans="1:7">
      <c r="A1580" s="14" t="s">
        <v>2230</v>
      </c>
      <c r="B1580" s="12" t="s">
        <v>2222</v>
      </c>
      <c r="C1580" s="13" t="s">
        <v>39</v>
      </c>
      <c r="D1580" s="17">
        <v>944.05</v>
      </c>
      <c r="E1580" s="11"/>
      <c r="F1580" s="6">
        <v>507.05</v>
      </c>
      <c r="G1580" s="7">
        <f t="shared" si="201"/>
        <v>0.861847943989745</v>
      </c>
    </row>
    <row r="1581" ht="77.5" spans="1:7">
      <c r="A1581" s="14">
        <v>12.8</v>
      </c>
      <c r="B1581" s="15" t="s">
        <v>2231</v>
      </c>
      <c r="C1581" s="13" t="s">
        <v>11</v>
      </c>
      <c r="D1581" s="17">
        <v>536.4</v>
      </c>
      <c r="F1581" s="6">
        <v>367.85</v>
      </c>
      <c r="G1581" s="7">
        <f t="shared" si="201"/>
        <v>0.458203071904309</v>
      </c>
    </row>
    <row r="1582" ht="77.5" spans="1:7">
      <c r="A1582" s="14">
        <v>12.9</v>
      </c>
      <c r="B1582" s="15" t="s">
        <v>2232</v>
      </c>
      <c r="C1582" s="13" t="s">
        <v>39</v>
      </c>
      <c r="D1582" s="17">
        <v>92.95</v>
      </c>
      <c r="F1582" s="6">
        <v>39.7</v>
      </c>
      <c r="G1582" s="7">
        <f t="shared" si="201"/>
        <v>1.34130982367758</v>
      </c>
    </row>
    <row r="1583" ht="46.5" spans="1:7">
      <c r="A1583" s="18">
        <v>12.1</v>
      </c>
      <c r="B1583" s="15" t="s">
        <v>2233</v>
      </c>
      <c r="C1583" s="13" t="s">
        <v>39</v>
      </c>
      <c r="D1583" s="17">
        <v>256.7</v>
      </c>
      <c r="F1583" s="6">
        <v>109.75</v>
      </c>
      <c r="G1583" s="7">
        <f t="shared" si="201"/>
        <v>1.33895216400911</v>
      </c>
    </row>
    <row r="1584" spans="1:7">
      <c r="A1584" s="18">
        <v>12.11</v>
      </c>
      <c r="B1584" s="15" t="s">
        <v>2234</v>
      </c>
      <c r="C1584" s="13" t="s">
        <v>39</v>
      </c>
      <c r="D1584" s="17">
        <v>195.6</v>
      </c>
      <c r="F1584" s="6">
        <v>103.3</v>
      </c>
      <c r="G1584" s="7">
        <f t="shared" si="201"/>
        <v>0.89351403678606</v>
      </c>
    </row>
    <row r="1585" ht="46.5" spans="1:7">
      <c r="A1585" s="18">
        <v>12.12</v>
      </c>
      <c r="B1585" s="15" t="s">
        <v>2235</v>
      </c>
      <c r="C1585" s="13"/>
      <c r="D1585" s="16"/>
    </row>
    <row r="1586" spans="1:7">
      <c r="A1586" s="14" t="s">
        <v>2236</v>
      </c>
      <c r="B1586" s="12" t="s">
        <v>2237</v>
      </c>
      <c r="C1586" s="40" t="s">
        <v>39</v>
      </c>
      <c r="D1586" s="17">
        <v>522.95</v>
      </c>
      <c r="F1586" s="6">
        <v>348.7</v>
      </c>
      <c r="G1586" s="7">
        <f t="shared" ref="G1586:G1589" si="202">(D1586-F1586)/F1586</f>
        <v>0.49971322053341</v>
      </c>
    </row>
    <row r="1587" spans="1:7">
      <c r="A1587" s="14" t="s">
        <v>2238</v>
      </c>
      <c r="B1587" s="12" t="s">
        <v>2239</v>
      </c>
      <c r="C1587" s="13" t="s">
        <v>39</v>
      </c>
      <c r="D1587" s="17">
        <v>522.95</v>
      </c>
      <c r="F1587" s="6">
        <v>348.7</v>
      </c>
      <c r="G1587" s="7">
        <f t="shared" si="202"/>
        <v>0.49971322053341</v>
      </c>
    </row>
    <row r="1588" spans="1:7">
      <c r="A1588" s="14" t="s">
        <v>2240</v>
      </c>
      <c r="B1588" s="12" t="s">
        <v>2241</v>
      </c>
      <c r="C1588" s="13" t="s">
        <v>39</v>
      </c>
      <c r="D1588" s="17">
        <v>585.7</v>
      </c>
      <c r="F1588" s="6">
        <v>395.4</v>
      </c>
      <c r="G1588" s="7">
        <f t="shared" si="202"/>
        <v>0.481284774911482</v>
      </c>
    </row>
    <row r="1589" spans="1:7">
      <c r="A1589" s="14" t="s">
        <v>2242</v>
      </c>
      <c r="B1589" s="12" t="s">
        <v>2243</v>
      </c>
      <c r="C1589" s="23" t="s">
        <v>39</v>
      </c>
      <c r="D1589" s="27">
        <v>521.85</v>
      </c>
      <c r="F1589" s="6">
        <v>348</v>
      </c>
      <c r="G1589" s="7">
        <f t="shared" si="202"/>
        <v>0.499568965517241</v>
      </c>
    </row>
    <row r="1590" ht="62" spans="1:7">
      <c r="A1590" s="14">
        <v>12.13</v>
      </c>
      <c r="B1590" s="15" t="s">
        <v>2244</v>
      </c>
      <c r="C1590" s="13"/>
      <c r="D1590" s="16"/>
      <c r="E1590" s="11"/>
    </row>
    <row r="1591" spans="1:7">
      <c r="A1591" s="14" t="s">
        <v>2245</v>
      </c>
      <c r="B1591" s="12" t="s">
        <v>2246</v>
      </c>
      <c r="C1591" s="13" t="s">
        <v>39</v>
      </c>
      <c r="D1591" s="17">
        <v>428.5</v>
      </c>
      <c r="E1591" s="11"/>
      <c r="F1591" s="6">
        <v>297.65</v>
      </c>
      <c r="G1591" s="7">
        <f t="shared" ref="G1591:G1599" si="203">(D1591-F1591)/F1591</f>
        <v>0.439610280530825</v>
      </c>
    </row>
    <row r="1592" spans="1:7">
      <c r="A1592" s="14" t="s">
        <v>2247</v>
      </c>
      <c r="B1592" s="12" t="s">
        <v>2248</v>
      </c>
      <c r="C1592" s="13" t="s">
        <v>39</v>
      </c>
      <c r="D1592" s="17">
        <v>345.05</v>
      </c>
      <c r="E1592" s="11"/>
      <c r="F1592" s="6">
        <v>238.5</v>
      </c>
      <c r="G1592" s="7">
        <f t="shared" si="203"/>
        <v>0.446750524109015</v>
      </c>
    </row>
    <row r="1593" spans="1:7">
      <c r="A1593" s="14" t="s">
        <v>2249</v>
      </c>
      <c r="B1593" s="12" t="s">
        <v>2250</v>
      </c>
      <c r="C1593" s="13" t="s">
        <v>39</v>
      </c>
      <c r="D1593" s="17">
        <v>567.2</v>
      </c>
      <c r="E1593" s="11"/>
      <c r="F1593" s="6">
        <v>404.75</v>
      </c>
      <c r="G1593" s="7">
        <f t="shared" si="203"/>
        <v>0.401358863495985</v>
      </c>
    </row>
    <row r="1594" spans="1:7">
      <c r="A1594" s="14" t="s">
        <v>2251</v>
      </c>
      <c r="B1594" s="12" t="s">
        <v>2252</v>
      </c>
      <c r="C1594" s="13" t="s">
        <v>39</v>
      </c>
      <c r="D1594" s="17">
        <v>627.3</v>
      </c>
      <c r="E1594" s="11"/>
      <c r="F1594" s="6">
        <v>441.55</v>
      </c>
      <c r="G1594" s="7">
        <f t="shared" si="203"/>
        <v>0.420677160004529</v>
      </c>
    </row>
    <row r="1595" spans="1:7">
      <c r="A1595" s="14" t="s">
        <v>2253</v>
      </c>
      <c r="B1595" s="12" t="s">
        <v>2254</v>
      </c>
      <c r="C1595" s="13" t="s">
        <v>39</v>
      </c>
      <c r="D1595" s="17">
        <v>724.65</v>
      </c>
      <c r="E1595" s="11"/>
      <c r="F1595" s="6">
        <v>532.2</v>
      </c>
      <c r="G1595" s="7">
        <f t="shared" si="203"/>
        <v>0.361612175873732</v>
      </c>
    </row>
    <row r="1596" spans="1:7">
      <c r="A1596" s="14" t="s">
        <v>2255</v>
      </c>
      <c r="B1596" s="12" t="s">
        <v>2256</v>
      </c>
      <c r="C1596" s="13" t="s">
        <v>2257</v>
      </c>
      <c r="D1596" s="17">
        <v>303.7</v>
      </c>
      <c r="E1596" s="11"/>
      <c r="F1596" s="6">
        <v>222.9</v>
      </c>
      <c r="G1596" s="7">
        <f t="shared" si="203"/>
        <v>0.362494392104082</v>
      </c>
    </row>
    <row r="1597" spans="1:7">
      <c r="A1597" s="14" t="s">
        <v>2258</v>
      </c>
      <c r="B1597" s="12" t="s">
        <v>2259</v>
      </c>
      <c r="C1597" s="13" t="s">
        <v>126</v>
      </c>
      <c r="D1597" s="17">
        <v>1013.85</v>
      </c>
      <c r="E1597" s="11"/>
      <c r="F1597" s="6">
        <v>738.7</v>
      </c>
      <c r="G1597" s="7">
        <f t="shared" si="203"/>
        <v>0.372478678759984</v>
      </c>
    </row>
    <row r="1598" spans="1:7">
      <c r="A1598" s="14" t="s">
        <v>2260</v>
      </c>
      <c r="B1598" s="12" t="s">
        <v>2261</v>
      </c>
      <c r="C1598" s="13" t="s">
        <v>39</v>
      </c>
      <c r="D1598" s="17">
        <v>560.05</v>
      </c>
      <c r="E1598" s="11"/>
      <c r="F1598" s="6">
        <v>343.1</v>
      </c>
      <c r="G1598" s="7">
        <f t="shared" si="203"/>
        <v>0.632322937918974</v>
      </c>
    </row>
    <row r="1599" ht="31" spans="1:7">
      <c r="A1599" s="18">
        <v>12.14</v>
      </c>
      <c r="B1599" s="15" t="s">
        <v>2262</v>
      </c>
      <c r="C1599" s="13" t="s">
        <v>39</v>
      </c>
      <c r="D1599" s="17">
        <v>92.4</v>
      </c>
      <c r="E1599" s="11"/>
      <c r="F1599" s="6">
        <v>50.1</v>
      </c>
      <c r="G1599" s="7">
        <f t="shared" si="203"/>
        <v>0.844311377245509</v>
      </c>
    </row>
    <row r="1600" ht="46.5" spans="1:7">
      <c r="A1600" s="18">
        <v>12.15</v>
      </c>
      <c r="B1600" s="15" t="s">
        <v>2263</v>
      </c>
      <c r="C1600" s="13"/>
      <c r="D1600" s="16"/>
    </row>
    <row r="1601" spans="1:7">
      <c r="A1601" s="14" t="s">
        <v>2264</v>
      </c>
      <c r="B1601" s="12" t="s">
        <v>2265</v>
      </c>
      <c r="C1601" s="13" t="s">
        <v>11</v>
      </c>
      <c r="D1601" s="17">
        <v>166.2</v>
      </c>
      <c r="F1601" s="6">
        <v>102.5</v>
      </c>
      <c r="G1601" s="7">
        <f t="shared" ref="G1601:G1606" si="204">(D1601-F1601)/F1601</f>
        <v>0.621463414634146</v>
      </c>
    </row>
    <row r="1602" ht="77.5" spans="1:7">
      <c r="A1602" s="18">
        <v>12.16</v>
      </c>
      <c r="B1602" s="15" t="s">
        <v>2266</v>
      </c>
      <c r="C1602" s="13"/>
      <c r="D1602" s="16"/>
    </row>
    <row r="1603" spans="1:7">
      <c r="A1603" s="14" t="s">
        <v>2267</v>
      </c>
      <c r="B1603" s="12" t="s">
        <v>2268</v>
      </c>
      <c r="C1603" s="13" t="s">
        <v>11</v>
      </c>
      <c r="D1603" s="17">
        <v>1050.2</v>
      </c>
      <c r="F1603" s="6">
        <v>596.7</v>
      </c>
      <c r="G1603" s="7">
        <f t="shared" si="204"/>
        <v>0.760013407072231</v>
      </c>
    </row>
    <row r="1604" ht="77.5" spans="1:7">
      <c r="A1604" s="18">
        <v>12.17</v>
      </c>
      <c r="B1604" s="15" t="s">
        <v>2269</v>
      </c>
      <c r="C1604" s="13"/>
      <c r="D1604" s="16"/>
    </row>
    <row r="1605" ht="31" spans="1:7">
      <c r="A1605" s="14" t="s">
        <v>2270</v>
      </c>
      <c r="B1605" s="12" t="s">
        <v>2271</v>
      </c>
      <c r="C1605" s="13" t="s">
        <v>11</v>
      </c>
      <c r="D1605" s="17">
        <v>1074.5</v>
      </c>
      <c r="F1605" s="6">
        <v>587.85</v>
      </c>
      <c r="G1605" s="7">
        <f t="shared" si="204"/>
        <v>0.827847239942162</v>
      </c>
    </row>
    <row r="1606" spans="1:7">
      <c r="A1606" s="18">
        <v>12.18</v>
      </c>
      <c r="B1606" s="15" t="s">
        <v>2272</v>
      </c>
      <c r="C1606" s="13" t="s">
        <v>11</v>
      </c>
      <c r="D1606" s="17">
        <v>24.2</v>
      </c>
      <c r="F1606" s="6">
        <v>12.55</v>
      </c>
      <c r="G1606" s="7">
        <f t="shared" si="204"/>
        <v>0.928286852589641</v>
      </c>
    </row>
    <row r="1607" ht="46.5" spans="1:7">
      <c r="A1607" s="18">
        <v>12.19</v>
      </c>
      <c r="B1607" s="15" t="s">
        <v>2273</v>
      </c>
      <c r="C1607" s="13"/>
      <c r="D1607" s="16"/>
    </row>
    <row r="1608" spans="1:7">
      <c r="A1608" s="14" t="s">
        <v>2274</v>
      </c>
      <c r="B1608" s="12" t="s">
        <v>2275</v>
      </c>
      <c r="C1608" s="13" t="s">
        <v>11</v>
      </c>
      <c r="D1608" s="17">
        <v>607.4</v>
      </c>
      <c r="F1608" s="6">
        <v>426.7</v>
      </c>
      <c r="G1608" s="7">
        <f t="shared" ref="G1608:G1612" si="205">(D1608-F1608)/F1608</f>
        <v>0.423482540426529</v>
      </c>
    </row>
    <row r="1609" ht="62" spans="1:7">
      <c r="A1609" s="18">
        <v>12.2</v>
      </c>
      <c r="B1609" s="15" t="s">
        <v>2276</v>
      </c>
      <c r="C1609" s="13" t="s">
        <v>11</v>
      </c>
      <c r="D1609" s="17">
        <v>709.75</v>
      </c>
      <c r="F1609" s="6">
        <v>438.45</v>
      </c>
      <c r="G1609" s="7">
        <f t="shared" si="205"/>
        <v>0.618770669403581</v>
      </c>
    </row>
    <row r="1610" ht="46.5" spans="1:7">
      <c r="A1610" s="18">
        <v>12.21</v>
      </c>
      <c r="B1610" s="15" t="s">
        <v>2277</v>
      </c>
      <c r="C1610" s="13"/>
      <c r="D1610" s="16"/>
    </row>
    <row r="1611" spans="1:7">
      <c r="A1611" s="14" t="s">
        <v>2278</v>
      </c>
      <c r="B1611" s="12" t="s">
        <v>2279</v>
      </c>
      <c r="C1611" s="13" t="s">
        <v>39</v>
      </c>
      <c r="D1611" s="17">
        <v>305.15</v>
      </c>
      <c r="F1611" s="6">
        <v>153</v>
      </c>
      <c r="G1611" s="7">
        <f t="shared" si="205"/>
        <v>0.994444444444444</v>
      </c>
    </row>
    <row r="1612" ht="77.5" spans="1:7">
      <c r="A1612" s="18">
        <v>12.22</v>
      </c>
      <c r="B1612" s="15" t="s">
        <v>2280</v>
      </c>
      <c r="C1612" s="13" t="s">
        <v>126</v>
      </c>
      <c r="D1612" s="17">
        <v>298.24</v>
      </c>
      <c r="F1612" s="6">
        <v>187.6</v>
      </c>
      <c r="G1612" s="7">
        <f t="shared" si="205"/>
        <v>0.589765458422175</v>
      </c>
    </row>
    <row r="1613" ht="62" spans="1:7">
      <c r="A1613" s="18">
        <v>12.23</v>
      </c>
      <c r="B1613" s="15" t="s">
        <v>2281</v>
      </c>
      <c r="C1613" s="13"/>
      <c r="D1613" s="16"/>
      <c r="E1613" s="5" t="s">
        <v>8</v>
      </c>
    </row>
    <row r="1614" spans="1:7">
      <c r="A1614" s="14" t="s">
        <v>2282</v>
      </c>
      <c r="B1614" s="12" t="s">
        <v>2283</v>
      </c>
      <c r="C1614" s="13"/>
      <c r="D1614" s="16"/>
      <c r="E1614" s="5" t="s">
        <v>8</v>
      </c>
    </row>
    <row r="1615" spans="1:7">
      <c r="A1615" s="14" t="s">
        <v>2284</v>
      </c>
      <c r="B1615" s="12" t="s">
        <v>2285</v>
      </c>
      <c r="C1615" s="13" t="s">
        <v>11</v>
      </c>
      <c r="D1615" s="17">
        <v>1138.2</v>
      </c>
      <c r="E1615" s="5" t="s">
        <v>8</v>
      </c>
      <c r="F1615" s="6">
        <v>560.05</v>
      </c>
      <c r="G1615" s="7">
        <f>(D1615-F1615)/F1615</f>
        <v>1.03231854298723</v>
      </c>
    </row>
    <row r="1616" spans="1:7">
      <c r="A1616" s="14" t="s">
        <v>2286</v>
      </c>
      <c r="B1616" s="12" t="s">
        <v>2287</v>
      </c>
      <c r="C1616" s="13"/>
      <c r="D1616" s="16"/>
      <c r="E1616" s="5" t="s">
        <v>8</v>
      </c>
    </row>
    <row r="1617" spans="1:7">
      <c r="A1617" s="14" t="s">
        <v>2288</v>
      </c>
      <c r="B1617" s="12" t="s">
        <v>2285</v>
      </c>
      <c r="C1617" s="13" t="s">
        <v>11</v>
      </c>
      <c r="D1617" s="17">
        <v>1106.9</v>
      </c>
      <c r="E1617" s="5" t="s">
        <v>8</v>
      </c>
      <c r="F1617" s="6">
        <v>560.05</v>
      </c>
      <c r="G1617" s="7">
        <f>(D1617-F1617)/F1617</f>
        <v>0.976430675832515</v>
      </c>
    </row>
    <row r="1618" spans="1:7">
      <c r="A1618" s="14"/>
      <c r="B1618" s="15" t="s">
        <v>2289</v>
      </c>
      <c r="C1618" s="13"/>
      <c r="D1618" s="17"/>
      <c r="E1618" s="5" t="s">
        <v>8</v>
      </c>
    </row>
    <row r="1619" ht="31" spans="1:7">
      <c r="A1619" s="18">
        <v>12.24</v>
      </c>
      <c r="B1619" s="15" t="s">
        <v>2290</v>
      </c>
      <c r="C1619" s="13"/>
      <c r="D1619" s="16"/>
      <c r="E1619" s="5" t="s">
        <v>8</v>
      </c>
    </row>
    <row r="1620" spans="1:7">
      <c r="A1620" s="14" t="s">
        <v>2291</v>
      </c>
      <c r="B1620" s="12" t="s">
        <v>2292</v>
      </c>
      <c r="C1620" s="13"/>
      <c r="D1620" s="16"/>
      <c r="E1620" s="5" t="s">
        <v>8</v>
      </c>
    </row>
    <row r="1621" spans="1:7">
      <c r="A1621" s="14" t="s">
        <v>2293</v>
      </c>
      <c r="B1621" s="12" t="s">
        <v>1000</v>
      </c>
      <c r="C1621" s="13" t="s">
        <v>11</v>
      </c>
      <c r="D1621" s="17">
        <v>924.35</v>
      </c>
      <c r="E1621" s="11"/>
      <c r="F1621" s="6">
        <v>529.4</v>
      </c>
      <c r="G1621" s="7">
        <f t="shared" ref="G1621:G1625" si="206">(D1621-F1621)/F1621</f>
        <v>0.746033245183226</v>
      </c>
    </row>
    <row r="1622" spans="1:7">
      <c r="A1622" s="14" t="s">
        <v>2294</v>
      </c>
      <c r="B1622" s="12" t="s">
        <v>2295</v>
      </c>
      <c r="C1622" s="13"/>
      <c r="D1622" s="16"/>
      <c r="E1622" s="5" t="s">
        <v>8</v>
      </c>
    </row>
    <row r="1623" spans="1:7">
      <c r="A1623" s="14" t="s">
        <v>2296</v>
      </c>
      <c r="B1623" s="12" t="s">
        <v>1000</v>
      </c>
      <c r="C1623" s="13" t="s">
        <v>11</v>
      </c>
      <c r="D1623" s="17">
        <v>966.6</v>
      </c>
      <c r="E1623" s="11"/>
      <c r="F1623" s="6">
        <v>567.75</v>
      </c>
      <c r="G1623" s="7">
        <f t="shared" si="206"/>
        <v>0.702509907529723</v>
      </c>
    </row>
    <row r="1624" spans="1:7">
      <c r="A1624" s="14" t="s">
        <v>2297</v>
      </c>
      <c r="B1624" s="12" t="s">
        <v>2298</v>
      </c>
      <c r="C1624" s="13"/>
      <c r="D1624" s="16"/>
      <c r="E1624" s="5" t="s">
        <v>8</v>
      </c>
    </row>
    <row r="1625" spans="1:7">
      <c r="A1625" s="14" t="s">
        <v>2299</v>
      </c>
      <c r="B1625" s="12" t="s">
        <v>1000</v>
      </c>
      <c r="C1625" s="13" t="s">
        <v>11</v>
      </c>
      <c r="D1625" s="17">
        <v>1121.55</v>
      </c>
      <c r="E1625" s="11"/>
      <c r="F1625" s="6">
        <v>669.75</v>
      </c>
      <c r="G1625" s="7">
        <f t="shared" si="206"/>
        <v>0.67458006718925</v>
      </c>
    </row>
    <row r="1626" ht="46.5" spans="1:7">
      <c r="A1626" s="18">
        <v>12.25</v>
      </c>
      <c r="B1626" s="15" t="s">
        <v>2300</v>
      </c>
      <c r="C1626" s="13"/>
      <c r="D1626" s="16"/>
    </row>
    <row r="1627" spans="1:7">
      <c r="A1627" s="14" t="s">
        <v>2301</v>
      </c>
      <c r="B1627" s="12" t="s">
        <v>1000</v>
      </c>
      <c r="C1627" s="13" t="s">
        <v>11</v>
      </c>
      <c r="D1627" s="17">
        <v>1070.6</v>
      </c>
      <c r="F1627" s="6">
        <v>669.4</v>
      </c>
      <c r="G1627" s="7">
        <f t="shared" ref="G1627:G1630" si="207">(D1627-F1627)/F1627</f>
        <v>0.599342694950702</v>
      </c>
    </row>
    <row r="1628" ht="46.5" spans="1:7">
      <c r="A1628" s="18">
        <v>12.26</v>
      </c>
      <c r="B1628" s="15" t="s">
        <v>2302</v>
      </c>
      <c r="C1628" s="13"/>
      <c r="D1628" s="16"/>
      <c r="E1628" s="5" t="s">
        <v>8</v>
      </c>
    </row>
    <row r="1629" spans="1:7">
      <c r="A1629" s="14" t="s">
        <v>2303</v>
      </c>
      <c r="B1629" s="12" t="s">
        <v>2304</v>
      </c>
      <c r="C1629" s="13" t="s">
        <v>11</v>
      </c>
      <c r="D1629" s="17">
        <v>921.95</v>
      </c>
      <c r="E1629" s="11"/>
      <c r="F1629" s="6">
        <v>516.4</v>
      </c>
      <c r="G1629" s="7">
        <f t="shared" si="207"/>
        <v>0.785340821068939</v>
      </c>
    </row>
    <row r="1630" spans="1:7">
      <c r="A1630" s="14" t="s">
        <v>2305</v>
      </c>
      <c r="B1630" s="12" t="s">
        <v>2306</v>
      </c>
      <c r="C1630" s="13" t="s">
        <v>11</v>
      </c>
      <c r="D1630" s="17">
        <v>890.65</v>
      </c>
      <c r="E1630" s="11"/>
      <c r="F1630" s="6">
        <v>509.7</v>
      </c>
      <c r="G1630" s="7">
        <f t="shared" si="207"/>
        <v>0.747400431626447</v>
      </c>
    </row>
    <row r="1631" spans="1:7">
      <c r="A1631" s="18">
        <v>12.27</v>
      </c>
      <c r="B1631" s="15" t="s">
        <v>2307</v>
      </c>
      <c r="C1631" s="13"/>
      <c r="D1631" s="16"/>
    </row>
    <row r="1632" spans="1:7">
      <c r="A1632" s="14" t="s">
        <v>2308</v>
      </c>
      <c r="B1632" s="12" t="s">
        <v>2309</v>
      </c>
      <c r="C1632" s="13" t="s">
        <v>39</v>
      </c>
      <c r="D1632" s="17">
        <v>726.3</v>
      </c>
      <c r="F1632" s="6">
        <v>395.4</v>
      </c>
      <c r="G1632" s="7">
        <f t="shared" ref="G1632:G1636" si="208">(D1632-F1632)/F1632</f>
        <v>0.836874051593323</v>
      </c>
    </row>
    <row r="1633" spans="1:7">
      <c r="A1633" s="14" t="s">
        <v>2310</v>
      </c>
      <c r="B1633" s="12" t="s">
        <v>2292</v>
      </c>
      <c r="C1633" s="13"/>
      <c r="D1633" s="16"/>
      <c r="E1633" s="5" t="s">
        <v>8</v>
      </c>
    </row>
    <row r="1634" spans="1:7">
      <c r="A1634" s="14" t="s">
        <v>2311</v>
      </c>
      <c r="B1634" s="12" t="s">
        <v>1000</v>
      </c>
      <c r="C1634" s="13" t="s">
        <v>39</v>
      </c>
      <c r="D1634" s="17">
        <v>487</v>
      </c>
      <c r="E1634" s="11"/>
      <c r="F1634" s="6">
        <v>225.3</v>
      </c>
      <c r="G1634" s="7">
        <f t="shared" si="208"/>
        <v>1.16156236129605</v>
      </c>
    </row>
    <row r="1635" spans="1:7">
      <c r="A1635" s="14" t="s">
        <v>2312</v>
      </c>
      <c r="B1635" s="12" t="s">
        <v>2313</v>
      </c>
      <c r="C1635" s="13"/>
      <c r="D1635" s="16"/>
      <c r="E1635" s="5" t="s">
        <v>8</v>
      </c>
    </row>
    <row r="1636" spans="1:7">
      <c r="A1636" s="14" t="s">
        <v>2314</v>
      </c>
      <c r="B1636" s="12" t="s">
        <v>1000</v>
      </c>
      <c r="C1636" s="13" t="s">
        <v>39</v>
      </c>
      <c r="D1636" s="17">
        <v>492.25</v>
      </c>
      <c r="E1636" s="11"/>
      <c r="F1636" s="6">
        <v>230.1</v>
      </c>
      <c r="G1636" s="7">
        <f t="shared" si="208"/>
        <v>1.13928726640591</v>
      </c>
    </row>
    <row r="1637" spans="1:7">
      <c r="A1637" s="14" t="s">
        <v>2315</v>
      </c>
      <c r="B1637" s="12" t="s">
        <v>2316</v>
      </c>
      <c r="C1637" s="13"/>
      <c r="D1637" s="16"/>
      <c r="E1637" s="5" t="s">
        <v>8</v>
      </c>
    </row>
    <row r="1638" spans="1:7">
      <c r="A1638" s="14" t="s">
        <v>2317</v>
      </c>
      <c r="B1638" s="12" t="s">
        <v>1000</v>
      </c>
      <c r="C1638" s="13" t="s">
        <v>39</v>
      </c>
      <c r="D1638" s="17">
        <v>511.5</v>
      </c>
      <c r="E1638" s="11"/>
      <c r="F1638" s="6">
        <v>242.8</v>
      </c>
      <c r="G1638" s="7">
        <f t="shared" ref="G1638:G1642" si="209">(D1638-F1638)/F1638</f>
        <v>1.10667215815486</v>
      </c>
    </row>
    <row r="1639" spans="1:7">
      <c r="A1639" s="14" t="s">
        <v>2318</v>
      </c>
      <c r="B1639" s="12" t="s">
        <v>2319</v>
      </c>
      <c r="C1639" s="13"/>
      <c r="D1639" s="16"/>
    </row>
    <row r="1640" spans="1:7">
      <c r="A1640" s="14" t="s">
        <v>2320</v>
      </c>
      <c r="B1640" s="12" t="s">
        <v>2321</v>
      </c>
      <c r="C1640" s="13" t="s">
        <v>39</v>
      </c>
      <c r="D1640" s="17">
        <v>470.1</v>
      </c>
      <c r="F1640" s="6">
        <v>213.15</v>
      </c>
      <c r="G1640" s="7">
        <f t="shared" si="209"/>
        <v>1.2054890921886</v>
      </c>
    </row>
    <row r="1641" spans="1:7">
      <c r="A1641" s="14" t="s">
        <v>2322</v>
      </c>
      <c r="B1641" s="12" t="s">
        <v>2323</v>
      </c>
      <c r="C1641" s="13" t="s">
        <v>39</v>
      </c>
      <c r="D1641" s="17">
        <v>485.7</v>
      </c>
      <c r="F1641" s="6">
        <v>190.45</v>
      </c>
      <c r="G1641" s="7">
        <f t="shared" si="209"/>
        <v>1.55027566290365</v>
      </c>
    </row>
    <row r="1642" spans="1:7">
      <c r="A1642" s="18">
        <v>12.28</v>
      </c>
      <c r="B1642" s="15" t="s">
        <v>2324</v>
      </c>
      <c r="C1642" s="13" t="s">
        <v>11</v>
      </c>
      <c r="D1642" s="17">
        <v>453.1</v>
      </c>
      <c r="E1642" s="11"/>
      <c r="F1642" s="6">
        <v>194.1</v>
      </c>
      <c r="G1642" s="7">
        <f t="shared" si="209"/>
        <v>1.33436373003606</v>
      </c>
    </row>
    <row r="1643" ht="46.5" spans="1:7">
      <c r="A1643" s="18">
        <v>12.31</v>
      </c>
      <c r="B1643" s="15" t="s">
        <v>2325</v>
      </c>
      <c r="C1643" s="13"/>
      <c r="D1643" s="16"/>
      <c r="E1643" s="5" t="s">
        <v>8</v>
      </c>
    </row>
    <row r="1644" spans="1:7">
      <c r="A1644" s="14" t="s">
        <v>2326</v>
      </c>
      <c r="B1644" s="12" t="s">
        <v>2327</v>
      </c>
      <c r="C1644" s="13" t="s">
        <v>11</v>
      </c>
      <c r="D1644" s="17">
        <v>1718.95</v>
      </c>
      <c r="E1644" s="11"/>
      <c r="F1644" s="6">
        <v>864.6</v>
      </c>
      <c r="G1644" s="7">
        <f t="shared" ref="G1644:G1649" si="210">(D1644-F1644)/F1644</f>
        <v>0.988144806847097</v>
      </c>
    </row>
    <row r="1645" spans="1:7">
      <c r="A1645" s="14" t="s">
        <v>2328</v>
      </c>
      <c r="B1645" s="12" t="s">
        <v>2329</v>
      </c>
      <c r="C1645" s="13" t="s">
        <v>11</v>
      </c>
      <c r="D1645" s="17">
        <v>2067.45</v>
      </c>
      <c r="E1645" s="11"/>
      <c r="F1645" s="6">
        <v>1013.6</v>
      </c>
      <c r="G1645" s="7">
        <f t="shared" si="210"/>
        <v>1.03970994475138</v>
      </c>
    </row>
    <row r="1646" spans="1:7">
      <c r="A1646" s="18">
        <v>12.32</v>
      </c>
      <c r="B1646" s="15" t="s">
        <v>2330</v>
      </c>
      <c r="C1646" s="13" t="s">
        <v>11</v>
      </c>
      <c r="D1646" s="17">
        <v>607.45</v>
      </c>
      <c r="E1646" s="11"/>
      <c r="F1646" s="6">
        <v>265.4</v>
      </c>
      <c r="G1646" s="7">
        <f t="shared" si="210"/>
        <v>1.28880934438583</v>
      </c>
    </row>
    <row r="1647" ht="31" spans="1:7">
      <c r="A1647" s="18">
        <v>12.33</v>
      </c>
      <c r="B1647" s="15" t="s">
        <v>2331</v>
      </c>
      <c r="C1647" s="13" t="s">
        <v>2332</v>
      </c>
      <c r="D1647" s="17">
        <v>265.7</v>
      </c>
      <c r="E1647" s="11"/>
      <c r="F1647" s="6">
        <v>113.85</v>
      </c>
      <c r="G1647" s="7">
        <f t="shared" si="210"/>
        <v>1.33377250768555</v>
      </c>
    </row>
    <row r="1648" ht="62" spans="1:7">
      <c r="A1648" s="18">
        <v>12.34</v>
      </c>
      <c r="B1648" s="15" t="s">
        <v>2333</v>
      </c>
      <c r="C1648" s="13" t="s">
        <v>11</v>
      </c>
      <c r="D1648" s="17">
        <v>703.05</v>
      </c>
      <c r="E1648" s="11"/>
      <c r="F1648" s="6">
        <v>425.1</v>
      </c>
      <c r="G1648" s="7">
        <f t="shared" si="210"/>
        <v>0.653846153846154</v>
      </c>
    </row>
    <row r="1649" ht="46.5" spans="1:7">
      <c r="A1649" s="18">
        <v>12.35</v>
      </c>
      <c r="B1649" s="15" t="s">
        <v>2334</v>
      </c>
      <c r="C1649" s="13" t="s">
        <v>11</v>
      </c>
      <c r="D1649" s="17">
        <v>297.25</v>
      </c>
      <c r="E1649" s="11"/>
      <c r="F1649" s="6">
        <v>194.25</v>
      </c>
      <c r="G1649" s="7">
        <f t="shared" si="210"/>
        <v>0.53024453024453</v>
      </c>
    </row>
    <row r="1650" ht="31" spans="1:7">
      <c r="A1650" s="18">
        <v>12.36</v>
      </c>
      <c r="B1650" s="15" t="s">
        <v>2335</v>
      </c>
      <c r="C1650" s="13"/>
      <c r="D1650" s="16"/>
      <c r="E1650" s="5" t="s">
        <v>8</v>
      </c>
    </row>
    <row r="1651" spans="1:7">
      <c r="A1651" s="14" t="s">
        <v>2336</v>
      </c>
      <c r="B1651" s="12" t="s">
        <v>2337</v>
      </c>
      <c r="C1651" s="13" t="s">
        <v>11</v>
      </c>
      <c r="D1651" s="17">
        <v>321.75</v>
      </c>
      <c r="E1651" s="11"/>
      <c r="F1651" s="6">
        <v>219.15</v>
      </c>
      <c r="G1651" s="7">
        <f t="shared" ref="G1651:G1655" si="211">(D1651-F1651)/F1651</f>
        <v>0.468172484599589</v>
      </c>
    </row>
    <row r="1652" spans="1:7">
      <c r="A1652" s="14" t="s">
        <v>2338</v>
      </c>
      <c r="B1652" s="12" t="s">
        <v>2339</v>
      </c>
      <c r="C1652" s="13" t="s">
        <v>11</v>
      </c>
      <c r="D1652" s="17">
        <v>353.05</v>
      </c>
      <c r="E1652" s="11"/>
      <c r="F1652" s="6">
        <v>251.1</v>
      </c>
      <c r="G1652" s="7">
        <f t="shared" si="211"/>
        <v>0.406013540422143</v>
      </c>
    </row>
    <row r="1653" spans="1:7">
      <c r="A1653" s="14"/>
      <c r="B1653" s="15" t="s">
        <v>2340</v>
      </c>
      <c r="C1653" s="13"/>
      <c r="D1653" s="17"/>
    </row>
    <row r="1654" ht="31" spans="1:7">
      <c r="A1654" s="18">
        <v>12.37</v>
      </c>
      <c r="B1654" s="15" t="s">
        <v>2341</v>
      </c>
      <c r="C1654" s="13"/>
      <c r="D1654" s="16"/>
    </row>
    <row r="1655" spans="1:7">
      <c r="A1655" s="14" t="s">
        <v>2342</v>
      </c>
      <c r="B1655" s="12" t="s">
        <v>2343</v>
      </c>
      <c r="C1655" s="13" t="s">
        <v>126</v>
      </c>
      <c r="D1655" s="17">
        <v>164.2</v>
      </c>
      <c r="F1655" s="6">
        <v>90.85</v>
      </c>
      <c r="G1655" s="7">
        <f t="shared" si="211"/>
        <v>0.80737479361585</v>
      </c>
    </row>
    <row r="1656" ht="62" spans="1:7">
      <c r="A1656" s="18">
        <v>12.38</v>
      </c>
      <c r="B1656" s="15" t="s">
        <v>2344</v>
      </c>
      <c r="C1656" s="13"/>
      <c r="D1656" s="16"/>
    </row>
    <row r="1657" spans="1:7">
      <c r="A1657" s="14" t="s">
        <v>2345</v>
      </c>
      <c r="B1657" s="12" t="s">
        <v>2346</v>
      </c>
      <c r="C1657" s="13" t="s">
        <v>126</v>
      </c>
      <c r="D1657" s="17">
        <v>362.85</v>
      </c>
      <c r="F1657" s="6">
        <v>167.35</v>
      </c>
      <c r="G1657" s="7">
        <f t="shared" ref="G1657:G1661" si="212">(D1657-F1657)/F1657</f>
        <v>1.16821033761578</v>
      </c>
    </row>
    <row r="1658" spans="1:7">
      <c r="A1658" s="14" t="s">
        <v>2347</v>
      </c>
      <c r="B1658" s="12" t="s">
        <v>2348</v>
      </c>
      <c r="C1658" s="13" t="s">
        <v>126</v>
      </c>
      <c r="D1658" s="17">
        <v>395.6</v>
      </c>
      <c r="F1658" s="6">
        <v>196.4</v>
      </c>
      <c r="G1658" s="7">
        <f t="shared" si="212"/>
        <v>1.0142566191446</v>
      </c>
    </row>
    <row r="1659" spans="1:7">
      <c r="A1659" s="18">
        <v>12.39</v>
      </c>
      <c r="B1659" s="15" t="s">
        <v>2349</v>
      </c>
      <c r="C1659" s="13"/>
      <c r="D1659" s="16"/>
      <c r="F1659" s="8"/>
    </row>
    <row r="1660" spans="1:7">
      <c r="A1660" s="14" t="s">
        <v>2350</v>
      </c>
      <c r="B1660" s="12" t="s">
        <v>2351</v>
      </c>
      <c r="C1660" s="13" t="s">
        <v>126</v>
      </c>
      <c r="D1660" s="17">
        <v>580.5</v>
      </c>
      <c r="F1660" s="6">
        <v>309.95</v>
      </c>
      <c r="G1660" s="7">
        <f t="shared" si="212"/>
        <v>0.872882723019842</v>
      </c>
    </row>
    <row r="1661" spans="1:7">
      <c r="A1661" s="14" t="s">
        <v>2352</v>
      </c>
      <c r="B1661" s="12" t="s">
        <v>2353</v>
      </c>
      <c r="C1661" s="13" t="s">
        <v>126</v>
      </c>
      <c r="D1661" s="17">
        <v>798</v>
      </c>
      <c r="F1661" s="6">
        <v>430.75</v>
      </c>
      <c r="G1661" s="7">
        <f t="shared" si="212"/>
        <v>0.852582704585026</v>
      </c>
    </row>
    <row r="1662" ht="46.5" spans="1:7">
      <c r="A1662" s="18">
        <v>12.4</v>
      </c>
      <c r="B1662" s="15" t="s">
        <v>2354</v>
      </c>
      <c r="C1662" s="13"/>
      <c r="D1662" s="16"/>
    </row>
    <row r="1663" spans="1:7">
      <c r="A1663" s="14" t="s">
        <v>2355</v>
      </c>
      <c r="B1663" s="12" t="s">
        <v>2356</v>
      </c>
      <c r="C1663" s="13"/>
      <c r="D1663" s="16"/>
    </row>
    <row r="1664" spans="1:7">
      <c r="A1664" s="14" t="s">
        <v>2357</v>
      </c>
      <c r="B1664" s="12" t="s">
        <v>2348</v>
      </c>
      <c r="C1664" s="13" t="s">
        <v>126</v>
      </c>
      <c r="D1664" s="17">
        <v>511.9</v>
      </c>
      <c r="F1664" s="6">
        <v>395.3</v>
      </c>
      <c r="G1664" s="7">
        <f t="shared" ref="G1664:G1667" si="213">(D1664-F1664)/F1664</f>
        <v>0.294965848722489</v>
      </c>
    </row>
    <row r="1665" ht="46.5" spans="1:7">
      <c r="A1665" s="18">
        <v>12.41</v>
      </c>
      <c r="B1665" s="15" t="s">
        <v>2358</v>
      </c>
      <c r="C1665" s="13"/>
      <c r="D1665" s="16"/>
    </row>
    <row r="1666" spans="1:7">
      <c r="A1666" s="14" t="s">
        <v>2359</v>
      </c>
      <c r="B1666" s="12" t="s">
        <v>2360</v>
      </c>
      <c r="C1666" s="13" t="s">
        <v>39</v>
      </c>
      <c r="D1666" s="17">
        <v>248.8</v>
      </c>
      <c r="F1666" s="6">
        <v>148.75</v>
      </c>
      <c r="G1666" s="7">
        <f t="shared" si="213"/>
        <v>0.672605042016807</v>
      </c>
    </row>
    <row r="1667" spans="1:7">
      <c r="A1667" s="14" t="s">
        <v>2361</v>
      </c>
      <c r="B1667" s="12" t="s">
        <v>2362</v>
      </c>
      <c r="C1667" s="13" t="s">
        <v>39</v>
      </c>
      <c r="D1667" s="17">
        <v>377.4</v>
      </c>
      <c r="F1667" s="6">
        <v>236.35</v>
      </c>
      <c r="G1667" s="7">
        <f t="shared" si="213"/>
        <v>0.596784429870954</v>
      </c>
    </row>
    <row r="1668" ht="46.5" spans="1:7">
      <c r="A1668" s="18">
        <v>12.42</v>
      </c>
      <c r="B1668" s="15" t="s">
        <v>2363</v>
      </c>
      <c r="C1668" s="13"/>
      <c r="D1668" s="16"/>
    </row>
    <row r="1669" spans="1:7">
      <c r="A1669" s="14" t="s">
        <v>2364</v>
      </c>
      <c r="B1669" s="12" t="s">
        <v>2365</v>
      </c>
      <c r="C1669" s="13"/>
      <c r="D1669" s="16"/>
    </row>
    <row r="1670" spans="1:7">
      <c r="A1670" s="14" t="s">
        <v>2366</v>
      </c>
      <c r="B1670" s="12" t="s">
        <v>1322</v>
      </c>
      <c r="C1670" s="13" t="s">
        <v>126</v>
      </c>
      <c r="D1670" s="17">
        <v>91.7</v>
      </c>
      <c r="F1670" s="6">
        <v>64.95</v>
      </c>
      <c r="G1670" s="7">
        <f t="shared" ref="G1670:G1674" si="214">(D1670-F1670)/F1670</f>
        <v>0.411855273287144</v>
      </c>
    </row>
    <row r="1671" spans="1:7">
      <c r="A1671" s="14" t="s">
        <v>2367</v>
      </c>
      <c r="B1671" s="12" t="s">
        <v>2368</v>
      </c>
      <c r="C1671" s="13" t="s">
        <v>126</v>
      </c>
      <c r="D1671" s="17">
        <v>136.15</v>
      </c>
      <c r="F1671" s="6">
        <v>102.65</v>
      </c>
      <c r="G1671" s="7">
        <f t="shared" si="214"/>
        <v>0.326351680467608</v>
      </c>
    </row>
    <row r="1672" spans="1:7">
      <c r="A1672" s="14" t="s">
        <v>2369</v>
      </c>
      <c r="B1672" s="12" t="s">
        <v>2370</v>
      </c>
      <c r="C1672" s="13"/>
      <c r="D1672" s="16"/>
    </row>
    <row r="1673" spans="1:7">
      <c r="A1673" s="14" t="s">
        <v>2371</v>
      </c>
      <c r="B1673" s="12" t="s">
        <v>1322</v>
      </c>
      <c r="C1673" s="13" t="s">
        <v>126</v>
      </c>
      <c r="D1673" s="17">
        <v>93.1</v>
      </c>
      <c r="F1673" s="6">
        <v>64.95</v>
      </c>
      <c r="G1673" s="7">
        <f t="shared" si="214"/>
        <v>0.433410315627406</v>
      </c>
    </row>
    <row r="1674" spans="1:7">
      <c r="A1674" s="14" t="s">
        <v>2372</v>
      </c>
      <c r="B1674" s="12" t="s">
        <v>2368</v>
      </c>
      <c r="C1674" s="13" t="s">
        <v>126</v>
      </c>
      <c r="D1674" s="17">
        <v>127.6</v>
      </c>
      <c r="F1674" s="6">
        <v>94.55</v>
      </c>
      <c r="G1674" s="7">
        <f t="shared" si="214"/>
        <v>0.349550502379693</v>
      </c>
    </row>
    <row r="1675" spans="1:7">
      <c r="A1675" s="14" t="s">
        <v>2373</v>
      </c>
      <c r="B1675" s="12" t="s">
        <v>2374</v>
      </c>
      <c r="C1675" s="13"/>
      <c r="D1675" s="16"/>
    </row>
    <row r="1676" spans="1:7">
      <c r="A1676" s="14" t="s">
        <v>2375</v>
      </c>
      <c r="B1676" s="12" t="s">
        <v>2376</v>
      </c>
      <c r="C1676" s="13" t="s">
        <v>126</v>
      </c>
      <c r="D1676" s="17">
        <v>164.2</v>
      </c>
      <c r="F1676" s="6">
        <v>121.5</v>
      </c>
      <c r="G1676" s="7">
        <f t="shared" ref="G1676:G1680" si="215">(D1676-F1676)/F1676</f>
        <v>0.351440329218107</v>
      </c>
    </row>
    <row r="1677" spans="1:7">
      <c r="A1677" s="14" t="s">
        <v>2377</v>
      </c>
      <c r="B1677" s="12" t="s">
        <v>2378</v>
      </c>
      <c r="C1677" s="13" t="s">
        <v>126</v>
      </c>
      <c r="D1677" s="17">
        <v>234.15</v>
      </c>
      <c r="F1677" s="6">
        <v>181.55</v>
      </c>
      <c r="G1677" s="7">
        <f t="shared" si="215"/>
        <v>0.289727347838061</v>
      </c>
    </row>
    <row r="1678" spans="1:7">
      <c r="A1678" s="14" t="s">
        <v>2379</v>
      </c>
      <c r="B1678" s="12" t="s">
        <v>2380</v>
      </c>
      <c r="C1678" s="13"/>
      <c r="D1678" s="16"/>
    </row>
    <row r="1679" spans="1:7">
      <c r="A1679" s="14" t="s">
        <v>2381</v>
      </c>
      <c r="B1679" s="12" t="s">
        <v>2376</v>
      </c>
      <c r="C1679" s="13" t="s">
        <v>126</v>
      </c>
      <c r="D1679" s="17">
        <v>144.3</v>
      </c>
      <c r="F1679" s="6">
        <v>105.25</v>
      </c>
      <c r="G1679" s="7">
        <f t="shared" si="215"/>
        <v>0.371021377672209</v>
      </c>
    </row>
    <row r="1680" spans="1:7">
      <c r="A1680" s="14" t="s">
        <v>2382</v>
      </c>
      <c r="B1680" s="12" t="s">
        <v>2378</v>
      </c>
      <c r="C1680" s="13" t="s">
        <v>126</v>
      </c>
      <c r="D1680" s="17">
        <v>221.35</v>
      </c>
      <c r="F1680" s="6">
        <v>167.6</v>
      </c>
      <c r="G1680" s="7">
        <f t="shared" si="215"/>
        <v>0.320704057279236</v>
      </c>
    </row>
    <row r="1681" spans="1:7">
      <c r="A1681" s="14" t="s">
        <v>2383</v>
      </c>
      <c r="B1681" s="12" t="s">
        <v>2384</v>
      </c>
      <c r="C1681" s="13"/>
      <c r="D1681" s="16"/>
    </row>
    <row r="1682" spans="1:7">
      <c r="A1682" s="14" t="s">
        <v>2385</v>
      </c>
      <c r="B1682" s="12" t="s">
        <v>2386</v>
      </c>
      <c r="C1682" s="13" t="s">
        <v>126</v>
      </c>
      <c r="D1682" s="17">
        <v>105.9</v>
      </c>
      <c r="F1682" s="6">
        <v>76.55</v>
      </c>
      <c r="G1682" s="7">
        <f t="shared" ref="G1682:G1686" si="216">(D1682-F1682)/F1682</f>
        <v>0.383409536250817</v>
      </c>
    </row>
    <row r="1683" spans="1:7">
      <c r="A1683" s="14" t="s">
        <v>2387</v>
      </c>
      <c r="B1683" s="12" t="s">
        <v>2388</v>
      </c>
      <c r="C1683" s="13" t="s">
        <v>126</v>
      </c>
      <c r="D1683" s="17">
        <v>150.35</v>
      </c>
      <c r="F1683" s="6">
        <v>113.1</v>
      </c>
      <c r="G1683" s="7">
        <f t="shared" si="216"/>
        <v>0.329354553492485</v>
      </c>
    </row>
    <row r="1684" spans="1:7">
      <c r="A1684" s="14" t="s">
        <v>2389</v>
      </c>
      <c r="B1684" s="12" t="s">
        <v>2390</v>
      </c>
      <c r="C1684" s="13"/>
      <c r="D1684" s="16"/>
    </row>
    <row r="1685" spans="1:7">
      <c r="A1685" s="14" t="s">
        <v>2391</v>
      </c>
      <c r="B1685" s="12" t="s">
        <v>2392</v>
      </c>
      <c r="C1685" s="13" t="s">
        <v>126</v>
      </c>
      <c r="D1685" s="17">
        <v>93.1</v>
      </c>
      <c r="F1685" s="6">
        <v>66.1</v>
      </c>
      <c r="G1685" s="7">
        <f t="shared" si="216"/>
        <v>0.408472012102874</v>
      </c>
    </row>
    <row r="1686" spans="1:7">
      <c r="A1686" s="14" t="s">
        <v>2393</v>
      </c>
      <c r="B1686" s="12" t="s">
        <v>2394</v>
      </c>
      <c r="C1686" s="13" t="s">
        <v>126</v>
      </c>
      <c r="D1686" s="17">
        <v>131.85</v>
      </c>
      <c r="F1686" s="6">
        <v>98</v>
      </c>
      <c r="G1686" s="7">
        <f t="shared" si="216"/>
        <v>0.345408163265306</v>
      </c>
    </row>
    <row r="1687" ht="62" spans="1:7">
      <c r="A1687" s="18">
        <v>12.43</v>
      </c>
      <c r="B1687" s="15" t="s">
        <v>2395</v>
      </c>
      <c r="C1687" s="13"/>
      <c r="D1687" s="16"/>
    </row>
    <row r="1688" spans="1:7">
      <c r="A1688" s="14" t="s">
        <v>2396</v>
      </c>
      <c r="B1688" s="12" t="s">
        <v>1322</v>
      </c>
      <c r="C1688" s="13" t="s">
        <v>126</v>
      </c>
      <c r="D1688" s="17">
        <v>369.85</v>
      </c>
      <c r="F1688" s="6">
        <v>182.55</v>
      </c>
      <c r="G1688" s="7">
        <f t="shared" ref="G1688:G1690" si="217">(D1688-F1688)/F1688</f>
        <v>1.02602026841961</v>
      </c>
    </row>
    <row r="1689" spans="1:7">
      <c r="A1689" s="14" t="s">
        <v>2397</v>
      </c>
      <c r="B1689" s="12" t="s">
        <v>2368</v>
      </c>
      <c r="C1689" s="13" t="s">
        <v>126</v>
      </c>
      <c r="D1689" s="17">
        <v>371.3</v>
      </c>
      <c r="F1689" s="6">
        <v>181.4</v>
      </c>
      <c r="G1689" s="7">
        <f t="shared" si="217"/>
        <v>1.04685777287762</v>
      </c>
    </row>
    <row r="1690" ht="31" spans="1:7">
      <c r="A1690" s="18">
        <v>12.44</v>
      </c>
      <c r="B1690" s="15" t="s">
        <v>2398</v>
      </c>
      <c r="C1690" s="13" t="s">
        <v>126</v>
      </c>
      <c r="D1690" s="17">
        <v>54.7</v>
      </c>
      <c r="F1690" s="6">
        <v>40.9</v>
      </c>
      <c r="G1690" s="7">
        <f t="shared" si="217"/>
        <v>0.337408312958435</v>
      </c>
    </row>
    <row r="1691" ht="356.5" spans="1:7">
      <c r="A1691" s="18">
        <v>12.45</v>
      </c>
      <c r="B1691" s="15" t="s">
        <v>2399</v>
      </c>
      <c r="C1691" s="13"/>
      <c r="D1691" s="16"/>
    </row>
    <row r="1692" ht="31" spans="1:7">
      <c r="A1692" s="14" t="s">
        <v>2400</v>
      </c>
      <c r="B1692" s="12" t="s">
        <v>2401</v>
      </c>
      <c r="C1692" s="13" t="s">
        <v>11</v>
      </c>
      <c r="D1692" s="17">
        <v>1355.8</v>
      </c>
      <c r="F1692" s="6">
        <v>806.2</v>
      </c>
      <c r="G1692" s="7">
        <f t="shared" ref="G1692:G1696" si="218">(D1692-F1692)/F1692</f>
        <v>0.68171669560903</v>
      </c>
    </row>
    <row r="1693" ht="31" spans="1:7">
      <c r="A1693" s="14" t="s">
        <v>2402</v>
      </c>
      <c r="B1693" s="12" t="s">
        <v>2403</v>
      </c>
      <c r="C1693" s="13" t="s">
        <v>11</v>
      </c>
      <c r="D1693" s="17">
        <v>1520.1</v>
      </c>
      <c r="F1693" s="6">
        <v>922.05</v>
      </c>
      <c r="G1693" s="7">
        <f t="shared" si="218"/>
        <v>0.648609077598829</v>
      </c>
    </row>
    <row r="1694" spans="1:7">
      <c r="A1694" s="14" t="s">
        <v>2404</v>
      </c>
      <c r="B1694" s="12" t="s">
        <v>2405</v>
      </c>
      <c r="C1694" s="13" t="s">
        <v>11</v>
      </c>
      <c r="D1694" s="17">
        <v>1529.1</v>
      </c>
      <c r="F1694" s="6">
        <v>958.65</v>
      </c>
      <c r="G1694" s="7">
        <f t="shared" si="218"/>
        <v>0.595055546862776</v>
      </c>
    </row>
    <row r="1695" ht="62" spans="1:7">
      <c r="A1695" s="14" t="s">
        <v>2406</v>
      </c>
      <c r="B1695" s="12" t="s">
        <v>2407</v>
      </c>
      <c r="C1695" s="13" t="s">
        <v>11</v>
      </c>
      <c r="D1695" s="17">
        <v>1744.15</v>
      </c>
      <c r="F1695" s="6">
        <v>1135.5</v>
      </c>
      <c r="G1695" s="7">
        <f t="shared" si="218"/>
        <v>0.536019374724791</v>
      </c>
    </row>
    <row r="1696" ht="46.5" spans="1:7">
      <c r="A1696" s="18">
        <v>12.46</v>
      </c>
      <c r="B1696" s="15" t="s">
        <v>2408</v>
      </c>
      <c r="C1696" s="13" t="s">
        <v>126</v>
      </c>
      <c r="D1696" s="17">
        <v>84.55</v>
      </c>
      <c r="F1696" s="6">
        <v>66.45</v>
      </c>
      <c r="G1696" s="7">
        <f t="shared" si="218"/>
        <v>0.272385252069225</v>
      </c>
    </row>
    <row r="1697" ht="124" spans="1:7">
      <c r="A1697" s="18">
        <v>12.47</v>
      </c>
      <c r="B1697" s="15" t="s">
        <v>2409</v>
      </c>
      <c r="C1697" s="13"/>
      <c r="D1697" s="16"/>
      <c r="E1697" s="5" t="s">
        <v>8</v>
      </c>
    </row>
    <row r="1698" spans="1:7">
      <c r="A1698" s="14" t="s">
        <v>2410</v>
      </c>
      <c r="B1698" s="12" t="s">
        <v>2411</v>
      </c>
      <c r="C1698" s="13" t="s">
        <v>11</v>
      </c>
      <c r="D1698" s="17">
        <v>1401.35</v>
      </c>
      <c r="E1698" s="5" t="s">
        <v>8</v>
      </c>
      <c r="F1698" s="6">
        <v>989.5</v>
      </c>
      <c r="G1698" s="7">
        <f t="shared" ref="G1698:G1702" si="219">(D1698-F1698)/F1698</f>
        <v>0.41622031328954</v>
      </c>
    </row>
    <row r="1699" spans="1:7">
      <c r="A1699" s="14" t="s">
        <v>2412</v>
      </c>
      <c r="B1699" s="12" t="s">
        <v>2413</v>
      </c>
      <c r="C1699" s="13" t="s">
        <v>11</v>
      </c>
      <c r="D1699" s="17">
        <v>1245.65</v>
      </c>
      <c r="E1699" s="5" t="s">
        <v>8</v>
      </c>
      <c r="F1699" s="6">
        <v>883.6</v>
      </c>
      <c r="G1699" s="7">
        <f t="shared" si="219"/>
        <v>0.409744228157537</v>
      </c>
    </row>
    <row r="1700" ht="46.5" spans="1:7">
      <c r="A1700" s="18">
        <v>12.48</v>
      </c>
      <c r="B1700" s="15" t="s">
        <v>2414</v>
      </c>
      <c r="C1700" s="13" t="s">
        <v>11</v>
      </c>
      <c r="D1700" s="17">
        <v>433.45</v>
      </c>
      <c r="F1700" s="6">
        <v>238</v>
      </c>
      <c r="G1700" s="7">
        <f t="shared" si="219"/>
        <v>0.821218487394958</v>
      </c>
    </row>
    <row r="1701" ht="31" spans="1:7">
      <c r="A1701" s="18">
        <v>12.49</v>
      </c>
      <c r="B1701" s="15" t="s">
        <v>2415</v>
      </c>
      <c r="C1701" s="13" t="s">
        <v>11</v>
      </c>
      <c r="D1701" s="17">
        <v>96.9</v>
      </c>
      <c r="F1701" s="6">
        <v>52.45</v>
      </c>
      <c r="G1701" s="7">
        <f t="shared" si="219"/>
        <v>0.847473784556721</v>
      </c>
    </row>
    <row r="1702" ht="170.5" spans="1:7">
      <c r="A1702" s="18">
        <v>12.5</v>
      </c>
      <c r="B1702" s="15" t="s">
        <v>2416</v>
      </c>
      <c r="C1702" s="13" t="s">
        <v>11</v>
      </c>
      <c r="D1702" s="17">
        <v>738.65</v>
      </c>
      <c r="E1702" s="5" t="s">
        <v>8</v>
      </c>
      <c r="F1702" s="6">
        <v>550.4</v>
      </c>
      <c r="G1702" s="7">
        <f t="shared" si="219"/>
        <v>0.34202398255814</v>
      </c>
    </row>
    <row r="1703" ht="77.5" spans="1:7">
      <c r="A1703" s="18">
        <v>12.51</v>
      </c>
      <c r="B1703" s="15" t="s">
        <v>2417</v>
      </c>
      <c r="C1703" s="13"/>
      <c r="D1703" s="16"/>
      <c r="E1703" s="5" t="s">
        <v>8</v>
      </c>
    </row>
    <row r="1704" spans="1:7">
      <c r="A1704" s="14" t="s">
        <v>2418</v>
      </c>
      <c r="B1704" s="12" t="s">
        <v>2419</v>
      </c>
      <c r="C1704" s="13" t="s">
        <v>39</v>
      </c>
      <c r="D1704" s="17">
        <v>532.35</v>
      </c>
      <c r="E1704" s="5" t="s">
        <v>8</v>
      </c>
      <c r="F1704" s="6">
        <v>360.45</v>
      </c>
      <c r="G1704" s="7">
        <f t="shared" ref="G1704:G1709" si="220">(D1704-F1704)/F1704</f>
        <v>0.476903870162297</v>
      </c>
    </row>
    <row r="1705" spans="1:7">
      <c r="A1705" s="14" t="s">
        <v>2420</v>
      </c>
      <c r="B1705" s="12" t="s">
        <v>2421</v>
      </c>
      <c r="C1705" s="13" t="s">
        <v>39</v>
      </c>
      <c r="D1705" s="17">
        <v>485.6</v>
      </c>
      <c r="E1705" s="5" t="s">
        <v>8</v>
      </c>
      <c r="F1705" s="6">
        <v>332.8</v>
      </c>
      <c r="G1705" s="7">
        <f t="shared" si="220"/>
        <v>0.459134615384615</v>
      </c>
    </row>
    <row r="1706" spans="1:7">
      <c r="A1706" s="14" t="s">
        <v>2422</v>
      </c>
      <c r="B1706" s="12" t="s">
        <v>2250</v>
      </c>
      <c r="C1706" s="13" t="s">
        <v>39</v>
      </c>
      <c r="D1706" s="17">
        <v>546.1</v>
      </c>
      <c r="E1706" s="5" t="s">
        <v>8</v>
      </c>
      <c r="F1706" s="6">
        <v>393.45</v>
      </c>
      <c r="G1706" s="7">
        <f t="shared" si="220"/>
        <v>0.387978142076503</v>
      </c>
    </row>
    <row r="1707" spans="1:7">
      <c r="A1707" s="14" t="s">
        <v>2423</v>
      </c>
      <c r="B1707" s="12" t="s">
        <v>2424</v>
      </c>
      <c r="C1707" s="13" t="s">
        <v>39</v>
      </c>
      <c r="D1707" s="17">
        <v>451.5</v>
      </c>
      <c r="E1707" s="5" t="s">
        <v>8</v>
      </c>
      <c r="F1707" s="6">
        <v>321.05</v>
      </c>
      <c r="G1707" s="7">
        <f t="shared" si="220"/>
        <v>0.406323002647563</v>
      </c>
    </row>
    <row r="1708" spans="1:7">
      <c r="A1708" s="14" t="s">
        <v>2425</v>
      </c>
      <c r="B1708" s="12" t="s">
        <v>2426</v>
      </c>
      <c r="C1708" s="13" t="s">
        <v>11</v>
      </c>
      <c r="D1708" s="17">
        <v>496.75</v>
      </c>
      <c r="E1708" s="5" t="s">
        <v>8</v>
      </c>
      <c r="F1708" s="6">
        <v>362.65</v>
      </c>
      <c r="G1708" s="7">
        <f t="shared" si="220"/>
        <v>0.369778022887081</v>
      </c>
    </row>
    <row r="1709" spans="1:7">
      <c r="A1709" s="14" t="s">
        <v>2427</v>
      </c>
      <c r="B1709" s="12" t="s">
        <v>2428</v>
      </c>
      <c r="C1709" s="13" t="s">
        <v>39</v>
      </c>
      <c r="D1709" s="17">
        <v>1313.65</v>
      </c>
      <c r="E1709" s="5" t="s">
        <v>8</v>
      </c>
      <c r="F1709" s="6">
        <v>833.05</v>
      </c>
      <c r="G1709" s="7">
        <f t="shared" si="220"/>
        <v>0.576916151491507</v>
      </c>
    </row>
    <row r="1710" ht="263.5" spans="1:7">
      <c r="A1710" s="18">
        <v>12.52</v>
      </c>
      <c r="B1710" s="15" t="s">
        <v>2429</v>
      </c>
      <c r="C1710" s="13"/>
      <c r="D1710" s="16"/>
    </row>
    <row r="1711" ht="62" spans="1:7">
      <c r="A1711" s="14" t="s">
        <v>2430</v>
      </c>
      <c r="B1711" s="12" t="s">
        <v>2431</v>
      </c>
      <c r="C1711" s="13" t="s">
        <v>11</v>
      </c>
      <c r="D1711" s="17">
        <v>1902.95</v>
      </c>
      <c r="F1711" s="6">
        <v>1041.95</v>
      </c>
      <c r="G1711" s="7">
        <f t="shared" ref="G1711:G1715" si="221">(D1711-F1711)/F1711</f>
        <v>0.826335236815586</v>
      </c>
    </row>
    <row r="1712" ht="93" spans="1:7">
      <c r="A1712" s="14" t="s">
        <v>2432</v>
      </c>
      <c r="B1712" s="12" t="s">
        <v>2433</v>
      </c>
      <c r="C1712" s="13" t="s">
        <v>11</v>
      </c>
      <c r="D1712" s="17">
        <v>2068.75</v>
      </c>
      <c r="F1712" s="6">
        <v>1163.9</v>
      </c>
      <c r="G1712" s="7">
        <f t="shared" si="221"/>
        <v>0.777429332416874</v>
      </c>
    </row>
    <row r="1713" ht="93" spans="1:7">
      <c r="A1713" s="14" t="s">
        <v>2434</v>
      </c>
      <c r="B1713" s="12" t="s">
        <v>2435</v>
      </c>
      <c r="C1713" s="13" t="s">
        <v>11</v>
      </c>
      <c r="D1713" s="17">
        <v>2215.15</v>
      </c>
      <c r="F1713" s="6">
        <v>993.15</v>
      </c>
      <c r="G1713" s="7">
        <f t="shared" si="221"/>
        <v>1.23042843477823</v>
      </c>
    </row>
    <row r="1714" ht="77.5" spans="1:7">
      <c r="A1714" s="14" t="s">
        <v>2436</v>
      </c>
      <c r="B1714" s="12" t="s">
        <v>2437</v>
      </c>
      <c r="C1714" s="13" t="s">
        <v>11</v>
      </c>
      <c r="D1714" s="17">
        <v>1528</v>
      </c>
      <c r="F1714" s="6">
        <v>1005.35</v>
      </c>
      <c r="G1714" s="7">
        <f t="shared" si="221"/>
        <v>0.519868702441936</v>
      </c>
    </row>
    <row r="1715" ht="325.5" spans="1:7">
      <c r="A1715" s="18">
        <v>12.53</v>
      </c>
      <c r="B1715" s="15" t="s">
        <v>2438</v>
      </c>
      <c r="C1715" s="13" t="s">
        <v>11</v>
      </c>
      <c r="D1715" s="17">
        <v>2158.15</v>
      </c>
      <c r="F1715" s="6">
        <v>1497.9</v>
      </c>
      <c r="G1715" s="7">
        <f t="shared" si="221"/>
        <v>0.440783763936177</v>
      </c>
    </row>
    <row r="1716" ht="77.5" spans="1:7">
      <c r="A1716" s="18"/>
      <c r="B1716" s="15" t="s">
        <v>2439</v>
      </c>
      <c r="C1716" s="13"/>
      <c r="D1716" s="17"/>
    </row>
    <row r="1717" ht="186" spans="1:7">
      <c r="A1717" s="18">
        <v>12.54</v>
      </c>
      <c r="B1717" s="15" t="s">
        <v>2440</v>
      </c>
      <c r="C1717" s="13"/>
      <c r="D1717" s="16"/>
    </row>
    <row r="1718" ht="62" spans="1:7">
      <c r="A1718" s="14" t="s">
        <v>2441</v>
      </c>
      <c r="B1718" s="12" t="s">
        <v>2442</v>
      </c>
      <c r="C1718" s="13" t="s">
        <v>11</v>
      </c>
      <c r="D1718" s="17">
        <v>2221.7</v>
      </c>
      <c r="F1718" s="6">
        <v>1329.65</v>
      </c>
      <c r="G1718" s="7">
        <f t="shared" ref="G1718:G1722" si="222">(D1718-F1718)/F1718</f>
        <v>0.670890835934268</v>
      </c>
    </row>
    <row r="1719" ht="77.5" spans="1:7">
      <c r="A1719" s="14" t="s">
        <v>2443</v>
      </c>
      <c r="B1719" s="12" t="s">
        <v>2444</v>
      </c>
      <c r="C1719" s="13" t="s">
        <v>11</v>
      </c>
      <c r="D1719" s="17">
        <v>2354.65</v>
      </c>
      <c r="F1719" s="6">
        <v>1527.25</v>
      </c>
      <c r="G1719" s="7">
        <f t="shared" si="222"/>
        <v>0.541758061875921</v>
      </c>
    </row>
    <row r="1720" ht="108.5" spans="1:7">
      <c r="A1720" s="18">
        <v>12.55</v>
      </c>
      <c r="B1720" s="15" t="s">
        <v>2445</v>
      </c>
      <c r="C1720" s="13" t="s">
        <v>11</v>
      </c>
      <c r="D1720" s="17">
        <v>1703.95</v>
      </c>
      <c r="E1720" s="5" t="s">
        <v>8</v>
      </c>
      <c r="F1720" s="6">
        <v>1150</v>
      </c>
      <c r="G1720" s="7">
        <f t="shared" si="222"/>
        <v>0.481695652173913</v>
      </c>
    </row>
    <row r="1721" ht="124" spans="1:7">
      <c r="A1721" s="18">
        <v>12.56</v>
      </c>
      <c r="B1721" s="15" t="s">
        <v>2446</v>
      </c>
      <c r="C1721" s="13" t="s">
        <v>11</v>
      </c>
      <c r="D1721" s="17">
        <v>1570</v>
      </c>
      <c r="E1721" s="5" t="s">
        <v>8</v>
      </c>
      <c r="F1721" s="6">
        <v>1151.05</v>
      </c>
      <c r="G1721" s="7">
        <f t="shared" si="222"/>
        <v>0.363972025541897</v>
      </c>
    </row>
    <row r="1722" ht="62" spans="1:7">
      <c r="A1722" s="18">
        <v>12.57</v>
      </c>
      <c r="B1722" s="15" t="s">
        <v>2447</v>
      </c>
      <c r="C1722" s="13" t="s">
        <v>11</v>
      </c>
      <c r="D1722" s="17">
        <v>358.5</v>
      </c>
      <c r="E1722" s="5" t="s">
        <v>8</v>
      </c>
      <c r="F1722" s="6">
        <v>255.75</v>
      </c>
      <c r="G1722" s="7">
        <f t="shared" si="222"/>
        <v>0.401759530791789</v>
      </c>
    </row>
    <row r="1723" ht="263.5" spans="1:7">
      <c r="A1723" s="18">
        <v>12.58</v>
      </c>
      <c r="B1723" s="15" t="s">
        <v>2448</v>
      </c>
      <c r="C1723" s="13"/>
      <c r="D1723" s="16"/>
    </row>
    <row r="1724" ht="93" spans="1:7">
      <c r="A1724" s="14" t="s">
        <v>2449</v>
      </c>
      <c r="B1724" s="12" t="s">
        <v>2450</v>
      </c>
      <c r="C1724" s="13" t="s">
        <v>11</v>
      </c>
      <c r="D1724" s="17">
        <v>1789.45</v>
      </c>
      <c r="F1724" s="6">
        <v>1221.8</v>
      </c>
      <c r="G1724" s="7">
        <f t="shared" ref="G1724:G1730" si="223">(D1724-F1724)/F1724</f>
        <v>0.464601407759044</v>
      </c>
    </row>
    <row r="1725" ht="341" spans="1:7">
      <c r="A1725" s="18">
        <v>12.59</v>
      </c>
      <c r="B1725" s="15" t="s">
        <v>2451</v>
      </c>
      <c r="C1725" s="13"/>
      <c r="D1725" s="16"/>
    </row>
    <row r="1726" ht="31" spans="1:7">
      <c r="A1726" s="14" t="s">
        <v>2452</v>
      </c>
      <c r="B1726" s="12" t="s">
        <v>2453</v>
      </c>
      <c r="C1726" s="13" t="s">
        <v>11</v>
      </c>
      <c r="D1726" s="17">
        <v>1572.3</v>
      </c>
      <c r="F1726" s="6">
        <v>916.75</v>
      </c>
      <c r="G1726" s="7">
        <f t="shared" si="223"/>
        <v>0.71508044723207</v>
      </c>
    </row>
    <row r="1727" ht="62" spans="1:7">
      <c r="A1727" s="18">
        <v>12.6</v>
      </c>
      <c r="B1727" s="15" t="s">
        <v>2454</v>
      </c>
      <c r="C1727" s="13" t="s">
        <v>11</v>
      </c>
      <c r="D1727" s="17">
        <v>667.05</v>
      </c>
      <c r="E1727" s="5" t="s">
        <v>8</v>
      </c>
      <c r="F1727" s="6">
        <v>393.2</v>
      </c>
      <c r="G1727" s="7">
        <f t="shared" si="223"/>
        <v>0.69646490335707</v>
      </c>
    </row>
    <row r="1728" ht="46.5" spans="1:7">
      <c r="A1728" s="18">
        <v>12.61</v>
      </c>
      <c r="B1728" s="15" t="s">
        <v>2455</v>
      </c>
      <c r="C1728" s="13" t="s">
        <v>11</v>
      </c>
      <c r="D1728" s="17">
        <v>316.05</v>
      </c>
      <c r="E1728" s="5" t="s">
        <v>8</v>
      </c>
      <c r="F1728" s="6">
        <v>219.8</v>
      </c>
      <c r="G1728" s="7">
        <f t="shared" si="223"/>
        <v>0.437898089171974</v>
      </c>
    </row>
    <row r="1729" ht="62" spans="1:7">
      <c r="A1729" s="18">
        <v>12.62</v>
      </c>
      <c r="B1729" s="15" t="s">
        <v>2456</v>
      </c>
      <c r="C1729" s="13" t="s">
        <v>11</v>
      </c>
      <c r="D1729" s="17">
        <v>322.5</v>
      </c>
      <c r="E1729" s="5" t="s">
        <v>8</v>
      </c>
      <c r="F1729" s="6">
        <v>223.8</v>
      </c>
      <c r="G1729" s="7">
        <f t="shared" si="223"/>
        <v>0.441018766756032</v>
      </c>
    </row>
    <row r="1730" ht="124" spans="1:7">
      <c r="A1730" s="18">
        <v>12.63</v>
      </c>
      <c r="B1730" s="15" t="s">
        <v>2457</v>
      </c>
      <c r="C1730" s="13" t="s">
        <v>11</v>
      </c>
      <c r="D1730" s="17">
        <v>357.6</v>
      </c>
      <c r="E1730" s="5" t="s">
        <v>8</v>
      </c>
      <c r="F1730" s="6">
        <v>254.65</v>
      </c>
      <c r="G1730" s="7">
        <f t="shared" si="223"/>
        <v>0.40428038484194</v>
      </c>
    </row>
    <row r="1731" ht="124" spans="1:7">
      <c r="A1731" s="14">
        <v>12.64</v>
      </c>
      <c r="B1731" s="15" t="s">
        <v>2458</v>
      </c>
      <c r="C1731" s="13"/>
      <c r="D1731" s="16"/>
    </row>
    <row r="1732" ht="31" spans="1:7">
      <c r="A1732" s="14" t="s">
        <v>2459</v>
      </c>
      <c r="B1732" s="12" t="s">
        <v>2460</v>
      </c>
      <c r="C1732" s="13" t="s">
        <v>11</v>
      </c>
      <c r="D1732" s="17">
        <v>1034.1</v>
      </c>
    </row>
    <row r="1733" ht="31" spans="1:7">
      <c r="A1733" s="14" t="s">
        <v>2461</v>
      </c>
      <c r="B1733" s="12" t="s">
        <v>2462</v>
      </c>
      <c r="C1733" s="13" t="s">
        <v>11</v>
      </c>
      <c r="D1733" s="17">
        <v>1252.75</v>
      </c>
    </row>
    <row r="1734" ht="31" spans="1:7">
      <c r="A1734" s="14" t="s">
        <v>2463</v>
      </c>
      <c r="B1734" s="12" t="s">
        <v>2464</v>
      </c>
      <c r="C1734" s="13" t="s">
        <v>11</v>
      </c>
      <c r="D1734" s="17">
        <v>1572.8</v>
      </c>
    </row>
    <row r="1735" ht="46.5" spans="1:7">
      <c r="A1735" s="14" t="s">
        <v>2465</v>
      </c>
      <c r="B1735" s="12" t="s">
        <v>2466</v>
      </c>
      <c r="C1735" s="13" t="s">
        <v>11</v>
      </c>
      <c r="D1735" s="17">
        <v>1313.7</v>
      </c>
    </row>
    <row r="1736" ht="46.5" spans="1:7">
      <c r="A1736" s="14" t="s">
        <v>2467</v>
      </c>
      <c r="B1736" s="12" t="s">
        <v>2468</v>
      </c>
      <c r="C1736" s="13" t="s">
        <v>11</v>
      </c>
      <c r="D1736" s="17">
        <v>1616.45</v>
      </c>
    </row>
    <row r="1737" ht="46.5" spans="1:7">
      <c r="A1737" s="14" t="s">
        <v>2469</v>
      </c>
      <c r="B1737" s="12" t="s">
        <v>2470</v>
      </c>
      <c r="C1737" s="13" t="s">
        <v>11</v>
      </c>
      <c r="D1737" s="17">
        <v>2026.4</v>
      </c>
    </row>
    <row r="1738" ht="31" spans="1:7">
      <c r="A1738" s="14" t="s">
        <v>2471</v>
      </c>
      <c r="B1738" s="12" t="s">
        <v>2472</v>
      </c>
      <c r="C1738" s="13" t="s">
        <v>11</v>
      </c>
      <c r="D1738" s="17">
        <v>1012.15</v>
      </c>
    </row>
    <row r="1739" ht="31" spans="1:7">
      <c r="A1739" s="14" t="s">
        <v>2473</v>
      </c>
      <c r="B1739" s="12" t="s">
        <v>2474</v>
      </c>
      <c r="C1739" s="13" t="s">
        <v>11</v>
      </c>
      <c r="D1739" s="17">
        <v>1256.95</v>
      </c>
    </row>
    <row r="1740" ht="31" spans="1:7">
      <c r="A1740" s="14" t="s">
        <v>2475</v>
      </c>
      <c r="B1740" s="12" t="s">
        <v>2476</v>
      </c>
      <c r="C1740" s="13" t="s">
        <v>11</v>
      </c>
      <c r="D1740" s="17">
        <v>1596.45</v>
      </c>
    </row>
    <row r="1741" ht="124" spans="1:7">
      <c r="A1741" s="14">
        <v>12.65</v>
      </c>
      <c r="B1741" s="15" t="s">
        <v>2477</v>
      </c>
      <c r="C1741" s="13"/>
      <c r="D1741" s="16"/>
    </row>
    <row r="1742" ht="31" spans="1:7">
      <c r="A1742" s="14" t="s">
        <v>2478</v>
      </c>
      <c r="B1742" s="12" t="s">
        <v>2479</v>
      </c>
      <c r="C1742" s="13" t="s">
        <v>11</v>
      </c>
      <c r="D1742" s="17">
        <v>1176.7</v>
      </c>
    </row>
    <row r="1743" ht="31" spans="1:7">
      <c r="A1743" s="14" t="s">
        <v>2480</v>
      </c>
      <c r="B1743" s="12" t="s">
        <v>2481</v>
      </c>
      <c r="C1743" s="13" t="s">
        <v>11</v>
      </c>
      <c r="D1743" s="17">
        <v>1430.2</v>
      </c>
    </row>
    <row r="1744" ht="31" spans="1:7">
      <c r="A1744" s="14" t="s">
        <v>2482</v>
      </c>
      <c r="B1744" s="12" t="s">
        <v>2483</v>
      </c>
      <c r="C1744" s="13" t="s">
        <v>11</v>
      </c>
      <c r="D1744" s="17">
        <v>1797.75</v>
      </c>
    </row>
    <row r="1745" ht="46.5" spans="1:4">
      <c r="A1745" s="14" t="s">
        <v>2484</v>
      </c>
      <c r="B1745" s="12" t="s">
        <v>2485</v>
      </c>
      <c r="C1745" s="13" t="s">
        <v>11</v>
      </c>
      <c r="D1745" s="17">
        <v>1484</v>
      </c>
    </row>
    <row r="1746" ht="46.5" spans="1:4">
      <c r="A1746" s="14" t="s">
        <v>2486</v>
      </c>
      <c r="B1746" s="12" t="s">
        <v>2487</v>
      </c>
      <c r="C1746" s="13" t="s">
        <v>11</v>
      </c>
      <c r="D1746" s="17">
        <v>1865.6</v>
      </c>
    </row>
    <row r="1747" ht="46.5" spans="1:4">
      <c r="A1747" s="14" t="s">
        <v>2488</v>
      </c>
      <c r="B1747" s="12" t="s">
        <v>2489</v>
      </c>
      <c r="C1747" s="13" t="s">
        <v>11</v>
      </c>
      <c r="D1747" s="17">
        <v>2335.45</v>
      </c>
    </row>
    <row r="1748" ht="31" spans="1:4">
      <c r="A1748" s="14" t="s">
        <v>2490</v>
      </c>
      <c r="B1748" s="12" t="s">
        <v>2491</v>
      </c>
      <c r="C1748" s="13" t="s">
        <v>11</v>
      </c>
      <c r="D1748" s="17">
        <v>1221.15</v>
      </c>
    </row>
    <row r="1749" ht="31" spans="1:4">
      <c r="A1749" s="14" t="s">
        <v>2492</v>
      </c>
      <c r="B1749" s="12" t="s">
        <v>2493</v>
      </c>
      <c r="C1749" s="13" t="s">
        <v>11</v>
      </c>
      <c r="D1749" s="17">
        <v>1533</v>
      </c>
    </row>
    <row r="1750" ht="77.5" spans="1:4">
      <c r="A1750" s="14">
        <v>12.66</v>
      </c>
      <c r="B1750" s="15" t="s">
        <v>2494</v>
      </c>
      <c r="C1750" s="13"/>
      <c r="D1750" s="16"/>
    </row>
    <row r="1751" spans="1:4">
      <c r="A1751" s="14" t="s">
        <v>2495</v>
      </c>
      <c r="B1751" s="12" t="s">
        <v>2496</v>
      </c>
      <c r="C1751" s="13" t="s">
        <v>39</v>
      </c>
      <c r="D1751" s="17">
        <v>1066.2</v>
      </c>
    </row>
    <row r="1752" spans="1:4">
      <c r="A1752" s="14" t="s">
        <v>2497</v>
      </c>
      <c r="B1752" s="12" t="s">
        <v>2498</v>
      </c>
      <c r="C1752" s="13" t="s">
        <v>39</v>
      </c>
      <c r="D1752" s="17">
        <v>977.15</v>
      </c>
    </row>
    <row r="1753" spans="1:4">
      <c r="A1753" s="14" t="s">
        <v>2499</v>
      </c>
      <c r="B1753" s="12" t="s">
        <v>2500</v>
      </c>
      <c r="C1753" s="13" t="s">
        <v>39</v>
      </c>
      <c r="D1753" s="17">
        <v>1055.9</v>
      </c>
    </row>
    <row r="1754" spans="1:4">
      <c r="A1754" s="14" t="s">
        <v>2501</v>
      </c>
      <c r="B1754" s="12" t="s">
        <v>2502</v>
      </c>
      <c r="C1754" s="13" t="s">
        <v>39</v>
      </c>
      <c r="D1754" s="17">
        <v>813.25</v>
      </c>
    </row>
    <row r="1755" spans="1:4">
      <c r="A1755" s="14" t="s">
        <v>2503</v>
      </c>
      <c r="B1755" s="12" t="s">
        <v>2504</v>
      </c>
      <c r="C1755" s="13" t="s">
        <v>39</v>
      </c>
      <c r="D1755" s="17">
        <v>914.7</v>
      </c>
    </row>
    <row r="1756" spans="1:4">
      <c r="A1756" s="14" t="s">
        <v>2505</v>
      </c>
      <c r="B1756" s="12" t="s">
        <v>2506</v>
      </c>
      <c r="C1756" s="13" t="s">
        <v>39</v>
      </c>
      <c r="D1756" s="17">
        <v>1808.65</v>
      </c>
    </row>
    <row r="1757" spans="1:4">
      <c r="A1757" s="6"/>
      <c r="D1757" s="22"/>
    </row>
    <row r="1758" spans="1:4">
      <c r="A1758" s="6"/>
      <c r="D1758" s="22"/>
    </row>
    <row r="1759" spans="1:4">
      <c r="A1759" s="6"/>
      <c r="D1759" s="22"/>
    </row>
    <row r="1760" spans="1:4">
      <c r="A1760" s="6"/>
      <c r="D1760" s="22"/>
    </row>
    <row r="1761" spans="1:7">
      <c r="A1761" s="6"/>
      <c r="D1761" s="22"/>
    </row>
    <row r="1762" spans="1:7">
      <c r="A1762" s="6"/>
      <c r="D1762" s="22"/>
    </row>
    <row r="1763" spans="1:7">
      <c r="A1763" s="6"/>
      <c r="D1763" s="22"/>
    </row>
    <row r="1764" spans="1:7">
      <c r="A1764" s="5" t="s">
        <v>2507</v>
      </c>
      <c r="C1764" s="5"/>
      <c r="D1764" s="5"/>
    </row>
    <row r="1765" spans="1:7">
      <c r="A1765" s="14" t="s">
        <v>166</v>
      </c>
      <c r="B1765" s="15" t="s">
        <v>2</v>
      </c>
      <c r="C1765" s="13" t="s">
        <v>167</v>
      </c>
      <c r="D1765" s="16" t="s">
        <v>4</v>
      </c>
    </row>
    <row r="1766" ht="31" spans="1:7">
      <c r="A1766" s="14"/>
      <c r="B1766" s="15" t="s">
        <v>2508</v>
      </c>
      <c r="C1766" s="13"/>
      <c r="D1766" s="16"/>
    </row>
    <row r="1767" spans="1:7">
      <c r="A1767" s="14"/>
      <c r="B1767" s="15" t="s">
        <v>2509</v>
      </c>
      <c r="C1767" s="13"/>
      <c r="D1767" s="16"/>
      <c r="E1767" s="5" t="s">
        <v>8</v>
      </c>
    </row>
    <row r="1768" spans="1:7">
      <c r="A1768" s="14">
        <v>13.1</v>
      </c>
      <c r="B1768" s="15" t="s">
        <v>2510</v>
      </c>
      <c r="C1768" s="13"/>
      <c r="D1768" s="16"/>
      <c r="E1768" s="5" t="s">
        <v>8</v>
      </c>
    </row>
    <row r="1769" spans="1:7">
      <c r="A1769" s="14" t="s">
        <v>2511</v>
      </c>
      <c r="B1769" s="12" t="s">
        <v>2512</v>
      </c>
      <c r="C1769" s="13" t="s">
        <v>11</v>
      </c>
      <c r="D1769" s="17">
        <v>347.05</v>
      </c>
      <c r="E1769" s="5" t="s">
        <v>8</v>
      </c>
      <c r="F1769" s="6">
        <v>172.95</v>
      </c>
      <c r="G1769" s="7">
        <f t="shared" ref="G1769:G1773" si="224">(D1769-F1769)/F1769</f>
        <v>1.00664932061289</v>
      </c>
    </row>
    <row r="1770" spans="1:7">
      <c r="A1770" s="14" t="s">
        <v>2513</v>
      </c>
      <c r="B1770" s="12" t="s">
        <v>2514</v>
      </c>
      <c r="C1770" s="13" t="s">
        <v>11</v>
      </c>
      <c r="D1770" s="17">
        <v>333.35</v>
      </c>
      <c r="E1770" s="5" t="s">
        <v>8</v>
      </c>
      <c r="F1770" s="6">
        <v>160.35</v>
      </c>
      <c r="G1770" s="7">
        <f t="shared" si="224"/>
        <v>1.07888992828188</v>
      </c>
    </row>
    <row r="1771" spans="1:7">
      <c r="A1771" s="14">
        <v>13.2</v>
      </c>
      <c r="B1771" s="15" t="s">
        <v>2515</v>
      </c>
      <c r="C1771" s="13"/>
      <c r="D1771" s="16"/>
    </row>
    <row r="1772" spans="1:7">
      <c r="A1772" s="14" t="s">
        <v>2516</v>
      </c>
      <c r="B1772" s="12" t="s">
        <v>2512</v>
      </c>
      <c r="C1772" s="13" t="s">
        <v>11</v>
      </c>
      <c r="D1772" s="17">
        <v>399.45</v>
      </c>
      <c r="E1772" s="5" t="s">
        <v>8</v>
      </c>
      <c r="F1772" s="6">
        <v>200.25</v>
      </c>
      <c r="G1772" s="7">
        <f t="shared" si="224"/>
        <v>0.994756554307116</v>
      </c>
    </row>
    <row r="1773" spans="1:7">
      <c r="A1773" s="14" t="s">
        <v>2517</v>
      </c>
      <c r="B1773" s="12" t="s">
        <v>2514</v>
      </c>
      <c r="C1773" s="13" t="s">
        <v>11</v>
      </c>
      <c r="D1773" s="17">
        <v>383</v>
      </c>
      <c r="E1773" s="5" t="s">
        <v>8</v>
      </c>
      <c r="F1773" s="6">
        <v>185.2</v>
      </c>
      <c r="G1773" s="7">
        <f t="shared" si="224"/>
        <v>1.06803455723542</v>
      </c>
    </row>
    <row r="1774" spans="1:7">
      <c r="A1774" s="14">
        <v>13.3</v>
      </c>
      <c r="B1774" s="15" t="s">
        <v>2518</v>
      </c>
      <c r="C1774" s="13"/>
      <c r="D1774" s="16"/>
    </row>
    <row r="1775" spans="1:7">
      <c r="A1775" s="14" t="s">
        <v>2519</v>
      </c>
      <c r="B1775" s="12" t="s">
        <v>2512</v>
      </c>
      <c r="C1775" s="13" t="s">
        <v>11</v>
      </c>
      <c r="D1775" s="17">
        <v>471.35</v>
      </c>
      <c r="E1775" s="5" t="s">
        <v>8</v>
      </c>
      <c r="F1775" s="6">
        <v>240.15</v>
      </c>
      <c r="G1775" s="7">
        <f t="shared" ref="G1775:G1780" si="225">(D1775-F1775)/F1775</f>
        <v>0.962731626067041</v>
      </c>
    </row>
    <row r="1776" spans="1:7">
      <c r="A1776" s="14" t="s">
        <v>2520</v>
      </c>
      <c r="B1776" s="12" t="s">
        <v>2514</v>
      </c>
      <c r="C1776" s="13" t="s">
        <v>11</v>
      </c>
      <c r="D1776" s="17">
        <v>450</v>
      </c>
      <c r="E1776" s="5" t="s">
        <v>8</v>
      </c>
      <c r="F1776" s="6">
        <v>220.6</v>
      </c>
      <c r="G1776" s="7">
        <f t="shared" si="225"/>
        <v>1.03989120580236</v>
      </c>
    </row>
    <row r="1777" spans="1:7">
      <c r="A1777" s="14"/>
      <c r="B1777" s="15" t="s">
        <v>2521</v>
      </c>
      <c r="C1777" s="13"/>
      <c r="D1777" s="16"/>
    </row>
    <row r="1778" spans="1:7">
      <c r="A1778" s="14">
        <v>13.4</v>
      </c>
      <c r="B1778" s="15" t="s">
        <v>2510</v>
      </c>
      <c r="C1778" s="13"/>
      <c r="D1778" s="16"/>
    </row>
    <row r="1779" spans="1:7">
      <c r="A1779" s="14" t="s">
        <v>2522</v>
      </c>
      <c r="B1779" s="12" t="s">
        <v>2523</v>
      </c>
      <c r="C1779" s="13" t="s">
        <v>11</v>
      </c>
      <c r="D1779" s="17">
        <v>357.35</v>
      </c>
      <c r="E1779" s="5" t="s">
        <v>8</v>
      </c>
      <c r="F1779" s="6">
        <v>180.85</v>
      </c>
      <c r="G1779" s="7">
        <f t="shared" si="225"/>
        <v>0.975946917334808</v>
      </c>
    </row>
    <row r="1780" spans="1:7">
      <c r="A1780" s="14" t="s">
        <v>2524</v>
      </c>
      <c r="B1780" s="12" t="s">
        <v>2525</v>
      </c>
      <c r="C1780" s="13" t="s">
        <v>11</v>
      </c>
      <c r="D1780" s="17">
        <v>343.65</v>
      </c>
      <c r="E1780" s="5" t="s">
        <v>8</v>
      </c>
      <c r="F1780" s="6">
        <v>168.25</v>
      </c>
      <c r="G1780" s="7">
        <f t="shared" si="225"/>
        <v>1.04249628528975</v>
      </c>
    </row>
    <row r="1781" spans="1:7">
      <c r="A1781" s="14">
        <v>13.5</v>
      </c>
      <c r="B1781" s="15" t="s">
        <v>2526</v>
      </c>
      <c r="C1781" s="13"/>
      <c r="D1781" s="16"/>
    </row>
    <row r="1782" spans="1:7">
      <c r="A1782" s="14" t="s">
        <v>2527</v>
      </c>
      <c r="B1782" s="12" t="s">
        <v>2523</v>
      </c>
      <c r="C1782" s="13" t="s">
        <v>11</v>
      </c>
      <c r="D1782" s="17">
        <v>411.75</v>
      </c>
      <c r="E1782" s="5" t="s">
        <v>8</v>
      </c>
      <c r="F1782" s="6">
        <v>209.65</v>
      </c>
      <c r="G1782" s="7">
        <f t="shared" ref="G1782:G1786" si="226">(D1782-F1782)/F1782</f>
        <v>0.963987598378249</v>
      </c>
    </row>
    <row r="1783" spans="1:7">
      <c r="A1783" s="14" t="s">
        <v>2528</v>
      </c>
      <c r="B1783" s="12" t="s">
        <v>2525</v>
      </c>
      <c r="C1783" s="13" t="s">
        <v>11</v>
      </c>
      <c r="D1783" s="17">
        <v>395.35</v>
      </c>
      <c r="E1783" s="5" t="s">
        <v>8</v>
      </c>
      <c r="F1783" s="6">
        <v>194.6</v>
      </c>
      <c r="G1783" s="7">
        <f t="shared" si="226"/>
        <v>1.03160328879753</v>
      </c>
    </row>
    <row r="1784" spans="1:7">
      <c r="A1784" s="14">
        <v>13.6</v>
      </c>
      <c r="B1784" s="15" t="s">
        <v>2518</v>
      </c>
      <c r="C1784" s="13"/>
      <c r="D1784" s="16"/>
    </row>
    <row r="1785" spans="1:7">
      <c r="A1785" s="14" t="s">
        <v>2529</v>
      </c>
      <c r="B1785" s="12" t="s">
        <v>2523</v>
      </c>
      <c r="C1785" s="13" t="s">
        <v>11</v>
      </c>
      <c r="D1785" s="17">
        <v>487.4</v>
      </c>
      <c r="E1785" s="5" t="s">
        <v>8</v>
      </c>
      <c r="F1785" s="6">
        <v>252.4</v>
      </c>
      <c r="G1785" s="7">
        <f t="shared" si="226"/>
        <v>0.931061806656101</v>
      </c>
    </row>
    <row r="1786" spans="1:7">
      <c r="A1786" s="14" t="s">
        <v>2530</v>
      </c>
      <c r="B1786" s="12" t="s">
        <v>2525</v>
      </c>
      <c r="C1786" s="13" t="s">
        <v>11</v>
      </c>
      <c r="D1786" s="17">
        <v>466.05</v>
      </c>
      <c r="E1786" s="5" t="s">
        <v>8</v>
      </c>
      <c r="F1786" s="6">
        <v>232.85</v>
      </c>
      <c r="G1786" s="7">
        <f t="shared" si="226"/>
        <v>1.00150311359244</v>
      </c>
    </row>
    <row r="1787" spans="1:7">
      <c r="A1787" s="14"/>
      <c r="B1787" s="15" t="s">
        <v>2531</v>
      </c>
      <c r="C1787" s="13"/>
      <c r="D1787" s="17"/>
    </row>
    <row r="1788" spans="1:7">
      <c r="A1788" s="14">
        <v>13.7</v>
      </c>
      <c r="B1788" s="15" t="s">
        <v>2532</v>
      </c>
      <c r="C1788" s="13"/>
      <c r="D1788" s="16"/>
    </row>
    <row r="1789" spans="1:7">
      <c r="A1789" s="14" t="s">
        <v>2533</v>
      </c>
      <c r="B1789" s="12" t="s">
        <v>2534</v>
      </c>
      <c r="C1789" s="13" t="s">
        <v>11</v>
      </c>
      <c r="D1789" s="17">
        <v>439.25</v>
      </c>
      <c r="E1789" s="5" t="s">
        <v>8</v>
      </c>
      <c r="F1789" s="6">
        <v>226.8</v>
      </c>
      <c r="G1789" s="7">
        <f t="shared" ref="G1789:G1793" si="227">(D1789-F1789)/F1789</f>
        <v>0.936728395061728</v>
      </c>
    </row>
    <row r="1790" spans="1:7">
      <c r="A1790" s="14" t="s">
        <v>2535</v>
      </c>
      <c r="B1790" s="12" t="s">
        <v>2512</v>
      </c>
      <c r="C1790" s="13" t="s">
        <v>11</v>
      </c>
      <c r="D1790" s="17">
        <v>425.55</v>
      </c>
      <c r="E1790" s="5" t="s">
        <v>8</v>
      </c>
      <c r="F1790" s="6">
        <v>214.2</v>
      </c>
      <c r="G1790" s="7">
        <f t="shared" si="227"/>
        <v>0.986694677871149</v>
      </c>
    </row>
    <row r="1791" ht="31" spans="1:7">
      <c r="A1791" s="14">
        <v>13.8</v>
      </c>
      <c r="B1791" s="15" t="s">
        <v>2536</v>
      </c>
      <c r="C1791" s="13"/>
      <c r="D1791" s="16"/>
    </row>
    <row r="1792" spans="1:7">
      <c r="A1792" s="14" t="s">
        <v>2537</v>
      </c>
      <c r="B1792" s="12" t="s">
        <v>2534</v>
      </c>
      <c r="C1792" s="13" t="s">
        <v>11</v>
      </c>
      <c r="D1792" s="17">
        <v>494.3</v>
      </c>
      <c r="E1792" s="5" t="s">
        <v>8</v>
      </c>
      <c r="F1792" s="6">
        <v>256.55</v>
      </c>
      <c r="G1792" s="7">
        <f t="shared" si="227"/>
        <v>0.926719937633989</v>
      </c>
    </row>
    <row r="1793" spans="1:7">
      <c r="A1793" s="14" t="s">
        <v>2538</v>
      </c>
      <c r="B1793" s="12" t="s">
        <v>2512</v>
      </c>
      <c r="C1793" s="13" t="s">
        <v>11</v>
      </c>
      <c r="D1793" s="17">
        <v>477.9</v>
      </c>
      <c r="E1793" s="5" t="s">
        <v>8</v>
      </c>
      <c r="F1793" s="6">
        <v>241.5</v>
      </c>
      <c r="G1793" s="7">
        <f t="shared" si="227"/>
        <v>0.97888198757764</v>
      </c>
    </row>
    <row r="1794" spans="1:7">
      <c r="A1794" s="14">
        <v>13.9</v>
      </c>
      <c r="B1794" s="15" t="s">
        <v>2539</v>
      </c>
      <c r="C1794" s="13"/>
      <c r="D1794" s="16"/>
    </row>
    <row r="1795" spans="1:7">
      <c r="A1795" s="14" t="s">
        <v>2540</v>
      </c>
      <c r="B1795" s="12" t="s">
        <v>2541</v>
      </c>
      <c r="C1795" s="13" t="s">
        <v>11</v>
      </c>
      <c r="D1795" s="17">
        <v>449.55</v>
      </c>
      <c r="E1795" s="5" t="s">
        <v>8</v>
      </c>
      <c r="F1795" s="6">
        <v>234.7</v>
      </c>
      <c r="G1795" s="7">
        <f t="shared" ref="G1795:G1797" si="228">(D1795-F1795)/F1795</f>
        <v>0.915423945462292</v>
      </c>
    </row>
    <row r="1796" spans="1:7">
      <c r="A1796" s="14" t="s">
        <v>2542</v>
      </c>
      <c r="B1796" s="12" t="s">
        <v>2543</v>
      </c>
      <c r="C1796" s="13" t="s">
        <v>11</v>
      </c>
      <c r="D1796" s="17">
        <v>587.2</v>
      </c>
      <c r="E1796" s="5" t="s">
        <v>8</v>
      </c>
      <c r="F1796" s="6">
        <v>313.25</v>
      </c>
      <c r="G1796" s="7">
        <f t="shared" si="228"/>
        <v>0.874541101356744</v>
      </c>
    </row>
    <row r="1797" ht="31" spans="1:7">
      <c r="A1797" s="18">
        <v>13.1</v>
      </c>
      <c r="B1797" s="15" t="s">
        <v>2544</v>
      </c>
      <c r="C1797" s="13" t="s">
        <v>11</v>
      </c>
      <c r="D1797" s="17">
        <v>506.6</v>
      </c>
      <c r="F1797" s="6">
        <v>265.95</v>
      </c>
      <c r="G1797" s="7">
        <f t="shared" si="228"/>
        <v>0.904869336341418</v>
      </c>
    </row>
    <row r="1798" spans="1:7">
      <c r="A1798" s="18"/>
      <c r="B1798" s="15" t="s">
        <v>2545</v>
      </c>
      <c r="C1798" s="13"/>
      <c r="D1798" s="17"/>
    </row>
    <row r="1799" ht="46.5" spans="1:7">
      <c r="A1799" s="18">
        <v>13.11</v>
      </c>
      <c r="B1799" s="15" t="s">
        <v>2546</v>
      </c>
      <c r="C1799" s="13" t="s">
        <v>11</v>
      </c>
      <c r="D1799" s="17">
        <v>518.55</v>
      </c>
      <c r="E1799" s="5" t="s">
        <v>8</v>
      </c>
      <c r="F1799" s="6">
        <v>255.55</v>
      </c>
      <c r="G1799" s="7">
        <f t="shared" ref="G1799:G1803" si="229">(D1799-F1799)/F1799</f>
        <v>1.02915280766973</v>
      </c>
    </row>
    <row r="1800" ht="46.5" spans="1:7">
      <c r="A1800" s="18">
        <v>13.12</v>
      </c>
      <c r="B1800" s="15" t="s">
        <v>2547</v>
      </c>
      <c r="C1800" s="13" t="s">
        <v>11</v>
      </c>
      <c r="D1800" s="17">
        <v>537.45</v>
      </c>
      <c r="E1800" s="5" t="s">
        <v>8</v>
      </c>
      <c r="F1800" s="6">
        <v>272.05</v>
      </c>
      <c r="G1800" s="7">
        <f t="shared" si="229"/>
        <v>0.97555596397721</v>
      </c>
    </row>
    <row r="1801" spans="1:7">
      <c r="A1801" s="18">
        <v>13.13</v>
      </c>
      <c r="B1801" s="15" t="s">
        <v>2548</v>
      </c>
      <c r="C1801" s="13" t="s">
        <v>11</v>
      </c>
      <c r="D1801" s="17">
        <v>378.7</v>
      </c>
      <c r="E1801" s="5" t="s">
        <v>8</v>
      </c>
      <c r="F1801" s="6">
        <v>201.95</v>
      </c>
      <c r="G1801" s="7">
        <f t="shared" si="229"/>
        <v>0.875216637781629</v>
      </c>
    </row>
    <row r="1802" ht="31" spans="1:7">
      <c r="A1802" s="18">
        <v>13.14</v>
      </c>
      <c r="B1802" s="15" t="s">
        <v>2549</v>
      </c>
      <c r="C1802" s="13" t="s">
        <v>11</v>
      </c>
      <c r="D1802" s="17">
        <v>437.2</v>
      </c>
      <c r="E1802" s="5" t="s">
        <v>8</v>
      </c>
      <c r="F1802" s="6">
        <v>234.9</v>
      </c>
      <c r="G1802" s="7">
        <f t="shared" si="229"/>
        <v>0.861217539378459</v>
      </c>
    </row>
    <row r="1803" spans="1:7">
      <c r="A1803" s="18">
        <v>13.15</v>
      </c>
      <c r="B1803" s="15" t="s">
        <v>2550</v>
      </c>
      <c r="C1803" s="13" t="s">
        <v>11</v>
      </c>
      <c r="D1803" s="17">
        <v>520.55</v>
      </c>
      <c r="E1803" s="5" t="s">
        <v>8</v>
      </c>
      <c r="F1803" s="6">
        <v>285.3</v>
      </c>
      <c r="G1803" s="7">
        <f t="shared" si="229"/>
        <v>0.824570627409744</v>
      </c>
    </row>
    <row r="1804" spans="1:7">
      <c r="A1804" s="14"/>
      <c r="B1804" s="15" t="s">
        <v>2551</v>
      </c>
      <c r="C1804" s="13"/>
      <c r="D1804" s="16"/>
    </row>
    <row r="1805" spans="1:7">
      <c r="A1805" s="18">
        <v>13.16</v>
      </c>
      <c r="B1805" s="15" t="s">
        <v>2552</v>
      </c>
      <c r="C1805" s="13"/>
      <c r="D1805" s="16"/>
    </row>
    <row r="1806" spans="1:7">
      <c r="A1806" s="14" t="s">
        <v>2553</v>
      </c>
      <c r="B1806" s="12" t="s">
        <v>2554</v>
      </c>
      <c r="C1806" s="13" t="s">
        <v>11</v>
      </c>
      <c r="D1806" s="17">
        <v>300.45</v>
      </c>
      <c r="E1806" s="5" t="s">
        <v>8</v>
      </c>
      <c r="F1806" s="6">
        <v>143.8</v>
      </c>
      <c r="G1806" s="7">
        <f t="shared" ref="G1806:G1808" si="230">(D1806-F1806)/F1806</f>
        <v>1.08936022253129</v>
      </c>
    </row>
    <row r="1807" ht="46.5" spans="1:7">
      <c r="A1807" s="18">
        <v>13.17</v>
      </c>
      <c r="B1807" s="15" t="s">
        <v>2555</v>
      </c>
      <c r="C1807" s="13" t="s">
        <v>11</v>
      </c>
      <c r="D1807" s="17">
        <v>396.65</v>
      </c>
      <c r="E1807" s="11"/>
      <c r="F1807" s="6">
        <v>192.85</v>
      </c>
      <c r="G1807" s="7">
        <f t="shared" si="230"/>
        <v>1.05677988073632</v>
      </c>
    </row>
    <row r="1808" spans="1:7">
      <c r="A1808" s="18">
        <v>13.18</v>
      </c>
      <c r="B1808" s="15" t="s">
        <v>2556</v>
      </c>
      <c r="C1808" s="13" t="s">
        <v>11</v>
      </c>
      <c r="D1808" s="17">
        <v>79.95</v>
      </c>
      <c r="E1808" s="5" t="s">
        <v>8</v>
      </c>
      <c r="F1808" s="6">
        <v>42.6</v>
      </c>
      <c r="G1808" s="7">
        <f t="shared" si="230"/>
        <v>0.876760563380282</v>
      </c>
    </row>
    <row r="1809" spans="1:7">
      <c r="A1809" s="14"/>
      <c r="B1809" s="15" t="s">
        <v>2557</v>
      </c>
      <c r="C1809" s="13"/>
      <c r="D1809" s="16"/>
    </row>
    <row r="1810" ht="77.5" spans="1:7">
      <c r="A1810" s="18">
        <v>13.19</v>
      </c>
      <c r="B1810" s="15" t="s">
        <v>2558</v>
      </c>
      <c r="C1810" s="13"/>
      <c r="D1810" s="16"/>
      <c r="F1810" s="8"/>
    </row>
    <row r="1811" spans="1:7">
      <c r="A1811" s="14" t="s">
        <v>2559</v>
      </c>
      <c r="B1811" s="12" t="s">
        <v>2560</v>
      </c>
      <c r="C1811" s="13" t="s">
        <v>11</v>
      </c>
      <c r="D1811" s="17">
        <v>886.6</v>
      </c>
      <c r="F1811" s="6">
        <v>438.9</v>
      </c>
      <c r="G1811" s="7">
        <f t="shared" ref="G1811:G1815" si="231">(D1811-F1811)/F1811</f>
        <v>1.02005012531328</v>
      </c>
    </row>
    <row r="1812" spans="1:7">
      <c r="A1812" s="14"/>
      <c r="B1812" s="15" t="s">
        <v>2561</v>
      </c>
      <c r="C1812" s="13"/>
      <c r="D1812" s="16"/>
      <c r="F1812" s="8"/>
    </row>
    <row r="1813" ht="77.5" spans="1:7">
      <c r="A1813" s="18">
        <v>13.2</v>
      </c>
      <c r="B1813" s="15" t="s">
        <v>2562</v>
      </c>
      <c r="C1813" s="13" t="s">
        <v>11</v>
      </c>
      <c r="D1813" s="17">
        <v>829.95</v>
      </c>
      <c r="F1813" s="6">
        <v>415</v>
      </c>
      <c r="G1813" s="7">
        <f t="shared" si="231"/>
        <v>0.999879518072289</v>
      </c>
    </row>
    <row r="1814" ht="62" spans="1:7">
      <c r="A1814" s="18">
        <v>13.21</v>
      </c>
      <c r="B1814" s="15" t="s">
        <v>2563</v>
      </c>
      <c r="C1814" s="13" t="s">
        <v>2564</v>
      </c>
      <c r="D1814" s="17">
        <v>22.1</v>
      </c>
      <c r="E1814" s="5" t="s">
        <v>8</v>
      </c>
      <c r="F1814" s="6">
        <v>50.35</v>
      </c>
      <c r="G1814" s="7">
        <f t="shared" si="231"/>
        <v>-0.561072492552135</v>
      </c>
    </row>
    <row r="1815" ht="31" spans="1:7">
      <c r="A1815" s="18">
        <v>13.22</v>
      </c>
      <c r="B1815" s="15" t="s">
        <v>2565</v>
      </c>
      <c r="C1815" s="13" t="s">
        <v>11</v>
      </c>
      <c r="D1815" s="40">
        <v>87.1</v>
      </c>
      <c r="E1815" s="5" t="s">
        <v>8</v>
      </c>
      <c r="F1815" s="6">
        <v>40.65</v>
      </c>
      <c r="G1815" s="7">
        <f t="shared" si="231"/>
        <v>1.14268142681427</v>
      </c>
    </row>
    <row r="1816" spans="1:7">
      <c r="A1816" s="18">
        <v>13.23</v>
      </c>
      <c r="B1816" s="15" t="s">
        <v>2566</v>
      </c>
      <c r="C1816" s="13"/>
      <c r="D1816" s="16"/>
      <c r="E1816" s="5" t="s">
        <v>8</v>
      </c>
    </row>
    <row r="1817" spans="1:7">
      <c r="A1817" s="14" t="s">
        <v>2567</v>
      </c>
      <c r="B1817" s="12" t="s">
        <v>2568</v>
      </c>
      <c r="C1817" s="13" t="s">
        <v>11</v>
      </c>
      <c r="D1817" s="17">
        <v>47.65</v>
      </c>
      <c r="E1817" s="11"/>
      <c r="F1817" s="6">
        <v>20.85</v>
      </c>
      <c r="G1817" s="7">
        <f t="shared" ref="G1817:G1821" si="232">(D1817-F1817)/F1817</f>
        <v>1.28537170263789</v>
      </c>
    </row>
    <row r="1818" spans="1:7">
      <c r="A1818" s="14" t="s">
        <v>2569</v>
      </c>
      <c r="B1818" s="12" t="s">
        <v>2570</v>
      </c>
      <c r="C1818" s="13" t="s">
        <v>11</v>
      </c>
      <c r="D1818" s="17">
        <v>72.3</v>
      </c>
      <c r="E1818" s="11"/>
      <c r="F1818" s="6">
        <v>31.8</v>
      </c>
      <c r="G1818" s="7">
        <f t="shared" si="232"/>
        <v>1.27358490566038</v>
      </c>
    </row>
    <row r="1819" ht="31" spans="1:7">
      <c r="A1819" s="18">
        <v>13.24</v>
      </c>
      <c r="B1819" s="15" t="s">
        <v>2571</v>
      </c>
      <c r="C1819" s="13"/>
      <c r="D1819" s="16"/>
      <c r="E1819" s="5" t="s">
        <v>8</v>
      </c>
    </row>
    <row r="1820" spans="1:7">
      <c r="A1820" s="14" t="s">
        <v>2572</v>
      </c>
      <c r="B1820" s="12" t="s">
        <v>2568</v>
      </c>
      <c r="C1820" s="13" t="s">
        <v>11</v>
      </c>
      <c r="D1820" s="17">
        <v>713.2</v>
      </c>
      <c r="E1820" s="11"/>
      <c r="F1820" s="6">
        <v>305.5</v>
      </c>
      <c r="G1820" s="7">
        <f t="shared" si="232"/>
        <v>1.33453355155483</v>
      </c>
    </row>
    <row r="1821" spans="1:7">
      <c r="A1821" s="14" t="s">
        <v>2573</v>
      </c>
      <c r="B1821" s="12" t="s">
        <v>2570</v>
      </c>
      <c r="C1821" s="13" t="s">
        <v>11</v>
      </c>
      <c r="D1821" s="17">
        <v>1175.75</v>
      </c>
      <c r="E1821" s="11"/>
      <c r="F1821" s="6">
        <v>503.2</v>
      </c>
      <c r="G1821" s="7">
        <f t="shared" si="232"/>
        <v>1.33654610492846</v>
      </c>
    </row>
    <row r="1822" spans="1:7">
      <c r="A1822" s="18">
        <v>13.25</v>
      </c>
      <c r="B1822" s="15" t="s">
        <v>2574</v>
      </c>
      <c r="C1822" s="13"/>
      <c r="D1822" s="16"/>
    </row>
    <row r="1823" spans="1:7">
      <c r="A1823" s="14" t="s">
        <v>2575</v>
      </c>
      <c r="B1823" s="12" t="s">
        <v>2576</v>
      </c>
      <c r="C1823" s="13" t="s">
        <v>11</v>
      </c>
      <c r="D1823" s="17">
        <v>177.6</v>
      </c>
      <c r="E1823" s="5" t="s">
        <v>8</v>
      </c>
      <c r="F1823" s="6">
        <v>77.7</v>
      </c>
      <c r="G1823" s="7">
        <f t="shared" ref="G1823:G1826" si="233">(D1823-F1823)/F1823</f>
        <v>1.28571428571429</v>
      </c>
    </row>
    <row r="1824" spans="1:7">
      <c r="A1824" s="14" t="s">
        <v>2577</v>
      </c>
      <c r="B1824" s="12" t="s">
        <v>2578</v>
      </c>
      <c r="C1824" s="13" t="s">
        <v>11</v>
      </c>
      <c r="D1824" s="17">
        <v>192.3</v>
      </c>
      <c r="E1824" s="5" t="s">
        <v>8</v>
      </c>
      <c r="F1824" s="6">
        <v>84.45</v>
      </c>
      <c r="G1824" s="7">
        <f t="shared" si="233"/>
        <v>1.27708703374778</v>
      </c>
    </row>
    <row r="1825" spans="1:7">
      <c r="A1825" s="14" t="s">
        <v>2579</v>
      </c>
      <c r="B1825" s="12" t="s">
        <v>2580</v>
      </c>
      <c r="C1825" s="13" t="s">
        <v>11</v>
      </c>
      <c r="D1825" s="17">
        <v>117.65</v>
      </c>
      <c r="E1825" s="5" t="s">
        <v>8</v>
      </c>
      <c r="F1825" s="6">
        <v>51.2</v>
      </c>
      <c r="G1825" s="7">
        <f t="shared" si="233"/>
        <v>1.2978515625</v>
      </c>
    </row>
    <row r="1826" ht="31" spans="1:7">
      <c r="A1826" s="18">
        <v>13.26</v>
      </c>
      <c r="B1826" s="15" t="s">
        <v>2581</v>
      </c>
      <c r="C1826" s="13" t="s">
        <v>11</v>
      </c>
      <c r="D1826" s="17">
        <v>262.7</v>
      </c>
      <c r="E1826" s="11"/>
      <c r="F1826" s="6">
        <v>118.7</v>
      </c>
      <c r="G1826" s="7">
        <f t="shared" si="233"/>
        <v>1.21314237573715</v>
      </c>
    </row>
    <row r="1827" spans="1:7">
      <c r="A1827" s="14"/>
      <c r="B1827" s="15" t="s">
        <v>2582</v>
      </c>
      <c r="C1827" s="13"/>
      <c r="D1827" s="16"/>
    </row>
    <row r="1828" spans="1:7">
      <c r="A1828" s="18">
        <v>13.27</v>
      </c>
      <c r="B1828" s="15" t="s">
        <v>2583</v>
      </c>
      <c r="C1828" s="13" t="s">
        <v>11</v>
      </c>
      <c r="D1828" s="17">
        <v>113.9</v>
      </c>
      <c r="F1828" s="6">
        <v>45.85</v>
      </c>
      <c r="G1828" s="7">
        <f t="shared" ref="G1828:G1834" si="234">(D1828-F1828)/F1828</f>
        <v>1.48418756815703</v>
      </c>
    </row>
    <row r="1829" spans="1:7">
      <c r="A1829" s="14"/>
      <c r="B1829" s="15" t="s">
        <v>2584</v>
      </c>
      <c r="C1829" s="13"/>
      <c r="D1829" s="16"/>
      <c r="E1829" s="5" t="s">
        <v>8</v>
      </c>
    </row>
    <row r="1830" spans="1:7">
      <c r="A1830" s="18">
        <v>13.28</v>
      </c>
      <c r="B1830" s="15" t="s">
        <v>2585</v>
      </c>
      <c r="C1830" s="13"/>
      <c r="D1830" s="16"/>
      <c r="E1830" s="5" t="s">
        <v>8</v>
      </c>
    </row>
    <row r="1831" ht="31" spans="1:7">
      <c r="A1831" s="14" t="s">
        <v>2586</v>
      </c>
      <c r="B1831" s="12" t="s">
        <v>2587</v>
      </c>
      <c r="C1831" s="13" t="s">
        <v>2588</v>
      </c>
      <c r="D1831" s="17">
        <v>7.5</v>
      </c>
      <c r="E1831" s="5" t="s">
        <v>8</v>
      </c>
      <c r="F1831" s="6">
        <v>3.45</v>
      </c>
      <c r="G1831" s="7">
        <f t="shared" si="234"/>
        <v>1.17391304347826</v>
      </c>
    </row>
    <row r="1832" ht="31" spans="1:7">
      <c r="A1832" s="14" t="s">
        <v>2589</v>
      </c>
      <c r="B1832" s="12" t="s">
        <v>2590</v>
      </c>
      <c r="C1832" s="13" t="s">
        <v>2588</v>
      </c>
      <c r="D1832" s="17">
        <v>8.2</v>
      </c>
      <c r="E1832" s="5" t="s">
        <v>8</v>
      </c>
      <c r="F1832" s="6">
        <v>3.75</v>
      </c>
      <c r="G1832" s="7">
        <f t="shared" si="234"/>
        <v>1.18666666666667</v>
      </c>
    </row>
    <row r="1833" ht="31" spans="1:7">
      <c r="A1833" s="14" t="s">
        <v>2591</v>
      </c>
      <c r="B1833" s="12" t="s">
        <v>2592</v>
      </c>
      <c r="C1833" s="13" t="s">
        <v>2588</v>
      </c>
      <c r="D1833" s="17">
        <v>9.35</v>
      </c>
      <c r="E1833" s="5" t="s">
        <v>8</v>
      </c>
      <c r="F1833" s="6">
        <v>4.25</v>
      </c>
      <c r="G1833" s="7">
        <f t="shared" si="234"/>
        <v>1.2</v>
      </c>
    </row>
    <row r="1834" ht="31" spans="1:7">
      <c r="A1834" s="14" t="s">
        <v>2593</v>
      </c>
      <c r="B1834" s="12" t="s">
        <v>2594</v>
      </c>
      <c r="C1834" s="13" t="s">
        <v>2588</v>
      </c>
      <c r="D1834" s="17">
        <v>16.1</v>
      </c>
      <c r="E1834" s="5" t="s">
        <v>8</v>
      </c>
      <c r="F1834" s="6">
        <v>7.15</v>
      </c>
      <c r="G1834" s="7">
        <f t="shared" si="234"/>
        <v>1.25174825174825</v>
      </c>
    </row>
    <row r="1835" spans="1:7">
      <c r="A1835" s="18">
        <v>13.29</v>
      </c>
      <c r="B1835" s="15" t="s">
        <v>2595</v>
      </c>
      <c r="C1835" s="13"/>
      <c r="D1835" s="16"/>
      <c r="E1835" s="5" t="s">
        <v>8</v>
      </c>
    </row>
    <row r="1836" ht="31" spans="1:7">
      <c r="A1836" s="14" t="s">
        <v>2596</v>
      </c>
      <c r="B1836" s="12" t="s">
        <v>2587</v>
      </c>
      <c r="C1836" s="13" t="s">
        <v>2588</v>
      </c>
      <c r="D1836" s="17">
        <v>9.05</v>
      </c>
      <c r="E1836" s="5" t="s">
        <v>8</v>
      </c>
      <c r="F1836" s="6">
        <v>4.25</v>
      </c>
      <c r="G1836" s="7">
        <f t="shared" ref="G1836:G1839" si="235">(D1836-F1836)/F1836</f>
        <v>1.12941176470588</v>
      </c>
    </row>
    <row r="1837" ht="31" spans="1:7">
      <c r="A1837" s="14" t="s">
        <v>2597</v>
      </c>
      <c r="B1837" s="12" t="s">
        <v>2590</v>
      </c>
      <c r="C1837" s="13" t="s">
        <v>2588</v>
      </c>
      <c r="D1837" s="17">
        <v>10</v>
      </c>
      <c r="E1837" s="5" t="s">
        <v>8</v>
      </c>
      <c r="F1837" s="6">
        <v>4.65</v>
      </c>
      <c r="G1837" s="7">
        <f t="shared" si="235"/>
        <v>1.1505376344086</v>
      </c>
    </row>
    <row r="1838" ht="31" spans="1:7">
      <c r="A1838" s="14" t="s">
        <v>2598</v>
      </c>
      <c r="B1838" s="12" t="s">
        <v>2592</v>
      </c>
      <c r="C1838" s="13" t="s">
        <v>2588</v>
      </c>
      <c r="D1838" s="17">
        <v>11.4</v>
      </c>
      <c r="E1838" s="5" t="s">
        <v>8</v>
      </c>
      <c r="F1838" s="6">
        <v>5.25</v>
      </c>
      <c r="G1838" s="7">
        <f t="shared" si="235"/>
        <v>1.17142857142857</v>
      </c>
    </row>
    <row r="1839" ht="31" spans="1:7">
      <c r="A1839" s="14" t="s">
        <v>2599</v>
      </c>
      <c r="B1839" s="12" t="s">
        <v>2594</v>
      </c>
      <c r="C1839" s="13" t="s">
        <v>2588</v>
      </c>
      <c r="D1839" s="17">
        <v>21.4</v>
      </c>
      <c r="E1839" s="5" t="s">
        <v>8</v>
      </c>
      <c r="F1839" s="6">
        <v>9.6</v>
      </c>
      <c r="G1839" s="7">
        <f t="shared" si="235"/>
        <v>1.22916666666667</v>
      </c>
    </row>
    <row r="1840" ht="46.5" spans="1:7">
      <c r="A1840" s="18">
        <v>13.3</v>
      </c>
      <c r="B1840" s="15" t="s">
        <v>2600</v>
      </c>
      <c r="C1840" s="13" t="s">
        <v>2588</v>
      </c>
      <c r="D1840" s="17">
        <v>21.45</v>
      </c>
      <c r="E1840" s="5" t="s">
        <v>8</v>
      </c>
    </row>
    <row r="1841" spans="1:7">
      <c r="A1841" s="14"/>
      <c r="B1841" s="15" t="s">
        <v>2601</v>
      </c>
      <c r="C1841" s="13"/>
      <c r="D1841" s="16"/>
      <c r="E1841" s="5" t="s">
        <v>8</v>
      </c>
    </row>
    <row r="1842" spans="1:7">
      <c r="A1842" s="18">
        <v>13.31</v>
      </c>
      <c r="B1842" s="15" t="s">
        <v>2602</v>
      </c>
      <c r="C1842" s="13"/>
      <c r="D1842" s="16"/>
      <c r="E1842" s="5" t="s">
        <v>8</v>
      </c>
    </row>
    <row r="1843" spans="1:7">
      <c r="A1843" s="14" t="s">
        <v>2603</v>
      </c>
      <c r="B1843" s="12" t="s">
        <v>2604</v>
      </c>
      <c r="C1843" s="13" t="s">
        <v>11</v>
      </c>
      <c r="D1843" s="17">
        <v>257.35</v>
      </c>
      <c r="E1843" s="5" t="s">
        <v>8</v>
      </c>
      <c r="F1843" s="6">
        <v>115.85</v>
      </c>
      <c r="G1843" s="7">
        <f t="shared" ref="G1843:G1847" si="236">(D1843-F1843)/F1843</f>
        <v>1.22140699179974</v>
      </c>
    </row>
    <row r="1844" spans="1:7">
      <c r="A1844" s="14" t="s">
        <v>2605</v>
      </c>
      <c r="B1844" s="12" t="s">
        <v>2606</v>
      </c>
      <c r="C1844" s="13" t="s">
        <v>11</v>
      </c>
      <c r="D1844" s="17">
        <v>419.9</v>
      </c>
      <c r="E1844" s="5" t="s">
        <v>8</v>
      </c>
      <c r="F1844" s="6">
        <v>188.7</v>
      </c>
      <c r="G1844" s="7">
        <f t="shared" si="236"/>
        <v>1.22522522522523</v>
      </c>
    </row>
    <row r="1845" spans="1:7">
      <c r="A1845" s="14"/>
      <c r="B1845" s="15" t="s">
        <v>2607</v>
      </c>
      <c r="C1845" s="13"/>
      <c r="D1845" s="16"/>
      <c r="E1845" s="5" t="s">
        <v>8</v>
      </c>
    </row>
    <row r="1846" spans="1:7">
      <c r="A1846" s="18">
        <v>13.32</v>
      </c>
      <c r="B1846" s="15" t="s">
        <v>2608</v>
      </c>
      <c r="C1846" s="13"/>
      <c r="D1846" s="16"/>
      <c r="E1846" s="5" t="s">
        <v>8</v>
      </c>
    </row>
    <row r="1847" spans="1:7">
      <c r="A1847" s="14" t="s">
        <v>2609</v>
      </c>
      <c r="B1847" s="12" t="s">
        <v>2610</v>
      </c>
      <c r="C1847" s="13" t="s">
        <v>11</v>
      </c>
      <c r="D1847" s="17">
        <v>350.2</v>
      </c>
      <c r="E1847" s="5" t="s">
        <v>8</v>
      </c>
      <c r="F1847" s="6">
        <v>158.45</v>
      </c>
      <c r="G1847" s="7">
        <f t="shared" si="236"/>
        <v>1.2101609340486</v>
      </c>
    </row>
    <row r="1848" spans="1:7">
      <c r="A1848" s="14"/>
      <c r="B1848" s="15" t="s">
        <v>2611</v>
      </c>
      <c r="C1848" s="13"/>
      <c r="D1848" s="17"/>
      <c r="E1848" s="5" t="s">
        <v>8</v>
      </c>
    </row>
    <row r="1849" spans="1:7">
      <c r="A1849" s="18">
        <v>13.33</v>
      </c>
      <c r="B1849" s="15" t="s">
        <v>2612</v>
      </c>
      <c r="C1849" s="13"/>
      <c r="D1849" s="16"/>
      <c r="E1849" s="5" t="s">
        <v>8</v>
      </c>
    </row>
    <row r="1850" spans="1:7">
      <c r="A1850" s="14" t="s">
        <v>2613</v>
      </c>
      <c r="B1850" s="12" t="s">
        <v>2614</v>
      </c>
      <c r="C1850" s="13" t="s">
        <v>11</v>
      </c>
      <c r="D1850" s="17">
        <v>385.4</v>
      </c>
      <c r="E1850" s="5" t="s">
        <v>8</v>
      </c>
      <c r="F1850" s="6">
        <v>168.45</v>
      </c>
      <c r="G1850" s="7">
        <f t="shared" ref="G1850:G1852" si="237">(D1850-F1850)/F1850</f>
        <v>1.28791926387652</v>
      </c>
    </row>
    <row r="1851" spans="1:7">
      <c r="A1851" s="14" t="s">
        <v>2615</v>
      </c>
      <c r="B1851" s="12" t="s">
        <v>2606</v>
      </c>
      <c r="C1851" s="13" t="s">
        <v>11</v>
      </c>
      <c r="D1851" s="17">
        <v>701.05</v>
      </c>
      <c r="E1851" s="5" t="s">
        <v>8</v>
      </c>
      <c r="F1851" s="6">
        <v>305.7</v>
      </c>
      <c r="G1851" s="7">
        <f t="shared" si="237"/>
        <v>1.29326136735361</v>
      </c>
    </row>
    <row r="1852" ht="31" spans="1:7">
      <c r="A1852" s="18">
        <v>13.34</v>
      </c>
      <c r="B1852" s="15" t="s">
        <v>2616</v>
      </c>
      <c r="C1852" s="13" t="s">
        <v>11</v>
      </c>
      <c r="D1852" s="17">
        <v>716.95</v>
      </c>
      <c r="E1852" s="5" t="s">
        <v>8</v>
      </c>
      <c r="F1852" s="6">
        <v>319.25</v>
      </c>
      <c r="G1852" s="7">
        <f t="shared" si="237"/>
        <v>1.24573218480814</v>
      </c>
    </row>
    <row r="1853" spans="1:7">
      <c r="A1853" s="18">
        <v>13.35</v>
      </c>
      <c r="B1853" s="15" t="s">
        <v>2617</v>
      </c>
      <c r="C1853" s="13"/>
      <c r="D1853" s="16"/>
      <c r="E1853" s="5" t="s">
        <v>8</v>
      </c>
    </row>
    <row r="1854" spans="1:7">
      <c r="A1854" s="14" t="s">
        <v>2618</v>
      </c>
      <c r="B1854" s="12" t="s">
        <v>2614</v>
      </c>
      <c r="C1854" s="13" t="s">
        <v>11</v>
      </c>
      <c r="D1854" s="17">
        <v>214.2</v>
      </c>
      <c r="E1854" s="5" t="s">
        <v>8</v>
      </c>
      <c r="F1854" s="6">
        <v>95.05</v>
      </c>
      <c r="G1854" s="7">
        <f t="shared" ref="G1854:G1859" si="238">(D1854-F1854)/F1854</f>
        <v>1.25355076275644</v>
      </c>
    </row>
    <row r="1855" ht="31" spans="1:7">
      <c r="A1855" s="18">
        <v>13.36</v>
      </c>
      <c r="B1855" s="15" t="s">
        <v>2619</v>
      </c>
      <c r="C1855" s="13" t="s">
        <v>11</v>
      </c>
      <c r="D1855" s="17">
        <v>8.65</v>
      </c>
      <c r="E1855" s="5" t="s">
        <v>8</v>
      </c>
      <c r="F1855" s="6">
        <v>5.4</v>
      </c>
      <c r="G1855" s="7">
        <f t="shared" si="238"/>
        <v>0.601851851851852</v>
      </c>
    </row>
    <row r="1856" spans="1:7">
      <c r="A1856" s="14"/>
      <c r="B1856" s="15" t="s">
        <v>2620</v>
      </c>
      <c r="C1856" s="13"/>
      <c r="D1856" s="16"/>
      <c r="E1856" s="5" t="s">
        <v>8</v>
      </c>
    </row>
    <row r="1857" spans="1:7">
      <c r="A1857" s="18">
        <v>13.37</v>
      </c>
      <c r="B1857" s="15" t="s">
        <v>2621</v>
      </c>
      <c r="C1857" s="13"/>
      <c r="D1857" s="16"/>
      <c r="E1857" s="5" t="s">
        <v>8</v>
      </c>
    </row>
    <row r="1858" ht="31" spans="1:7">
      <c r="A1858" s="14" t="s">
        <v>2622</v>
      </c>
      <c r="B1858" s="12" t="s">
        <v>2623</v>
      </c>
      <c r="C1858" s="13" t="s">
        <v>11</v>
      </c>
      <c r="D1858" s="17">
        <v>39.05</v>
      </c>
      <c r="E1858" s="11" t="s">
        <v>2624</v>
      </c>
      <c r="F1858" s="6">
        <v>17.25</v>
      </c>
      <c r="G1858" s="7">
        <f t="shared" si="238"/>
        <v>1.26376811594203</v>
      </c>
    </row>
    <row r="1859" spans="1:7">
      <c r="A1859" s="18">
        <v>13.38</v>
      </c>
      <c r="B1859" s="15" t="s">
        <v>2625</v>
      </c>
      <c r="C1859" s="13" t="s">
        <v>11</v>
      </c>
      <c r="D1859" s="17">
        <v>15.75</v>
      </c>
      <c r="F1859" s="6">
        <v>7</v>
      </c>
      <c r="G1859" s="7">
        <f t="shared" si="238"/>
        <v>1.25</v>
      </c>
    </row>
    <row r="1860" spans="1:7">
      <c r="A1860" s="18">
        <v>13.39</v>
      </c>
      <c r="B1860" s="15" t="s">
        <v>2626</v>
      </c>
      <c r="C1860" s="13"/>
      <c r="D1860" s="16"/>
    </row>
    <row r="1861" spans="1:7">
      <c r="A1861" s="14" t="s">
        <v>2627</v>
      </c>
      <c r="B1861" s="12" t="s">
        <v>2628</v>
      </c>
      <c r="C1861" s="13" t="s">
        <v>11</v>
      </c>
      <c r="D1861" s="17">
        <v>53.3</v>
      </c>
      <c r="F1861" s="6">
        <v>23.6</v>
      </c>
      <c r="G1861" s="7">
        <f t="shared" ref="G1861:G1864" si="239">(D1861-F1861)/F1861</f>
        <v>1.25847457627119</v>
      </c>
    </row>
    <row r="1862" spans="1:7">
      <c r="A1862" s="14" t="s">
        <v>2629</v>
      </c>
      <c r="B1862" s="12" t="s">
        <v>2630</v>
      </c>
      <c r="C1862" s="13" t="s">
        <v>11</v>
      </c>
      <c r="D1862" s="17">
        <v>52.75</v>
      </c>
      <c r="F1862" s="6">
        <v>23.25</v>
      </c>
      <c r="G1862" s="7">
        <f t="shared" si="239"/>
        <v>1.26881720430108</v>
      </c>
    </row>
    <row r="1863" ht="46.5" spans="1:7">
      <c r="A1863" s="18">
        <v>13.41</v>
      </c>
      <c r="B1863" s="15" t="s">
        <v>2631</v>
      </c>
      <c r="C1863" s="13"/>
      <c r="D1863" s="16"/>
    </row>
    <row r="1864" ht="31" spans="1:7">
      <c r="A1864" s="14" t="s">
        <v>2632</v>
      </c>
      <c r="B1864" s="12" t="s">
        <v>2633</v>
      </c>
      <c r="C1864" s="13" t="s">
        <v>11</v>
      </c>
      <c r="D1864" s="17">
        <v>185.65</v>
      </c>
      <c r="F1864" s="6">
        <v>93.7</v>
      </c>
      <c r="G1864" s="7">
        <f t="shared" si="239"/>
        <v>0.981323372465315</v>
      </c>
    </row>
    <row r="1865" spans="1:7">
      <c r="A1865" s="18">
        <v>13.42</v>
      </c>
      <c r="B1865" s="15" t="s">
        <v>44</v>
      </c>
      <c r="C1865" s="13"/>
      <c r="D1865" s="16"/>
      <c r="E1865" s="41"/>
    </row>
    <row r="1866" spans="1:7">
      <c r="A1866" s="18">
        <v>13.43</v>
      </c>
      <c r="B1866" s="15" t="s">
        <v>44</v>
      </c>
      <c r="C1866" s="13"/>
      <c r="D1866" s="16"/>
      <c r="E1866" s="11"/>
    </row>
    <row r="1867" spans="1:7">
      <c r="A1867" s="14"/>
      <c r="B1867" s="15" t="s">
        <v>2634</v>
      </c>
      <c r="C1867" s="13"/>
      <c r="D1867" s="16"/>
    </row>
    <row r="1868" spans="1:7">
      <c r="A1868" s="18">
        <v>13.44</v>
      </c>
      <c r="B1868" s="15" t="s">
        <v>2635</v>
      </c>
      <c r="C1868" s="13"/>
      <c r="D1868" s="16"/>
    </row>
    <row r="1869" spans="1:7">
      <c r="A1869" s="14" t="s">
        <v>2636</v>
      </c>
      <c r="B1869" s="12" t="s">
        <v>2637</v>
      </c>
      <c r="C1869" s="13" t="s">
        <v>11</v>
      </c>
      <c r="D1869" s="17" t="s">
        <v>2638</v>
      </c>
      <c r="F1869" s="6">
        <v>58.8</v>
      </c>
      <c r="G1869" s="7" t="e">
        <f t="shared" ref="G1869:G1873" si="240">(D1869-F1869)/F1869</f>
        <v>#VALUE!</v>
      </c>
    </row>
    <row r="1870" spans="1:7">
      <c r="A1870" s="18">
        <v>13.45</v>
      </c>
      <c r="B1870" s="15" t="s">
        <v>2639</v>
      </c>
      <c r="C1870" s="13"/>
      <c r="D1870" s="16"/>
      <c r="E1870" s="11"/>
    </row>
    <row r="1871" ht="31" spans="1:7">
      <c r="A1871" s="14" t="s">
        <v>2640</v>
      </c>
      <c r="B1871" s="12" t="s">
        <v>2641</v>
      </c>
      <c r="C1871" s="13" t="s">
        <v>11</v>
      </c>
      <c r="D1871" s="17">
        <v>223.6</v>
      </c>
      <c r="E1871" s="11"/>
      <c r="F1871" s="6">
        <v>150.65</v>
      </c>
      <c r="G1871" s="7">
        <f t="shared" si="240"/>
        <v>0.484234981745768</v>
      </c>
    </row>
    <row r="1872" spans="1:7">
      <c r="A1872" s="18">
        <v>13.46</v>
      </c>
      <c r="B1872" s="15" t="s">
        <v>2642</v>
      </c>
      <c r="C1872" s="13"/>
      <c r="D1872" s="16"/>
    </row>
    <row r="1873" ht="31" spans="1:7">
      <c r="A1873" s="14" t="s">
        <v>2643</v>
      </c>
      <c r="B1873" s="12" t="s">
        <v>2644</v>
      </c>
      <c r="C1873" s="13" t="s">
        <v>11</v>
      </c>
      <c r="D1873" s="17">
        <v>160.6</v>
      </c>
      <c r="F1873" s="6">
        <v>96.05</v>
      </c>
      <c r="G1873" s="7">
        <f t="shared" si="240"/>
        <v>0.672045809474232</v>
      </c>
    </row>
    <row r="1874" ht="31" spans="1:7">
      <c r="A1874" s="18">
        <v>13.47</v>
      </c>
      <c r="B1874" s="15" t="s">
        <v>2645</v>
      </c>
      <c r="C1874" s="13"/>
      <c r="D1874" s="16"/>
      <c r="E1874" s="11"/>
    </row>
    <row r="1875" ht="31" spans="1:7">
      <c r="A1875" s="14" t="s">
        <v>2646</v>
      </c>
      <c r="B1875" s="12" t="s">
        <v>2647</v>
      </c>
      <c r="C1875" s="13" t="s">
        <v>11</v>
      </c>
      <c r="D1875" s="17">
        <v>171.1</v>
      </c>
      <c r="E1875" s="11"/>
      <c r="F1875" s="6">
        <v>96.8</v>
      </c>
      <c r="G1875" s="7">
        <f t="shared" ref="G1875:G1879" si="241">(D1875-F1875)/F1875</f>
        <v>0.767561983471074</v>
      </c>
    </row>
    <row r="1876" ht="31" spans="1:7">
      <c r="A1876" s="18">
        <v>13.48</v>
      </c>
      <c r="B1876" s="15" t="s">
        <v>2648</v>
      </c>
      <c r="C1876" s="13"/>
      <c r="D1876" s="16"/>
    </row>
    <row r="1877" ht="31" spans="1:7">
      <c r="A1877" s="14" t="s">
        <v>2649</v>
      </c>
      <c r="B1877" s="12" t="s">
        <v>2650</v>
      </c>
      <c r="C1877" s="13" t="s">
        <v>11</v>
      </c>
      <c r="D1877" s="17">
        <v>193.7</v>
      </c>
      <c r="F1877" s="6">
        <v>98.95</v>
      </c>
      <c r="G1877" s="7">
        <f t="shared" si="241"/>
        <v>0.95755432036382</v>
      </c>
    </row>
    <row r="1878" ht="46.5" spans="1:7">
      <c r="A1878" s="14" t="s">
        <v>2651</v>
      </c>
      <c r="B1878" s="12" t="s">
        <v>2652</v>
      </c>
      <c r="C1878" s="13" t="s">
        <v>11</v>
      </c>
      <c r="D1878" s="17">
        <v>176.25</v>
      </c>
      <c r="F1878" s="6">
        <v>88.6</v>
      </c>
      <c r="G1878" s="7">
        <f t="shared" si="241"/>
        <v>0.989277652370203</v>
      </c>
    </row>
    <row r="1879" ht="46.5" spans="1:7">
      <c r="A1879" s="14" t="s">
        <v>2653</v>
      </c>
      <c r="B1879" s="12" t="s">
        <v>2654</v>
      </c>
      <c r="C1879" s="13" t="s">
        <v>11</v>
      </c>
      <c r="D1879" s="17">
        <v>170.7</v>
      </c>
      <c r="F1879" s="6">
        <v>84.75</v>
      </c>
      <c r="G1879" s="7">
        <f t="shared" si="241"/>
        <v>1.0141592920354</v>
      </c>
    </row>
    <row r="1880" ht="46.5" spans="1:7">
      <c r="A1880" s="14" t="s">
        <v>2655</v>
      </c>
      <c r="B1880" s="15" t="s">
        <v>2656</v>
      </c>
      <c r="C1880" s="13"/>
      <c r="D1880" s="17"/>
    </row>
    <row r="1881" ht="31" spans="1:7">
      <c r="A1881" s="14" t="s">
        <v>2657</v>
      </c>
      <c r="B1881" s="12" t="s">
        <v>2658</v>
      </c>
      <c r="C1881" s="13" t="s">
        <v>11</v>
      </c>
      <c r="D1881" s="17">
        <v>181.25</v>
      </c>
    </row>
    <row r="1882" spans="1:7">
      <c r="A1882" s="18">
        <v>13.5</v>
      </c>
      <c r="B1882" s="15" t="s">
        <v>2659</v>
      </c>
      <c r="C1882" s="13"/>
      <c r="D1882" s="16"/>
    </row>
    <row r="1883" spans="1:7">
      <c r="A1883" s="14" t="s">
        <v>2660</v>
      </c>
      <c r="B1883" s="12" t="s">
        <v>44</v>
      </c>
      <c r="C1883" s="13"/>
      <c r="D1883" s="17"/>
      <c r="E1883" s="11"/>
      <c r="F1883" s="6">
        <v>34.95</v>
      </c>
      <c r="G1883" s="7">
        <f t="shared" ref="G1883:G1886" si="242">(D1883-F1883)/F1883</f>
        <v>-1</v>
      </c>
    </row>
    <row r="1884" ht="31" spans="1:7">
      <c r="A1884" s="14" t="s">
        <v>2661</v>
      </c>
      <c r="B1884" s="12" t="s">
        <v>2662</v>
      </c>
      <c r="C1884" s="13" t="s">
        <v>11</v>
      </c>
      <c r="D1884" s="17">
        <v>74.65</v>
      </c>
      <c r="F1884" s="6">
        <v>35.2</v>
      </c>
      <c r="G1884" s="7">
        <f t="shared" si="242"/>
        <v>1.12073863636364</v>
      </c>
    </row>
    <row r="1885" ht="31" spans="1:7">
      <c r="A1885" s="14" t="s">
        <v>2663</v>
      </c>
      <c r="B1885" s="12" t="s">
        <v>2664</v>
      </c>
      <c r="C1885" s="13" t="s">
        <v>11</v>
      </c>
      <c r="D1885" s="17">
        <v>67.4</v>
      </c>
      <c r="E1885" s="11"/>
      <c r="F1885" s="6">
        <v>29.1</v>
      </c>
      <c r="G1885" s="7">
        <f t="shared" si="242"/>
        <v>1.31615120274914</v>
      </c>
    </row>
    <row r="1886" ht="31" spans="1:7">
      <c r="A1886" s="14" t="s">
        <v>2665</v>
      </c>
      <c r="B1886" s="12" t="s">
        <v>2666</v>
      </c>
      <c r="C1886" s="13" t="s">
        <v>11</v>
      </c>
      <c r="D1886" s="17">
        <v>36.1</v>
      </c>
      <c r="F1886" s="6">
        <v>15.6</v>
      </c>
      <c r="G1886" s="7">
        <f t="shared" si="242"/>
        <v>1.31410256410256</v>
      </c>
    </row>
    <row r="1887" ht="31" spans="1:7">
      <c r="A1887" s="18">
        <v>13.51</v>
      </c>
      <c r="B1887" s="15" t="s">
        <v>2667</v>
      </c>
      <c r="C1887" s="13"/>
      <c r="D1887" s="16"/>
    </row>
    <row r="1888" spans="1:7">
      <c r="A1888" s="14" t="s">
        <v>2668</v>
      </c>
      <c r="B1888" s="12" t="s">
        <v>2669</v>
      </c>
      <c r="C1888" s="13" t="s">
        <v>11</v>
      </c>
      <c r="D1888" s="17">
        <v>101.7</v>
      </c>
      <c r="F1888" s="6">
        <v>56.65</v>
      </c>
      <c r="G1888" s="7">
        <f t="shared" ref="G1888:G1892" si="243">(D1888-F1888)/F1888</f>
        <v>0.795233892321271</v>
      </c>
    </row>
    <row r="1889" spans="1:7">
      <c r="A1889" s="14" t="s">
        <v>2670</v>
      </c>
      <c r="B1889" s="12" t="s">
        <v>2671</v>
      </c>
      <c r="C1889" s="13" t="s">
        <v>11</v>
      </c>
      <c r="D1889" s="17">
        <v>161.7</v>
      </c>
      <c r="F1889" s="6">
        <v>90.05</v>
      </c>
      <c r="G1889" s="7">
        <f t="shared" si="243"/>
        <v>0.795669072737368</v>
      </c>
    </row>
    <row r="1890" ht="46.5" spans="1:7">
      <c r="A1890" s="18">
        <v>13.52</v>
      </c>
      <c r="B1890" s="15" t="s">
        <v>2672</v>
      </c>
      <c r="C1890" s="13"/>
      <c r="D1890" s="16"/>
      <c r="E1890" s="11"/>
    </row>
    <row r="1891" spans="1:7">
      <c r="A1891" s="14" t="s">
        <v>2673</v>
      </c>
      <c r="B1891" s="12" t="s">
        <v>2674</v>
      </c>
      <c r="C1891" s="13" t="s">
        <v>11</v>
      </c>
      <c r="D1891" s="17">
        <v>241.75</v>
      </c>
      <c r="E1891" s="11"/>
      <c r="F1891" s="6">
        <v>122.5</v>
      </c>
      <c r="G1891" s="7">
        <f t="shared" si="243"/>
        <v>0.973469387755102</v>
      </c>
    </row>
    <row r="1892" spans="1:7">
      <c r="A1892" s="14" t="s">
        <v>2675</v>
      </c>
      <c r="B1892" s="12" t="s">
        <v>2676</v>
      </c>
      <c r="C1892" s="13" t="s">
        <v>11</v>
      </c>
      <c r="D1892" s="17">
        <v>235.15</v>
      </c>
      <c r="E1892" s="11"/>
      <c r="F1892" s="6">
        <v>124.5</v>
      </c>
      <c r="G1892" s="7">
        <f t="shared" si="243"/>
        <v>0.888755020080321</v>
      </c>
    </row>
    <row r="1893" ht="31" spans="1:7">
      <c r="A1893" s="18">
        <v>13.53</v>
      </c>
      <c r="B1893" s="15" t="s">
        <v>2677</v>
      </c>
      <c r="C1893" s="13"/>
      <c r="D1893" s="16"/>
    </row>
    <row r="1894" ht="31" spans="1:7">
      <c r="A1894" s="14" t="s">
        <v>2678</v>
      </c>
      <c r="B1894" s="12" t="s">
        <v>2679</v>
      </c>
      <c r="C1894" s="13" t="s">
        <v>11</v>
      </c>
      <c r="D1894" s="17">
        <v>180.85</v>
      </c>
      <c r="F1894" s="6">
        <v>84</v>
      </c>
      <c r="G1894" s="7">
        <f t="shared" ref="G1894:G1897" si="244">(D1894-F1894)/F1894</f>
        <v>1.15297619047619</v>
      </c>
    </row>
    <row r="1895" spans="1:7">
      <c r="A1895" s="18">
        <v>13.54</v>
      </c>
      <c r="B1895" s="15" t="s">
        <v>2680</v>
      </c>
      <c r="C1895" s="13"/>
      <c r="D1895" s="16"/>
    </row>
    <row r="1896" spans="1:7">
      <c r="A1896" s="14" t="s">
        <v>2681</v>
      </c>
      <c r="B1896" s="12" t="s">
        <v>2682</v>
      </c>
      <c r="C1896" s="13" t="s">
        <v>11</v>
      </c>
      <c r="D1896" s="17">
        <v>63.35</v>
      </c>
      <c r="F1896" s="6">
        <v>29.25</v>
      </c>
      <c r="G1896" s="7">
        <f t="shared" si="244"/>
        <v>1.16581196581197</v>
      </c>
    </row>
    <row r="1897" ht="31" spans="1:7">
      <c r="A1897" s="14" t="s">
        <v>2683</v>
      </c>
      <c r="B1897" s="12" t="s">
        <v>2684</v>
      </c>
      <c r="C1897" s="13" t="s">
        <v>11</v>
      </c>
      <c r="D1897" s="17">
        <v>63.05</v>
      </c>
      <c r="F1897" s="6">
        <v>29.05</v>
      </c>
      <c r="G1897" s="7">
        <f t="shared" si="244"/>
        <v>1.17039586919105</v>
      </c>
    </row>
    <row r="1898" ht="46.5" spans="1:7">
      <c r="A1898" s="18">
        <v>13.55</v>
      </c>
      <c r="B1898" s="15" t="s">
        <v>2685</v>
      </c>
      <c r="C1898" s="13"/>
      <c r="D1898" s="16"/>
      <c r="E1898" s="11"/>
    </row>
    <row r="1899" spans="1:7">
      <c r="A1899" s="14" t="s">
        <v>2686</v>
      </c>
      <c r="B1899" s="12" t="s">
        <v>2687</v>
      </c>
      <c r="C1899" s="13" t="s">
        <v>39</v>
      </c>
      <c r="D1899" s="17">
        <v>76.35</v>
      </c>
    </row>
    <row r="1900" spans="1:7">
      <c r="A1900" s="14" t="s">
        <v>2688</v>
      </c>
      <c r="B1900" s="12" t="s">
        <v>2689</v>
      </c>
      <c r="C1900" s="13" t="s">
        <v>39</v>
      </c>
      <c r="D1900" s="17">
        <v>113.8</v>
      </c>
    </row>
    <row r="1901" ht="46.5" spans="1:7">
      <c r="A1901" s="18">
        <v>13.56</v>
      </c>
      <c r="B1901" s="15" t="s">
        <v>2690</v>
      </c>
      <c r="C1901" s="13"/>
      <c r="D1901" s="16"/>
    </row>
    <row r="1902" spans="1:7">
      <c r="A1902" s="14" t="s">
        <v>2691</v>
      </c>
      <c r="B1902" s="12" t="s">
        <v>2687</v>
      </c>
      <c r="C1902" s="13" t="s">
        <v>39</v>
      </c>
      <c r="D1902" s="17">
        <v>82</v>
      </c>
    </row>
    <row r="1903" ht="62" spans="1:7">
      <c r="A1903" s="14" t="s">
        <v>2692</v>
      </c>
      <c r="B1903" s="12" t="s">
        <v>2689</v>
      </c>
      <c r="C1903" s="13" t="s">
        <v>39</v>
      </c>
      <c r="D1903" s="17">
        <v>122.15</v>
      </c>
    </row>
    <row r="1904" ht="31" spans="1:7">
      <c r="A1904" s="18">
        <v>13.57</v>
      </c>
      <c r="B1904" s="15" t="s">
        <v>2693</v>
      </c>
      <c r="C1904" s="13"/>
      <c r="D1904" s="16"/>
    </row>
    <row r="1905" spans="1:7">
      <c r="A1905" s="14" t="s">
        <v>2694</v>
      </c>
      <c r="B1905" s="12" t="s">
        <v>2695</v>
      </c>
      <c r="C1905" s="13" t="s">
        <v>11</v>
      </c>
      <c r="D1905" s="17">
        <v>54.4</v>
      </c>
      <c r="F1905" s="6">
        <v>32.2</v>
      </c>
      <c r="G1905" s="7">
        <f t="shared" ref="G1905:G1907" si="245">(D1905-F1905)/F1905</f>
        <v>0.68944099378882</v>
      </c>
    </row>
    <row r="1906" ht="46.5" spans="1:7">
      <c r="A1906" s="18">
        <v>13.58</v>
      </c>
      <c r="B1906" s="15" t="s">
        <v>2696</v>
      </c>
      <c r="C1906" s="13" t="s">
        <v>11</v>
      </c>
      <c r="D1906" s="17">
        <v>334.5</v>
      </c>
      <c r="F1906" s="6">
        <v>232.55</v>
      </c>
      <c r="G1906" s="7">
        <f t="shared" si="245"/>
        <v>0.43840034401204</v>
      </c>
    </row>
    <row r="1907" ht="31" spans="1:7">
      <c r="A1907" s="18">
        <v>13.59</v>
      </c>
      <c r="B1907" s="15" t="s">
        <v>2697</v>
      </c>
      <c r="C1907" s="13" t="s">
        <v>11</v>
      </c>
      <c r="D1907" s="17">
        <v>66.9</v>
      </c>
      <c r="F1907" s="6">
        <v>33.45</v>
      </c>
      <c r="G1907" s="7">
        <f t="shared" si="245"/>
        <v>1</v>
      </c>
    </row>
    <row r="1908" spans="1:7">
      <c r="A1908" s="18">
        <v>13.6</v>
      </c>
      <c r="B1908" s="15" t="s">
        <v>44</v>
      </c>
      <c r="C1908" s="13"/>
      <c r="D1908" s="16"/>
    </row>
    <row r="1909" ht="31" spans="1:7">
      <c r="A1909" s="18">
        <v>13.61</v>
      </c>
      <c r="B1909" s="15" t="s">
        <v>2698</v>
      </c>
      <c r="C1909" s="13"/>
      <c r="D1909" s="16"/>
      <c r="E1909" s="11"/>
    </row>
    <row r="1910" spans="1:7">
      <c r="A1910" s="14" t="s">
        <v>2699</v>
      </c>
      <c r="B1910" s="12" t="s">
        <v>2700</v>
      </c>
      <c r="C1910" s="13" t="s">
        <v>11</v>
      </c>
      <c r="D1910" s="17">
        <v>155.9</v>
      </c>
      <c r="F1910" s="6">
        <v>78.4</v>
      </c>
      <c r="G1910" s="7">
        <f t="shared" ref="G1910:G1914" si="246">(D1910-F1910)/F1910</f>
        <v>0.988520408163265</v>
      </c>
    </row>
    <row r="1911" ht="31" spans="1:7">
      <c r="A1911" s="18">
        <v>13.62</v>
      </c>
      <c r="B1911" s="15" t="s">
        <v>2701</v>
      </c>
      <c r="C1911" s="13"/>
      <c r="D1911" s="16"/>
    </row>
    <row r="1912" ht="31" spans="1:7">
      <c r="A1912" s="14" t="s">
        <v>2702</v>
      </c>
      <c r="B1912" s="12" t="s">
        <v>2703</v>
      </c>
      <c r="C1912" s="13" t="s">
        <v>11</v>
      </c>
      <c r="D1912" s="17">
        <v>226.25</v>
      </c>
      <c r="F1912" s="6">
        <v>112.3</v>
      </c>
      <c r="G1912" s="7">
        <f t="shared" si="246"/>
        <v>1.0146927871772</v>
      </c>
    </row>
    <row r="1913" spans="1:7">
      <c r="A1913" s="18">
        <v>13.63</v>
      </c>
      <c r="B1913" s="15" t="s">
        <v>2704</v>
      </c>
      <c r="C1913" s="13"/>
      <c r="D1913" s="16"/>
      <c r="E1913" s="5" t="s">
        <v>8</v>
      </c>
    </row>
    <row r="1914" spans="1:7">
      <c r="A1914" s="14" t="s">
        <v>2705</v>
      </c>
      <c r="B1914" s="12" t="s">
        <v>2700</v>
      </c>
      <c r="C1914" s="13" t="s">
        <v>11</v>
      </c>
      <c r="D1914" s="17">
        <v>146.8</v>
      </c>
      <c r="E1914" s="11"/>
      <c r="F1914" s="6">
        <v>68.35</v>
      </c>
      <c r="G1914" s="7">
        <f t="shared" si="246"/>
        <v>1.14776883686906</v>
      </c>
    </row>
    <row r="1915" ht="31" spans="1:7">
      <c r="A1915" s="18">
        <v>13.64</v>
      </c>
      <c r="B1915" s="15" t="s">
        <v>2706</v>
      </c>
      <c r="C1915" s="13"/>
      <c r="D1915" s="16"/>
    </row>
    <row r="1916" spans="1:7">
      <c r="A1916" s="14" t="s">
        <v>2707</v>
      </c>
      <c r="B1916" s="12" t="s">
        <v>2700</v>
      </c>
      <c r="C1916" s="13" t="s">
        <v>11</v>
      </c>
      <c r="D1916" s="17">
        <v>163.35</v>
      </c>
      <c r="F1916" s="6">
        <v>85.85</v>
      </c>
      <c r="G1916" s="7">
        <f t="shared" ref="G1916:G1921" si="247">(D1916-F1916)/F1916</f>
        <v>0.902737332556785</v>
      </c>
    </row>
    <row r="1917" ht="31" spans="1:7">
      <c r="A1917" s="18">
        <v>13.65</v>
      </c>
      <c r="B1917" s="15" t="s">
        <v>2708</v>
      </c>
      <c r="C1917" s="13"/>
      <c r="D1917" s="16"/>
    </row>
    <row r="1918" spans="1:7">
      <c r="A1918" s="14" t="s">
        <v>2709</v>
      </c>
      <c r="B1918" s="12" t="s">
        <v>2700</v>
      </c>
      <c r="C1918" s="13" t="s">
        <v>11</v>
      </c>
      <c r="D1918" s="17">
        <v>140.25</v>
      </c>
      <c r="E1918" s="11"/>
      <c r="F1918" s="6">
        <v>65.2</v>
      </c>
      <c r="G1918" s="7">
        <f t="shared" si="247"/>
        <v>1.1510736196319</v>
      </c>
    </row>
    <row r="1919" spans="1:7">
      <c r="A1919" s="18">
        <v>13.67</v>
      </c>
      <c r="B1919" s="15" t="s">
        <v>2710</v>
      </c>
      <c r="C1919" s="13"/>
      <c r="D1919" s="16"/>
    </row>
    <row r="1920" spans="1:7">
      <c r="A1920" s="14" t="s">
        <v>2711</v>
      </c>
      <c r="B1920" s="12" t="s">
        <v>2712</v>
      </c>
      <c r="C1920" s="13" t="s">
        <v>11</v>
      </c>
      <c r="D1920" s="17">
        <v>233.8</v>
      </c>
      <c r="E1920" s="11"/>
      <c r="F1920" s="6">
        <v>114.85</v>
      </c>
      <c r="G1920" s="7">
        <f t="shared" si="247"/>
        <v>1.03569873748367</v>
      </c>
    </row>
    <row r="1921" spans="1:7">
      <c r="A1921" s="14" t="s">
        <v>2713</v>
      </c>
      <c r="B1921" s="12" t="s">
        <v>2714</v>
      </c>
      <c r="C1921" s="13" t="s">
        <v>11</v>
      </c>
      <c r="D1921" s="17">
        <v>236.9</v>
      </c>
      <c r="E1921" s="11"/>
      <c r="F1921" s="6">
        <v>115.85</v>
      </c>
      <c r="G1921" s="7">
        <f t="shared" si="247"/>
        <v>1.0448856279672</v>
      </c>
    </row>
    <row r="1922" spans="1:7">
      <c r="A1922" s="18">
        <v>13.68</v>
      </c>
      <c r="B1922" s="15" t="s">
        <v>2715</v>
      </c>
      <c r="C1922" s="13"/>
      <c r="D1922" s="16"/>
      <c r="E1922" s="5" t="s">
        <v>8</v>
      </c>
    </row>
    <row r="1923" spans="1:7">
      <c r="A1923" s="14" t="s">
        <v>2716</v>
      </c>
      <c r="B1923" s="12" t="s">
        <v>2717</v>
      </c>
      <c r="C1923" s="13" t="s">
        <v>11</v>
      </c>
      <c r="D1923" s="17">
        <v>446.25</v>
      </c>
      <c r="E1923" s="5" t="s">
        <v>8</v>
      </c>
      <c r="F1923" s="6">
        <v>209.75</v>
      </c>
      <c r="G1923" s="7">
        <f t="shared" ref="G1923:G1928" si="248">(D1923-F1923)/F1923</f>
        <v>1.12753277711561</v>
      </c>
    </row>
    <row r="1924" spans="1:7">
      <c r="A1924" s="18">
        <v>13.69</v>
      </c>
      <c r="B1924" s="15" t="s">
        <v>2718</v>
      </c>
      <c r="C1924" s="13"/>
      <c r="D1924" s="16"/>
      <c r="E1924" s="5" t="s">
        <v>8</v>
      </c>
    </row>
    <row r="1925" spans="1:7">
      <c r="A1925" s="14" t="s">
        <v>2719</v>
      </c>
      <c r="B1925" s="12" t="s">
        <v>2720</v>
      </c>
      <c r="C1925" s="13" t="s">
        <v>11</v>
      </c>
      <c r="D1925" s="17">
        <v>197.65</v>
      </c>
      <c r="E1925" s="5" t="s">
        <v>8</v>
      </c>
      <c r="F1925" s="6">
        <v>92.7</v>
      </c>
      <c r="G1925" s="7">
        <f t="shared" si="248"/>
        <v>1.13214670981661</v>
      </c>
    </row>
    <row r="1926" ht="31" spans="1:7">
      <c r="A1926" s="18">
        <v>13.7</v>
      </c>
      <c r="B1926" s="15" t="s">
        <v>2721</v>
      </c>
      <c r="C1926" s="13" t="s">
        <v>11</v>
      </c>
      <c r="D1926" s="17">
        <v>96.1</v>
      </c>
      <c r="F1926" s="6">
        <v>43.5</v>
      </c>
      <c r="G1926" s="7">
        <f t="shared" si="248"/>
        <v>1.20919540229885</v>
      </c>
    </row>
    <row r="1927" ht="31" spans="1:7">
      <c r="A1927" s="18">
        <v>13.71</v>
      </c>
      <c r="B1927" s="15" t="s">
        <v>2722</v>
      </c>
      <c r="C1927" s="13" t="s">
        <v>2723</v>
      </c>
      <c r="D1927" s="17">
        <v>6.15</v>
      </c>
      <c r="F1927" s="6">
        <v>2.7</v>
      </c>
      <c r="G1927" s="7">
        <f t="shared" si="248"/>
        <v>1.27777777777778</v>
      </c>
    </row>
    <row r="1928" ht="124" spans="1:7">
      <c r="A1928" s="18">
        <v>13.72</v>
      </c>
      <c r="B1928" s="15" t="s">
        <v>2724</v>
      </c>
      <c r="C1928" s="13" t="s">
        <v>11</v>
      </c>
      <c r="D1928" s="17">
        <v>1162.25</v>
      </c>
      <c r="E1928" s="11"/>
      <c r="F1928" s="6">
        <v>582.6</v>
      </c>
      <c r="G1928" s="7">
        <f t="shared" si="248"/>
        <v>0.994936491589427</v>
      </c>
    </row>
    <row r="1929" ht="62" spans="1:7">
      <c r="A1929" s="18">
        <v>13.73</v>
      </c>
      <c r="B1929" s="15" t="s">
        <v>2725</v>
      </c>
      <c r="C1929" s="13"/>
      <c r="D1929" s="16"/>
      <c r="E1929" s="5" t="s">
        <v>8</v>
      </c>
    </row>
    <row r="1930" spans="1:7">
      <c r="A1930" s="14" t="s">
        <v>2726</v>
      </c>
      <c r="B1930" s="12" t="s">
        <v>2727</v>
      </c>
      <c r="C1930" s="13" t="s">
        <v>39</v>
      </c>
      <c r="D1930" s="17">
        <v>75.15</v>
      </c>
      <c r="E1930" s="5" t="s">
        <v>8</v>
      </c>
      <c r="F1930" s="6">
        <v>34.4</v>
      </c>
      <c r="G1930" s="7">
        <f t="shared" ref="G1930:G1938" si="249">(D1930-F1930)/F1930</f>
        <v>1.18459302325581</v>
      </c>
    </row>
    <row r="1931" spans="1:7">
      <c r="A1931" s="14" t="s">
        <v>2728</v>
      </c>
      <c r="B1931" s="12" t="s">
        <v>2729</v>
      </c>
      <c r="C1931" s="13" t="s">
        <v>39</v>
      </c>
      <c r="D1931" s="17">
        <v>75.8</v>
      </c>
      <c r="E1931" s="5" t="s">
        <v>8</v>
      </c>
      <c r="F1931" s="6">
        <v>34.95</v>
      </c>
      <c r="G1931" s="7">
        <f t="shared" si="249"/>
        <v>1.16881258941345</v>
      </c>
    </row>
    <row r="1932" ht="31" spans="1:7">
      <c r="A1932" s="18">
        <v>13.74</v>
      </c>
      <c r="B1932" s="15" t="s">
        <v>2730</v>
      </c>
      <c r="C1932" s="13" t="s">
        <v>11</v>
      </c>
      <c r="D1932" s="17">
        <v>165.85</v>
      </c>
      <c r="E1932" s="5" t="s">
        <v>8</v>
      </c>
      <c r="F1932" s="6">
        <v>85.9</v>
      </c>
      <c r="G1932" s="7">
        <f t="shared" si="249"/>
        <v>0.930733410942957</v>
      </c>
    </row>
    <row r="1933" ht="31" spans="1:7">
      <c r="A1933" s="18">
        <v>13.75</v>
      </c>
      <c r="B1933" s="15" t="s">
        <v>2731</v>
      </c>
      <c r="C1933" s="13" t="s">
        <v>11</v>
      </c>
      <c r="D1933" s="17">
        <v>133.55</v>
      </c>
      <c r="E1933" s="5" t="s">
        <v>8</v>
      </c>
      <c r="F1933" s="6">
        <v>60.45</v>
      </c>
      <c r="G1933" s="7">
        <f t="shared" si="249"/>
        <v>1.20926385442514</v>
      </c>
    </row>
    <row r="1934" ht="77.5" spans="1:7">
      <c r="A1934" s="18">
        <v>13.76</v>
      </c>
      <c r="B1934" s="15" t="s">
        <v>2732</v>
      </c>
      <c r="C1934" s="13" t="s">
        <v>39</v>
      </c>
      <c r="D1934" s="17">
        <v>100.6</v>
      </c>
      <c r="E1934" s="11"/>
      <c r="F1934" s="6">
        <v>71.6</v>
      </c>
      <c r="G1934" s="7">
        <f t="shared" si="249"/>
        <v>0.405027932960894</v>
      </c>
    </row>
    <row r="1935" ht="31" spans="1:7">
      <c r="A1935" s="18">
        <v>13.77</v>
      </c>
      <c r="B1935" s="15" t="s">
        <v>2733</v>
      </c>
      <c r="C1935" s="13" t="s">
        <v>11</v>
      </c>
      <c r="D1935" s="17">
        <v>76.05</v>
      </c>
      <c r="E1935" s="5" t="s">
        <v>8</v>
      </c>
      <c r="F1935" s="6">
        <v>63.9</v>
      </c>
      <c r="G1935" s="7">
        <f t="shared" si="249"/>
        <v>0.190140845070423</v>
      </c>
    </row>
    <row r="1936" ht="77.5" spans="1:7">
      <c r="A1936" s="18">
        <v>13.78</v>
      </c>
      <c r="B1936" s="15" t="s">
        <v>2734</v>
      </c>
      <c r="C1936" s="13" t="s">
        <v>11</v>
      </c>
      <c r="D1936" s="17">
        <v>468.9</v>
      </c>
      <c r="E1936" s="11"/>
      <c r="F1936" s="6">
        <v>217.35</v>
      </c>
      <c r="G1936" s="7">
        <f t="shared" si="249"/>
        <v>1.15734989648033</v>
      </c>
    </row>
    <row r="1937" ht="62" spans="1:7">
      <c r="A1937" s="18">
        <v>13.79</v>
      </c>
      <c r="B1937" s="15" t="s">
        <v>2735</v>
      </c>
      <c r="C1937" s="13" t="s">
        <v>307</v>
      </c>
      <c r="D1937" s="17">
        <v>78.35</v>
      </c>
      <c r="E1937" s="5" t="s">
        <v>8</v>
      </c>
      <c r="F1937" s="6">
        <v>58.1</v>
      </c>
      <c r="G1937" s="7">
        <f t="shared" si="249"/>
        <v>0.348537005163511</v>
      </c>
    </row>
    <row r="1938" ht="46.5" spans="1:7">
      <c r="A1938" s="18">
        <v>13.8</v>
      </c>
      <c r="B1938" s="15" t="s">
        <v>2736</v>
      </c>
      <c r="C1938" s="13" t="s">
        <v>11</v>
      </c>
      <c r="D1938" s="17">
        <v>156.05</v>
      </c>
      <c r="E1938" s="11"/>
      <c r="F1938" s="6">
        <v>87.35</v>
      </c>
      <c r="G1938" s="7">
        <f t="shared" si="249"/>
        <v>0.786491127647396</v>
      </c>
    </row>
    <row r="1939" ht="46.5" spans="1:7">
      <c r="A1939" s="18">
        <v>13.81</v>
      </c>
      <c r="B1939" s="15" t="s">
        <v>2737</v>
      </c>
      <c r="C1939" s="13"/>
      <c r="D1939" s="16"/>
    </row>
    <row r="1940" spans="1:7">
      <c r="A1940" s="14" t="s">
        <v>2738</v>
      </c>
      <c r="B1940" s="12" t="s">
        <v>2739</v>
      </c>
      <c r="C1940" s="13" t="s">
        <v>11</v>
      </c>
      <c r="D1940" s="17">
        <v>62.7</v>
      </c>
      <c r="E1940" s="11"/>
      <c r="F1940" s="6">
        <v>30.9</v>
      </c>
      <c r="G1940" s="7">
        <f t="shared" ref="G1940:G1944" si="250">(D1940-F1940)/F1940</f>
        <v>1.02912621359223</v>
      </c>
    </row>
    <row r="1941" spans="1:7">
      <c r="A1941" s="14" t="s">
        <v>2740</v>
      </c>
      <c r="B1941" s="12" t="s">
        <v>44</v>
      </c>
      <c r="C1941" s="13"/>
      <c r="D1941" s="17"/>
      <c r="E1941" s="11"/>
      <c r="F1941" s="6">
        <v>49.65</v>
      </c>
      <c r="G1941" s="7">
        <f t="shared" si="250"/>
        <v>-1</v>
      </c>
    </row>
    <row r="1942" ht="46.5" spans="1:7">
      <c r="A1942" s="18">
        <v>13.82</v>
      </c>
      <c r="B1942" s="15" t="s">
        <v>2741</v>
      </c>
      <c r="C1942" s="13"/>
      <c r="D1942" s="16"/>
    </row>
    <row r="1943" spans="1:7">
      <c r="A1943" s="14" t="s">
        <v>2742</v>
      </c>
      <c r="B1943" s="12" t="s">
        <v>2669</v>
      </c>
      <c r="C1943" s="13" t="s">
        <v>11</v>
      </c>
      <c r="D1943" s="17">
        <v>92</v>
      </c>
      <c r="F1943" s="6">
        <v>49.35</v>
      </c>
      <c r="G1943" s="7">
        <f t="shared" si="250"/>
        <v>0.864235055724417</v>
      </c>
    </row>
    <row r="1944" spans="1:7">
      <c r="A1944" s="14" t="s">
        <v>2743</v>
      </c>
      <c r="B1944" s="12" t="s">
        <v>2671</v>
      </c>
      <c r="C1944" s="13" t="s">
        <v>11</v>
      </c>
      <c r="D1944" s="17">
        <v>137.45</v>
      </c>
      <c r="F1944" s="6">
        <v>73.9</v>
      </c>
      <c r="G1944" s="7">
        <f t="shared" si="250"/>
        <v>0.859945872801082</v>
      </c>
    </row>
    <row r="1945" ht="62" spans="1:7">
      <c r="A1945" s="18">
        <v>13.83</v>
      </c>
      <c r="B1945" s="15" t="s">
        <v>2744</v>
      </c>
      <c r="C1945" s="13"/>
      <c r="D1945" s="16"/>
    </row>
    <row r="1946" spans="1:7">
      <c r="A1946" s="14" t="s">
        <v>2745</v>
      </c>
      <c r="B1946" s="12" t="s">
        <v>2669</v>
      </c>
      <c r="C1946" s="13" t="s">
        <v>11</v>
      </c>
      <c r="D1946" s="17">
        <v>95.45</v>
      </c>
      <c r="E1946" s="11"/>
      <c r="F1946" s="6">
        <v>46.65</v>
      </c>
      <c r="G1946" s="7">
        <f t="shared" ref="G1946:G1951" si="251">(D1946-F1946)/F1946</f>
        <v>1.04608788853162</v>
      </c>
    </row>
    <row r="1947" spans="1:7">
      <c r="A1947" s="14" t="s">
        <v>2746</v>
      </c>
      <c r="B1947" s="12" t="s">
        <v>2671</v>
      </c>
      <c r="C1947" s="13" t="s">
        <v>11</v>
      </c>
      <c r="D1947" s="17">
        <v>142.8</v>
      </c>
      <c r="E1947" s="11"/>
      <c r="F1947" s="6">
        <v>71</v>
      </c>
      <c r="G1947" s="7">
        <f t="shared" si="251"/>
        <v>1.0112676056338</v>
      </c>
    </row>
    <row r="1948" ht="31" spans="1:7">
      <c r="A1948" s="18">
        <v>13.85</v>
      </c>
      <c r="B1948" s="15" t="s">
        <v>2747</v>
      </c>
      <c r="C1948" s="13"/>
      <c r="D1948" s="16"/>
    </row>
    <row r="1949" ht="31" spans="1:7">
      <c r="A1949" s="14" t="s">
        <v>2748</v>
      </c>
      <c r="B1949" s="12" t="s">
        <v>2749</v>
      </c>
      <c r="C1949" s="13" t="s">
        <v>11</v>
      </c>
      <c r="D1949" s="17">
        <v>70.35</v>
      </c>
      <c r="F1949" s="6">
        <v>38.45</v>
      </c>
      <c r="G1949" s="7">
        <f t="shared" si="251"/>
        <v>0.8296488946684</v>
      </c>
    </row>
    <row r="1950" ht="31" spans="1:7">
      <c r="A1950" s="14" t="s">
        <v>2750</v>
      </c>
      <c r="B1950" s="12" t="s">
        <v>2751</v>
      </c>
      <c r="C1950" s="13" t="s">
        <v>11</v>
      </c>
      <c r="D1950" s="17">
        <v>73.95</v>
      </c>
      <c r="F1950" s="6">
        <v>36.95</v>
      </c>
      <c r="G1950" s="7">
        <f t="shared" si="251"/>
        <v>1.00135317997294</v>
      </c>
    </row>
    <row r="1951" ht="46.5" spans="1:7">
      <c r="A1951" s="18">
        <v>13.86</v>
      </c>
      <c r="B1951" s="15" t="s">
        <v>2752</v>
      </c>
      <c r="C1951" s="13" t="s">
        <v>11</v>
      </c>
      <c r="D1951" s="17">
        <v>269.15</v>
      </c>
      <c r="E1951" s="5" t="s">
        <v>8</v>
      </c>
      <c r="F1951" s="6">
        <v>146.45</v>
      </c>
      <c r="G1951" s="7">
        <f t="shared" si="251"/>
        <v>0.837828610447252</v>
      </c>
    </row>
    <row r="1952" spans="1:7">
      <c r="A1952" s="18">
        <v>13.87</v>
      </c>
      <c r="B1952" s="15" t="s">
        <v>2621</v>
      </c>
      <c r="C1952" s="13"/>
      <c r="D1952" s="17"/>
      <c r="E1952" s="5">
        <v>14.42</v>
      </c>
    </row>
    <row r="1953" spans="1:7">
      <c r="A1953" s="14" t="s">
        <v>2753</v>
      </c>
      <c r="B1953" s="12" t="s">
        <v>2754</v>
      </c>
      <c r="C1953" s="13" t="s">
        <v>11</v>
      </c>
      <c r="D1953" s="17">
        <v>22.85</v>
      </c>
    </row>
    <row r="1954" spans="1:7">
      <c r="A1954" s="14" t="s">
        <v>2755</v>
      </c>
      <c r="B1954" s="12" t="s">
        <v>2739</v>
      </c>
      <c r="C1954" s="13" t="s">
        <v>11</v>
      </c>
      <c r="D1954" s="17">
        <v>13.9</v>
      </c>
    </row>
    <row r="1955" ht="31" spans="1:7">
      <c r="A1955" s="18">
        <v>13.88</v>
      </c>
      <c r="B1955" s="15" t="s">
        <v>2756</v>
      </c>
      <c r="C1955" s="13" t="s">
        <v>11</v>
      </c>
      <c r="D1955" s="17">
        <v>19.75</v>
      </c>
      <c r="E1955" s="5">
        <v>14.43</v>
      </c>
      <c r="F1955" s="6">
        <v>8.35</v>
      </c>
      <c r="G1955" s="7">
        <f t="shared" ref="G1955:G1958" si="252">(D1955-F1955)/F1955</f>
        <v>1.36526946107784</v>
      </c>
    </row>
    <row r="1956" spans="1:7">
      <c r="A1956" s="18">
        <v>13.9</v>
      </c>
      <c r="B1956" s="15" t="s">
        <v>44</v>
      </c>
      <c r="C1956" s="13"/>
      <c r="D1956" s="16"/>
      <c r="E1956" s="5">
        <v>14.45</v>
      </c>
    </row>
    <row r="1957" spans="1:7">
      <c r="A1957" s="14" t="s">
        <v>2757</v>
      </c>
      <c r="B1957" s="12" t="s">
        <v>44</v>
      </c>
      <c r="C1957" s="13"/>
      <c r="D1957" s="17"/>
      <c r="F1957" s="6">
        <v>33.35</v>
      </c>
      <c r="G1957" s="7">
        <f t="shared" si="252"/>
        <v>-1</v>
      </c>
    </row>
    <row r="1958" ht="46.5" spans="1:7">
      <c r="A1958" s="18">
        <v>13.91</v>
      </c>
      <c r="B1958" s="15" t="s">
        <v>2758</v>
      </c>
      <c r="C1958" s="13" t="s">
        <v>11</v>
      </c>
      <c r="D1958" s="17">
        <v>25.15</v>
      </c>
      <c r="E1958" s="5">
        <v>14.46</v>
      </c>
      <c r="F1958" s="6">
        <v>10.8</v>
      </c>
      <c r="G1958" s="7">
        <f t="shared" si="252"/>
        <v>1.3287037037037</v>
      </c>
    </row>
    <row r="1959" ht="31" spans="1:7">
      <c r="A1959" s="18">
        <v>13.92</v>
      </c>
      <c r="B1959" s="15" t="s">
        <v>2677</v>
      </c>
      <c r="C1959" s="13" t="s">
        <v>11</v>
      </c>
      <c r="D1959" s="17"/>
      <c r="E1959" s="5">
        <v>14.47</v>
      </c>
    </row>
    <row r="1960" spans="1:7">
      <c r="A1960" s="14" t="s">
        <v>2759</v>
      </c>
      <c r="B1960" s="12" t="s">
        <v>2739</v>
      </c>
      <c r="C1960" s="13" t="s">
        <v>11</v>
      </c>
      <c r="D1960" s="17">
        <v>93.3</v>
      </c>
    </row>
    <row r="1961" ht="46.5" spans="1:7">
      <c r="A1961" s="18">
        <v>13.93</v>
      </c>
      <c r="B1961" s="15" t="s">
        <v>2760</v>
      </c>
      <c r="C1961" s="13"/>
      <c r="D1961" s="17"/>
      <c r="E1961" s="5">
        <v>14.48</v>
      </c>
    </row>
    <row r="1962" spans="1:7">
      <c r="A1962" s="14" t="s">
        <v>2761</v>
      </c>
      <c r="B1962" s="12" t="s">
        <v>2762</v>
      </c>
      <c r="C1962" s="13" t="s">
        <v>39</v>
      </c>
      <c r="D1962" s="17">
        <v>57.25</v>
      </c>
    </row>
    <row r="1963" ht="31" spans="1:7">
      <c r="A1963" s="18">
        <v>13.94</v>
      </c>
      <c r="B1963" s="15" t="s">
        <v>2763</v>
      </c>
      <c r="C1963" s="13"/>
      <c r="D1963" s="16"/>
      <c r="E1963" s="36">
        <v>14.49</v>
      </c>
    </row>
    <row r="1964" spans="1:7">
      <c r="A1964" s="14" t="s">
        <v>2764</v>
      </c>
      <c r="B1964" s="12" t="s">
        <v>2762</v>
      </c>
      <c r="C1964" s="13" t="s">
        <v>39</v>
      </c>
      <c r="D1964" s="17">
        <v>26.85</v>
      </c>
      <c r="E1964" s="36"/>
    </row>
    <row r="1965" spans="1:7">
      <c r="A1965" s="14" t="s">
        <v>2765</v>
      </c>
      <c r="B1965" s="12" t="s">
        <v>2687</v>
      </c>
      <c r="C1965" s="13" t="s">
        <v>39</v>
      </c>
      <c r="D1965" s="17">
        <v>35.5</v>
      </c>
      <c r="E1965" s="36"/>
    </row>
    <row r="1966" spans="1:7">
      <c r="A1966" s="14" t="s">
        <v>2766</v>
      </c>
      <c r="B1966" s="12" t="s">
        <v>2689</v>
      </c>
      <c r="C1966" s="13" t="s">
        <v>39</v>
      </c>
      <c r="D1966" s="17">
        <v>51.2</v>
      </c>
      <c r="E1966" s="36"/>
    </row>
    <row r="1967" ht="46.5" spans="1:7">
      <c r="A1967" s="18">
        <v>13.95</v>
      </c>
      <c r="B1967" s="15" t="s">
        <v>2767</v>
      </c>
      <c r="C1967" s="13"/>
      <c r="D1967" s="16"/>
      <c r="E1967" s="42">
        <v>14.5</v>
      </c>
    </row>
    <row r="1968" spans="1:7">
      <c r="A1968" s="14" t="s">
        <v>2768</v>
      </c>
      <c r="B1968" s="12" t="s">
        <v>2762</v>
      </c>
      <c r="C1968" s="13" t="s">
        <v>39</v>
      </c>
      <c r="D1968" s="17">
        <v>58.9</v>
      </c>
      <c r="E1968" s="36"/>
      <c r="F1968" s="6">
        <v>27.6</v>
      </c>
      <c r="G1968" s="7">
        <f t="shared" ref="G1968:G1970" si="253">(D1968-F1968)/F1968</f>
        <v>1.13405797101449</v>
      </c>
    </row>
    <row r="1969" spans="1:7">
      <c r="A1969" s="14" t="s">
        <v>2769</v>
      </c>
      <c r="B1969" s="12" t="s">
        <v>2687</v>
      </c>
      <c r="C1969" s="13" t="s">
        <v>39</v>
      </c>
      <c r="D1969" s="17">
        <v>81.45</v>
      </c>
      <c r="E1969" s="36"/>
      <c r="F1969" s="6">
        <v>38.75</v>
      </c>
      <c r="G1969" s="7">
        <f t="shared" si="253"/>
        <v>1.10193548387097</v>
      </c>
    </row>
    <row r="1970" spans="1:7">
      <c r="A1970" s="14" t="s">
        <v>2770</v>
      </c>
      <c r="B1970" s="12" t="s">
        <v>2689</v>
      </c>
      <c r="C1970" s="13" t="s">
        <v>39</v>
      </c>
      <c r="D1970" s="17">
        <v>121.35</v>
      </c>
      <c r="E1970" s="36"/>
      <c r="F1970" s="6">
        <v>57.75</v>
      </c>
      <c r="G1970" s="7">
        <f t="shared" si="253"/>
        <v>1.1012987012987</v>
      </c>
    </row>
    <row r="1971" ht="46.5" spans="1:7">
      <c r="A1971" s="18">
        <v>13.96</v>
      </c>
      <c r="B1971" s="15" t="s">
        <v>2771</v>
      </c>
      <c r="C1971" s="13"/>
      <c r="D1971" s="16"/>
      <c r="E1971" s="36">
        <v>14.51</v>
      </c>
    </row>
    <row r="1972" spans="1:7">
      <c r="A1972" s="14" t="s">
        <v>2772</v>
      </c>
      <c r="B1972" s="12" t="s">
        <v>2762</v>
      </c>
      <c r="C1972" s="13" t="s">
        <v>39</v>
      </c>
      <c r="D1972" s="17">
        <v>28.2</v>
      </c>
      <c r="E1972" s="36"/>
    </row>
    <row r="1973" spans="1:7">
      <c r="A1973" s="14" t="s">
        <v>2773</v>
      </c>
      <c r="B1973" s="12" t="s">
        <v>2687</v>
      </c>
      <c r="C1973" s="13" t="s">
        <v>39</v>
      </c>
      <c r="D1973" s="17">
        <v>36.25</v>
      </c>
      <c r="E1973" s="36"/>
    </row>
    <row r="1974" spans="1:7">
      <c r="A1974" s="14" t="s">
        <v>2774</v>
      </c>
      <c r="B1974" s="12" t="s">
        <v>2689</v>
      </c>
      <c r="C1974" s="13" t="s">
        <v>39</v>
      </c>
      <c r="D1974" s="17">
        <v>52.25</v>
      </c>
      <c r="E1974" s="36"/>
    </row>
    <row r="1975" spans="1:7">
      <c r="A1975" s="18">
        <v>13.97</v>
      </c>
      <c r="B1975" s="15" t="s">
        <v>2775</v>
      </c>
      <c r="C1975" s="13"/>
      <c r="D1975" s="16"/>
      <c r="E1975" s="36">
        <v>14.52</v>
      </c>
    </row>
    <row r="1976" spans="1:7">
      <c r="A1976" s="14" t="s">
        <v>2776</v>
      </c>
      <c r="B1976" s="12" t="s">
        <v>2739</v>
      </c>
      <c r="C1976" s="13" t="s">
        <v>11</v>
      </c>
      <c r="D1976" s="17">
        <v>41.2</v>
      </c>
      <c r="E1976" s="36"/>
      <c r="F1976" s="6">
        <v>24.8</v>
      </c>
      <c r="G1976" s="7">
        <f t="shared" ref="G1976:G1980" si="254">(D1976-F1976)/F1976</f>
        <v>0.661290322580645</v>
      </c>
    </row>
    <row r="1977" spans="1:7">
      <c r="A1977" s="18">
        <v>13.98</v>
      </c>
      <c r="B1977" s="15" t="s">
        <v>44</v>
      </c>
      <c r="C1977" s="13"/>
      <c r="D1977" s="16"/>
      <c r="E1977" s="11">
        <v>14.53</v>
      </c>
    </row>
    <row r="1978" spans="1:7">
      <c r="A1978" s="14" t="s">
        <v>2777</v>
      </c>
      <c r="B1978" s="12" t="s">
        <v>44</v>
      </c>
      <c r="C1978" s="13"/>
      <c r="D1978" s="17"/>
      <c r="F1978" s="6">
        <v>55.25</v>
      </c>
      <c r="G1978" s="7">
        <f t="shared" si="254"/>
        <v>-1</v>
      </c>
    </row>
    <row r="1979" ht="31" spans="1:7">
      <c r="A1979" s="18">
        <v>13.99</v>
      </c>
      <c r="B1979" s="15" t="s">
        <v>2701</v>
      </c>
      <c r="C1979" s="13"/>
      <c r="D1979" s="17"/>
      <c r="E1979" s="43">
        <v>14.54</v>
      </c>
    </row>
    <row r="1980" spans="1:7">
      <c r="A1980" s="14" t="s">
        <v>2778</v>
      </c>
      <c r="B1980" s="12" t="s">
        <v>2779</v>
      </c>
      <c r="C1980" s="13" t="s">
        <v>11</v>
      </c>
      <c r="D1980" s="17">
        <v>102.8</v>
      </c>
      <c r="E1980" s="43"/>
      <c r="F1980" s="6">
        <v>51.3</v>
      </c>
      <c r="G1980" s="7">
        <f t="shared" si="254"/>
        <v>1.00389863547758</v>
      </c>
    </row>
    <row r="1981" spans="1:7">
      <c r="A1981" s="33">
        <v>13.1</v>
      </c>
      <c r="B1981" s="15" t="s">
        <v>2780</v>
      </c>
      <c r="C1981" s="13"/>
      <c r="D1981" s="17"/>
      <c r="E1981" s="36">
        <v>14.55</v>
      </c>
    </row>
    <row r="1982" spans="1:7">
      <c r="A1982" s="14" t="s">
        <v>2781</v>
      </c>
      <c r="B1982" s="12" t="s">
        <v>2779</v>
      </c>
      <c r="C1982" s="13" t="s">
        <v>11</v>
      </c>
      <c r="D1982" s="17">
        <v>96</v>
      </c>
      <c r="E1982" s="36"/>
      <c r="F1982" s="6">
        <v>44.4</v>
      </c>
      <c r="G1982" s="7">
        <f t="shared" ref="G1982:G1987" si="255">(D1982-F1982)/F1982</f>
        <v>1.16216216216216</v>
      </c>
    </row>
    <row r="1983" ht="31" spans="1:7">
      <c r="A1983" s="33">
        <v>13.101</v>
      </c>
      <c r="B1983" s="15" t="s">
        <v>2706</v>
      </c>
      <c r="C1983" s="13"/>
      <c r="D1983" s="16"/>
      <c r="E1983" s="36">
        <v>14.56</v>
      </c>
    </row>
    <row r="1984" spans="1:7">
      <c r="A1984" s="14" t="s">
        <v>2782</v>
      </c>
      <c r="B1984" s="12" t="s">
        <v>2779</v>
      </c>
      <c r="C1984" s="13" t="s">
        <v>11</v>
      </c>
      <c r="D1984" s="17">
        <v>107.25</v>
      </c>
      <c r="E1984" s="36"/>
      <c r="F1984" s="6">
        <v>55.75</v>
      </c>
      <c r="G1984" s="7">
        <f t="shared" si="255"/>
        <v>0.923766816143498</v>
      </c>
    </row>
    <row r="1985" ht="31" spans="1:7">
      <c r="A1985" s="33">
        <v>13.102</v>
      </c>
      <c r="B1985" s="15" t="s">
        <v>2708</v>
      </c>
      <c r="C1985" s="13"/>
      <c r="D1985" s="16"/>
      <c r="E1985" s="36">
        <v>14.57</v>
      </c>
    </row>
    <row r="1986" spans="1:7">
      <c r="A1986" s="14" t="s">
        <v>2783</v>
      </c>
      <c r="B1986" s="12" t="s">
        <v>2779</v>
      </c>
      <c r="C1986" s="13" t="s">
        <v>11</v>
      </c>
      <c r="D1986" s="17">
        <v>93.7</v>
      </c>
      <c r="E1986" s="36"/>
      <c r="F1986" s="6">
        <v>43.55</v>
      </c>
      <c r="G1986" s="7">
        <f t="shared" si="255"/>
        <v>1.15154994259472</v>
      </c>
    </row>
    <row r="1987" spans="1:7">
      <c r="A1987" s="33">
        <v>13.103</v>
      </c>
      <c r="B1987" s="15" t="s">
        <v>2715</v>
      </c>
      <c r="C1987" s="13"/>
      <c r="D1987" s="17"/>
      <c r="E1987" s="36">
        <v>14.58</v>
      </c>
      <c r="F1987" s="6">
        <v>105.85</v>
      </c>
      <c r="G1987" s="7">
        <f t="shared" si="255"/>
        <v>-1</v>
      </c>
    </row>
    <row r="1988" spans="1:7">
      <c r="A1988" s="14" t="s">
        <v>2784</v>
      </c>
      <c r="B1988" s="12" t="s">
        <v>2779</v>
      </c>
      <c r="C1988" s="13" t="s">
        <v>11</v>
      </c>
      <c r="D1988" s="17">
        <v>224.8</v>
      </c>
      <c r="E1988" s="36"/>
    </row>
    <row r="1989" spans="1:7">
      <c r="A1989" s="33">
        <v>13.104</v>
      </c>
      <c r="B1989" s="15" t="s">
        <v>2785</v>
      </c>
      <c r="C1989" s="13"/>
      <c r="D1989" s="16"/>
      <c r="E1989" s="36">
        <v>14.59</v>
      </c>
    </row>
    <row r="1990" spans="1:7">
      <c r="A1990" s="14" t="s">
        <v>2786</v>
      </c>
      <c r="B1990" s="12" t="s">
        <v>2787</v>
      </c>
      <c r="C1990" s="13" t="s">
        <v>11</v>
      </c>
      <c r="D1990" s="17">
        <v>99.8</v>
      </c>
      <c r="E1990" s="36"/>
      <c r="F1990" s="6">
        <v>46.95</v>
      </c>
      <c r="G1990" s="7">
        <f t="shared" ref="G1990:G1992" si="256">(D1990-F1990)/F1990</f>
        <v>1.12566560170394</v>
      </c>
    </row>
    <row r="1991" ht="31" spans="1:7">
      <c r="A1991" s="33">
        <v>13.105</v>
      </c>
      <c r="B1991" s="15" t="s">
        <v>2788</v>
      </c>
      <c r="C1991" s="13" t="s">
        <v>2723</v>
      </c>
      <c r="D1991" s="17">
        <v>3.85</v>
      </c>
      <c r="E1991" s="36">
        <v>14.6</v>
      </c>
      <c r="F1991" s="6">
        <v>1.7</v>
      </c>
      <c r="G1991" s="7">
        <f t="shared" si="256"/>
        <v>1.26470588235294</v>
      </c>
    </row>
    <row r="1992" ht="31" spans="1:7">
      <c r="A1992" s="33">
        <v>13.106</v>
      </c>
      <c r="B1992" s="15" t="s">
        <v>2789</v>
      </c>
      <c r="C1992" s="13" t="s">
        <v>11</v>
      </c>
      <c r="D1992" s="17">
        <v>95.8</v>
      </c>
      <c r="E1992" s="36">
        <v>14.61</v>
      </c>
      <c r="F1992" s="6">
        <v>44.8</v>
      </c>
      <c r="G1992" s="7">
        <f t="shared" si="256"/>
        <v>1.13839285714286</v>
      </c>
    </row>
    <row r="1993" spans="1:7">
      <c r="A1993" s="33">
        <v>13.107</v>
      </c>
      <c r="B1993" s="15" t="s">
        <v>2790</v>
      </c>
      <c r="C1993" s="13"/>
      <c r="D1993" s="16"/>
      <c r="E1993" s="5">
        <v>14.62</v>
      </c>
    </row>
    <row r="1994" spans="1:7">
      <c r="A1994" s="14" t="s">
        <v>2791</v>
      </c>
      <c r="B1994" s="12" t="s">
        <v>2792</v>
      </c>
      <c r="C1994" s="13" t="s">
        <v>126</v>
      </c>
      <c r="D1994" s="17">
        <v>80.1</v>
      </c>
      <c r="E1994" s="36"/>
      <c r="F1994" s="6">
        <v>62.65</v>
      </c>
      <c r="G1994" s="7">
        <f t="shared" ref="G1994:G1997" si="257">(D1994-F1994)/F1994</f>
        <v>0.27853152434158</v>
      </c>
    </row>
    <row r="1995" spans="1:7">
      <c r="A1995" s="14" t="s">
        <v>2793</v>
      </c>
      <c r="B1995" s="12" t="s">
        <v>2794</v>
      </c>
      <c r="C1995" s="13" t="s">
        <v>126</v>
      </c>
      <c r="D1995" s="17">
        <v>78.65</v>
      </c>
      <c r="E1995" s="36"/>
      <c r="F1995" s="6">
        <v>62.65</v>
      </c>
      <c r="G1995" s="7">
        <f t="shared" si="257"/>
        <v>0.255387071029529</v>
      </c>
    </row>
    <row r="1996" spans="1:7">
      <c r="A1996" s="33">
        <v>13.108</v>
      </c>
      <c r="B1996" s="15" t="s">
        <v>44</v>
      </c>
      <c r="C1996" s="13"/>
      <c r="D1996" s="16"/>
      <c r="E1996" s="36">
        <v>14.63</v>
      </c>
    </row>
    <row r="1997" spans="1:7">
      <c r="A1997" s="14" t="s">
        <v>2795</v>
      </c>
      <c r="B1997" s="12" t="s">
        <v>44</v>
      </c>
      <c r="C1997" s="13"/>
      <c r="D1997" s="17"/>
      <c r="E1997" s="36"/>
      <c r="F1997" s="6">
        <v>29.8</v>
      </c>
      <c r="G1997" s="7">
        <f t="shared" si="257"/>
        <v>-1</v>
      </c>
    </row>
    <row r="1998" spans="1:7">
      <c r="A1998" s="33">
        <v>13.109</v>
      </c>
      <c r="B1998" s="15" t="s">
        <v>2635</v>
      </c>
      <c r="C1998" s="13"/>
      <c r="D1998" s="16"/>
      <c r="E1998" s="36">
        <v>14.64</v>
      </c>
    </row>
    <row r="1999" ht="31" spans="1:7">
      <c r="A1999" s="14" t="s">
        <v>2796</v>
      </c>
      <c r="B1999" s="12" t="s">
        <v>2797</v>
      </c>
      <c r="C1999" s="13" t="s">
        <v>11</v>
      </c>
      <c r="D1999" s="17">
        <v>112.9</v>
      </c>
      <c r="E1999" s="36"/>
      <c r="F1999" s="6">
        <v>55.7</v>
      </c>
      <c r="G1999" s="7">
        <f t="shared" ref="G1999:G2003" si="258">(D1999-F1999)/F1999</f>
        <v>1.02692998204668</v>
      </c>
    </row>
    <row r="2000" spans="1:7">
      <c r="A2000" s="14" t="s">
        <v>2798</v>
      </c>
      <c r="B2000" s="12" t="s">
        <v>2799</v>
      </c>
      <c r="C2000" s="13" t="s">
        <v>11</v>
      </c>
      <c r="D2000" s="17">
        <v>75.8</v>
      </c>
      <c r="E2000" s="36"/>
      <c r="F2000" s="6">
        <v>37.9</v>
      </c>
      <c r="G2000" s="7">
        <f t="shared" si="258"/>
        <v>1</v>
      </c>
    </row>
    <row r="2001" spans="1:7">
      <c r="A2001" s="33">
        <v>13.11</v>
      </c>
      <c r="B2001" s="15" t="s">
        <v>2639</v>
      </c>
      <c r="C2001" s="13"/>
      <c r="D2001" s="16"/>
      <c r="E2001" s="5">
        <v>14.65</v>
      </c>
    </row>
    <row r="2002" spans="1:7">
      <c r="A2002" s="14" t="s">
        <v>2800</v>
      </c>
      <c r="B2002" s="12" t="s">
        <v>2801</v>
      </c>
      <c r="C2002" s="13" t="s">
        <v>11</v>
      </c>
      <c r="D2002" s="17">
        <v>169.2</v>
      </c>
      <c r="F2002" s="6">
        <v>124.75</v>
      </c>
      <c r="G2002" s="7">
        <f t="shared" si="258"/>
        <v>0.356312625250501</v>
      </c>
    </row>
    <row r="2003" spans="1:7">
      <c r="A2003" s="14" t="s">
        <v>2802</v>
      </c>
      <c r="B2003" s="12" t="s">
        <v>2803</v>
      </c>
      <c r="C2003" s="13" t="s">
        <v>11</v>
      </c>
      <c r="D2003" s="17">
        <v>109.1</v>
      </c>
      <c r="F2003" s="6">
        <v>76.2</v>
      </c>
      <c r="G2003" s="7">
        <f t="shared" si="258"/>
        <v>0.431758530183727</v>
      </c>
    </row>
    <row r="2004" spans="1:7">
      <c r="A2004" s="33">
        <v>13.111</v>
      </c>
      <c r="B2004" s="15" t="s">
        <v>2642</v>
      </c>
      <c r="C2004" s="13"/>
      <c r="D2004" s="16"/>
      <c r="E2004" s="5">
        <v>14.66</v>
      </c>
    </row>
    <row r="2005" spans="1:7">
      <c r="A2005" s="14" t="s">
        <v>2804</v>
      </c>
      <c r="B2005" s="12" t="s">
        <v>2805</v>
      </c>
      <c r="C2005" s="13" t="s">
        <v>11</v>
      </c>
      <c r="D2005" s="17">
        <v>120.75</v>
      </c>
      <c r="F2005" s="6">
        <v>68.95</v>
      </c>
      <c r="G2005" s="7">
        <f t="shared" ref="G2005:G2008" si="259">(D2005-F2005)/F2005</f>
        <v>0.751269035532995</v>
      </c>
    </row>
    <row r="2006" spans="1:7">
      <c r="A2006" s="14" t="s">
        <v>2806</v>
      </c>
      <c r="B2006" s="12" t="s">
        <v>2807</v>
      </c>
      <c r="C2006" s="13" t="s">
        <v>11</v>
      </c>
      <c r="D2006" s="17">
        <v>80.65</v>
      </c>
      <c r="F2006" s="6">
        <v>45.35</v>
      </c>
      <c r="G2006" s="7">
        <f t="shared" si="259"/>
        <v>0.778390297684675</v>
      </c>
    </row>
    <row r="2007" ht="31" spans="1:7">
      <c r="A2007" s="33">
        <v>13.112</v>
      </c>
      <c r="B2007" s="15" t="s">
        <v>2808</v>
      </c>
      <c r="C2007" s="13"/>
      <c r="D2007" s="16"/>
      <c r="E2007" s="5">
        <v>14.67</v>
      </c>
    </row>
    <row r="2008" ht="31" spans="1:7">
      <c r="A2008" s="14" t="s">
        <v>2809</v>
      </c>
      <c r="B2008" s="12" t="s">
        <v>2810</v>
      </c>
      <c r="C2008" s="13" t="s">
        <v>11</v>
      </c>
      <c r="D2008" s="17">
        <v>131.3</v>
      </c>
      <c r="F2008" s="6">
        <v>70.75</v>
      </c>
      <c r="G2008" s="7">
        <f t="shared" si="259"/>
        <v>0.85583038869258</v>
      </c>
    </row>
    <row r="2009" spans="1:7">
      <c r="A2009" s="14" t="s">
        <v>2811</v>
      </c>
      <c r="B2009" s="12" t="s">
        <v>2812</v>
      </c>
      <c r="C2009" s="13" t="s">
        <v>11</v>
      </c>
      <c r="D2009" s="17">
        <v>88.55</v>
      </c>
    </row>
    <row r="2010" spans="1:7">
      <c r="A2010" s="33">
        <v>13.113</v>
      </c>
      <c r="B2010" s="15" t="s">
        <v>2813</v>
      </c>
      <c r="C2010" s="13"/>
      <c r="D2010" s="16"/>
      <c r="E2010" s="5">
        <v>14.69</v>
      </c>
    </row>
    <row r="2011" spans="1:7">
      <c r="A2011" s="14" t="s">
        <v>2814</v>
      </c>
      <c r="B2011" s="12" t="s">
        <v>2815</v>
      </c>
      <c r="C2011" s="13" t="s">
        <v>11</v>
      </c>
      <c r="D2011" s="17">
        <v>94.6</v>
      </c>
      <c r="F2011" s="6">
        <v>46.95</v>
      </c>
      <c r="G2011" s="7">
        <f t="shared" ref="G2011:G2014" si="260">(D2011-F2011)/F2011</f>
        <v>1.01490947816826</v>
      </c>
    </row>
    <row r="2012" spans="1:7">
      <c r="A2012" s="14" t="s">
        <v>2816</v>
      </c>
      <c r="B2012" s="12" t="s">
        <v>2817</v>
      </c>
      <c r="C2012" s="13" t="s">
        <v>11</v>
      </c>
      <c r="D2012" s="17">
        <v>95.05</v>
      </c>
      <c r="F2012" s="6">
        <v>47.5</v>
      </c>
      <c r="G2012" s="7">
        <f t="shared" si="260"/>
        <v>1.00105263157895</v>
      </c>
    </row>
    <row r="2013" spans="1:7">
      <c r="A2013" s="33">
        <v>13.114</v>
      </c>
      <c r="B2013" s="15" t="s">
        <v>2818</v>
      </c>
      <c r="C2013" s="13" t="s">
        <v>11</v>
      </c>
      <c r="D2013" s="17">
        <v>138.1</v>
      </c>
      <c r="E2013" s="32">
        <v>14.7</v>
      </c>
      <c r="F2013" s="6">
        <v>79.5</v>
      </c>
      <c r="G2013" s="7">
        <f t="shared" si="260"/>
        <v>0.737106918238994</v>
      </c>
    </row>
    <row r="2014" ht="31" spans="1:7">
      <c r="A2014" s="33">
        <v>13.115</v>
      </c>
      <c r="B2014" s="15" t="s">
        <v>2819</v>
      </c>
      <c r="C2014" s="13" t="s">
        <v>11</v>
      </c>
      <c r="D2014" s="17">
        <v>99.7</v>
      </c>
      <c r="E2014" s="5">
        <v>14.71</v>
      </c>
      <c r="F2014" s="6">
        <v>47.2</v>
      </c>
      <c r="G2014" s="7">
        <f t="shared" si="260"/>
        <v>1.11228813559322</v>
      </c>
    </row>
    <row r="2015" ht="294.5" spans="1:7">
      <c r="A2015" s="33">
        <v>13.116</v>
      </c>
      <c r="B2015" s="15" t="s">
        <v>2820</v>
      </c>
      <c r="C2015" s="13" t="s">
        <v>11</v>
      </c>
      <c r="D2015" s="17">
        <v>1360.45</v>
      </c>
    </row>
    <row r="2016" spans="1:7">
      <c r="A2016" s="44"/>
      <c r="B2016" s="39"/>
      <c r="D2016" s="22"/>
    </row>
    <row r="2017" spans="1:7">
      <c r="A2017" s="44"/>
      <c r="B2017" s="39"/>
      <c r="D2017" s="22"/>
    </row>
    <row r="2018" spans="1:7">
      <c r="A2018" s="6"/>
      <c r="D2018" s="22"/>
    </row>
    <row r="2019" ht="31" spans="1:7">
      <c r="A2019" s="9" t="s">
        <v>2821</v>
      </c>
      <c r="B2019" s="10"/>
      <c r="C2019" s="9"/>
      <c r="D2019" s="9"/>
    </row>
    <row r="2020" spans="1:7">
      <c r="A2020" s="14" t="s">
        <v>166</v>
      </c>
      <c r="B2020" s="15" t="s">
        <v>2</v>
      </c>
      <c r="C2020" s="13" t="s">
        <v>167</v>
      </c>
      <c r="D2020" s="16" t="s">
        <v>4</v>
      </c>
    </row>
    <row r="2021" ht="62" spans="1:7">
      <c r="A2021" s="14">
        <v>14.1</v>
      </c>
      <c r="B2021" s="15" t="s">
        <v>2822</v>
      </c>
      <c r="C2021" s="13"/>
      <c r="D2021" s="16"/>
    </row>
    <row r="2022" spans="1:7">
      <c r="A2022" s="14" t="s">
        <v>2823</v>
      </c>
      <c r="B2022" s="12" t="s">
        <v>2824</v>
      </c>
      <c r="C2022" s="13" t="s">
        <v>11</v>
      </c>
      <c r="D2022" s="17">
        <v>547.4</v>
      </c>
      <c r="F2022" s="6">
        <v>264.8</v>
      </c>
      <c r="G2022" s="7">
        <f t="shared" ref="G2022:G2028" si="261">(D2022-F2022)/F2022</f>
        <v>1.06722054380665</v>
      </c>
    </row>
    <row r="2023" spans="1:7">
      <c r="A2023" s="14" t="s">
        <v>2825</v>
      </c>
      <c r="B2023" s="12" t="s">
        <v>2826</v>
      </c>
      <c r="C2023" s="13" t="s">
        <v>11</v>
      </c>
      <c r="D2023" s="17">
        <v>560.5</v>
      </c>
      <c r="F2023" s="6">
        <v>274.8</v>
      </c>
      <c r="G2023" s="7">
        <f t="shared" si="261"/>
        <v>1.03966521106259</v>
      </c>
    </row>
    <row r="2024" ht="108.5" spans="1:7">
      <c r="A2024" s="14">
        <v>14.2</v>
      </c>
      <c r="B2024" s="15" t="s">
        <v>2827</v>
      </c>
      <c r="C2024" s="13"/>
      <c r="D2024" s="16"/>
    </row>
    <row r="2025" spans="1:7">
      <c r="A2025" s="14" t="s">
        <v>2828</v>
      </c>
      <c r="B2025" s="12" t="s">
        <v>2829</v>
      </c>
      <c r="C2025" s="13" t="s">
        <v>126</v>
      </c>
      <c r="D2025" s="17">
        <v>1782.55</v>
      </c>
      <c r="F2025" s="6">
        <v>852.7</v>
      </c>
      <c r="G2025" s="7">
        <f t="shared" si="261"/>
        <v>1.09047730737657</v>
      </c>
    </row>
    <row r="2026" spans="1:7">
      <c r="A2026" s="14" t="s">
        <v>2830</v>
      </c>
      <c r="B2026" s="12" t="s">
        <v>2831</v>
      </c>
      <c r="C2026" s="13" t="s">
        <v>126</v>
      </c>
      <c r="D2026" s="17">
        <v>1125.15</v>
      </c>
      <c r="F2026" s="6">
        <v>529.5</v>
      </c>
      <c r="G2026" s="7">
        <f t="shared" si="261"/>
        <v>1.12492917847026</v>
      </c>
    </row>
    <row r="2027" spans="1:7">
      <c r="A2027" s="14" t="s">
        <v>2832</v>
      </c>
      <c r="B2027" s="12" t="s">
        <v>2833</v>
      </c>
      <c r="C2027" s="13" t="s">
        <v>126</v>
      </c>
      <c r="D2027" s="17">
        <v>851</v>
      </c>
      <c r="F2027" s="6">
        <v>387.1</v>
      </c>
      <c r="G2027" s="7">
        <f t="shared" si="261"/>
        <v>1.19839834668044</v>
      </c>
    </row>
    <row r="2028" ht="62" spans="1:7">
      <c r="A2028" s="14">
        <v>14.3</v>
      </c>
      <c r="B2028" s="15" t="s">
        <v>2834</v>
      </c>
      <c r="C2028" s="13" t="s">
        <v>126</v>
      </c>
      <c r="D2028" s="17">
        <v>217.1</v>
      </c>
      <c r="F2028" s="6">
        <v>157.95</v>
      </c>
      <c r="G2028" s="7">
        <f t="shared" si="261"/>
        <v>0.374485596707819</v>
      </c>
    </row>
    <row r="2029" ht="62" spans="1:7">
      <c r="A2029" s="14">
        <v>14.4</v>
      </c>
      <c r="B2029" s="15" t="s">
        <v>2835</v>
      </c>
      <c r="C2029" s="13"/>
      <c r="D2029" s="16"/>
    </row>
    <row r="2030" spans="1:7">
      <c r="A2030" s="14" t="s">
        <v>2836</v>
      </c>
      <c r="B2030" s="12" t="s">
        <v>2837</v>
      </c>
      <c r="C2030" s="13" t="s">
        <v>11</v>
      </c>
      <c r="D2030" s="17">
        <v>1264.35</v>
      </c>
      <c r="F2030" s="6">
        <v>546.25</v>
      </c>
      <c r="G2030" s="7">
        <f t="shared" ref="G2030:G2033" si="262">(D2030-F2030)/F2030</f>
        <v>1.3145995423341</v>
      </c>
    </row>
    <row r="2031" ht="31" spans="1:7">
      <c r="A2031" s="14">
        <v>14.5</v>
      </c>
      <c r="B2031" s="15" t="s">
        <v>2838</v>
      </c>
      <c r="C2031" s="13"/>
      <c r="D2031" s="16"/>
    </row>
    <row r="2032" spans="1:7">
      <c r="A2032" s="14" t="s">
        <v>2839</v>
      </c>
      <c r="B2032" s="12" t="s">
        <v>2840</v>
      </c>
      <c r="C2032" s="13" t="s">
        <v>11</v>
      </c>
      <c r="D2032" s="17">
        <v>1090.65</v>
      </c>
      <c r="E2032" s="11"/>
      <c r="F2032" s="6">
        <v>637.9</v>
      </c>
      <c r="G2032" s="7">
        <f t="shared" si="262"/>
        <v>0.70975074463082</v>
      </c>
    </row>
    <row r="2033" spans="1:7">
      <c r="A2033" s="14" t="s">
        <v>2841</v>
      </c>
      <c r="B2033" s="12" t="s">
        <v>2842</v>
      </c>
      <c r="C2033" s="13" t="s">
        <v>11</v>
      </c>
      <c r="D2033" s="17">
        <v>1416.15</v>
      </c>
      <c r="E2033" s="11"/>
      <c r="F2033" s="6">
        <v>898.55</v>
      </c>
      <c r="G2033" s="7">
        <f t="shared" si="262"/>
        <v>0.576039174225141</v>
      </c>
    </row>
    <row r="2034" spans="1:7">
      <c r="A2034" s="14">
        <v>14.6</v>
      </c>
      <c r="B2034" s="15" t="s">
        <v>2843</v>
      </c>
      <c r="C2034" s="13"/>
      <c r="D2034" s="16"/>
    </row>
    <row r="2035" spans="1:7">
      <c r="A2035" s="14" t="s">
        <v>2844</v>
      </c>
      <c r="B2035" s="12" t="s">
        <v>2840</v>
      </c>
      <c r="C2035" s="13" t="s">
        <v>11</v>
      </c>
      <c r="D2035" s="17">
        <v>1580.9</v>
      </c>
      <c r="E2035" s="11"/>
      <c r="F2035" s="6">
        <v>852.6</v>
      </c>
      <c r="G2035" s="7">
        <f t="shared" ref="G2035:G2039" si="263">(D2035-F2035)/F2035</f>
        <v>0.854210649777152</v>
      </c>
    </row>
    <row r="2036" spans="1:7">
      <c r="A2036" s="14" t="s">
        <v>2845</v>
      </c>
      <c r="B2036" s="12" t="s">
        <v>2842</v>
      </c>
      <c r="C2036" s="13" t="s">
        <v>11</v>
      </c>
      <c r="D2036" s="17">
        <v>1906.4</v>
      </c>
      <c r="E2036" s="11"/>
      <c r="F2036" s="6">
        <v>1113.25</v>
      </c>
      <c r="G2036" s="7">
        <f t="shared" si="263"/>
        <v>0.712463507747586</v>
      </c>
    </row>
    <row r="2037" spans="1:7">
      <c r="A2037" s="14">
        <v>14.7</v>
      </c>
      <c r="B2037" s="15" t="s">
        <v>2846</v>
      </c>
      <c r="C2037" s="13"/>
      <c r="D2037" s="16"/>
      <c r="G2037" s="7" t="e">
        <f t="shared" si="263"/>
        <v>#DIV/0!</v>
      </c>
    </row>
    <row r="2038" spans="1:7">
      <c r="A2038" s="14" t="s">
        <v>2847</v>
      </c>
      <c r="B2038" s="12" t="s">
        <v>2840</v>
      </c>
      <c r="C2038" s="13" t="s">
        <v>11</v>
      </c>
      <c r="D2038" s="17">
        <v>1227.3</v>
      </c>
      <c r="E2038" s="11"/>
      <c r="F2038" s="6">
        <v>688.65</v>
      </c>
      <c r="G2038" s="7">
        <f t="shared" si="263"/>
        <v>0.782182531038989</v>
      </c>
    </row>
    <row r="2039" spans="1:7">
      <c r="A2039" s="14" t="s">
        <v>2848</v>
      </c>
      <c r="B2039" s="12" t="s">
        <v>2842</v>
      </c>
      <c r="C2039" s="13" t="s">
        <v>11</v>
      </c>
      <c r="D2039" s="17">
        <v>1552.75</v>
      </c>
      <c r="E2039" s="11"/>
      <c r="F2039" s="6">
        <v>949.3</v>
      </c>
      <c r="G2039" s="7">
        <f t="shared" si="263"/>
        <v>0.635678921310439</v>
      </c>
    </row>
    <row r="2040" spans="1:7">
      <c r="A2040" s="14">
        <v>14.8</v>
      </c>
      <c r="B2040" s="15" t="s">
        <v>2849</v>
      </c>
      <c r="C2040" s="13"/>
      <c r="D2040" s="16"/>
    </row>
    <row r="2041" spans="1:7">
      <c r="A2041" s="14" t="s">
        <v>2850</v>
      </c>
      <c r="B2041" s="12" t="s">
        <v>2851</v>
      </c>
      <c r="C2041" s="13" t="s">
        <v>39</v>
      </c>
      <c r="D2041" s="17">
        <v>77.7</v>
      </c>
      <c r="F2041" s="6">
        <v>38.65</v>
      </c>
      <c r="G2041" s="7">
        <f t="shared" ref="G2041:G2047" si="264">(D2041-F2041)/F2041</f>
        <v>1.01034928848642</v>
      </c>
    </row>
    <row r="2042" spans="1:7">
      <c r="A2042" s="14" t="s">
        <v>2852</v>
      </c>
      <c r="B2042" s="12" t="s">
        <v>2853</v>
      </c>
      <c r="C2042" s="13" t="s">
        <v>39</v>
      </c>
      <c r="D2042" s="17">
        <v>70.75</v>
      </c>
      <c r="F2042" s="6">
        <v>34.2</v>
      </c>
      <c r="G2042" s="7">
        <f t="shared" si="264"/>
        <v>1.0687134502924</v>
      </c>
    </row>
    <row r="2043" spans="1:7">
      <c r="A2043" s="14">
        <v>14.9</v>
      </c>
      <c r="B2043" s="15" t="s">
        <v>2854</v>
      </c>
      <c r="C2043" s="13" t="s">
        <v>39</v>
      </c>
      <c r="D2043" s="17">
        <v>56.15</v>
      </c>
      <c r="F2043" s="6">
        <v>25.45</v>
      </c>
      <c r="G2043" s="7">
        <f t="shared" si="264"/>
        <v>1.20628683693517</v>
      </c>
    </row>
    <row r="2044" spans="1:7">
      <c r="A2044" s="18">
        <v>14.1</v>
      </c>
      <c r="B2044" s="15" t="s">
        <v>2855</v>
      </c>
      <c r="C2044" s="13" t="s">
        <v>11</v>
      </c>
      <c r="D2044" s="17">
        <v>729.85</v>
      </c>
      <c r="F2044" s="6">
        <v>330.75</v>
      </c>
      <c r="G2044" s="7">
        <f t="shared" si="264"/>
        <v>1.20665154950869</v>
      </c>
    </row>
    <row r="2045" spans="1:7">
      <c r="A2045" s="18">
        <v>14.11</v>
      </c>
      <c r="B2045" s="15" t="s">
        <v>2856</v>
      </c>
      <c r="C2045" s="13" t="s">
        <v>11</v>
      </c>
      <c r="D2045" s="17">
        <v>679.6</v>
      </c>
      <c r="F2045" s="6">
        <v>295.05</v>
      </c>
      <c r="G2045" s="7">
        <f t="shared" si="264"/>
        <v>1.30333841721742</v>
      </c>
    </row>
    <row r="2046" ht="62" spans="1:7">
      <c r="A2046" s="18">
        <v>14.12</v>
      </c>
      <c r="B2046" s="15" t="s">
        <v>2857</v>
      </c>
      <c r="C2046" s="13" t="s">
        <v>126</v>
      </c>
      <c r="D2046" s="17">
        <v>563.9</v>
      </c>
      <c r="F2046" s="6">
        <v>259.5</v>
      </c>
      <c r="G2046" s="7">
        <f t="shared" si="264"/>
        <v>1.17302504816956</v>
      </c>
    </row>
    <row r="2047" ht="93" spans="1:7">
      <c r="A2047" s="18">
        <v>14.13</v>
      </c>
      <c r="B2047" s="15" t="s">
        <v>2858</v>
      </c>
      <c r="C2047" s="13" t="s">
        <v>11</v>
      </c>
      <c r="D2047" s="17">
        <v>696.05</v>
      </c>
      <c r="F2047" s="6">
        <v>314.1</v>
      </c>
      <c r="G2047" s="7">
        <f t="shared" si="264"/>
        <v>1.21601400827762</v>
      </c>
    </row>
    <row r="2048" ht="62" spans="1:7">
      <c r="A2048" s="18">
        <v>14.14</v>
      </c>
      <c r="B2048" s="15" t="s">
        <v>2859</v>
      </c>
      <c r="C2048" s="13"/>
      <c r="D2048" s="16"/>
    </row>
    <row r="2049" spans="1:7">
      <c r="A2049" s="14" t="s">
        <v>2860</v>
      </c>
      <c r="B2049" s="12" t="s">
        <v>2861</v>
      </c>
      <c r="C2049" s="13" t="s">
        <v>11</v>
      </c>
      <c r="D2049" s="17">
        <v>1365.85</v>
      </c>
      <c r="F2049" s="6">
        <v>659.1</v>
      </c>
      <c r="G2049" s="7">
        <f t="shared" ref="G2049:G2055" si="265">(D2049-F2049)/F2049</f>
        <v>1.07229555454408</v>
      </c>
    </row>
    <row r="2050" ht="62" spans="1:7">
      <c r="A2050" s="18">
        <v>14.15</v>
      </c>
      <c r="B2050" s="15" t="s">
        <v>2862</v>
      </c>
      <c r="C2050" s="13"/>
      <c r="D2050" s="16"/>
    </row>
    <row r="2051" spans="1:7">
      <c r="A2051" s="14" t="s">
        <v>2863</v>
      </c>
      <c r="B2051" s="12" t="s">
        <v>2864</v>
      </c>
      <c r="C2051" s="13" t="s">
        <v>14</v>
      </c>
      <c r="D2051" s="17">
        <v>99120.65</v>
      </c>
      <c r="F2051" s="6">
        <v>76828.35</v>
      </c>
      <c r="G2051" s="7">
        <f t="shared" si="265"/>
        <v>0.290157214101305</v>
      </c>
    </row>
    <row r="2052" ht="62" spans="1:7">
      <c r="A2052" s="18">
        <v>14.16</v>
      </c>
      <c r="B2052" s="15" t="s">
        <v>2865</v>
      </c>
      <c r="C2052" s="13"/>
      <c r="D2052" s="16"/>
    </row>
    <row r="2053" spans="1:7">
      <c r="A2053" s="14" t="s">
        <v>2866</v>
      </c>
      <c r="B2053" s="12" t="s">
        <v>2867</v>
      </c>
      <c r="C2053" s="13"/>
      <c r="D2053" s="16"/>
    </row>
    <row r="2054" spans="1:7">
      <c r="A2054" s="14" t="s">
        <v>2868</v>
      </c>
      <c r="B2054" s="12" t="s">
        <v>2869</v>
      </c>
      <c r="C2054" s="13" t="s">
        <v>14</v>
      </c>
      <c r="D2054" s="17">
        <v>104573.95</v>
      </c>
      <c r="F2054" s="6">
        <v>79341.25</v>
      </c>
      <c r="G2054" s="7">
        <f t="shared" si="265"/>
        <v>0.318027507759205</v>
      </c>
    </row>
    <row r="2055" spans="1:7">
      <c r="A2055" s="14" t="s">
        <v>2870</v>
      </c>
      <c r="B2055" s="12" t="s">
        <v>2871</v>
      </c>
      <c r="C2055" s="13" t="s">
        <v>14</v>
      </c>
      <c r="D2055" s="17">
        <v>70271.7</v>
      </c>
      <c r="F2055" s="6">
        <v>48223.75</v>
      </c>
      <c r="G2055" s="7">
        <f t="shared" si="265"/>
        <v>0.457201067938516</v>
      </c>
    </row>
    <row r="2056" spans="1:7">
      <c r="A2056" s="14" t="s">
        <v>2872</v>
      </c>
      <c r="B2056" s="12" t="s">
        <v>2873</v>
      </c>
      <c r="C2056" s="13"/>
      <c r="D2056" s="16"/>
    </row>
    <row r="2057" spans="1:7">
      <c r="A2057" s="14" t="s">
        <v>2874</v>
      </c>
      <c r="B2057" s="12" t="s">
        <v>2869</v>
      </c>
      <c r="C2057" s="13" t="s">
        <v>14</v>
      </c>
      <c r="D2057" s="17">
        <v>107320</v>
      </c>
      <c r="F2057" s="6">
        <v>80485.9</v>
      </c>
      <c r="G2057" s="7">
        <f t="shared" ref="G2057:G2059" si="266">(D2057-F2057)/F2057</f>
        <v>0.333401254132712</v>
      </c>
    </row>
    <row r="2058" spans="1:7">
      <c r="A2058" s="14" t="s">
        <v>2875</v>
      </c>
      <c r="B2058" s="12" t="s">
        <v>2871</v>
      </c>
      <c r="C2058" s="13" t="s">
        <v>14</v>
      </c>
      <c r="D2058" s="17">
        <v>72987.25</v>
      </c>
      <c r="F2058" s="6">
        <v>49336.15</v>
      </c>
      <c r="G2058" s="7">
        <f t="shared" si="266"/>
        <v>0.479386818793116</v>
      </c>
    </row>
    <row r="2059" ht="46.5" spans="1:7">
      <c r="A2059" s="18">
        <v>14.17</v>
      </c>
      <c r="B2059" s="15" t="s">
        <v>2876</v>
      </c>
      <c r="C2059" s="13" t="s">
        <v>11</v>
      </c>
      <c r="D2059" s="17">
        <v>72.45</v>
      </c>
      <c r="F2059" s="6">
        <v>29.65</v>
      </c>
      <c r="G2059" s="7">
        <f t="shared" si="266"/>
        <v>1.44350758853288</v>
      </c>
    </row>
    <row r="2060" ht="31" spans="1:7">
      <c r="A2060" s="18">
        <v>14.18</v>
      </c>
      <c r="B2060" s="15" t="s">
        <v>2877</v>
      </c>
      <c r="C2060" s="13"/>
      <c r="D2060" s="16"/>
    </row>
    <row r="2061" spans="1:7">
      <c r="A2061" s="14" t="s">
        <v>2878</v>
      </c>
      <c r="B2061" s="12" t="s">
        <v>2879</v>
      </c>
      <c r="C2061" s="13" t="s">
        <v>11</v>
      </c>
      <c r="D2061" s="17">
        <v>137.7</v>
      </c>
      <c r="F2061" s="6">
        <v>62.95</v>
      </c>
      <c r="G2061" s="7">
        <f t="shared" ref="G2061:G2065" si="267">(D2061-F2061)/F2061</f>
        <v>1.18745035742653</v>
      </c>
    </row>
    <row r="2062" spans="1:7">
      <c r="A2062" s="14" t="s">
        <v>2880</v>
      </c>
      <c r="B2062" s="12" t="s">
        <v>2881</v>
      </c>
      <c r="C2062" s="13" t="s">
        <v>11</v>
      </c>
      <c r="D2062" s="17">
        <v>139.05</v>
      </c>
      <c r="F2062" s="6">
        <v>64</v>
      </c>
      <c r="G2062" s="7">
        <f t="shared" si="267"/>
        <v>1.17265625</v>
      </c>
    </row>
    <row r="2063" ht="31" spans="1:7">
      <c r="A2063" s="18">
        <v>14.19</v>
      </c>
      <c r="B2063" s="15" t="s">
        <v>2882</v>
      </c>
      <c r="C2063" s="13" t="s">
        <v>478</v>
      </c>
      <c r="D2063" s="17">
        <v>5.4</v>
      </c>
      <c r="F2063" s="6">
        <v>2.25</v>
      </c>
      <c r="G2063" s="7">
        <f t="shared" si="267"/>
        <v>1.4</v>
      </c>
    </row>
    <row r="2064" ht="46.5" spans="1:7">
      <c r="A2064" s="18">
        <v>14.2</v>
      </c>
      <c r="B2064" s="15" t="s">
        <v>2883</v>
      </c>
      <c r="C2064" s="13" t="s">
        <v>39</v>
      </c>
      <c r="D2064" s="17">
        <v>126</v>
      </c>
      <c r="F2064" s="6">
        <v>74.4</v>
      </c>
      <c r="G2064" s="7">
        <f t="shared" si="267"/>
        <v>0.693548387096774</v>
      </c>
    </row>
    <row r="2065" ht="46.5" spans="1:7">
      <c r="A2065" s="18">
        <v>14.21</v>
      </c>
      <c r="B2065" s="15" t="s">
        <v>2884</v>
      </c>
      <c r="C2065" s="13" t="s">
        <v>478</v>
      </c>
      <c r="D2065" s="17">
        <v>298.85</v>
      </c>
      <c r="F2065" s="6">
        <v>144.1</v>
      </c>
      <c r="G2065" s="7">
        <f t="shared" si="267"/>
        <v>1.07390700902151</v>
      </c>
    </row>
    <row r="2066" ht="31" spans="1:7">
      <c r="A2066" s="18">
        <v>14.22</v>
      </c>
      <c r="B2066" s="15" t="s">
        <v>2885</v>
      </c>
      <c r="C2066" s="13"/>
      <c r="D2066" s="16"/>
    </row>
    <row r="2067" spans="1:7">
      <c r="A2067" s="14" t="s">
        <v>2886</v>
      </c>
      <c r="B2067" s="12" t="s">
        <v>2887</v>
      </c>
      <c r="C2067" s="13" t="s">
        <v>2888</v>
      </c>
      <c r="D2067" s="17">
        <v>123.7</v>
      </c>
      <c r="F2067" s="6">
        <v>122.65</v>
      </c>
      <c r="G2067" s="7">
        <f t="shared" ref="G2067:G2071" si="268">(D2067-F2067)/F2067</f>
        <v>0.0085609457806767</v>
      </c>
    </row>
    <row r="2068" spans="1:7">
      <c r="A2068" s="14" t="s">
        <v>2889</v>
      </c>
      <c r="B2068" s="12" t="s">
        <v>2890</v>
      </c>
      <c r="C2068" s="13" t="s">
        <v>2888</v>
      </c>
      <c r="D2068" s="17">
        <v>304.55</v>
      </c>
      <c r="F2068" s="6">
        <v>187.25</v>
      </c>
      <c r="G2068" s="7">
        <f t="shared" si="268"/>
        <v>0.626435246995995</v>
      </c>
    </row>
    <row r="2069" spans="1:7">
      <c r="A2069" s="14"/>
      <c r="B2069" s="15" t="s">
        <v>2891</v>
      </c>
      <c r="C2069" s="13"/>
      <c r="D2069" s="16"/>
    </row>
    <row r="2070" ht="31" spans="1:7">
      <c r="A2070" s="18">
        <v>14.23</v>
      </c>
      <c r="B2070" s="15" t="s">
        <v>2892</v>
      </c>
      <c r="C2070" s="13" t="s">
        <v>2893</v>
      </c>
      <c r="D2070" s="17">
        <v>231.05</v>
      </c>
      <c r="F2070" s="6">
        <v>104.3</v>
      </c>
      <c r="G2070" s="7">
        <f t="shared" si="268"/>
        <v>1.21524448705657</v>
      </c>
    </row>
    <row r="2071" spans="1:7">
      <c r="A2071" s="18">
        <v>14.24</v>
      </c>
      <c r="B2071" s="15" t="s">
        <v>2894</v>
      </c>
      <c r="C2071" s="13"/>
      <c r="D2071" s="17"/>
      <c r="F2071" s="6">
        <v>533.2</v>
      </c>
      <c r="G2071" s="7">
        <f t="shared" si="268"/>
        <v>-1</v>
      </c>
    </row>
    <row r="2072" spans="1:7">
      <c r="A2072" s="18"/>
      <c r="B2072" s="15" t="s">
        <v>2895</v>
      </c>
      <c r="C2072" s="13"/>
      <c r="D2072" s="17"/>
    </row>
    <row r="2073" spans="1:7">
      <c r="A2073" s="18">
        <v>14.25</v>
      </c>
      <c r="B2073" s="15" t="s">
        <v>2896</v>
      </c>
      <c r="C2073" s="13" t="s">
        <v>14</v>
      </c>
      <c r="D2073" s="17">
        <v>6207.25</v>
      </c>
      <c r="F2073" s="6">
        <v>3972.2</v>
      </c>
      <c r="G2073" s="7">
        <f t="shared" ref="G2073:G2078" si="269">(D2073-F2073)/F2073</f>
        <v>0.562673077891345</v>
      </c>
    </row>
    <row r="2074" spans="1:7">
      <c r="A2074" s="18"/>
      <c r="B2074" s="15" t="s">
        <v>2897</v>
      </c>
      <c r="C2074" s="13"/>
      <c r="D2074" s="17"/>
    </row>
    <row r="2075" spans="1:7">
      <c r="A2075" s="18">
        <v>14.26</v>
      </c>
      <c r="B2075" s="15" t="s">
        <v>1125</v>
      </c>
      <c r="C2075" s="13"/>
      <c r="D2075" s="16"/>
    </row>
    <row r="2076" spans="1:7">
      <c r="A2076" s="14" t="s">
        <v>2898</v>
      </c>
      <c r="B2076" s="12" t="s">
        <v>1127</v>
      </c>
      <c r="C2076" s="13"/>
      <c r="D2076" s="16"/>
    </row>
    <row r="2077" ht="31" spans="1:7">
      <c r="A2077" s="14" t="s">
        <v>2899</v>
      </c>
      <c r="B2077" s="12" t="s">
        <v>2900</v>
      </c>
      <c r="C2077" s="13" t="s">
        <v>11</v>
      </c>
      <c r="D2077" s="17">
        <v>5127</v>
      </c>
      <c r="F2077" s="6">
        <v>3492.55</v>
      </c>
      <c r="G2077" s="7">
        <f t="shared" si="269"/>
        <v>0.467981847074487</v>
      </c>
    </row>
    <row r="2078" ht="31" spans="1:7">
      <c r="A2078" s="14" t="s">
        <v>2901</v>
      </c>
      <c r="B2078" s="12" t="s">
        <v>2902</v>
      </c>
      <c r="C2078" s="13" t="s">
        <v>11</v>
      </c>
      <c r="D2078" s="17">
        <v>4484.85</v>
      </c>
      <c r="F2078" s="6">
        <v>2954.85</v>
      </c>
      <c r="G2078" s="7">
        <f t="shared" si="269"/>
        <v>0.51779278135946</v>
      </c>
    </row>
    <row r="2079" spans="1:7">
      <c r="A2079" s="14" t="s">
        <v>2903</v>
      </c>
      <c r="B2079" s="12" t="s">
        <v>1133</v>
      </c>
      <c r="C2079" s="13"/>
      <c r="D2079" s="16"/>
    </row>
    <row r="2080" ht="31" spans="1:7">
      <c r="A2080" s="14" t="s">
        <v>2904</v>
      </c>
      <c r="B2080" s="12" t="s">
        <v>2900</v>
      </c>
      <c r="C2080" s="13" t="s">
        <v>11</v>
      </c>
      <c r="D2080" s="17">
        <v>5054.05</v>
      </c>
      <c r="F2080" s="6">
        <v>3563.1</v>
      </c>
      <c r="G2080" s="7">
        <f t="shared" ref="G2080:G2083" si="270">(D2080-F2080)/F2080</f>
        <v>0.418441806292274</v>
      </c>
    </row>
    <row r="2081" ht="31" spans="1:7">
      <c r="A2081" s="14" t="s">
        <v>2905</v>
      </c>
      <c r="B2081" s="12" t="s">
        <v>2902</v>
      </c>
      <c r="C2081" s="13" t="s">
        <v>11</v>
      </c>
      <c r="D2081" s="17">
        <v>4362.45</v>
      </c>
      <c r="F2081" s="6">
        <v>2985.05</v>
      </c>
      <c r="G2081" s="7">
        <f t="shared" si="270"/>
        <v>0.461432806820656</v>
      </c>
    </row>
    <row r="2082" ht="46.5" spans="1:7">
      <c r="A2082" s="18">
        <v>14.27</v>
      </c>
      <c r="B2082" s="15" t="s">
        <v>2906</v>
      </c>
      <c r="C2082" s="13"/>
      <c r="D2082" s="16"/>
    </row>
    <row r="2083" spans="1:7">
      <c r="A2083" s="14" t="s">
        <v>2907</v>
      </c>
      <c r="B2083" s="12" t="s">
        <v>1033</v>
      </c>
      <c r="C2083" s="13" t="s">
        <v>11</v>
      </c>
      <c r="D2083" s="17">
        <v>4602.65</v>
      </c>
      <c r="F2083" s="6">
        <v>2837.2</v>
      </c>
      <c r="G2083" s="7">
        <f t="shared" si="270"/>
        <v>0.622250810658396</v>
      </c>
    </row>
    <row r="2084" ht="31" spans="1:7">
      <c r="A2084" s="18">
        <v>14.28</v>
      </c>
      <c r="B2084" s="15" t="s">
        <v>2908</v>
      </c>
      <c r="C2084" s="13"/>
      <c r="D2084" s="16"/>
    </row>
    <row r="2085" spans="1:7">
      <c r="A2085" s="14" t="s">
        <v>2909</v>
      </c>
      <c r="B2085" s="12" t="s">
        <v>2910</v>
      </c>
      <c r="C2085" s="13" t="s">
        <v>39</v>
      </c>
      <c r="D2085" s="17">
        <v>343.5</v>
      </c>
      <c r="F2085" s="6">
        <v>222.1</v>
      </c>
      <c r="G2085" s="7">
        <f t="shared" ref="G2085:G2087" si="271">(D2085-F2085)/F2085</f>
        <v>0.546600630346691</v>
      </c>
    </row>
    <row r="2086" spans="1:7">
      <c r="A2086" s="14" t="s">
        <v>2911</v>
      </c>
      <c r="B2086" s="12" t="s">
        <v>2912</v>
      </c>
      <c r="C2086" s="13" t="s">
        <v>39</v>
      </c>
      <c r="D2086" s="17">
        <v>421.75</v>
      </c>
      <c r="F2086" s="6">
        <v>245.35</v>
      </c>
      <c r="G2086" s="7">
        <f t="shared" si="271"/>
        <v>0.718972895863053</v>
      </c>
    </row>
    <row r="2087" ht="31" spans="1:7">
      <c r="A2087" s="18">
        <v>14.29</v>
      </c>
      <c r="B2087" s="15" t="s">
        <v>2913</v>
      </c>
      <c r="C2087" s="13" t="s">
        <v>478</v>
      </c>
      <c r="D2087" s="17">
        <v>120.75</v>
      </c>
      <c r="F2087" s="6">
        <v>61.8</v>
      </c>
      <c r="G2087" s="7">
        <f t="shared" si="271"/>
        <v>0.953883495145631</v>
      </c>
    </row>
    <row r="2088" ht="31" spans="1:7">
      <c r="A2088" s="18">
        <v>14.3</v>
      </c>
      <c r="B2088" s="15" t="s">
        <v>2914</v>
      </c>
      <c r="C2088" s="13"/>
      <c r="D2088" s="16"/>
    </row>
    <row r="2089" spans="1:7">
      <c r="A2089" s="14" t="s">
        <v>2915</v>
      </c>
      <c r="B2089" s="12" t="s">
        <v>1035</v>
      </c>
      <c r="C2089" s="13" t="s">
        <v>14</v>
      </c>
      <c r="D2089" s="17">
        <v>97978.3</v>
      </c>
      <c r="F2089" s="6">
        <v>75873.5</v>
      </c>
      <c r="G2089" s="7">
        <f t="shared" ref="G2089:G2094" si="272">(D2089-F2089)/F2089</f>
        <v>0.291337555272921</v>
      </c>
    </row>
    <row r="2090" spans="1:7">
      <c r="A2090" s="14" t="s">
        <v>2916</v>
      </c>
      <c r="B2090" s="12" t="s">
        <v>1244</v>
      </c>
      <c r="C2090" s="13" t="s">
        <v>14</v>
      </c>
      <c r="D2090" s="17">
        <v>64022.85</v>
      </c>
      <c r="F2090" s="6">
        <v>45070.55</v>
      </c>
      <c r="G2090" s="7">
        <f t="shared" si="272"/>
        <v>0.420502967015046</v>
      </c>
    </row>
    <row r="2091" ht="31" spans="1:7">
      <c r="A2091" s="18">
        <v>14.31</v>
      </c>
      <c r="B2091" s="15" t="s">
        <v>2917</v>
      </c>
      <c r="C2091" s="13"/>
      <c r="D2091" s="16"/>
    </row>
    <row r="2092" spans="1:7">
      <c r="A2092" s="14" t="s">
        <v>2918</v>
      </c>
      <c r="B2092" s="12" t="s">
        <v>1282</v>
      </c>
      <c r="C2092" s="13" t="s">
        <v>126</v>
      </c>
      <c r="D2092" s="17">
        <v>765.05</v>
      </c>
      <c r="F2092" s="6">
        <v>586.65</v>
      </c>
      <c r="G2092" s="7">
        <f t="shared" si="272"/>
        <v>0.304099548282622</v>
      </c>
    </row>
    <row r="2093" spans="1:7">
      <c r="A2093" s="14" t="s">
        <v>2919</v>
      </c>
      <c r="B2093" s="12" t="s">
        <v>1284</v>
      </c>
      <c r="C2093" s="13" t="s">
        <v>126</v>
      </c>
      <c r="D2093" s="17">
        <v>546</v>
      </c>
      <c r="F2093" s="6">
        <v>398.45</v>
      </c>
      <c r="G2093" s="7">
        <f t="shared" si="272"/>
        <v>0.370309951060359</v>
      </c>
    </row>
    <row r="2094" spans="1:7">
      <c r="A2094" s="14" t="s">
        <v>2920</v>
      </c>
      <c r="B2094" s="12" t="s">
        <v>1286</v>
      </c>
      <c r="C2094" s="13" t="s">
        <v>126</v>
      </c>
      <c r="D2094" s="17">
        <v>485.65</v>
      </c>
      <c r="F2094" s="6">
        <v>349.7</v>
      </c>
      <c r="G2094" s="7">
        <f t="shared" si="272"/>
        <v>0.388761795824993</v>
      </c>
    </row>
    <row r="2095" ht="31" spans="1:7">
      <c r="A2095" s="18">
        <v>14.32</v>
      </c>
      <c r="B2095" s="15" t="s">
        <v>2921</v>
      </c>
      <c r="C2095" s="13"/>
      <c r="D2095" s="16"/>
    </row>
    <row r="2096" spans="1:7">
      <c r="A2096" s="14" t="s">
        <v>2922</v>
      </c>
      <c r="B2096" s="12" t="s">
        <v>1282</v>
      </c>
      <c r="C2096" s="13" t="s">
        <v>126</v>
      </c>
      <c r="D2096" s="17">
        <v>851.85</v>
      </c>
      <c r="F2096" s="6">
        <v>630.75</v>
      </c>
      <c r="G2096" s="7">
        <f t="shared" ref="G2096:G2098" si="273">(D2096-F2096)/F2096</f>
        <v>0.350535077288942</v>
      </c>
    </row>
    <row r="2097" spans="1:7">
      <c r="A2097" s="14" t="s">
        <v>2923</v>
      </c>
      <c r="B2097" s="12" t="s">
        <v>1284</v>
      </c>
      <c r="C2097" s="13" t="s">
        <v>126</v>
      </c>
      <c r="D2097" s="17">
        <v>726.65</v>
      </c>
      <c r="F2097" s="6">
        <v>528.55</v>
      </c>
      <c r="G2097" s="7">
        <f t="shared" si="273"/>
        <v>0.37479897833696</v>
      </c>
    </row>
    <row r="2098" spans="1:7">
      <c r="A2098" s="14" t="s">
        <v>2924</v>
      </c>
      <c r="B2098" s="12" t="s">
        <v>1286</v>
      </c>
      <c r="C2098" s="13" t="s">
        <v>126</v>
      </c>
      <c r="D2098" s="17">
        <v>704.75</v>
      </c>
      <c r="F2098" s="6">
        <v>477.45</v>
      </c>
      <c r="G2098" s="7">
        <f t="shared" si="273"/>
        <v>0.476070792753168</v>
      </c>
    </row>
    <row r="2099" ht="31" spans="1:7">
      <c r="A2099" s="18">
        <v>14.33</v>
      </c>
      <c r="B2099" s="15" t="s">
        <v>2925</v>
      </c>
      <c r="C2099" s="13"/>
      <c r="D2099" s="16"/>
    </row>
    <row r="2100" spans="1:7">
      <c r="A2100" s="14" t="s">
        <v>2926</v>
      </c>
      <c r="B2100" s="12" t="s">
        <v>2927</v>
      </c>
      <c r="C2100" s="13" t="s">
        <v>126</v>
      </c>
      <c r="D2100" s="17">
        <v>285.05</v>
      </c>
      <c r="F2100" s="6">
        <v>193.25</v>
      </c>
      <c r="G2100" s="7">
        <f t="shared" ref="G2100:G2103" si="274">(D2100-F2100)/F2100</f>
        <v>0.47503234152652</v>
      </c>
    </row>
    <row r="2101" spans="1:7">
      <c r="A2101" s="14" t="s">
        <v>2928</v>
      </c>
      <c r="B2101" s="12" t="s">
        <v>1282</v>
      </c>
      <c r="C2101" s="13" t="s">
        <v>126</v>
      </c>
      <c r="D2101" s="17">
        <v>245.35</v>
      </c>
      <c r="F2101" s="6">
        <v>168.1</v>
      </c>
      <c r="G2101" s="7">
        <f t="shared" si="274"/>
        <v>0.459547888161808</v>
      </c>
    </row>
    <row r="2102" spans="1:7">
      <c r="A2102" s="14" t="s">
        <v>2929</v>
      </c>
      <c r="B2102" s="12" t="s">
        <v>1286</v>
      </c>
      <c r="C2102" s="13" t="s">
        <v>126</v>
      </c>
      <c r="D2102" s="17">
        <v>188.45</v>
      </c>
      <c r="F2102" s="6">
        <v>121.65</v>
      </c>
      <c r="G2102" s="7">
        <f t="shared" si="274"/>
        <v>0.54911631730374</v>
      </c>
    </row>
    <row r="2103" ht="31" spans="1:7">
      <c r="A2103" s="18">
        <v>14.34</v>
      </c>
      <c r="B2103" s="15" t="s">
        <v>2930</v>
      </c>
      <c r="C2103" s="13" t="s">
        <v>126</v>
      </c>
      <c r="D2103" s="17">
        <v>271.45</v>
      </c>
      <c r="F2103" s="6">
        <v>211.15</v>
      </c>
      <c r="G2103" s="7">
        <f t="shared" si="274"/>
        <v>0.285578972294577</v>
      </c>
    </row>
    <row r="2104" spans="1:7">
      <c r="A2104" s="18">
        <v>14.35</v>
      </c>
      <c r="B2104" s="15" t="s">
        <v>2931</v>
      </c>
      <c r="C2104" s="13"/>
      <c r="D2104" s="16"/>
    </row>
    <row r="2105" spans="1:7">
      <c r="A2105" s="14" t="s">
        <v>2932</v>
      </c>
      <c r="B2105" s="12" t="s">
        <v>2933</v>
      </c>
      <c r="C2105" s="13" t="s">
        <v>126</v>
      </c>
      <c r="D2105" s="17">
        <v>101.85</v>
      </c>
      <c r="F2105" s="6">
        <v>79.05</v>
      </c>
      <c r="G2105" s="7">
        <f t="shared" ref="G2105:G2113" si="275">(D2105-F2105)/F2105</f>
        <v>0.28842504743833</v>
      </c>
    </row>
    <row r="2106" spans="1:7">
      <c r="A2106" s="14" t="s">
        <v>2934</v>
      </c>
      <c r="B2106" s="12" t="s">
        <v>2927</v>
      </c>
      <c r="C2106" s="13" t="s">
        <v>126</v>
      </c>
      <c r="D2106" s="17">
        <v>97.7</v>
      </c>
      <c r="F2106" s="6">
        <v>77.35</v>
      </c>
      <c r="G2106" s="7">
        <f t="shared" si="275"/>
        <v>0.263089851325146</v>
      </c>
    </row>
    <row r="2107" spans="1:7">
      <c r="A2107" s="14" t="s">
        <v>2935</v>
      </c>
      <c r="B2107" s="12" t="s">
        <v>1848</v>
      </c>
      <c r="C2107" s="13" t="s">
        <v>126</v>
      </c>
      <c r="D2107" s="17">
        <v>87.75</v>
      </c>
      <c r="F2107" s="6">
        <v>72.1</v>
      </c>
      <c r="G2107" s="7">
        <f t="shared" si="275"/>
        <v>0.217059639389737</v>
      </c>
    </row>
    <row r="2108" spans="1:7">
      <c r="A2108" s="14" t="s">
        <v>2936</v>
      </c>
      <c r="B2108" s="12" t="s">
        <v>1282</v>
      </c>
      <c r="C2108" s="13" t="s">
        <v>126</v>
      </c>
      <c r="D2108" s="17">
        <v>70.55</v>
      </c>
      <c r="F2108" s="6">
        <v>55.85</v>
      </c>
      <c r="G2108" s="7">
        <f t="shared" si="275"/>
        <v>0.263205013428827</v>
      </c>
    </row>
    <row r="2109" spans="1:7">
      <c r="A2109" s="14" t="s">
        <v>2937</v>
      </c>
      <c r="B2109" s="12" t="s">
        <v>1286</v>
      </c>
      <c r="C2109" s="13" t="s">
        <v>126</v>
      </c>
      <c r="D2109" s="17">
        <v>61.85</v>
      </c>
      <c r="F2109" s="6">
        <v>50.05</v>
      </c>
      <c r="G2109" s="7">
        <f t="shared" si="275"/>
        <v>0.235764235764236</v>
      </c>
    </row>
    <row r="2110" ht="31" spans="1:7">
      <c r="A2110" s="18">
        <v>14.36</v>
      </c>
      <c r="B2110" s="15" t="s">
        <v>2938</v>
      </c>
      <c r="C2110" s="13" t="s">
        <v>126</v>
      </c>
      <c r="D2110" s="17">
        <v>47.3</v>
      </c>
      <c r="F2110" s="6">
        <v>35.25</v>
      </c>
      <c r="G2110" s="7">
        <f t="shared" si="275"/>
        <v>0.341843971631206</v>
      </c>
    </row>
    <row r="2111" ht="31" spans="1:7">
      <c r="A2111" s="18">
        <v>14.37</v>
      </c>
      <c r="B2111" s="15" t="s">
        <v>2939</v>
      </c>
      <c r="C2111" s="13" t="s">
        <v>126</v>
      </c>
      <c r="D2111" s="17">
        <v>74.8</v>
      </c>
      <c r="F2111" s="6">
        <v>56.95</v>
      </c>
      <c r="G2111" s="7">
        <f t="shared" si="275"/>
        <v>0.313432835820895</v>
      </c>
    </row>
    <row r="2112" ht="31" spans="1:7">
      <c r="A2112" s="18">
        <v>14.38</v>
      </c>
      <c r="B2112" s="15" t="s">
        <v>2940</v>
      </c>
      <c r="C2112" s="13" t="s">
        <v>126</v>
      </c>
      <c r="D2112" s="17">
        <v>191.45</v>
      </c>
      <c r="F2112" s="6">
        <v>155.65</v>
      </c>
      <c r="G2112" s="7">
        <f t="shared" si="275"/>
        <v>0.230003212335368</v>
      </c>
    </row>
    <row r="2113" spans="1:7">
      <c r="A2113" s="18">
        <v>14.39</v>
      </c>
      <c r="B2113" s="15" t="s">
        <v>2941</v>
      </c>
      <c r="C2113" s="13" t="s">
        <v>126</v>
      </c>
      <c r="D2113" s="17">
        <v>543.95</v>
      </c>
      <c r="F2113" s="6">
        <v>404.55</v>
      </c>
      <c r="G2113" s="7">
        <f t="shared" si="275"/>
        <v>0.344580397973057</v>
      </c>
    </row>
    <row r="2114" ht="31" spans="1:7">
      <c r="A2114" s="18">
        <v>14.4</v>
      </c>
      <c r="B2114" s="15" t="s">
        <v>2942</v>
      </c>
      <c r="C2114" s="13"/>
      <c r="D2114" s="16"/>
    </row>
    <row r="2115" spans="1:7">
      <c r="A2115" s="14" t="s">
        <v>2943</v>
      </c>
      <c r="B2115" s="12" t="s">
        <v>1358</v>
      </c>
      <c r="C2115" s="13" t="s">
        <v>126</v>
      </c>
      <c r="D2115" s="17">
        <v>171.05</v>
      </c>
      <c r="F2115" s="6">
        <v>156.95</v>
      </c>
      <c r="G2115" s="7">
        <f t="shared" ref="G2115:G2120" si="276">(D2115-F2115)/F2115</f>
        <v>0.0898375278751196</v>
      </c>
    </row>
    <row r="2116" spans="1:7">
      <c r="A2116" s="14" t="s">
        <v>2944</v>
      </c>
      <c r="B2116" s="12" t="s">
        <v>1362</v>
      </c>
      <c r="C2116" s="13" t="s">
        <v>126</v>
      </c>
      <c r="D2116" s="17">
        <v>148.75</v>
      </c>
      <c r="F2116" s="6">
        <v>125.85</v>
      </c>
      <c r="G2116" s="7">
        <f t="shared" si="276"/>
        <v>0.181962653953119</v>
      </c>
    </row>
    <row r="2117" spans="1:7">
      <c r="A2117" s="14" t="s">
        <v>2945</v>
      </c>
      <c r="B2117" s="12" t="s">
        <v>1364</v>
      </c>
      <c r="C2117" s="13" t="s">
        <v>126</v>
      </c>
      <c r="D2117" s="17">
        <v>181</v>
      </c>
      <c r="F2117" s="6">
        <v>146.15</v>
      </c>
      <c r="G2117" s="7">
        <f t="shared" si="276"/>
        <v>0.238453643516935</v>
      </c>
    </row>
    <row r="2118" spans="1:7">
      <c r="A2118" s="14" t="s">
        <v>2946</v>
      </c>
      <c r="B2118" s="12" t="s">
        <v>1366</v>
      </c>
      <c r="C2118" s="13" t="s">
        <v>126</v>
      </c>
      <c r="D2118" s="17">
        <v>102.6</v>
      </c>
      <c r="F2118" s="6">
        <v>83.4</v>
      </c>
      <c r="G2118" s="7">
        <f t="shared" si="276"/>
        <v>0.230215827338129</v>
      </c>
    </row>
    <row r="2119" spans="1:7">
      <c r="A2119" s="14" t="s">
        <v>2947</v>
      </c>
      <c r="B2119" s="12" t="s">
        <v>1368</v>
      </c>
      <c r="C2119" s="13" t="s">
        <v>126</v>
      </c>
      <c r="D2119" s="17">
        <v>47.6</v>
      </c>
      <c r="F2119" s="6">
        <v>35.85</v>
      </c>
      <c r="G2119" s="7">
        <f t="shared" si="276"/>
        <v>0.327754532775453</v>
      </c>
    </row>
    <row r="2120" ht="31" spans="1:7">
      <c r="A2120" s="18">
        <v>14.41</v>
      </c>
      <c r="B2120" s="15" t="s">
        <v>2948</v>
      </c>
      <c r="C2120" s="13" t="s">
        <v>126</v>
      </c>
      <c r="D2120" s="17">
        <v>278.6</v>
      </c>
      <c r="F2120" s="6">
        <v>205.95</v>
      </c>
      <c r="G2120" s="7">
        <f t="shared" si="276"/>
        <v>0.352755523185239</v>
      </c>
    </row>
    <row r="2121" spans="1:7">
      <c r="A2121" s="18"/>
      <c r="B2121" s="15" t="s">
        <v>2949</v>
      </c>
      <c r="C2121" s="13"/>
      <c r="D2121" s="17"/>
    </row>
    <row r="2122" ht="170.5" spans="1:7">
      <c r="A2122" s="18">
        <v>14.72</v>
      </c>
      <c r="B2122" s="15" t="s">
        <v>2950</v>
      </c>
      <c r="C2122" s="13" t="s">
        <v>11</v>
      </c>
      <c r="D2122" s="17">
        <v>338.25</v>
      </c>
      <c r="F2122" s="6">
        <v>160.15</v>
      </c>
      <c r="G2122" s="7">
        <f t="shared" ref="G2122:G2126" si="277">(D2122-F2122)/F2122</f>
        <v>1.11208242272869</v>
      </c>
    </row>
    <row r="2123" ht="31" spans="1:7">
      <c r="A2123" s="14"/>
      <c r="B2123" s="15" t="s">
        <v>2951</v>
      </c>
      <c r="C2123" s="13"/>
      <c r="D2123" s="16"/>
    </row>
    <row r="2124" ht="31" spans="1:7">
      <c r="A2124" s="18">
        <v>14.73</v>
      </c>
      <c r="B2124" s="15" t="s">
        <v>2952</v>
      </c>
      <c r="C2124" s="13" t="s">
        <v>478</v>
      </c>
      <c r="D2124" s="17">
        <v>557.2</v>
      </c>
      <c r="F2124" s="6">
        <v>420.2</v>
      </c>
      <c r="G2124" s="7">
        <f t="shared" si="277"/>
        <v>0.32603522132318</v>
      </c>
    </row>
    <row r="2125" ht="31" spans="1:7">
      <c r="A2125" s="18">
        <v>14.74</v>
      </c>
      <c r="B2125" s="15" t="s">
        <v>2953</v>
      </c>
      <c r="C2125" s="13" t="s">
        <v>126</v>
      </c>
      <c r="D2125" s="17">
        <v>68.35</v>
      </c>
      <c r="F2125" s="6">
        <v>49.2</v>
      </c>
      <c r="G2125" s="7">
        <f t="shared" si="277"/>
        <v>0.389227642276423</v>
      </c>
    </row>
    <row r="2126" ht="62" spans="1:7">
      <c r="A2126" s="18">
        <v>14.75</v>
      </c>
      <c r="B2126" s="15" t="s">
        <v>2954</v>
      </c>
      <c r="C2126" s="13" t="s">
        <v>11</v>
      </c>
      <c r="D2126" s="17">
        <v>670.95</v>
      </c>
      <c r="F2126" s="6">
        <v>368.9</v>
      </c>
      <c r="G2126" s="7">
        <f t="shared" si="277"/>
        <v>0.818785578747628</v>
      </c>
    </row>
    <row r="2127" spans="1:7">
      <c r="A2127" s="18"/>
      <c r="B2127" s="15" t="s">
        <v>2955</v>
      </c>
      <c r="C2127" s="13"/>
      <c r="D2127" s="17"/>
    </row>
    <row r="2128" ht="155" spans="1:7">
      <c r="A2128" s="14" t="s">
        <v>2956</v>
      </c>
      <c r="B2128" s="15" t="s">
        <v>2957</v>
      </c>
      <c r="C2128" s="13" t="s">
        <v>144</v>
      </c>
      <c r="D2128" s="17">
        <v>0.5</v>
      </c>
      <c r="F2128" s="6">
        <v>0.2</v>
      </c>
      <c r="G2128" s="7">
        <f t="shared" ref="G2128:G2131" si="278">(D2128-F2128)/F2128</f>
        <v>1.5</v>
      </c>
    </row>
    <row r="2129" ht="31" spans="1:7">
      <c r="A2129" s="18">
        <v>14.76</v>
      </c>
      <c r="B2129" s="15" t="s">
        <v>2958</v>
      </c>
      <c r="C2129" s="13" t="s">
        <v>126</v>
      </c>
      <c r="D2129" s="17">
        <v>108.3</v>
      </c>
      <c r="F2129" s="6">
        <v>47.55</v>
      </c>
      <c r="G2129" s="7">
        <f t="shared" si="278"/>
        <v>1.27760252365931</v>
      </c>
    </row>
    <row r="2130" ht="93" spans="1:7">
      <c r="A2130" s="18">
        <v>14.77</v>
      </c>
      <c r="B2130" s="15" t="s">
        <v>2959</v>
      </c>
      <c r="C2130" s="13" t="s">
        <v>39</v>
      </c>
      <c r="D2130" s="17">
        <v>340.75</v>
      </c>
      <c r="F2130" s="6">
        <v>217.8</v>
      </c>
      <c r="G2130" s="7">
        <f t="shared" si="278"/>
        <v>0.564508723599633</v>
      </c>
    </row>
    <row r="2131" ht="46.5" spans="1:7">
      <c r="A2131" s="18">
        <v>14.78</v>
      </c>
      <c r="B2131" s="15" t="s">
        <v>2960</v>
      </c>
      <c r="C2131" s="13" t="s">
        <v>11</v>
      </c>
      <c r="D2131" s="17">
        <v>84.85</v>
      </c>
      <c r="F2131" s="6">
        <v>40.7</v>
      </c>
      <c r="G2131" s="7">
        <f t="shared" si="278"/>
        <v>1.08476658476658</v>
      </c>
    </row>
    <row r="2132" ht="31" spans="1:7">
      <c r="A2132" s="14"/>
      <c r="B2132" s="15" t="s">
        <v>2961</v>
      </c>
      <c r="C2132" s="13"/>
      <c r="D2132" s="17"/>
    </row>
    <row r="2133" ht="31" spans="1:7">
      <c r="A2133" s="14"/>
      <c r="B2133" s="15" t="s">
        <v>2962</v>
      </c>
      <c r="C2133" s="13"/>
      <c r="D2133" s="17"/>
    </row>
    <row r="2134" spans="1:7">
      <c r="A2134" s="14"/>
      <c r="B2134" s="15" t="s">
        <v>2963</v>
      </c>
      <c r="C2134" s="13"/>
      <c r="D2134" s="17"/>
    </row>
    <row r="2135" ht="31" spans="1:7">
      <c r="A2135" s="14"/>
      <c r="B2135" s="15" t="s">
        <v>2964</v>
      </c>
      <c r="C2135" s="13"/>
      <c r="D2135" s="17"/>
    </row>
    <row r="2136" ht="31" spans="1:7">
      <c r="A2136" s="14"/>
      <c r="B2136" s="15" t="s">
        <v>2965</v>
      </c>
      <c r="C2136" s="13"/>
      <c r="D2136" s="17"/>
    </row>
    <row r="2137" ht="46.5" spans="1:7">
      <c r="A2137" s="18">
        <v>14.79</v>
      </c>
      <c r="B2137" s="15" t="s">
        <v>2966</v>
      </c>
      <c r="C2137" s="13" t="s">
        <v>126</v>
      </c>
      <c r="D2137" s="17">
        <v>433.75</v>
      </c>
      <c r="F2137" s="6">
        <v>182.45</v>
      </c>
      <c r="G2137" s="7">
        <f t="shared" ref="G2137:G2143" si="279">(D2137-F2137)/F2137</f>
        <v>1.37736366127706</v>
      </c>
    </row>
    <row r="2138" ht="62" spans="1:7">
      <c r="A2138" s="18">
        <v>14.8</v>
      </c>
      <c r="B2138" s="15" t="s">
        <v>2967</v>
      </c>
      <c r="C2138" s="13"/>
      <c r="D2138" s="16"/>
    </row>
    <row r="2139" spans="1:7">
      <c r="A2139" s="14" t="s">
        <v>2968</v>
      </c>
      <c r="B2139" s="12" t="s">
        <v>2969</v>
      </c>
      <c r="C2139" s="13" t="s">
        <v>126</v>
      </c>
      <c r="D2139" s="17">
        <v>3501.7</v>
      </c>
      <c r="F2139" s="6">
        <v>1892.8</v>
      </c>
      <c r="G2139" s="7">
        <f t="shared" si="279"/>
        <v>0.85001056635672</v>
      </c>
    </row>
    <row r="2140" spans="1:7">
      <c r="A2140" s="14" t="s">
        <v>2970</v>
      </c>
      <c r="B2140" s="12" t="s">
        <v>2971</v>
      </c>
      <c r="C2140" s="13" t="s">
        <v>126</v>
      </c>
      <c r="D2140" s="17">
        <v>4478.75</v>
      </c>
      <c r="F2140" s="6">
        <v>2127.85</v>
      </c>
      <c r="G2140" s="7">
        <f t="shared" si="279"/>
        <v>1.10482411824142</v>
      </c>
    </row>
    <row r="2141" ht="46.5" spans="1:7">
      <c r="A2141" s="18">
        <v>14.81</v>
      </c>
      <c r="B2141" s="15" t="s">
        <v>2972</v>
      </c>
      <c r="C2141" s="13" t="s">
        <v>126</v>
      </c>
      <c r="D2141" s="17">
        <v>288.1</v>
      </c>
      <c r="F2141" s="6">
        <v>138.4</v>
      </c>
      <c r="G2141" s="7">
        <f t="shared" si="279"/>
        <v>1.08164739884393</v>
      </c>
    </row>
    <row r="2142" ht="31" spans="1:7">
      <c r="A2142" s="18">
        <v>14.82</v>
      </c>
      <c r="B2142" s="15" t="s">
        <v>2973</v>
      </c>
      <c r="C2142" s="13" t="s">
        <v>126</v>
      </c>
      <c r="D2142" s="17">
        <v>134.1</v>
      </c>
      <c r="F2142" s="6">
        <v>55.45</v>
      </c>
      <c r="G2142" s="7">
        <f t="shared" si="279"/>
        <v>1.41839495040577</v>
      </c>
    </row>
    <row r="2143" ht="31" spans="1:7">
      <c r="A2143" s="18">
        <v>14.83</v>
      </c>
      <c r="B2143" s="15" t="s">
        <v>2974</v>
      </c>
      <c r="C2143" s="13" t="s">
        <v>11</v>
      </c>
      <c r="D2143" s="17">
        <v>3.45</v>
      </c>
      <c r="F2143" s="6">
        <v>1.5</v>
      </c>
      <c r="G2143" s="7">
        <f t="shared" si="279"/>
        <v>1.3</v>
      </c>
    </row>
    <row r="2144" ht="31" spans="1:7">
      <c r="A2144" s="18">
        <v>14.84</v>
      </c>
      <c r="B2144" s="15" t="s">
        <v>2975</v>
      </c>
      <c r="C2144" s="13"/>
      <c r="D2144" s="16"/>
    </row>
    <row r="2145" spans="1:7">
      <c r="A2145" s="14"/>
      <c r="B2145" s="15" t="s">
        <v>2976</v>
      </c>
      <c r="C2145" s="13" t="s">
        <v>39</v>
      </c>
      <c r="D2145" s="17">
        <v>3.25</v>
      </c>
      <c r="F2145" s="6">
        <v>2</v>
      </c>
      <c r="G2145" s="7">
        <f>(D2145-F2145)/F2145</f>
        <v>0.625</v>
      </c>
    </row>
    <row r="2146" ht="46.5" spans="1:7">
      <c r="A2146" s="18">
        <v>14.85</v>
      </c>
      <c r="B2146" s="15" t="s">
        <v>2977</v>
      </c>
      <c r="C2146" s="13" t="s">
        <v>126</v>
      </c>
      <c r="D2146" s="17">
        <v>429.1</v>
      </c>
      <c r="F2146" s="6">
        <v>176.4</v>
      </c>
      <c r="G2146" s="7">
        <f>(D2146-F2146)/F2146</f>
        <v>1.43253968253968</v>
      </c>
    </row>
    <row r="2147" ht="186" spans="1:7">
      <c r="A2147" s="18">
        <v>14.86</v>
      </c>
      <c r="B2147" s="15" t="s">
        <v>2978</v>
      </c>
      <c r="C2147" s="13" t="s">
        <v>11</v>
      </c>
      <c r="D2147" s="17">
        <v>730.55</v>
      </c>
    </row>
    <row r="2148" ht="186" spans="1:7">
      <c r="A2148" s="18">
        <v>14.87</v>
      </c>
      <c r="B2148" s="15" t="s">
        <v>2979</v>
      </c>
      <c r="C2148" s="13" t="s">
        <v>11</v>
      </c>
      <c r="D2148" s="17">
        <v>532.05</v>
      </c>
    </row>
    <row r="2149" ht="186" spans="1:7">
      <c r="A2149" s="18">
        <v>14.88</v>
      </c>
      <c r="B2149" s="15" t="s">
        <v>2980</v>
      </c>
      <c r="C2149" s="13" t="s">
        <v>11</v>
      </c>
      <c r="D2149" s="17">
        <v>855.7</v>
      </c>
    </row>
    <row r="2150" ht="186" spans="1:7">
      <c r="A2150" s="18">
        <v>14.89</v>
      </c>
      <c r="B2150" s="15" t="s">
        <v>2981</v>
      </c>
      <c r="C2150" s="13"/>
      <c r="D2150" s="16"/>
    </row>
    <row r="2151" spans="1:7">
      <c r="A2151" s="14" t="s">
        <v>2982</v>
      </c>
      <c r="B2151" s="12" t="s">
        <v>2983</v>
      </c>
      <c r="C2151" s="13" t="s">
        <v>11</v>
      </c>
      <c r="D2151" s="17">
        <v>498.35</v>
      </c>
      <c r="E2151" s="45"/>
    </row>
    <row r="2152" ht="186" spans="1:7">
      <c r="A2152" s="18">
        <v>14.9</v>
      </c>
      <c r="B2152" s="15" t="s">
        <v>2984</v>
      </c>
      <c r="C2152" s="13"/>
      <c r="D2152" s="16"/>
    </row>
    <row r="2153" spans="1:7">
      <c r="A2153" s="14" t="s">
        <v>2985</v>
      </c>
      <c r="B2153" s="12" t="s">
        <v>2321</v>
      </c>
      <c r="C2153" s="13" t="s">
        <v>11</v>
      </c>
      <c r="D2153" s="17">
        <v>537.45</v>
      </c>
    </row>
    <row r="2154" ht="186" spans="1:7">
      <c r="A2154" s="18">
        <v>14.91</v>
      </c>
      <c r="B2154" s="15" t="s">
        <v>2986</v>
      </c>
      <c r="C2154" s="13"/>
      <c r="D2154" s="16"/>
    </row>
    <row r="2155" spans="1:7">
      <c r="A2155" s="14" t="s">
        <v>2987</v>
      </c>
      <c r="B2155" s="12" t="s">
        <v>2321</v>
      </c>
      <c r="C2155" s="13" t="s">
        <v>11</v>
      </c>
      <c r="D2155" s="17">
        <v>560.95</v>
      </c>
      <c r="E2155" s="45"/>
    </row>
    <row r="2156" ht="46.5" spans="1:7">
      <c r="A2156" s="18">
        <v>14.92</v>
      </c>
      <c r="B2156" s="15" t="s">
        <v>2988</v>
      </c>
      <c r="C2156" s="13" t="s">
        <v>11</v>
      </c>
      <c r="D2156" s="17">
        <v>88.9</v>
      </c>
    </row>
    <row r="2157" ht="62" spans="1:7">
      <c r="A2157" s="18">
        <v>14.93</v>
      </c>
      <c r="B2157" s="15" t="s">
        <v>2989</v>
      </c>
      <c r="C2157" s="13" t="s">
        <v>2990</v>
      </c>
      <c r="D2157" s="17">
        <v>1308.4</v>
      </c>
    </row>
    <row r="2158" ht="62" spans="1:7">
      <c r="A2158" s="18">
        <v>14.94</v>
      </c>
      <c r="B2158" s="15" t="s">
        <v>2991</v>
      </c>
      <c r="C2158" s="13" t="s">
        <v>2990</v>
      </c>
      <c r="D2158" s="17">
        <v>1416.5</v>
      </c>
    </row>
    <row r="2159" spans="1:7">
      <c r="A2159" s="6"/>
      <c r="D2159" s="22"/>
    </row>
    <row r="2160" spans="1:7">
      <c r="A2160" s="6"/>
      <c r="D2160" s="22"/>
    </row>
    <row r="2161" spans="1:7">
      <c r="A2161" s="6"/>
      <c r="D2161" s="22"/>
    </row>
    <row r="2162" spans="1:7">
      <c r="A2162" s="6"/>
      <c r="D2162" s="22"/>
    </row>
    <row r="2163" spans="1:7">
      <c r="A2163" s="6"/>
      <c r="D2163" s="22"/>
    </row>
    <row r="2164" spans="1:7">
      <c r="A2164" s="6"/>
      <c r="D2164" s="22"/>
    </row>
    <row r="2165" ht="31" spans="1:7">
      <c r="A2165" s="5" t="s">
        <v>2992</v>
      </c>
      <c r="C2165" s="5"/>
      <c r="D2165" s="5"/>
    </row>
    <row r="2166" spans="1:7">
      <c r="A2166" s="14" t="s">
        <v>166</v>
      </c>
      <c r="B2166" s="15" t="s">
        <v>2</v>
      </c>
      <c r="C2166" s="13" t="s">
        <v>167</v>
      </c>
      <c r="D2166" s="16" t="s">
        <v>4</v>
      </c>
    </row>
    <row r="2167" ht="31" spans="1:7">
      <c r="A2167" s="14">
        <v>15.1</v>
      </c>
      <c r="B2167" s="15" t="s">
        <v>2993</v>
      </c>
      <c r="C2167" s="13" t="s">
        <v>14</v>
      </c>
      <c r="D2167" s="17">
        <v>851.5</v>
      </c>
      <c r="F2167" s="6">
        <v>348.3</v>
      </c>
      <c r="G2167" s="7">
        <f t="shared" ref="G2167:G2174" si="280">(D2167-F2167)/F2167</f>
        <v>1.44473155325868</v>
      </c>
    </row>
    <row r="2168" ht="31" spans="1:7">
      <c r="A2168" s="14">
        <v>15.2</v>
      </c>
      <c r="B2168" s="15" t="s">
        <v>2994</v>
      </c>
      <c r="C2168" s="13"/>
      <c r="D2168" s="16"/>
    </row>
    <row r="2169" spans="1:7">
      <c r="A2169" s="14" t="s">
        <v>2995</v>
      </c>
      <c r="B2169" s="12" t="s">
        <v>2996</v>
      </c>
      <c r="C2169" s="13" t="s">
        <v>14</v>
      </c>
      <c r="D2169" s="17">
        <v>2434.25</v>
      </c>
      <c r="F2169" s="6">
        <v>997.05</v>
      </c>
      <c r="G2169" s="7">
        <f t="shared" si="280"/>
        <v>1.4414522842385</v>
      </c>
    </row>
    <row r="2170" spans="1:7">
      <c r="A2170" s="14" t="s">
        <v>2997</v>
      </c>
      <c r="B2170" s="12" t="s">
        <v>2998</v>
      </c>
      <c r="C2170" s="13" t="s">
        <v>14</v>
      </c>
      <c r="D2170" s="17">
        <v>1503.6</v>
      </c>
      <c r="F2170" s="6">
        <v>615.15</v>
      </c>
      <c r="G2170" s="7">
        <f t="shared" si="280"/>
        <v>1.44428188246769</v>
      </c>
    </row>
    <row r="2171" ht="46.5" spans="1:7">
      <c r="A2171" s="14">
        <v>15.3</v>
      </c>
      <c r="B2171" s="15" t="s">
        <v>2999</v>
      </c>
      <c r="C2171" s="13" t="s">
        <v>14</v>
      </c>
      <c r="D2171" s="17">
        <v>3551.25</v>
      </c>
      <c r="F2171" s="6">
        <v>1454.55</v>
      </c>
      <c r="G2171" s="7">
        <f t="shared" si="280"/>
        <v>1.44147674538517</v>
      </c>
    </row>
    <row r="2172" ht="46.5" spans="1:7">
      <c r="A2172" s="14">
        <v>15.4</v>
      </c>
      <c r="B2172" s="15" t="s">
        <v>3000</v>
      </c>
      <c r="C2172" s="13" t="s">
        <v>14</v>
      </c>
      <c r="D2172" s="17">
        <v>3177.25</v>
      </c>
      <c r="F2172" s="6">
        <v>1300.25</v>
      </c>
      <c r="G2172" s="7">
        <f t="shared" si="280"/>
        <v>1.44356854451067</v>
      </c>
    </row>
    <row r="2173" ht="46.5" spans="1:7">
      <c r="A2173" s="14">
        <v>15.5</v>
      </c>
      <c r="B2173" s="15" t="s">
        <v>3001</v>
      </c>
      <c r="C2173" s="13" t="s">
        <v>11</v>
      </c>
      <c r="D2173" s="17">
        <v>1147.2</v>
      </c>
      <c r="F2173" s="6">
        <v>500.8</v>
      </c>
      <c r="G2173" s="7">
        <f t="shared" si="280"/>
        <v>1.29073482428115</v>
      </c>
    </row>
    <row r="2174" spans="1:7">
      <c r="A2174" s="14">
        <v>15.6</v>
      </c>
      <c r="B2174" s="15" t="s">
        <v>3002</v>
      </c>
      <c r="C2174" s="13" t="s">
        <v>478</v>
      </c>
      <c r="D2174" s="17">
        <v>9.05</v>
      </c>
      <c r="F2174" s="6">
        <v>3.9</v>
      </c>
      <c r="G2174" s="7">
        <f t="shared" si="280"/>
        <v>1.32051282051282</v>
      </c>
    </row>
    <row r="2175" ht="46.5" spans="1:7">
      <c r="A2175" s="14">
        <v>15.7</v>
      </c>
      <c r="B2175" s="15" t="s">
        <v>3003</v>
      </c>
      <c r="C2175" s="13"/>
      <c r="D2175" s="16"/>
    </row>
    <row r="2176" spans="1:7">
      <c r="A2176" s="14" t="s">
        <v>3004</v>
      </c>
      <c r="B2176" s="12" t="s">
        <v>3005</v>
      </c>
      <c r="C2176" s="13" t="s">
        <v>14</v>
      </c>
      <c r="D2176" s="17">
        <v>704.9</v>
      </c>
      <c r="F2176" s="6">
        <v>288.45</v>
      </c>
      <c r="G2176" s="7">
        <f t="shared" ref="G2176:G2179" si="281">(D2176-F2176)/F2176</f>
        <v>1.44375108337667</v>
      </c>
    </row>
    <row r="2177" spans="1:7">
      <c r="A2177" s="14" t="s">
        <v>3006</v>
      </c>
      <c r="B2177" s="12" t="s">
        <v>3007</v>
      </c>
      <c r="C2177" s="13" t="s">
        <v>14</v>
      </c>
      <c r="D2177" s="17">
        <v>1783.35</v>
      </c>
      <c r="F2177" s="6">
        <v>727.7</v>
      </c>
      <c r="G2177" s="7">
        <f t="shared" si="281"/>
        <v>1.45066648344098</v>
      </c>
    </row>
    <row r="2178" spans="1:7">
      <c r="A2178" s="14" t="s">
        <v>3008</v>
      </c>
      <c r="B2178" s="12" t="s">
        <v>3009</v>
      </c>
      <c r="C2178" s="13" t="s">
        <v>14</v>
      </c>
      <c r="D2178" s="17">
        <v>851.5</v>
      </c>
      <c r="F2178" s="6">
        <v>348.3</v>
      </c>
      <c r="G2178" s="7">
        <f t="shared" si="281"/>
        <v>1.44473155325868</v>
      </c>
    </row>
    <row r="2179" spans="1:7">
      <c r="A2179" s="14" t="s">
        <v>3010</v>
      </c>
      <c r="B2179" s="12" t="s">
        <v>3011</v>
      </c>
      <c r="C2179" s="13" t="s">
        <v>14</v>
      </c>
      <c r="D2179" s="17">
        <v>2060.2</v>
      </c>
      <c r="F2179" s="6">
        <v>842.75</v>
      </c>
      <c r="G2179" s="7">
        <f t="shared" si="281"/>
        <v>1.44461584099674</v>
      </c>
    </row>
    <row r="2180" ht="31" spans="1:7">
      <c r="A2180" s="14">
        <v>15.8</v>
      </c>
      <c r="B2180" s="15" t="s">
        <v>3012</v>
      </c>
      <c r="C2180" s="13"/>
      <c r="D2180" s="16"/>
    </row>
    <row r="2181" spans="1:7">
      <c r="A2181" s="14" t="s">
        <v>3013</v>
      </c>
      <c r="B2181" s="12" t="s">
        <v>3014</v>
      </c>
      <c r="C2181" s="13" t="s">
        <v>3015</v>
      </c>
      <c r="D2181" s="17">
        <v>4658.45</v>
      </c>
      <c r="F2181" s="6">
        <v>1921.5</v>
      </c>
      <c r="G2181" s="7">
        <f t="shared" ref="G2181:G2183" si="282">(D2181-F2181)/F2181</f>
        <v>1.42438199323445</v>
      </c>
    </row>
    <row r="2182" spans="1:7">
      <c r="A2182" s="14" t="s">
        <v>3016</v>
      </c>
      <c r="B2182" s="12" t="s">
        <v>3017</v>
      </c>
      <c r="C2182" s="13" t="s">
        <v>3015</v>
      </c>
      <c r="D2182" s="17">
        <v>5355.3</v>
      </c>
      <c r="F2182" s="6">
        <v>2229.55</v>
      </c>
      <c r="G2182" s="7">
        <f t="shared" si="282"/>
        <v>1.40196452198874</v>
      </c>
    </row>
    <row r="2183" spans="1:7">
      <c r="A2183" s="14" t="s">
        <v>3018</v>
      </c>
      <c r="B2183" s="12" t="s">
        <v>3019</v>
      </c>
      <c r="C2183" s="13" t="s">
        <v>3015</v>
      </c>
      <c r="D2183" s="17">
        <v>6700.8</v>
      </c>
      <c r="F2183" s="6">
        <v>2798.6</v>
      </c>
      <c r="G2183" s="7">
        <f t="shared" si="282"/>
        <v>1.39434002715644</v>
      </c>
    </row>
    <row r="2184" ht="46.5" spans="1:7">
      <c r="A2184" s="14">
        <v>15.9</v>
      </c>
      <c r="B2184" s="15" t="s">
        <v>3020</v>
      </c>
      <c r="C2184" s="13"/>
      <c r="D2184" s="16"/>
    </row>
    <row r="2185" spans="1:7">
      <c r="A2185" s="14" t="s">
        <v>3021</v>
      </c>
      <c r="B2185" s="12" t="s">
        <v>3009</v>
      </c>
      <c r="C2185" s="13" t="s">
        <v>14</v>
      </c>
      <c r="D2185" s="17">
        <v>1158.1</v>
      </c>
      <c r="F2185" s="6">
        <v>474.1</v>
      </c>
      <c r="G2185" s="7">
        <f t="shared" ref="G2185:G2189" si="283">(D2185-F2185)/F2185</f>
        <v>1.44273360050622</v>
      </c>
    </row>
    <row r="2186" spans="1:7">
      <c r="A2186" s="14" t="s">
        <v>3022</v>
      </c>
      <c r="B2186" s="12" t="s">
        <v>3011</v>
      </c>
      <c r="C2186" s="13" t="s">
        <v>14</v>
      </c>
      <c r="D2186" s="17">
        <v>2458.95</v>
      </c>
      <c r="F2186" s="6">
        <v>1005.7</v>
      </c>
      <c r="G2186" s="7">
        <f t="shared" si="283"/>
        <v>1.44501342348613</v>
      </c>
    </row>
    <row r="2187" ht="46.5" spans="1:7">
      <c r="A2187" s="18">
        <v>15.1</v>
      </c>
      <c r="B2187" s="15" t="s">
        <v>3023</v>
      </c>
      <c r="C2187" s="13"/>
      <c r="D2187" s="16"/>
    </row>
    <row r="2188" spans="1:7">
      <c r="A2188" s="14" t="s">
        <v>3024</v>
      </c>
      <c r="B2188" s="12" t="s">
        <v>3009</v>
      </c>
      <c r="C2188" s="13" t="s">
        <v>14</v>
      </c>
      <c r="D2188" s="17">
        <v>1464.25</v>
      </c>
      <c r="F2188" s="6">
        <v>599.6</v>
      </c>
      <c r="G2188" s="7">
        <f t="shared" si="283"/>
        <v>1.44204469646431</v>
      </c>
    </row>
    <row r="2189" spans="1:7">
      <c r="A2189" s="14" t="s">
        <v>3025</v>
      </c>
      <c r="B2189" s="12" t="s">
        <v>3011</v>
      </c>
      <c r="C2189" s="13" t="s">
        <v>14</v>
      </c>
      <c r="D2189" s="17">
        <v>2877.75</v>
      </c>
      <c r="F2189" s="6">
        <v>1176.65</v>
      </c>
      <c r="G2189" s="7">
        <f t="shared" si="283"/>
        <v>1.4457145285344</v>
      </c>
    </row>
    <row r="2190" ht="31" spans="1:7">
      <c r="A2190" s="18">
        <v>15.11</v>
      </c>
      <c r="B2190" s="15" t="s">
        <v>3026</v>
      </c>
      <c r="C2190" s="13"/>
      <c r="D2190" s="16"/>
    </row>
    <row r="2191" spans="1:7">
      <c r="A2191" s="14" t="s">
        <v>3027</v>
      </c>
      <c r="B2191" s="12" t="s">
        <v>3009</v>
      </c>
      <c r="C2191" s="13" t="s">
        <v>14</v>
      </c>
      <c r="D2191" s="17">
        <v>478.55</v>
      </c>
      <c r="F2191" s="6">
        <v>198.05</v>
      </c>
      <c r="G2191" s="7">
        <f t="shared" ref="G2191:G2195" si="284">(D2191-F2191)/F2191</f>
        <v>1.41630901287554</v>
      </c>
    </row>
    <row r="2192" spans="1:7">
      <c r="A2192" s="14" t="s">
        <v>3028</v>
      </c>
      <c r="B2192" s="12" t="s">
        <v>3011</v>
      </c>
      <c r="C2192" s="13" t="s">
        <v>14</v>
      </c>
      <c r="D2192" s="17">
        <v>689.2</v>
      </c>
      <c r="F2192" s="6">
        <v>284.3</v>
      </c>
      <c r="G2192" s="7">
        <f t="shared" si="284"/>
        <v>1.42419978895533</v>
      </c>
    </row>
    <row r="2193" ht="31" spans="1:7">
      <c r="A2193" s="18">
        <v>15.12</v>
      </c>
      <c r="B2193" s="15" t="s">
        <v>3029</v>
      </c>
      <c r="C2193" s="13"/>
      <c r="D2193" s="16"/>
    </row>
    <row r="2194" spans="1:7">
      <c r="A2194" s="14" t="s">
        <v>3030</v>
      </c>
      <c r="B2194" s="12" t="s">
        <v>3031</v>
      </c>
      <c r="C2194" s="13" t="s">
        <v>126</v>
      </c>
      <c r="D2194" s="17">
        <v>367.2</v>
      </c>
      <c r="F2194" s="6">
        <v>157.85</v>
      </c>
      <c r="G2194" s="7">
        <f t="shared" si="284"/>
        <v>1.32625910674691</v>
      </c>
    </row>
    <row r="2195" spans="1:7">
      <c r="A2195" s="14" t="s">
        <v>3032</v>
      </c>
      <c r="B2195" s="12" t="s">
        <v>3033</v>
      </c>
      <c r="C2195" s="13" t="s">
        <v>126</v>
      </c>
      <c r="D2195" s="17">
        <v>502.75</v>
      </c>
      <c r="F2195" s="6">
        <v>216.4</v>
      </c>
      <c r="G2195" s="7">
        <f t="shared" si="284"/>
        <v>1.32324399260628</v>
      </c>
    </row>
    <row r="2196" ht="31" spans="1:7">
      <c r="A2196" s="18">
        <v>15.13</v>
      </c>
      <c r="B2196" s="15" t="s">
        <v>3034</v>
      </c>
      <c r="C2196" s="13"/>
      <c r="D2196" s="16"/>
    </row>
    <row r="2197" spans="1:7">
      <c r="A2197" s="14" t="s">
        <v>3035</v>
      </c>
      <c r="B2197" s="12" t="s">
        <v>3031</v>
      </c>
      <c r="C2197" s="13" t="s">
        <v>126</v>
      </c>
      <c r="D2197" s="17">
        <v>143.5</v>
      </c>
      <c r="F2197" s="6">
        <v>61.25</v>
      </c>
      <c r="G2197" s="7">
        <f t="shared" ref="G2197:G2201" si="285">(D2197-F2197)/F2197</f>
        <v>1.34285714285714</v>
      </c>
    </row>
    <row r="2198" spans="1:7">
      <c r="A2198" s="14" t="s">
        <v>3036</v>
      </c>
      <c r="B2198" s="12" t="s">
        <v>3033</v>
      </c>
      <c r="C2198" s="13" t="s">
        <v>126</v>
      </c>
      <c r="D2198" s="17">
        <v>188.9</v>
      </c>
      <c r="F2198" s="6">
        <v>81</v>
      </c>
      <c r="G2198" s="7">
        <f t="shared" si="285"/>
        <v>1.3320987654321</v>
      </c>
    </row>
    <row r="2199" ht="31" spans="1:7">
      <c r="A2199" s="18">
        <v>15.14</v>
      </c>
      <c r="B2199" s="15" t="s">
        <v>3037</v>
      </c>
      <c r="C2199" s="13"/>
      <c r="D2199" s="16"/>
    </row>
    <row r="2200" spans="1:7">
      <c r="A2200" s="14" t="s">
        <v>3038</v>
      </c>
      <c r="B2200" s="12" t="s">
        <v>3039</v>
      </c>
      <c r="C2200" s="13" t="s">
        <v>14</v>
      </c>
      <c r="D2200" s="17">
        <v>4459.1</v>
      </c>
      <c r="F2200" s="6">
        <v>1922.45</v>
      </c>
      <c r="G2200" s="7">
        <f t="shared" si="285"/>
        <v>1.31948815313792</v>
      </c>
    </row>
    <row r="2201" spans="1:7">
      <c r="A2201" s="14" t="s">
        <v>3040</v>
      </c>
      <c r="B2201" s="12" t="s">
        <v>3041</v>
      </c>
      <c r="C2201" s="13" t="s">
        <v>39</v>
      </c>
      <c r="D2201" s="17">
        <v>17.85</v>
      </c>
      <c r="F2201" s="6">
        <v>7.7</v>
      </c>
      <c r="G2201" s="7">
        <f t="shared" si="285"/>
        <v>1.31818181818182</v>
      </c>
    </row>
    <row r="2202" ht="31" spans="1:7">
      <c r="A2202" s="18">
        <v>15.15</v>
      </c>
      <c r="B2202" s="15" t="s">
        <v>3042</v>
      </c>
      <c r="C2202" s="13"/>
      <c r="D2202" s="16"/>
    </row>
    <row r="2203" ht="31" spans="1:7">
      <c r="A2203" s="14" t="s">
        <v>3043</v>
      </c>
      <c r="B2203" s="12" t="s">
        <v>3039</v>
      </c>
      <c r="C2203" s="13" t="s">
        <v>3044</v>
      </c>
      <c r="D2203" s="17">
        <v>589.55</v>
      </c>
      <c r="F2203" s="6">
        <v>256.2</v>
      </c>
      <c r="G2203" s="7">
        <f t="shared" ref="G2203:G2207" si="286">(D2203-F2203)/F2203</f>
        <v>1.30113192818111</v>
      </c>
    </row>
    <row r="2204" ht="31" spans="1:7">
      <c r="A2204" s="14" t="s">
        <v>3045</v>
      </c>
      <c r="B2204" s="12" t="s">
        <v>3041</v>
      </c>
      <c r="C2204" s="13" t="s">
        <v>3046</v>
      </c>
      <c r="D2204" s="17">
        <v>1.65</v>
      </c>
      <c r="F2204" s="6">
        <v>0.75</v>
      </c>
      <c r="G2204" s="7">
        <f t="shared" si="286"/>
        <v>1.2</v>
      </c>
    </row>
    <row r="2205" ht="31" spans="1:7">
      <c r="A2205" s="18">
        <v>15.16</v>
      </c>
      <c r="B2205" s="15" t="s">
        <v>3047</v>
      </c>
      <c r="C2205" s="13"/>
      <c r="D2205" s="16"/>
    </row>
    <row r="2206" ht="31" spans="1:7">
      <c r="A2206" s="14" t="s">
        <v>3048</v>
      </c>
      <c r="B2206" s="12" t="s">
        <v>3039</v>
      </c>
      <c r="C2206" s="13" t="s">
        <v>3044</v>
      </c>
      <c r="D2206" s="17">
        <v>857</v>
      </c>
      <c r="F2206" s="6">
        <v>370.7</v>
      </c>
      <c r="G2206" s="7">
        <f t="shared" si="286"/>
        <v>1.31184246021041</v>
      </c>
    </row>
    <row r="2207" ht="31" spans="1:7">
      <c r="A2207" s="14" t="s">
        <v>3049</v>
      </c>
      <c r="B2207" s="12" t="s">
        <v>3041</v>
      </c>
      <c r="C2207" s="13" t="s">
        <v>3046</v>
      </c>
      <c r="D2207" s="17">
        <v>3.4</v>
      </c>
      <c r="F2207" s="6">
        <v>1.45</v>
      </c>
      <c r="G2207" s="7">
        <f t="shared" si="286"/>
        <v>1.3448275862069</v>
      </c>
    </row>
    <row r="2208" ht="31" spans="1:7">
      <c r="A2208" s="18">
        <v>15.17</v>
      </c>
      <c r="B2208" s="15" t="s">
        <v>3050</v>
      </c>
      <c r="C2208" s="13"/>
      <c r="D2208" s="16"/>
    </row>
    <row r="2209" spans="1:7">
      <c r="A2209" s="14" t="s">
        <v>3051</v>
      </c>
      <c r="B2209" s="12" t="s">
        <v>3052</v>
      </c>
      <c r="C2209" s="13" t="s">
        <v>478</v>
      </c>
      <c r="D2209" s="17">
        <v>3.4</v>
      </c>
      <c r="F2209" s="6">
        <v>1.4</v>
      </c>
      <c r="G2209" s="7">
        <f t="shared" ref="G2209:G2215" si="287">(D2209-F2209)/F2209</f>
        <v>1.42857142857143</v>
      </c>
    </row>
    <row r="2210" spans="1:7">
      <c r="A2210" s="14" t="s">
        <v>3053</v>
      </c>
      <c r="B2210" s="12" t="s">
        <v>3054</v>
      </c>
      <c r="C2210" s="13" t="s">
        <v>478</v>
      </c>
      <c r="D2210" s="17">
        <v>2.3</v>
      </c>
      <c r="F2210" s="6">
        <v>0.95</v>
      </c>
      <c r="G2210" s="7">
        <f t="shared" si="287"/>
        <v>1.42105263157895</v>
      </c>
    </row>
    <row r="2211" ht="46.5" spans="1:7">
      <c r="A2211" s="18">
        <v>15.18</v>
      </c>
      <c r="B2211" s="15" t="s">
        <v>3055</v>
      </c>
      <c r="C2211" s="13" t="s">
        <v>478</v>
      </c>
      <c r="D2211" s="17">
        <v>5.65</v>
      </c>
      <c r="F2211" s="6">
        <v>2.4</v>
      </c>
      <c r="G2211" s="7">
        <f t="shared" si="287"/>
        <v>1.35416666666667</v>
      </c>
    </row>
    <row r="2212" ht="31" spans="1:7">
      <c r="A2212" s="18">
        <v>15.19</v>
      </c>
      <c r="B2212" s="15" t="s">
        <v>3056</v>
      </c>
      <c r="C2212" s="13" t="s">
        <v>478</v>
      </c>
      <c r="D2212" s="17">
        <v>3.85</v>
      </c>
      <c r="F2212" s="6">
        <v>1.6</v>
      </c>
      <c r="G2212" s="7">
        <f t="shared" si="287"/>
        <v>1.40625</v>
      </c>
    </row>
    <row r="2213" ht="31" spans="1:7">
      <c r="A2213" s="18">
        <v>15.2</v>
      </c>
      <c r="B2213" s="15" t="s">
        <v>3057</v>
      </c>
      <c r="C2213" s="13" t="s">
        <v>3058</v>
      </c>
      <c r="D2213" s="17">
        <v>0.85</v>
      </c>
      <c r="F2213" s="6">
        <v>0.35</v>
      </c>
      <c r="G2213" s="7">
        <f t="shared" si="287"/>
        <v>1.42857142857143</v>
      </c>
    </row>
    <row r="2214" ht="31" spans="1:7">
      <c r="A2214" s="18">
        <v>15.21</v>
      </c>
      <c r="B2214" s="15" t="s">
        <v>3059</v>
      </c>
      <c r="C2214" s="13" t="s">
        <v>3060</v>
      </c>
      <c r="D2214" s="17">
        <v>0.85</v>
      </c>
      <c r="F2214" s="6">
        <v>0.35</v>
      </c>
      <c r="G2214" s="7">
        <f t="shared" si="287"/>
        <v>1.42857142857143</v>
      </c>
    </row>
    <row r="2215" spans="1:7">
      <c r="A2215" s="18">
        <v>15.22</v>
      </c>
      <c r="B2215" s="15" t="s">
        <v>3061</v>
      </c>
      <c r="C2215" s="13" t="s">
        <v>478</v>
      </c>
      <c r="D2215" s="17">
        <v>4.65</v>
      </c>
      <c r="F2215" s="6">
        <v>2</v>
      </c>
      <c r="G2215" s="7">
        <f t="shared" si="287"/>
        <v>1.325</v>
      </c>
    </row>
    <row r="2216" ht="31" spans="1:7">
      <c r="A2216" s="18">
        <v>15.23</v>
      </c>
      <c r="B2216" s="15" t="s">
        <v>3062</v>
      </c>
      <c r="C2216" s="13"/>
      <c r="D2216" s="16"/>
    </row>
    <row r="2217" spans="1:7">
      <c r="A2217" s="14" t="s">
        <v>3063</v>
      </c>
      <c r="B2217" s="12" t="s">
        <v>3064</v>
      </c>
      <c r="C2217" s="13" t="s">
        <v>11</v>
      </c>
      <c r="D2217" s="17">
        <v>73.4</v>
      </c>
      <c r="F2217" s="6">
        <v>31.55</v>
      </c>
      <c r="G2217" s="7">
        <f t="shared" ref="G2217:G2222" si="288">(D2217-F2217)/F2217</f>
        <v>1.32646592709984</v>
      </c>
    </row>
    <row r="2218" spans="1:7">
      <c r="A2218" s="14" t="s">
        <v>3065</v>
      </c>
      <c r="B2218" s="12" t="s">
        <v>3066</v>
      </c>
      <c r="C2218" s="13" t="s">
        <v>11</v>
      </c>
      <c r="D2218" s="17">
        <v>113.35</v>
      </c>
      <c r="F2218" s="6">
        <v>49.2</v>
      </c>
      <c r="G2218" s="7">
        <f t="shared" si="288"/>
        <v>1.30386178861789</v>
      </c>
    </row>
    <row r="2219" ht="31" spans="1:7">
      <c r="A2219" s="18">
        <v>15.24</v>
      </c>
      <c r="B2219" s="15" t="s">
        <v>3067</v>
      </c>
      <c r="C2219" s="13" t="s">
        <v>14</v>
      </c>
      <c r="D2219" s="17">
        <v>1317.65</v>
      </c>
      <c r="F2219" s="6">
        <v>539.8</v>
      </c>
      <c r="G2219" s="7">
        <f t="shared" si="288"/>
        <v>1.44099666543164</v>
      </c>
    </row>
    <row r="2220" ht="31" spans="1:7">
      <c r="A2220" s="18">
        <v>15.25</v>
      </c>
      <c r="B2220" s="15" t="s">
        <v>3068</v>
      </c>
      <c r="C2220" s="13" t="s">
        <v>11</v>
      </c>
      <c r="D2220" s="17">
        <v>266.45</v>
      </c>
      <c r="F2220" s="6">
        <v>109.35</v>
      </c>
      <c r="G2220" s="7">
        <f t="shared" si="288"/>
        <v>1.43667123914037</v>
      </c>
    </row>
    <row r="2221" ht="31" spans="1:7">
      <c r="A2221" s="18">
        <v>15.26</v>
      </c>
      <c r="B2221" s="15" t="s">
        <v>3069</v>
      </c>
      <c r="C2221" s="13" t="s">
        <v>11</v>
      </c>
      <c r="D2221" s="17">
        <v>105.35</v>
      </c>
      <c r="F2221" s="6">
        <v>45.7</v>
      </c>
      <c r="G2221" s="7">
        <f t="shared" si="288"/>
        <v>1.30525164113786</v>
      </c>
    </row>
    <row r="2222" spans="1:7">
      <c r="A2222" s="18">
        <v>15.27</v>
      </c>
      <c r="B2222" s="15" t="s">
        <v>3070</v>
      </c>
      <c r="C2222" s="13" t="s">
        <v>14</v>
      </c>
      <c r="D2222" s="17">
        <v>914.3</v>
      </c>
      <c r="F2222" s="6">
        <v>373.95</v>
      </c>
      <c r="G2222" s="7">
        <f t="shared" si="288"/>
        <v>1.44497927530418</v>
      </c>
    </row>
    <row r="2223" ht="31" spans="1:7">
      <c r="A2223" s="18">
        <v>15.28</v>
      </c>
      <c r="B2223" s="15" t="s">
        <v>3071</v>
      </c>
      <c r="C2223" s="13"/>
      <c r="D2223" s="16"/>
    </row>
    <row r="2224" spans="1:7">
      <c r="A2224" s="14" t="s">
        <v>3072</v>
      </c>
      <c r="B2224" s="12" t="s">
        <v>3073</v>
      </c>
      <c r="C2224" s="13" t="s">
        <v>11</v>
      </c>
      <c r="D2224" s="17">
        <v>164.95</v>
      </c>
      <c r="F2224" s="6">
        <v>70.1</v>
      </c>
      <c r="G2224" s="7">
        <f t="shared" ref="G2224:G2230" si="289">(D2224-F2224)/F2224</f>
        <v>1.35306704707561</v>
      </c>
    </row>
    <row r="2225" spans="1:7">
      <c r="A2225" s="14" t="s">
        <v>3074</v>
      </c>
      <c r="B2225" s="12" t="s">
        <v>3075</v>
      </c>
      <c r="C2225" s="13" t="s">
        <v>11</v>
      </c>
      <c r="D2225" s="17">
        <v>77.3</v>
      </c>
      <c r="F2225" s="6">
        <v>32.85</v>
      </c>
      <c r="G2225" s="7">
        <f t="shared" si="289"/>
        <v>1.3531202435312</v>
      </c>
    </row>
    <row r="2226" ht="46.5" spans="1:7">
      <c r="A2226" s="18">
        <v>15.29</v>
      </c>
      <c r="B2226" s="15" t="s">
        <v>3076</v>
      </c>
      <c r="C2226" s="13" t="s">
        <v>14</v>
      </c>
      <c r="D2226" s="17">
        <v>2664.65</v>
      </c>
      <c r="F2226" s="6">
        <v>1093.3</v>
      </c>
      <c r="G2226" s="7">
        <f t="shared" si="289"/>
        <v>1.4372541845788</v>
      </c>
    </row>
    <row r="2227" ht="31" spans="1:7">
      <c r="A2227" s="18">
        <v>15.3</v>
      </c>
      <c r="B2227" s="15" t="s">
        <v>3077</v>
      </c>
      <c r="C2227" s="13" t="s">
        <v>11</v>
      </c>
      <c r="D2227" s="17">
        <v>253.9</v>
      </c>
      <c r="F2227" s="6">
        <v>104.2</v>
      </c>
      <c r="G2227" s="7">
        <f t="shared" si="289"/>
        <v>1.43666026871401</v>
      </c>
    </row>
    <row r="2228" ht="31" spans="1:7">
      <c r="A2228" s="18">
        <v>15.31</v>
      </c>
      <c r="B2228" s="15" t="s">
        <v>3078</v>
      </c>
      <c r="C2228" s="13" t="s">
        <v>11</v>
      </c>
      <c r="D2228" s="17">
        <v>209.9</v>
      </c>
      <c r="F2228" s="6">
        <v>85.25</v>
      </c>
      <c r="G2228" s="7">
        <f t="shared" si="289"/>
        <v>1.46217008797654</v>
      </c>
    </row>
    <row r="2229" ht="46.5" spans="1:7">
      <c r="A2229" s="18">
        <v>15.32</v>
      </c>
      <c r="B2229" s="15" t="s">
        <v>3079</v>
      </c>
      <c r="C2229" s="13" t="s">
        <v>11</v>
      </c>
      <c r="D2229" s="17">
        <v>57.7</v>
      </c>
      <c r="F2229" s="6">
        <v>23.8</v>
      </c>
      <c r="G2229" s="7">
        <f t="shared" si="289"/>
        <v>1.42436974789916</v>
      </c>
    </row>
    <row r="2230" spans="1:7">
      <c r="A2230" s="18">
        <v>15.33</v>
      </c>
      <c r="B2230" s="15" t="s">
        <v>3080</v>
      </c>
      <c r="C2230" s="13" t="s">
        <v>39</v>
      </c>
      <c r="D2230" s="17">
        <v>20.95</v>
      </c>
      <c r="F2230" s="6">
        <v>8.5</v>
      </c>
      <c r="G2230" s="7">
        <f t="shared" si="289"/>
        <v>1.46470588235294</v>
      </c>
    </row>
    <row r="2231" ht="31" spans="1:7">
      <c r="A2231" s="18">
        <v>15.34</v>
      </c>
      <c r="B2231" s="15" t="s">
        <v>3081</v>
      </c>
      <c r="C2231" s="13"/>
      <c r="D2231" s="16"/>
    </row>
    <row r="2232" spans="1:7">
      <c r="A2232" s="14" t="s">
        <v>3082</v>
      </c>
      <c r="B2232" s="12" t="s">
        <v>3083</v>
      </c>
      <c r="C2232" s="13" t="s">
        <v>126</v>
      </c>
      <c r="D2232" s="17">
        <v>230.9</v>
      </c>
      <c r="F2232" s="6">
        <v>104.65</v>
      </c>
      <c r="G2232" s="7">
        <f t="shared" ref="G2232:G2237" si="290">(D2232-F2232)/F2232</f>
        <v>1.20640229335881</v>
      </c>
    </row>
    <row r="2233" spans="1:7">
      <c r="A2233" s="14" t="s">
        <v>3084</v>
      </c>
      <c r="B2233" s="12" t="s">
        <v>3085</v>
      </c>
      <c r="C2233" s="13" t="s">
        <v>126</v>
      </c>
      <c r="D2233" s="17">
        <v>243.3</v>
      </c>
      <c r="F2233" s="6">
        <v>116.2</v>
      </c>
      <c r="G2233" s="7">
        <f t="shared" si="290"/>
        <v>1.09380378657487</v>
      </c>
    </row>
    <row r="2234" ht="31" spans="1:7">
      <c r="A2234" s="18">
        <v>15.35</v>
      </c>
      <c r="B2234" s="15" t="s">
        <v>3086</v>
      </c>
      <c r="C2234" s="13" t="s">
        <v>126</v>
      </c>
      <c r="D2234" s="17">
        <v>13.45</v>
      </c>
      <c r="F2234" s="6">
        <v>8.35</v>
      </c>
      <c r="G2234" s="7">
        <f t="shared" si="290"/>
        <v>0.610778443113772</v>
      </c>
    </row>
    <row r="2235" ht="31" spans="1:7">
      <c r="A2235" s="18">
        <v>15.36</v>
      </c>
      <c r="B2235" s="15" t="s">
        <v>3087</v>
      </c>
      <c r="C2235" s="13" t="s">
        <v>478</v>
      </c>
      <c r="D2235" s="17">
        <v>36.8</v>
      </c>
      <c r="F2235" s="6">
        <v>15.05</v>
      </c>
      <c r="G2235" s="7">
        <f t="shared" si="290"/>
        <v>1.44518272425249</v>
      </c>
    </row>
    <row r="2236" ht="31" spans="1:7">
      <c r="A2236" s="18">
        <v>15.37</v>
      </c>
      <c r="B2236" s="15" t="s">
        <v>3088</v>
      </c>
      <c r="C2236" s="13" t="s">
        <v>11</v>
      </c>
      <c r="D2236" s="17">
        <v>64.85</v>
      </c>
      <c r="F2236" s="6">
        <v>27.1</v>
      </c>
      <c r="G2236" s="7">
        <f t="shared" si="290"/>
        <v>1.3929889298893</v>
      </c>
    </row>
    <row r="2237" ht="31" spans="1:7">
      <c r="A2237" s="18">
        <v>15.38</v>
      </c>
      <c r="B2237" s="15" t="s">
        <v>3089</v>
      </c>
      <c r="C2237" s="13" t="s">
        <v>11</v>
      </c>
      <c r="D2237" s="17">
        <v>75.8</v>
      </c>
      <c r="F2237" s="6">
        <v>31.7</v>
      </c>
      <c r="G2237" s="7">
        <f t="shared" si="290"/>
        <v>1.39116719242902</v>
      </c>
    </row>
    <row r="2238" ht="31" spans="1:7">
      <c r="A2238" s="18">
        <v>15.39</v>
      </c>
      <c r="B2238" s="15" t="s">
        <v>3090</v>
      </c>
      <c r="C2238" s="13"/>
      <c r="D2238" s="16"/>
    </row>
    <row r="2239" spans="1:7">
      <c r="A2239" s="14" t="s">
        <v>3091</v>
      </c>
      <c r="B2239" s="12" t="s">
        <v>3092</v>
      </c>
      <c r="C2239" s="13" t="s">
        <v>11</v>
      </c>
      <c r="D2239" s="17">
        <v>61</v>
      </c>
      <c r="F2239" s="6">
        <v>25.95</v>
      </c>
      <c r="G2239" s="7">
        <f t="shared" ref="G2239:G2241" si="291">(D2239-F2239)/F2239</f>
        <v>1.35067437379576</v>
      </c>
    </row>
    <row r="2240" spans="1:7">
      <c r="A2240" s="14" t="s">
        <v>3093</v>
      </c>
      <c r="B2240" s="12" t="s">
        <v>3094</v>
      </c>
      <c r="C2240" s="13" t="s">
        <v>11</v>
      </c>
      <c r="D2240" s="17">
        <v>77.75</v>
      </c>
      <c r="F2240" s="6">
        <v>33.15</v>
      </c>
      <c r="G2240" s="7">
        <f t="shared" si="291"/>
        <v>1.34539969834087</v>
      </c>
    </row>
    <row r="2241" spans="1:7">
      <c r="A2241" s="14" t="s">
        <v>3095</v>
      </c>
      <c r="B2241" s="12" t="s">
        <v>3096</v>
      </c>
      <c r="C2241" s="13" t="s">
        <v>11</v>
      </c>
      <c r="D2241" s="17">
        <v>90.35</v>
      </c>
      <c r="F2241" s="6">
        <v>38.75</v>
      </c>
      <c r="G2241" s="7">
        <f t="shared" si="291"/>
        <v>1.33161290322581</v>
      </c>
    </row>
    <row r="2242" ht="31" spans="1:7">
      <c r="A2242" s="18">
        <v>15.4</v>
      </c>
      <c r="B2242" s="15" t="s">
        <v>3097</v>
      </c>
      <c r="C2242" s="13"/>
      <c r="D2242" s="16"/>
    </row>
    <row r="2243" spans="1:7">
      <c r="A2243" s="14" t="s">
        <v>3098</v>
      </c>
      <c r="B2243" s="12" t="s">
        <v>3099</v>
      </c>
      <c r="C2243" s="13" t="s">
        <v>11</v>
      </c>
      <c r="D2243" s="17">
        <v>289.3</v>
      </c>
      <c r="F2243" s="6">
        <v>119.95</v>
      </c>
      <c r="G2243" s="7">
        <f t="shared" ref="G2243:G2245" si="292">(D2243-F2243)/F2243</f>
        <v>1.41183826594414</v>
      </c>
    </row>
    <row r="2244" spans="1:7">
      <c r="A2244" s="14" t="s">
        <v>3100</v>
      </c>
      <c r="B2244" s="12" t="s">
        <v>3101</v>
      </c>
      <c r="C2244" s="13" t="s">
        <v>11</v>
      </c>
      <c r="D2244" s="17">
        <v>433.55</v>
      </c>
      <c r="F2244" s="6">
        <v>179.7</v>
      </c>
      <c r="G2244" s="7">
        <f t="shared" si="292"/>
        <v>1.41263216471898</v>
      </c>
    </row>
    <row r="2245" ht="46.5" spans="1:7">
      <c r="A2245" s="18">
        <v>15.41</v>
      </c>
      <c r="B2245" s="15" t="s">
        <v>3102</v>
      </c>
      <c r="C2245" s="13" t="s">
        <v>11</v>
      </c>
      <c r="D2245" s="17">
        <v>56.35</v>
      </c>
      <c r="F2245" s="6">
        <v>24.3</v>
      </c>
      <c r="G2245" s="7">
        <f t="shared" si="292"/>
        <v>1.31893004115226</v>
      </c>
    </row>
    <row r="2246" ht="31" spans="1:7">
      <c r="A2246" s="18">
        <v>15.42</v>
      </c>
      <c r="B2246" s="15" t="s">
        <v>3103</v>
      </c>
      <c r="C2246" s="13"/>
      <c r="D2246" s="16"/>
    </row>
    <row r="2247" spans="1:7">
      <c r="A2247" s="14" t="s">
        <v>3104</v>
      </c>
      <c r="B2247" s="12" t="s">
        <v>3105</v>
      </c>
      <c r="C2247" s="13" t="s">
        <v>39</v>
      </c>
      <c r="D2247" s="17">
        <v>75.7</v>
      </c>
      <c r="F2247" s="6">
        <v>30.95</v>
      </c>
      <c r="G2247" s="7">
        <f t="shared" ref="G2247:G2249" si="293">(D2247-F2247)/F2247</f>
        <v>1.44588045234249</v>
      </c>
    </row>
    <row r="2248" spans="1:7">
      <c r="A2248" s="14" t="s">
        <v>3106</v>
      </c>
      <c r="B2248" s="12" t="s">
        <v>3107</v>
      </c>
      <c r="C2248" s="13" t="s">
        <v>39</v>
      </c>
      <c r="D2248" s="17">
        <v>78</v>
      </c>
      <c r="F2248" s="6">
        <v>31.95</v>
      </c>
      <c r="G2248" s="7">
        <f t="shared" si="293"/>
        <v>1.44131455399061</v>
      </c>
    </row>
    <row r="2249" spans="1:7">
      <c r="A2249" s="14" t="s">
        <v>3108</v>
      </c>
      <c r="B2249" s="12" t="s">
        <v>3109</v>
      </c>
      <c r="C2249" s="13" t="s">
        <v>39</v>
      </c>
      <c r="D2249" s="17">
        <v>80.25</v>
      </c>
      <c r="F2249" s="6">
        <v>32.9</v>
      </c>
      <c r="G2249" s="7">
        <f t="shared" si="293"/>
        <v>1.43920972644377</v>
      </c>
    </row>
    <row r="2250" ht="46.5" spans="1:7">
      <c r="A2250" s="18">
        <v>15.43</v>
      </c>
      <c r="B2250" s="15" t="s">
        <v>3110</v>
      </c>
      <c r="C2250" s="13"/>
      <c r="D2250" s="16"/>
    </row>
    <row r="2251" spans="1:7">
      <c r="A2251" s="14" t="s">
        <v>3111</v>
      </c>
      <c r="B2251" s="12" t="s">
        <v>3112</v>
      </c>
      <c r="C2251" s="13" t="s">
        <v>11</v>
      </c>
      <c r="D2251" s="17">
        <v>217.45</v>
      </c>
      <c r="F2251" s="6">
        <v>90.5</v>
      </c>
      <c r="G2251" s="7">
        <f t="shared" ref="G2251:G2255" si="294">(D2251-F2251)/F2251</f>
        <v>1.40276243093923</v>
      </c>
    </row>
    <row r="2252" spans="1:7">
      <c r="A2252" s="14" t="s">
        <v>3113</v>
      </c>
      <c r="B2252" s="12" t="s">
        <v>3114</v>
      </c>
      <c r="C2252" s="13" t="s">
        <v>11</v>
      </c>
      <c r="D2252" s="17">
        <v>428.5</v>
      </c>
      <c r="F2252" s="6">
        <v>177</v>
      </c>
      <c r="G2252" s="7">
        <f t="shared" si="294"/>
        <v>1.42090395480226</v>
      </c>
    </row>
    <row r="2253" ht="46.5" spans="1:7">
      <c r="A2253" s="18">
        <v>15.44</v>
      </c>
      <c r="B2253" s="15" t="s">
        <v>3115</v>
      </c>
      <c r="C2253" s="13"/>
      <c r="D2253" s="16"/>
    </row>
    <row r="2254" spans="1:7">
      <c r="A2254" s="14" t="s">
        <v>3116</v>
      </c>
      <c r="B2254" s="12" t="s">
        <v>3117</v>
      </c>
      <c r="C2254" s="13" t="s">
        <v>39</v>
      </c>
      <c r="D2254" s="17">
        <v>149.8</v>
      </c>
      <c r="F2254" s="6">
        <v>63.65</v>
      </c>
      <c r="G2254" s="7">
        <f t="shared" si="294"/>
        <v>1.35349567949725</v>
      </c>
    </row>
    <row r="2255" spans="1:7">
      <c r="A2255" s="14" t="s">
        <v>3118</v>
      </c>
      <c r="B2255" s="12" t="s">
        <v>3119</v>
      </c>
      <c r="C2255" s="13" t="s">
        <v>39</v>
      </c>
      <c r="D2255" s="17">
        <v>161.4</v>
      </c>
      <c r="F2255" s="6">
        <v>70.85</v>
      </c>
      <c r="G2255" s="7">
        <f t="shared" si="294"/>
        <v>1.27805222300635</v>
      </c>
    </row>
    <row r="2256" ht="62" spans="1:7">
      <c r="A2256" s="18">
        <v>15.45</v>
      </c>
      <c r="B2256" s="15" t="s">
        <v>3120</v>
      </c>
      <c r="C2256" s="13"/>
      <c r="D2256" s="16"/>
    </row>
    <row r="2257" spans="1:7">
      <c r="A2257" s="14" t="s">
        <v>3121</v>
      </c>
      <c r="B2257" s="12" t="s">
        <v>3122</v>
      </c>
      <c r="C2257" s="13" t="s">
        <v>39</v>
      </c>
      <c r="D2257" s="17">
        <v>332.4</v>
      </c>
      <c r="F2257" s="6">
        <v>183.05</v>
      </c>
      <c r="G2257" s="7">
        <f t="shared" ref="G2257:G2259" si="295">(D2257-F2257)/F2257</f>
        <v>0.815897295820814</v>
      </c>
    </row>
    <row r="2258" spans="1:7">
      <c r="A2258" s="14" t="s">
        <v>3123</v>
      </c>
      <c r="B2258" s="12" t="s">
        <v>3124</v>
      </c>
      <c r="C2258" s="13" t="s">
        <v>39</v>
      </c>
      <c r="D2258" s="17">
        <v>456.65</v>
      </c>
      <c r="F2258" s="6">
        <v>242.05</v>
      </c>
      <c r="G2258" s="7">
        <f t="shared" si="295"/>
        <v>0.886593678991944</v>
      </c>
    </row>
    <row r="2259" spans="1:7">
      <c r="A2259" s="14" t="s">
        <v>3125</v>
      </c>
      <c r="B2259" s="12" t="s">
        <v>3126</v>
      </c>
      <c r="C2259" s="13" t="s">
        <v>39</v>
      </c>
      <c r="D2259" s="17">
        <v>614.3</v>
      </c>
      <c r="F2259" s="6">
        <v>314.4</v>
      </c>
      <c r="G2259" s="7">
        <f t="shared" si="295"/>
        <v>0.953880407124682</v>
      </c>
    </row>
    <row r="2260" ht="62" spans="1:7">
      <c r="A2260" s="18">
        <v>15.46</v>
      </c>
      <c r="B2260" s="15" t="s">
        <v>3127</v>
      </c>
      <c r="C2260" s="13"/>
      <c r="D2260" s="16"/>
    </row>
    <row r="2261" spans="1:7">
      <c r="A2261" s="14" t="s">
        <v>3128</v>
      </c>
      <c r="B2261" s="12" t="s">
        <v>3129</v>
      </c>
      <c r="C2261" s="13" t="s">
        <v>39</v>
      </c>
      <c r="D2261" s="17">
        <v>695.25</v>
      </c>
      <c r="F2261" s="6">
        <v>299.1</v>
      </c>
      <c r="G2261" s="7">
        <f t="shared" ref="G2261:G2270" si="296">(D2261-F2261)/F2261</f>
        <v>1.32447342026078</v>
      </c>
    </row>
    <row r="2262" spans="1:7">
      <c r="A2262" s="14" t="s">
        <v>3130</v>
      </c>
      <c r="B2262" s="12" t="s">
        <v>3131</v>
      </c>
      <c r="C2262" s="13" t="s">
        <v>39</v>
      </c>
      <c r="D2262" s="17">
        <v>1752.45</v>
      </c>
      <c r="F2262" s="6">
        <v>752.85</v>
      </c>
      <c r="G2262" s="7">
        <f t="shared" si="296"/>
        <v>1.32775453277545</v>
      </c>
    </row>
    <row r="2263" ht="46.5" spans="1:7">
      <c r="A2263" s="18">
        <v>15.47</v>
      </c>
      <c r="B2263" s="15" t="s">
        <v>3132</v>
      </c>
      <c r="C2263" s="13"/>
      <c r="D2263" s="16"/>
    </row>
    <row r="2264" spans="1:7">
      <c r="A2264" s="14" t="s">
        <v>3133</v>
      </c>
      <c r="B2264" s="12" t="s">
        <v>3122</v>
      </c>
      <c r="C2264" s="13" t="s">
        <v>39</v>
      </c>
      <c r="D2264" s="17">
        <v>332.15</v>
      </c>
      <c r="F2264" s="6">
        <v>135.7</v>
      </c>
      <c r="G2264" s="7">
        <f t="shared" si="296"/>
        <v>1.44767870302137</v>
      </c>
    </row>
    <row r="2265" spans="1:7">
      <c r="A2265" s="14" t="s">
        <v>3134</v>
      </c>
      <c r="B2265" s="12" t="s">
        <v>3135</v>
      </c>
      <c r="C2265" s="13" t="s">
        <v>39</v>
      </c>
      <c r="D2265" s="17">
        <v>403.05</v>
      </c>
      <c r="F2265" s="6">
        <v>164.8</v>
      </c>
      <c r="G2265" s="7">
        <f t="shared" si="296"/>
        <v>1.44569174757282</v>
      </c>
    </row>
    <row r="2266" ht="62" spans="1:7">
      <c r="A2266" s="18">
        <v>15.48</v>
      </c>
      <c r="B2266" s="15" t="s">
        <v>3136</v>
      </c>
      <c r="C2266" s="13" t="s">
        <v>126</v>
      </c>
      <c r="D2266" s="17">
        <v>697.4</v>
      </c>
      <c r="F2266" s="6">
        <v>290.55</v>
      </c>
      <c r="G2266" s="7">
        <f t="shared" si="296"/>
        <v>1.40027533987266</v>
      </c>
    </row>
    <row r="2267" ht="62" spans="1:7">
      <c r="A2267" s="18">
        <v>15.49</v>
      </c>
      <c r="B2267" s="15" t="s">
        <v>3137</v>
      </c>
      <c r="C2267" s="13" t="s">
        <v>126</v>
      </c>
      <c r="D2267" s="17">
        <v>406.75</v>
      </c>
      <c r="F2267" s="6">
        <v>170.15</v>
      </c>
      <c r="G2267" s="7">
        <f t="shared" si="296"/>
        <v>1.39053776079929</v>
      </c>
    </row>
    <row r="2268" ht="46.5" spans="1:7">
      <c r="A2268" s="18">
        <v>15.5</v>
      </c>
      <c r="B2268" s="15" t="s">
        <v>3138</v>
      </c>
      <c r="C2268" s="13" t="s">
        <v>126</v>
      </c>
      <c r="D2268" s="17">
        <v>4623.7</v>
      </c>
      <c r="F2268" s="6">
        <v>1947.25</v>
      </c>
      <c r="G2268" s="7">
        <f t="shared" si="296"/>
        <v>1.37447682629349</v>
      </c>
    </row>
    <row r="2269" ht="46.5" spans="1:7">
      <c r="A2269" s="18">
        <v>15.51</v>
      </c>
      <c r="B2269" s="15" t="s">
        <v>3139</v>
      </c>
      <c r="C2269" s="13" t="s">
        <v>126</v>
      </c>
      <c r="D2269" s="17">
        <v>958.75</v>
      </c>
      <c r="F2269" s="6">
        <v>397.15</v>
      </c>
      <c r="G2269" s="7">
        <f t="shared" si="296"/>
        <v>1.41407528641571</v>
      </c>
    </row>
    <row r="2270" ht="46.5" spans="1:7">
      <c r="A2270" s="18">
        <v>15.52</v>
      </c>
      <c r="B2270" s="15" t="s">
        <v>3140</v>
      </c>
      <c r="C2270" s="13" t="s">
        <v>126</v>
      </c>
      <c r="D2270" s="17">
        <v>112.05</v>
      </c>
      <c r="F2270" s="6">
        <v>391.2</v>
      </c>
      <c r="G2270" s="7">
        <f t="shared" si="296"/>
        <v>-0.713573619631902</v>
      </c>
    </row>
    <row r="2271" ht="31" spans="1:7">
      <c r="A2271" s="18">
        <v>15.53</v>
      </c>
      <c r="B2271" s="15" t="s">
        <v>3141</v>
      </c>
      <c r="C2271" s="13"/>
      <c r="D2271" s="16"/>
    </row>
    <row r="2272" spans="1:7">
      <c r="A2272" s="14" t="s">
        <v>3142</v>
      </c>
      <c r="B2272" s="12" t="s">
        <v>3122</v>
      </c>
      <c r="C2272" s="13" t="s">
        <v>126</v>
      </c>
      <c r="D2272" s="17">
        <v>319.5</v>
      </c>
      <c r="F2272" s="6">
        <v>141.15</v>
      </c>
      <c r="G2272" s="7">
        <f t="shared" ref="G2272:G2274" si="297">(D2272-F2272)/F2272</f>
        <v>1.26354941551541</v>
      </c>
    </row>
    <row r="2273" spans="1:7">
      <c r="A2273" s="14" t="s">
        <v>3143</v>
      </c>
      <c r="B2273" s="12" t="s">
        <v>3135</v>
      </c>
      <c r="C2273" s="13" t="s">
        <v>126</v>
      </c>
      <c r="D2273" s="17">
        <v>1184.15</v>
      </c>
      <c r="F2273" s="6">
        <v>507.45</v>
      </c>
      <c r="G2273" s="7">
        <f t="shared" si="297"/>
        <v>1.33353039708346</v>
      </c>
    </row>
    <row r="2274" ht="31" spans="1:7">
      <c r="A2274" s="18">
        <v>15.54</v>
      </c>
      <c r="B2274" s="15" t="s">
        <v>3144</v>
      </c>
      <c r="C2274" s="13" t="s">
        <v>126</v>
      </c>
      <c r="D2274" s="17">
        <v>726.35</v>
      </c>
      <c r="F2274" s="6">
        <v>307.85</v>
      </c>
      <c r="G2274" s="7">
        <f t="shared" si="297"/>
        <v>1.35942829299984</v>
      </c>
    </row>
    <row r="2275" ht="46.5" spans="1:7">
      <c r="A2275" s="18">
        <v>15.55</v>
      </c>
      <c r="B2275" s="15" t="s">
        <v>3145</v>
      </c>
      <c r="C2275" s="13"/>
      <c r="D2275" s="16"/>
    </row>
    <row r="2276" spans="1:7">
      <c r="A2276" s="14" t="s">
        <v>3146</v>
      </c>
      <c r="B2276" s="12" t="s">
        <v>3147</v>
      </c>
      <c r="C2276" s="13" t="s">
        <v>126</v>
      </c>
      <c r="D2276" s="17">
        <v>1104.05</v>
      </c>
      <c r="F2276" s="6">
        <v>451.65</v>
      </c>
      <c r="G2276" s="7">
        <f t="shared" ref="G2276:G2283" si="298">(D2276-F2276)/F2276</f>
        <v>1.44448134617514</v>
      </c>
    </row>
    <row r="2277" spans="1:7">
      <c r="A2277" s="14" t="s">
        <v>3148</v>
      </c>
      <c r="B2277" s="12" t="s">
        <v>3149</v>
      </c>
      <c r="C2277" s="13" t="s">
        <v>126</v>
      </c>
      <c r="D2277" s="17">
        <v>1693.35</v>
      </c>
      <c r="F2277" s="6">
        <v>692.85</v>
      </c>
      <c r="G2277" s="7">
        <f t="shared" si="298"/>
        <v>1.44403550552068</v>
      </c>
    </row>
    <row r="2278" spans="1:7">
      <c r="A2278" s="14" t="s">
        <v>3150</v>
      </c>
      <c r="B2278" s="12" t="s">
        <v>3151</v>
      </c>
      <c r="C2278" s="13" t="s">
        <v>126</v>
      </c>
      <c r="D2278" s="17">
        <v>2396.95</v>
      </c>
      <c r="F2278" s="6">
        <v>980.55</v>
      </c>
      <c r="G2278" s="7">
        <f t="shared" si="298"/>
        <v>1.44449543623477</v>
      </c>
    </row>
    <row r="2279" ht="31" spans="1:7">
      <c r="A2279" s="18">
        <v>15.56</v>
      </c>
      <c r="B2279" s="15" t="s">
        <v>3152</v>
      </c>
      <c r="C2279" s="13" t="s">
        <v>11</v>
      </c>
      <c r="D2279" s="17">
        <v>54.65</v>
      </c>
      <c r="F2279" s="6">
        <v>22.4</v>
      </c>
      <c r="G2279" s="7">
        <f t="shared" si="298"/>
        <v>1.43973214285714</v>
      </c>
    </row>
    <row r="2280" ht="46.5" spans="1:7">
      <c r="A2280" s="18">
        <v>15.57</v>
      </c>
      <c r="B2280" s="15" t="s">
        <v>3153</v>
      </c>
      <c r="C2280" s="13" t="s">
        <v>11</v>
      </c>
      <c r="D2280" s="17">
        <v>56.35</v>
      </c>
      <c r="F2280" s="6">
        <v>24.3</v>
      </c>
      <c r="G2280" s="7">
        <f t="shared" si="298"/>
        <v>1.31893004115226</v>
      </c>
    </row>
    <row r="2281" ht="46.5" spans="1:7">
      <c r="A2281" s="18">
        <v>15.58</v>
      </c>
      <c r="B2281" s="15" t="s">
        <v>3154</v>
      </c>
      <c r="C2281" s="13" t="s">
        <v>14</v>
      </c>
      <c r="D2281" s="17">
        <v>2818.9</v>
      </c>
      <c r="F2281" s="6">
        <v>1337.4</v>
      </c>
      <c r="G2281" s="7">
        <f t="shared" si="298"/>
        <v>1.10774637356064</v>
      </c>
    </row>
    <row r="2282" ht="31" spans="1:7">
      <c r="A2282" s="18">
        <v>15.59</v>
      </c>
      <c r="B2282" s="15" t="s">
        <v>3155</v>
      </c>
      <c r="C2282" s="13" t="s">
        <v>14</v>
      </c>
      <c r="D2282" s="17">
        <v>420.8</v>
      </c>
      <c r="F2282" s="6">
        <v>204.5</v>
      </c>
      <c r="G2282" s="7">
        <f t="shared" si="298"/>
        <v>1.05770171149144</v>
      </c>
    </row>
    <row r="2283" ht="62" spans="1:7">
      <c r="A2283" s="18">
        <v>15.6</v>
      </c>
      <c r="B2283" s="15" t="s">
        <v>3156</v>
      </c>
      <c r="C2283" s="13" t="s">
        <v>14</v>
      </c>
      <c r="D2283" s="17">
        <v>263.95</v>
      </c>
      <c r="F2283" s="6">
        <v>120.55</v>
      </c>
      <c r="G2283" s="7">
        <f t="shared" si="298"/>
        <v>1.18954790543343</v>
      </c>
    </row>
    <row r="2288" spans="1:7">
      <c r="A2288" s="5" t="s">
        <v>3157</v>
      </c>
      <c r="C2288" s="5"/>
      <c r="D2288" s="5"/>
    </row>
    <row r="2289" spans="1:7">
      <c r="A2289" s="14" t="s">
        <v>166</v>
      </c>
      <c r="B2289" s="15" t="s">
        <v>2</v>
      </c>
      <c r="C2289" s="13" t="s">
        <v>167</v>
      </c>
      <c r="D2289" s="16" t="s">
        <v>4</v>
      </c>
    </row>
    <row r="2290" spans="1:7">
      <c r="A2290" s="14"/>
      <c r="B2290" s="15" t="s">
        <v>3158</v>
      </c>
      <c r="C2290" s="13"/>
      <c r="D2290" s="16"/>
    </row>
    <row r="2291" ht="62" spans="1:7">
      <c r="A2291" s="14">
        <v>16.1</v>
      </c>
      <c r="B2291" s="15" t="s">
        <v>3159</v>
      </c>
      <c r="C2291" s="13" t="s">
        <v>11</v>
      </c>
      <c r="D2291" s="17">
        <v>218.9</v>
      </c>
      <c r="F2291" s="6">
        <v>90.1</v>
      </c>
      <c r="G2291" s="7">
        <f t="shared" ref="G2291:G2304" si="299">(D2291-F2291)/F2291</f>
        <v>1.42952275249723</v>
      </c>
    </row>
    <row r="2292" ht="31" spans="1:7">
      <c r="A2292" s="14">
        <v>16.2</v>
      </c>
      <c r="B2292" s="15" t="s">
        <v>3160</v>
      </c>
      <c r="C2292" s="13" t="s">
        <v>14</v>
      </c>
      <c r="D2292" s="17">
        <v>24.85</v>
      </c>
      <c r="F2292" s="6">
        <v>10.7</v>
      </c>
      <c r="G2292" s="7">
        <f t="shared" si="299"/>
        <v>1.32242990654206</v>
      </c>
    </row>
    <row r="2293" spans="1:7">
      <c r="A2293" s="14">
        <v>16.3</v>
      </c>
      <c r="B2293" s="15" t="s">
        <v>3161</v>
      </c>
      <c r="C2293" s="13"/>
      <c r="D2293" s="16"/>
    </row>
    <row r="2294" spans="1:7">
      <c r="A2294" s="14" t="s">
        <v>3162</v>
      </c>
      <c r="B2294" s="12" t="s">
        <v>3163</v>
      </c>
      <c r="C2294" s="13" t="s">
        <v>14</v>
      </c>
      <c r="D2294" s="17">
        <v>2098.4</v>
      </c>
      <c r="F2294" s="6">
        <v>1336.05</v>
      </c>
      <c r="G2294" s="7">
        <f t="shared" si="299"/>
        <v>0.570599902698252</v>
      </c>
    </row>
    <row r="2295" spans="1:7">
      <c r="A2295" s="14" t="s">
        <v>3164</v>
      </c>
      <c r="B2295" s="12" t="s">
        <v>3165</v>
      </c>
      <c r="C2295" s="13" t="s">
        <v>14</v>
      </c>
      <c r="D2295" s="17">
        <v>1636.05</v>
      </c>
      <c r="F2295" s="6">
        <v>1449.3</v>
      </c>
      <c r="G2295" s="7">
        <f t="shared" si="299"/>
        <v>0.128855309459739</v>
      </c>
    </row>
    <row r="2296" spans="1:7">
      <c r="A2296" s="14" t="s">
        <v>3166</v>
      </c>
      <c r="B2296" s="12" t="s">
        <v>3167</v>
      </c>
      <c r="C2296" s="13" t="s">
        <v>14</v>
      </c>
      <c r="D2296" s="17">
        <v>1842.3</v>
      </c>
      <c r="F2296" s="6">
        <v>1542.25</v>
      </c>
      <c r="G2296" s="7">
        <f t="shared" si="299"/>
        <v>0.194553412222402</v>
      </c>
    </row>
    <row r="2297" spans="1:7">
      <c r="A2297" s="14" t="s">
        <v>3168</v>
      </c>
      <c r="B2297" s="12" t="s">
        <v>3169</v>
      </c>
      <c r="C2297" s="13" t="s">
        <v>14</v>
      </c>
      <c r="D2297" s="17">
        <v>798.1</v>
      </c>
      <c r="E2297" s="36"/>
      <c r="F2297" s="6">
        <v>653.7</v>
      </c>
      <c r="G2297" s="7">
        <f t="shared" si="299"/>
        <v>0.220896435673856</v>
      </c>
    </row>
    <row r="2298" spans="1:7">
      <c r="A2298" s="14" t="s">
        <v>3170</v>
      </c>
      <c r="B2298" s="12" t="s">
        <v>3171</v>
      </c>
      <c r="C2298" s="13" t="s">
        <v>14</v>
      </c>
      <c r="D2298" s="17">
        <v>872.05</v>
      </c>
      <c r="E2298" s="36"/>
      <c r="F2298" s="6">
        <v>676.9</v>
      </c>
      <c r="G2298" s="7">
        <f t="shared" si="299"/>
        <v>0.288299601122766</v>
      </c>
    </row>
    <row r="2299" spans="1:7">
      <c r="A2299" s="14" t="s">
        <v>3172</v>
      </c>
      <c r="B2299" s="12" t="s">
        <v>3173</v>
      </c>
      <c r="C2299" s="13" t="s">
        <v>14</v>
      </c>
      <c r="D2299" s="17">
        <v>2034.35</v>
      </c>
      <c r="F2299" s="6">
        <v>1505.6</v>
      </c>
      <c r="G2299" s="7">
        <f t="shared" si="299"/>
        <v>0.351188894792774</v>
      </c>
    </row>
    <row r="2300" spans="1:7">
      <c r="A2300" s="14" t="s">
        <v>3174</v>
      </c>
      <c r="B2300" s="12" t="s">
        <v>3175</v>
      </c>
      <c r="C2300" s="13" t="s">
        <v>14</v>
      </c>
      <c r="D2300" s="17">
        <v>2247.75</v>
      </c>
      <c r="F2300" s="6">
        <v>1462.05</v>
      </c>
      <c r="G2300" s="7">
        <f t="shared" si="299"/>
        <v>0.537396121883657</v>
      </c>
    </row>
    <row r="2301" spans="1:7">
      <c r="A2301" s="14" t="s">
        <v>3176</v>
      </c>
      <c r="B2301" s="12" t="s">
        <v>3177</v>
      </c>
      <c r="C2301" s="13" t="s">
        <v>14</v>
      </c>
      <c r="D2301" s="17">
        <v>1564.9</v>
      </c>
      <c r="F2301" s="6">
        <v>1514.35</v>
      </c>
      <c r="G2301" s="7">
        <f t="shared" si="299"/>
        <v>0.0333806583682769</v>
      </c>
    </row>
    <row r="2302" spans="1:7">
      <c r="A2302" s="14" t="s">
        <v>3178</v>
      </c>
      <c r="B2302" s="12" t="s">
        <v>3179</v>
      </c>
      <c r="C2302" s="13" t="s">
        <v>14</v>
      </c>
      <c r="D2302" s="17">
        <v>775.5</v>
      </c>
      <c r="F2302" s="6">
        <v>332.55</v>
      </c>
      <c r="G2302" s="7">
        <f t="shared" si="299"/>
        <v>1.3319801533604</v>
      </c>
    </row>
    <row r="2303" spans="1:7">
      <c r="A2303" s="14" t="s">
        <v>3180</v>
      </c>
      <c r="B2303" s="12" t="s">
        <v>3181</v>
      </c>
      <c r="C2303" s="13" t="s">
        <v>14</v>
      </c>
      <c r="D2303" s="17">
        <v>768.25</v>
      </c>
      <c r="F2303" s="6">
        <v>643.2</v>
      </c>
      <c r="G2303" s="7">
        <f t="shared" si="299"/>
        <v>0.194418532338308</v>
      </c>
    </row>
    <row r="2304" ht="77.5" spans="1:7">
      <c r="A2304" s="14">
        <v>16.4</v>
      </c>
      <c r="B2304" s="15" t="s">
        <v>3182</v>
      </c>
      <c r="C2304" s="13" t="s">
        <v>14</v>
      </c>
      <c r="D2304" s="17">
        <v>1046.95</v>
      </c>
      <c r="F2304" s="6">
        <v>449.1</v>
      </c>
      <c r="G2304" s="7">
        <f t="shared" si="299"/>
        <v>1.33121799153863</v>
      </c>
    </row>
    <row r="2305" ht="62" spans="1:7">
      <c r="A2305" s="14">
        <v>16.5</v>
      </c>
      <c r="B2305" s="15" t="s">
        <v>3183</v>
      </c>
      <c r="C2305" s="13"/>
      <c r="D2305" s="16"/>
      <c r="E2305" s="36"/>
    </row>
    <row r="2306" spans="1:7">
      <c r="A2306" s="14" t="s">
        <v>3184</v>
      </c>
      <c r="B2306" s="12" t="s">
        <v>3169</v>
      </c>
      <c r="C2306" s="13" t="s">
        <v>14</v>
      </c>
      <c r="D2306" s="17">
        <v>879.7</v>
      </c>
      <c r="E2306" s="36"/>
      <c r="F2306" s="6">
        <v>363.25</v>
      </c>
      <c r="G2306" s="7">
        <f t="shared" ref="G2306:G2309" si="300">(D2306-F2306)/F2306</f>
        <v>1.42174810736407</v>
      </c>
    </row>
    <row r="2307" spans="1:7">
      <c r="A2307" s="14" t="s">
        <v>3185</v>
      </c>
      <c r="B2307" s="12" t="s">
        <v>3171</v>
      </c>
      <c r="C2307" s="13" t="s">
        <v>14</v>
      </c>
      <c r="D2307" s="17">
        <v>879.7</v>
      </c>
      <c r="E2307" s="36"/>
      <c r="F2307" s="6">
        <v>363.25</v>
      </c>
      <c r="G2307" s="7">
        <f t="shared" si="300"/>
        <v>1.42174810736407</v>
      </c>
    </row>
    <row r="2308" ht="31" spans="1:7">
      <c r="A2308" s="14">
        <v>16.6</v>
      </c>
      <c r="B2308" s="15" t="s">
        <v>3186</v>
      </c>
      <c r="C2308" s="13"/>
      <c r="D2308" s="16"/>
      <c r="E2308" s="36"/>
    </row>
    <row r="2309" spans="1:7">
      <c r="A2309" s="14" t="s">
        <v>3187</v>
      </c>
      <c r="B2309" s="12" t="s">
        <v>3188</v>
      </c>
      <c r="C2309" s="13" t="s">
        <v>11</v>
      </c>
      <c r="D2309" s="17">
        <v>24.45</v>
      </c>
      <c r="E2309" s="36"/>
      <c r="F2309" s="6">
        <v>15.55</v>
      </c>
      <c r="G2309" s="7">
        <f t="shared" si="300"/>
        <v>0.572347266881029</v>
      </c>
    </row>
    <row r="2310" ht="31" spans="1:7">
      <c r="A2310" s="14">
        <v>16.7</v>
      </c>
      <c r="B2310" s="15" t="s">
        <v>3189</v>
      </c>
      <c r="C2310" s="13"/>
      <c r="D2310" s="17"/>
    </row>
    <row r="2311" spans="1:7">
      <c r="A2311" s="14" t="s">
        <v>3190</v>
      </c>
      <c r="B2311" s="12" t="s">
        <v>3191</v>
      </c>
      <c r="C2311" s="13" t="s">
        <v>39</v>
      </c>
      <c r="D2311" s="17">
        <v>194.3</v>
      </c>
      <c r="F2311" s="6">
        <v>127.6</v>
      </c>
      <c r="G2311" s="7">
        <f t="shared" ref="G2311:G2316" si="301">(D2311-F2311)/F2311</f>
        <v>0.522727272727273</v>
      </c>
    </row>
    <row r="2312" ht="31" spans="1:7">
      <c r="A2312" s="14">
        <v>16.8</v>
      </c>
      <c r="B2312" s="15" t="s">
        <v>3192</v>
      </c>
      <c r="C2312" s="13"/>
      <c r="D2312" s="16"/>
    </row>
    <row r="2313" spans="1:7">
      <c r="A2313" s="14" t="s">
        <v>3193</v>
      </c>
      <c r="B2313" s="12" t="s">
        <v>3191</v>
      </c>
      <c r="C2313" s="13" t="s">
        <v>39</v>
      </c>
      <c r="D2313" s="17">
        <v>53.45</v>
      </c>
      <c r="F2313" s="6">
        <v>36.2</v>
      </c>
      <c r="G2313" s="7">
        <f t="shared" si="301"/>
        <v>0.476519337016575</v>
      </c>
    </row>
    <row r="2314" ht="46.5" spans="1:7">
      <c r="A2314" s="14">
        <v>16.9</v>
      </c>
      <c r="B2314" s="15" t="s">
        <v>3194</v>
      </c>
      <c r="C2314" s="13" t="s">
        <v>11</v>
      </c>
      <c r="D2314" s="17">
        <v>33.3</v>
      </c>
      <c r="F2314" s="6">
        <v>14.45</v>
      </c>
      <c r="G2314" s="7">
        <f t="shared" si="301"/>
        <v>1.30449826989619</v>
      </c>
    </row>
    <row r="2315" ht="46.5" spans="1:7">
      <c r="A2315" s="18">
        <v>16.1</v>
      </c>
      <c r="B2315" s="15" t="s">
        <v>3195</v>
      </c>
      <c r="C2315" s="13" t="s">
        <v>11</v>
      </c>
      <c r="D2315" s="17">
        <v>191.25</v>
      </c>
      <c r="F2315" s="6">
        <v>142.5</v>
      </c>
      <c r="G2315" s="7">
        <f t="shared" si="301"/>
        <v>0.342105263157895</v>
      </c>
    </row>
    <row r="2316" ht="31" spans="1:7">
      <c r="A2316" s="18">
        <v>16.11</v>
      </c>
      <c r="B2316" s="15" t="s">
        <v>3196</v>
      </c>
      <c r="C2316" s="13" t="s">
        <v>11</v>
      </c>
      <c r="D2316" s="17">
        <v>883.15</v>
      </c>
      <c r="F2316" s="6">
        <v>499.65</v>
      </c>
      <c r="G2316" s="7">
        <f t="shared" si="301"/>
        <v>0.767537276093265</v>
      </c>
    </row>
    <row r="2317" ht="31" spans="1:7">
      <c r="A2317" s="18">
        <v>16.12</v>
      </c>
      <c r="B2317" s="15" t="s">
        <v>3197</v>
      </c>
      <c r="C2317" s="13"/>
      <c r="D2317" s="16"/>
    </row>
    <row r="2318" spans="1:7">
      <c r="A2318" s="14" t="s">
        <v>3198</v>
      </c>
      <c r="B2318" s="12" t="s">
        <v>3191</v>
      </c>
      <c r="C2318" s="13" t="s">
        <v>11</v>
      </c>
      <c r="D2318" s="17">
        <v>644.05</v>
      </c>
      <c r="F2318" s="6">
        <v>447.45</v>
      </c>
      <c r="G2318" s="7">
        <f t="shared" ref="G2318:G2321" si="302">(D2318-F2318)/F2318</f>
        <v>0.439378701530897</v>
      </c>
    </row>
    <row r="2319" ht="31" spans="1:7">
      <c r="A2319" s="18">
        <v>16.13</v>
      </c>
      <c r="B2319" s="15" t="s">
        <v>3199</v>
      </c>
      <c r="C2319" s="13"/>
      <c r="D2319" s="16"/>
    </row>
    <row r="2320" spans="1:7">
      <c r="A2320" s="14" t="s">
        <v>3200</v>
      </c>
      <c r="B2320" s="12" t="s">
        <v>3201</v>
      </c>
      <c r="C2320" s="13" t="s">
        <v>14</v>
      </c>
      <c r="D2320" s="17">
        <v>5032.25</v>
      </c>
      <c r="F2320" s="6">
        <v>2384.05</v>
      </c>
      <c r="G2320" s="7">
        <f t="shared" si="302"/>
        <v>1.11079885069525</v>
      </c>
    </row>
    <row r="2321" spans="1:7">
      <c r="A2321" s="14" t="s">
        <v>3202</v>
      </c>
      <c r="B2321" s="12" t="s">
        <v>3203</v>
      </c>
      <c r="C2321" s="13" t="s">
        <v>14</v>
      </c>
      <c r="D2321" s="17">
        <v>3078.05</v>
      </c>
      <c r="F2321" s="6">
        <v>1407.15</v>
      </c>
      <c r="G2321" s="7">
        <f t="shared" si="302"/>
        <v>1.18743559677362</v>
      </c>
    </row>
    <row r="2322" ht="31" spans="1:7">
      <c r="A2322" s="18">
        <v>16.14</v>
      </c>
      <c r="B2322" s="15" t="s">
        <v>3204</v>
      </c>
      <c r="C2322" s="13" t="s">
        <v>11</v>
      </c>
      <c r="D2322" s="17">
        <v>284.2</v>
      </c>
    </row>
    <row r="2323" spans="1:7">
      <c r="A2323" s="14"/>
      <c r="B2323" s="15" t="s">
        <v>3205</v>
      </c>
      <c r="C2323" s="13"/>
      <c r="D2323" s="16"/>
    </row>
    <row r="2324" spans="1:7">
      <c r="A2324" s="18">
        <v>16.15</v>
      </c>
      <c r="B2324" s="15" t="s">
        <v>3206</v>
      </c>
      <c r="C2324" s="13"/>
      <c r="D2324" s="16"/>
    </row>
    <row r="2325" ht="62" spans="1:7">
      <c r="A2325" s="14" t="s">
        <v>3207</v>
      </c>
      <c r="B2325" s="12" t="s">
        <v>3208</v>
      </c>
      <c r="C2325" s="13" t="s">
        <v>14</v>
      </c>
      <c r="D2325" s="17">
        <v>32891.2</v>
      </c>
      <c r="F2325" s="6">
        <v>19774.55</v>
      </c>
      <c r="G2325" s="7">
        <f t="shared" ref="G2325:G2327" si="303">(D2325-F2325)/F2325</f>
        <v>0.663309658121171</v>
      </c>
    </row>
    <row r="2326" ht="46.5" spans="1:7">
      <c r="A2326" s="14" t="s">
        <v>3209</v>
      </c>
      <c r="B2326" s="12" t="s">
        <v>3210</v>
      </c>
      <c r="C2326" s="13" t="s">
        <v>478</v>
      </c>
      <c r="D2326" s="17">
        <v>78.95</v>
      </c>
      <c r="F2326" s="6">
        <v>60.05</v>
      </c>
      <c r="G2326" s="7">
        <f t="shared" si="303"/>
        <v>0.31473771856786</v>
      </c>
    </row>
    <row r="2327" spans="1:7">
      <c r="A2327" s="18">
        <v>16.16</v>
      </c>
      <c r="B2327" s="15" t="s">
        <v>3211</v>
      </c>
      <c r="C2327" s="13" t="s">
        <v>430</v>
      </c>
      <c r="D2327" s="17">
        <v>274.3</v>
      </c>
      <c r="F2327" s="6">
        <v>150.45</v>
      </c>
      <c r="G2327" s="7">
        <f t="shared" si="303"/>
        <v>0.823197075440346</v>
      </c>
    </row>
    <row r="2328" ht="108.5" spans="1:7">
      <c r="A2328" s="18">
        <v>16.17</v>
      </c>
      <c r="B2328" s="15" t="s">
        <v>3212</v>
      </c>
      <c r="C2328" s="13"/>
      <c r="D2328" s="16"/>
    </row>
    <row r="2329" spans="1:7">
      <c r="A2329" s="14" t="s">
        <v>3213</v>
      </c>
      <c r="B2329" s="12" t="s">
        <v>3214</v>
      </c>
      <c r="C2329" s="13" t="s">
        <v>39</v>
      </c>
      <c r="D2329" s="17">
        <v>14</v>
      </c>
      <c r="F2329" s="6">
        <v>8.25</v>
      </c>
      <c r="G2329" s="7">
        <f t="shared" ref="G2329:G2333" si="304">(D2329-F2329)/F2329</f>
        <v>0.696969696969697</v>
      </c>
    </row>
    <row r="2330" ht="108.5" spans="1:7">
      <c r="A2330" s="18">
        <v>16.18</v>
      </c>
      <c r="B2330" s="15" t="s">
        <v>3215</v>
      </c>
      <c r="C2330" s="13"/>
      <c r="D2330" s="16"/>
    </row>
    <row r="2331" spans="1:7">
      <c r="A2331" s="14" t="s">
        <v>3216</v>
      </c>
      <c r="B2331" s="12" t="s">
        <v>3214</v>
      </c>
      <c r="C2331" s="13" t="s">
        <v>39</v>
      </c>
      <c r="D2331" s="17">
        <v>22.1</v>
      </c>
      <c r="F2331" s="6">
        <v>12.65</v>
      </c>
      <c r="G2331" s="7">
        <f t="shared" si="304"/>
        <v>0.74703557312253</v>
      </c>
    </row>
    <row r="2332" ht="46.5" spans="1:7">
      <c r="A2332" s="18">
        <v>16.19</v>
      </c>
      <c r="B2332" s="15" t="s">
        <v>3217</v>
      </c>
      <c r="C2332" s="13" t="s">
        <v>478</v>
      </c>
      <c r="D2332" s="17">
        <v>125.75</v>
      </c>
      <c r="F2332" s="6">
        <v>62.05</v>
      </c>
      <c r="G2332" s="7">
        <f t="shared" si="304"/>
        <v>1.02659145850121</v>
      </c>
    </row>
    <row r="2333" ht="124" spans="1:7">
      <c r="A2333" s="18">
        <v>16.2</v>
      </c>
      <c r="B2333" s="15" t="s">
        <v>3218</v>
      </c>
      <c r="C2333" s="13" t="s">
        <v>11</v>
      </c>
      <c r="D2333" s="17">
        <v>66.15</v>
      </c>
      <c r="F2333" s="6">
        <v>30.65</v>
      </c>
      <c r="G2333" s="7">
        <f t="shared" si="304"/>
        <v>1.15823817292007</v>
      </c>
    </row>
    <row r="2334" spans="1:7">
      <c r="A2334" s="14"/>
      <c r="B2334" s="15" t="s">
        <v>3219</v>
      </c>
      <c r="C2334" s="13"/>
      <c r="D2334" s="16"/>
    </row>
    <row r="2335" ht="46.5" spans="1:7">
      <c r="A2335" s="18">
        <v>16.21</v>
      </c>
      <c r="B2335" s="15" t="s">
        <v>3220</v>
      </c>
      <c r="C2335" s="13" t="s">
        <v>3221</v>
      </c>
      <c r="D2335" s="17">
        <v>10.55</v>
      </c>
      <c r="F2335" s="6">
        <v>4.75</v>
      </c>
      <c r="G2335" s="7">
        <f t="shared" ref="G2335:G2337" si="305">(D2335-F2335)/F2335</f>
        <v>1.22105263157895</v>
      </c>
    </row>
    <row r="2336" ht="46.5" spans="1:7">
      <c r="A2336" s="18">
        <v>16.22</v>
      </c>
      <c r="B2336" s="15" t="s">
        <v>3222</v>
      </c>
      <c r="C2336" s="13" t="s">
        <v>126</v>
      </c>
      <c r="D2336" s="17">
        <v>252.9</v>
      </c>
      <c r="F2336" s="6">
        <v>140.95</v>
      </c>
      <c r="G2336" s="7">
        <f t="shared" si="305"/>
        <v>0.794253281305428</v>
      </c>
    </row>
    <row r="2337" ht="77.5" spans="1:7">
      <c r="A2337" s="18">
        <v>16.23</v>
      </c>
      <c r="B2337" s="15" t="s">
        <v>3223</v>
      </c>
      <c r="C2337" s="13" t="s">
        <v>126</v>
      </c>
      <c r="D2337" s="17">
        <v>850.31</v>
      </c>
      <c r="F2337" s="6">
        <v>459.1</v>
      </c>
      <c r="G2337" s="7">
        <f t="shared" si="305"/>
        <v>0.85212372032237</v>
      </c>
    </row>
    <row r="2338" ht="77.5" spans="1:7">
      <c r="A2338" s="18">
        <v>16.24</v>
      </c>
      <c r="B2338" s="15" t="s">
        <v>3224</v>
      </c>
      <c r="C2338" s="13"/>
      <c r="D2338" s="16"/>
    </row>
    <row r="2339" spans="1:7">
      <c r="A2339" s="14" t="s">
        <v>3225</v>
      </c>
      <c r="B2339" s="12" t="s">
        <v>3226</v>
      </c>
      <c r="C2339" s="13" t="s">
        <v>126</v>
      </c>
      <c r="D2339" s="17">
        <v>2876.7</v>
      </c>
      <c r="F2339" s="6">
        <v>1740.85</v>
      </c>
      <c r="G2339" s="7">
        <f t="shared" ref="G2339:G2341" si="306">(D2339-F2339)/F2339</f>
        <v>0.652468621650343</v>
      </c>
    </row>
    <row r="2340" spans="1:7">
      <c r="A2340" s="14" t="s">
        <v>3227</v>
      </c>
      <c r="B2340" s="12" t="s">
        <v>3228</v>
      </c>
      <c r="C2340" s="13" t="s">
        <v>126</v>
      </c>
      <c r="D2340" s="17">
        <v>5170.25</v>
      </c>
      <c r="F2340" s="6">
        <v>3196.4</v>
      </c>
      <c r="G2340" s="7">
        <f t="shared" si="306"/>
        <v>0.617522838192967</v>
      </c>
    </row>
    <row r="2341" spans="1:7">
      <c r="A2341" s="14" t="s">
        <v>3229</v>
      </c>
      <c r="B2341" s="12" t="s">
        <v>3230</v>
      </c>
      <c r="C2341" s="13" t="s">
        <v>126</v>
      </c>
      <c r="D2341" s="17">
        <v>1924.5</v>
      </c>
      <c r="F2341" s="6">
        <v>1172.55</v>
      </c>
      <c r="G2341" s="7">
        <f t="shared" si="306"/>
        <v>0.641294614302162</v>
      </c>
    </row>
    <row r="2342" spans="1:7">
      <c r="A2342" s="14"/>
      <c r="B2342" s="15" t="s">
        <v>3231</v>
      </c>
      <c r="C2342" s="13"/>
      <c r="D2342" s="16"/>
    </row>
    <row r="2343" ht="62" spans="1:7">
      <c r="A2343" s="18">
        <v>16.25</v>
      </c>
      <c r="B2343" s="15" t="s">
        <v>3232</v>
      </c>
      <c r="C2343" s="13" t="s">
        <v>11</v>
      </c>
      <c r="D2343" s="17">
        <v>225.35</v>
      </c>
      <c r="F2343" s="6">
        <v>139.6</v>
      </c>
      <c r="G2343" s="7">
        <f t="shared" ref="G2343:G2345" si="307">(D2343-F2343)/F2343</f>
        <v>0.614255014326648</v>
      </c>
    </row>
    <row r="2344" ht="93" spans="1:7">
      <c r="A2344" s="18">
        <v>16.26</v>
      </c>
      <c r="B2344" s="15" t="s">
        <v>3233</v>
      </c>
      <c r="C2344" s="13" t="s">
        <v>11</v>
      </c>
      <c r="D2344" s="17">
        <v>311.85</v>
      </c>
      <c r="F2344" s="6">
        <v>191.7</v>
      </c>
      <c r="G2344" s="7">
        <f t="shared" si="307"/>
        <v>0.626760563380282</v>
      </c>
    </row>
    <row r="2345" ht="62" spans="1:7">
      <c r="A2345" s="18">
        <v>16.27</v>
      </c>
      <c r="B2345" s="15" t="s">
        <v>3234</v>
      </c>
      <c r="C2345" s="13" t="s">
        <v>11</v>
      </c>
      <c r="D2345" s="17">
        <v>175.1</v>
      </c>
      <c r="F2345" s="6">
        <v>112.75</v>
      </c>
      <c r="G2345" s="7">
        <f t="shared" si="307"/>
        <v>0.552993348115299</v>
      </c>
    </row>
    <row r="2346" ht="62" spans="1:7">
      <c r="A2346" s="18">
        <v>16.28</v>
      </c>
      <c r="B2346" s="15" t="s">
        <v>3235</v>
      </c>
      <c r="C2346" s="13"/>
      <c r="D2346" s="16"/>
    </row>
    <row r="2347" ht="31" spans="1:7">
      <c r="A2347" s="14" t="s">
        <v>3236</v>
      </c>
      <c r="B2347" s="12" t="s">
        <v>3237</v>
      </c>
      <c r="C2347" s="13" t="s">
        <v>11</v>
      </c>
      <c r="D2347" s="17">
        <v>198.45</v>
      </c>
      <c r="F2347" s="6">
        <v>114.1</v>
      </c>
      <c r="G2347" s="7">
        <f t="shared" ref="G2347:G2353" si="308">(D2347-F2347)/F2347</f>
        <v>0.739263803680982</v>
      </c>
    </row>
    <row r="2348" ht="62" spans="1:7">
      <c r="A2348" s="18">
        <v>16.29</v>
      </c>
      <c r="B2348" s="15" t="s">
        <v>3238</v>
      </c>
      <c r="C2348" s="13"/>
      <c r="D2348" s="16"/>
    </row>
    <row r="2349" ht="31" spans="1:7">
      <c r="A2349" s="14" t="s">
        <v>3239</v>
      </c>
      <c r="B2349" s="12" t="s">
        <v>3237</v>
      </c>
      <c r="C2349" s="13" t="s">
        <v>11</v>
      </c>
      <c r="D2349" s="17">
        <v>125.3</v>
      </c>
      <c r="F2349" s="6">
        <v>72.95</v>
      </c>
      <c r="G2349" s="7">
        <f t="shared" si="308"/>
        <v>0.717614804660726</v>
      </c>
    </row>
    <row r="2350" spans="1:7">
      <c r="A2350" s="14"/>
      <c r="B2350" s="15" t="s">
        <v>3240</v>
      </c>
      <c r="C2350" s="13"/>
      <c r="D2350" s="16"/>
    </row>
    <row r="2351" ht="62" spans="1:7">
      <c r="A2351" s="18">
        <v>16.3</v>
      </c>
      <c r="B2351" s="15" t="s">
        <v>3241</v>
      </c>
      <c r="C2351" s="13"/>
      <c r="D2351" s="16"/>
    </row>
    <row r="2352" spans="1:7">
      <c r="A2352" s="14" t="s">
        <v>3242</v>
      </c>
      <c r="B2352" s="12" t="s">
        <v>3243</v>
      </c>
      <c r="C2352" s="13" t="s">
        <v>11</v>
      </c>
      <c r="D2352" s="17">
        <v>60.5</v>
      </c>
      <c r="F2352" s="6">
        <v>36.4</v>
      </c>
      <c r="G2352" s="7">
        <f t="shared" si="308"/>
        <v>0.662087912087912</v>
      </c>
    </row>
    <row r="2353" spans="1:7">
      <c r="A2353" s="14" t="s">
        <v>3244</v>
      </c>
      <c r="B2353" s="12" t="s">
        <v>3245</v>
      </c>
      <c r="C2353" s="13" t="s">
        <v>11</v>
      </c>
      <c r="D2353" s="17">
        <v>48.2</v>
      </c>
      <c r="F2353" s="6">
        <v>27.5</v>
      </c>
      <c r="G2353" s="7">
        <f t="shared" si="308"/>
        <v>0.752727272727273</v>
      </c>
    </row>
    <row r="2354" ht="46.5" spans="1:7">
      <c r="A2354" s="18">
        <v>16.31</v>
      </c>
      <c r="B2354" s="15" t="s">
        <v>3246</v>
      </c>
      <c r="C2354" s="13"/>
      <c r="D2354" s="16"/>
    </row>
    <row r="2355" spans="1:7">
      <c r="A2355" s="14" t="s">
        <v>3247</v>
      </c>
      <c r="B2355" s="12" t="s">
        <v>3248</v>
      </c>
      <c r="C2355" s="13"/>
      <c r="D2355" s="16"/>
    </row>
    <row r="2356" spans="1:7">
      <c r="A2356" s="14" t="s">
        <v>3249</v>
      </c>
      <c r="B2356" s="12" t="s">
        <v>3250</v>
      </c>
      <c r="C2356" s="13" t="s">
        <v>11</v>
      </c>
      <c r="D2356" s="17">
        <v>13.45</v>
      </c>
      <c r="F2356" s="6">
        <v>13.1</v>
      </c>
      <c r="G2356" s="7">
        <f t="shared" ref="G2356:G2360" si="309">(D2356-F2356)/F2356</f>
        <v>0.0267175572519084</v>
      </c>
    </row>
    <row r="2357" spans="1:7">
      <c r="A2357" s="14" t="s">
        <v>3251</v>
      </c>
      <c r="B2357" s="12" t="s">
        <v>3252</v>
      </c>
      <c r="C2357" s="13" t="s">
        <v>11</v>
      </c>
      <c r="D2357" s="17">
        <v>9.2</v>
      </c>
      <c r="F2357" s="6">
        <v>8.65</v>
      </c>
      <c r="G2357" s="7">
        <f t="shared" si="309"/>
        <v>0.0635838150289016</v>
      </c>
    </row>
    <row r="2358" spans="1:7">
      <c r="A2358" s="14" t="s">
        <v>3253</v>
      </c>
      <c r="B2358" s="12" t="s">
        <v>3254</v>
      </c>
      <c r="C2358" s="13"/>
      <c r="D2358" s="16"/>
    </row>
    <row r="2359" spans="1:7">
      <c r="A2359" s="14" t="s">
        <v>3255</v>
      </c>
      <c r="B2359" s="12" t="s">
        <v>3250</v>
      </c>
      <c r="C2359" s="13" t="s">
        <v>11</v>
      </c>
      <c r="D2359" s="17">
        <v>21.2</v>
      </c>
      <c r="F2359" s="6">
        <v>13.2</v>
      </c>
      <c r="G2359" s="7">
        <f t="shared" si="309"/>
        <v>0.606060606060606</v>
      </c>
    </row>
    <row r="2360" spans="1:7">
      <c r="A2360" s="14" t="s">
        <v>3256</v>
      </c>
      <c r="B2360" s="12" t="s">
        <v>3252</v>
      </c>
      <c r="C2360" s="13" t="s">
        <v>11</v>
      </c>
      <c r="D2360" s="17">
        <v>14.05</v>
      </c>
      <c r="F2360" s="6">
        <v>8.75</v>
      </c>
      <c r="G2360" s="7">
        <f t="shared" si="309"/>
        <v>0.605714285714286</v>
      </c>
    </row>
    <row r="2361" ht="31" spans="1:7">
      <c r="A2361" s="14">
        <v>0</v>
      </c>
      <c r="B2361" s="12" t="s">
        <v>3257</v>
      </c>
      <c r="C2361" s="13"/>
      <c r="D2361" s="16"/>
    </row>
    <row r="2362" ht="77.5" spans="1:7">
      <c r="A2362" s="18">
        <v>16.32</v>
      </c>
      <c r="B2362" s="15" t="s">
        <v>3258</v>
      </c>
      <c r="C2362" s="13"/>
      <c r="D2362" s="16"/>
    </row>
    <row r="2363" ht="31" spans="1:7">
      <c r="A2363" s="14" t="s">
        <v>3259</v>
      </c>
      <c r="B2363" s="12" t="s">
        <v>3260</v>
      </c>
      <c r="C2363" s="13" t="s">
        <v>11</v>
      </c>
      <c r="D2363" s="17">
        <v>234.05</v>
      </c>
      <c r="F2363" s="6">
        <v>139.85</v>
      </c>
      <c r="G2363" s="7">
        <f t="shared" ref="G2363:G2365" si="310">(D2363-F2363)/F2363</f>
        <v>0.673578834465499</v>
      </c>
    </row>
    <row r="2364" spans="1:7">
      <c r="A2364" s="14" t="s">
        <v>3261</v>
      </c>
      <c r="B2364" s="12" t="s">
        <v>3262</v>
      </c>
      <c r="C2364" s="13" t="s">
        <v>11</v>
      </c>
      <c r="D2364" s="17">
        <v>245.15</v>
      </c>
      <c r="F2364" s="6">
        <v>138.45</v>
      </c>
      <c r="G2364" s="7">
        <f t="shared" si="310"/>
        <v>0.770675334055616</v>
      </c>
    </row>
    <row r="2365" spans="1:7">
      <c r="A2365" s="14" t="s">
        <v>3263</v>
      </c>
      <c r="B2365" s="12" t="s">
        <v>3264</v>
      </c>
      <c r="C2365" s="13" t="s">
        <v>11</v>
      </c>
      <c r="D2365" s="17">
        <v>233.15</v>
      </c>
      <c r="F2365" s="6">
        <v>146.45</v>
      </c>
      <c r="G2365" s="7">
        <f t="shared" si="310"/>
        <v>0.592010925230454</v>
      </c>
    </row>
    <row r="2366" ht="77.5" spans="1:7">
      <c r="A2366" s="18">
        <v>16.33</v>
      </c>
      <c r="B2366" s="15" t="s">
        <v>3265</v>
      </c>
      <c r="C2366" s="13"/>
      <c r="D2366" s="16"/>
    </row>
    <row r="2367" ht="31" spans="1:7">
      <c r="A2367" s="14" t="s">
        <v>3266</v>
      </c>
      <c r="B2367" s="12" t="s">
        <v>3260</v>
      </c>
      <c r="C2367" s="13" t="s">
        <v>11</v>
      </c>
      <c r="D2367" s="17">
        <v>281</v>
      </c>
      <c r="F2367" s="6">
        <v>169.6</v>
      </c>
      <c r="G2367" s="7">
        <f t="shared" ref="G2367:G2371" si="311">(D2367-F2367)/F2367</f>
        <v>0.65683962264151</v>
      </c>
    </row>
    <row r="2368" spans="1:7">
      <c r="A2368" s="14" t="s">
        <v>3267</v>
      </c>
      <c r="B2368" s="12" t="s">
        <v>3262</v>
      </c>
      <c r="C2368" s="13" t="s">
        <v>11</v>
      </c>
      <c r="D2368" s="17">
        <v>294.95</v>
      </c>
      <c r="F2368" s="6">
        <v>167.85</v>
      </c>
      <c r="G2368" s="7">
        <f t="shared" si="311"/>
        <v>0.757223711647304</v>
      </c>
    </row>
    <row r="2369" spans="1:7">
      <c r="A2369" s="14" t="s">
        <v>3268</v>
      </c>
      <c r="B2369" s="12" t="s">
        <v>3264</v>
      </c>
      <c r="C2369" s="13" t="s">
        <v>11</v>
      </c>
      <c r="D2369" s="17">
        <v>279.9</v>
      </c>
      <c r="F2369" s="6">
        <v>177.85</v>
      </c>
      <c r="G2369" s="7">
        <f t="shared" si="311"/>
        <v>0.573798144503795</v>
      </c>
    </row>
    <row r="2370" ht="62" spans="1:7">
      <c r="A2370" s="18">
        <v>16.34</v>
      </c>
      <c r="B2370" s="15" t="s">
        <v>3269</v>
      </c>
      <c r="C2370" s="13" t="s">
        <v>11</v>
      </c>
      <c r="D2370" s="17">
        <v>208.9</v>
      </c>
      <c r="F2370" s="6">
        <v>127.65</v>
      </c>
      <c r="G2370" s="7">
        <f t="shared" si="311"/>
        <v>0.63650607128868</v>
      </c>
    </row>
    <row r="2371" ht="62" spans="1:7">
      <c r="A2371" s="18">
        <v>16.35</v>
      </c>
      <c r="B2371" s="15" t="s">
        <v>3270</v>
      </c>
      <c r="C2371" s="13" t="s">
        <v>11</v>
      </c>
      <c r="D2371" s="17">
        <v>252.15</v>
      </c>
      <c r="F2371" s="6">
        <v>154.85</v>
      </c>
      <c r="G2371" s="7">
        <f t="shared" si="311"/>
        <v>0.628350016144656</v>
      </c>
    </row>
    <row r="2372" ht="108.5" spans="1:7">
      <c r="A2372" s="18">
        <v>16.36</v>
      </c>
      <c r="B2372" s="15" t="s">
        <v>3271</v>
      </c>
      <c r="C2372" s="13"/>
      <c r="D2372" s="16"/>
    </row>
    <row r="2373" ht="46.5" spans="1:7">
      <c r="A2373" s="14" t="s">
        <v>3272</v>
      </c>
      <c r="B2373" s="12" t="s">
        <v>3273</v>
      </c>
      <c r="C2373" s="13" t="s">
        <v>11</v>
      </c>
      <c r="D2373" s="17">
        <v>505.65</v>
      </c>
      <c r="F2373" s="6">
        <v>342.05</v>
      </c>
      <c r="G2373" s="7">
        <f t="shared" ref="G2373:G2377" si="312">(D2373-F2373)/F2373</f>
        <v>0.47829264727379</v>
      </c>
    </row>
    <row r="2374" ht="46.5" spans="1:7">
      <c r="A2374" s="14" t="s">
        <v>3274</v>
      </c>
      <c r="B2374" s="12" t="s">
        <v>3275</v>
      </c>
      <c r="C2374" s="13" t="s">
        <v>11</v>
      </c>
      <c r="D2374" s="17">
        <v>744.15</v>
      </c>
      <c r="F2374" s="6">
        <v>496.7</v>
      </c>
      <c r="G2374" s="7">
        <f t="shared" si="312"/>
        <v>0.498188041071069</v>
      </c>
    </row>
    <row r="2375" ht="108.5" spans="1:7">
      <c r="A2375" s="18">
        <v>16.37</v>
      </c>
      <c r="B2375" s="15" t="s">
        <v>3276</v>
      </c>
      <c r="C2375" s="13"/>
      <c r="D2375" s="16"/>
    </row>
    <row r="2376" spans="1:7">
      <c r="A2376" s="14" t="s">
        <v>3277</v>
      </c>
      <c r="B2376" s="12" t="s">
        <v>465</v>
      </c>
      <c r="C2376" s="13" t="s">
        <v>11</v>
      </c>
      <c r="D2376" s="17">
        <v>854.15</v>
      </c>
      <c r="F2376" s="6">
        <v>491.75</v>
      </c>
      <c r="G2376" s="7">
        <f t="shared" si="312"/>
        <v>0.736959837315709</v>
      </c>
    </row>
    <row r="2377" spans="1:7">
      <c r="A2377" s="14" t="s">
        <v>3278</v>
      </c>
      <c r="B2377" s="12" t="s">
        <v>463</v>
      </c>
      <c r="C2377" s="13" t="s">
        <v>11</v>
      </c>
      <c r="D2377" s="17">
        <v>1365.5</v>
      </c>
      <c r="F2377" s="6">
        <v>486.8</v>
      </c>
      <c r="G2377" s="7">
        <f t="shared" si="312"/>
        <v>1.80505341002465</v>
      </c>
    </row>
    <row r="2378" ht="93" spans="1:7">
      <c r="A2378" s="18">
        <v>16.38</v>
      </c>
      <c r="B2378" s="15" t="s">
        <v>3279</v>
      </c>
      <c r="C2378" s="13"/>
      <c r="D2378" s="16"/>
    </row>
    <row r="2379" ht="31" spans="1:7">
      <c r="A2379" s="14" t="s">
        <v>3280</v>
      </c>
      <c r="B2379" s="12" t="s">
        <v>3260</v>
      </c>
      <c r="C2379" s="13" t="s">
        <v>11</v>
      </c>
      <c r="D2379" s="17">
        <v>353.65</v>
      </c>
      <c r="F2379" s="6">
        <v>218.75</v>
      </c>
      <c r="G2379" s="7">
        <f t="shared" ref="G2379:G2381" si="313">(D2379-F2379)/F2379</f>
        <v>0.616685714285714</v>
      </c>
    </row>
    <row r="2380" spans="1:7">
      <c r="A2380" s="14" t="s">
        <v>3281</v>
      </c>
      <c r="B2380" s="12" t="s">
        <v>3282</v>
      </c>
      <c r="C2380" s="13" t="s">
        <v>11</v>
      </c>
      <c r="D2380" s="17">
        <v>377.05</v>
      </c>
      <c r="F2380" s="6">
        <v>218.75</v>
      </c>
      <c r="G2380" s="7">
        <f t="shared" si="313"/>
        <v>0.723657142857143</v>
      </c>
    </row>
    <row r="2381" spans="1:7">
      <c r="A2381" s="14" t="s">
        <v>3283</v>
      </c>
      <c r="B2381" s="12" t="s">
        <v>3284</v>
      </c>
      <c r="C2381" s="13" t="s">
        <v>11</v>
      </c>
      <c r="D2381" s="17">
        <v>351.8</v>
      </c>
      <c r="F2381" s="6">
        <v>232.6</v>
      </c>
      <c r="G2381" s="7">
        <f t="shared" si="313"/>
        <v>0.512467755803955</v>
      </c>
    </row>
    <row r="2382" ht="93" spans="1:7">
      <c r="A2382" s="18">
        <v>16.39</v>
      </c>
      <c r="B2382" s="15" t="s">
        <v>3285</v>
      </c>
      <c r="C2382" s="13"/>
      <c r="D2382" s="16"/>
    </row>
    <row r="2383" ht="31" spans="1:7">
      <c r="A2383" s="14" t="s">
        <v>3286</v>
      </c>
      <c r="B2383" s="12" t="s">
        <v>3260</v>
      </c>
      <c r="C2383" s="13" t="s">
        <v>11</v>
      </c>
      <c r="D2383" s="17">
        <v>531.6</v>
      </c>
      <c r="F2383" s="6">
        <v>333.2</v>
      </c>
      <c r="G2383" s="7">
        <f t="shared" ref="G2383:G2385" si="314">(D2383-F2383)/F2383</f>
        <v>0.595438175270108</v>
      </c>
    </row>
    <row r="2384" spans="1:7">
      <c r="A2384" s="14" t="s">
        <v>3287</v>
      </c>
      <c r="B2384" s="12" t="s">
        <v>3288</v>
      </c>
      <c r="C2384" s="13" t="s">
        <v>11</v>
      </c>
      <c r="D2384" s="17">
        <v>568.6</v>
      </c>
      <c r="F2384" s="6">
        <v>328.5</v>
      </c>
      <c r="G2384" s="7">
        <f t="shared" si="314"/>
        <v>0.73089802130898</v>
      </c>
    </row>
    <row r="2385" spans="1:7">
      <c r="A2385" s="14" t="s">
        <v>3289</v>
      </c>
      <c r="B2385" s="12" t="s">
        <v>3284</v>
      </c>
      <c r="C2385" s="13" t="s">
        <v>11</v>
      </c>
      <c r="D2385" s="17">
        <v>528.65</v>
      </c>
      <c r="F2385" s="6">
        <v>355.15</v>
      </c>
      <c r="G2385" s="7">
        <f t="shared" si="314"/>
        <v>0.488525974940166</v>
      </c>
    </row>
    <row r="2386" spans="1:7">
      <c r="A2386" s="14"/>
      <c r="B2386" s="15" t="s">
        <v>3290</v>
      </c>
      <c r="C2386" s="13"/>
      <c r="D2386" s="16"/>
    </row>
    <row r="2387" ht="62" spans="1:7">
      <c r="A2387" s="18">
        <v>16.4</v>
      </c>
      <c r="B2387" s="15" t="s">
        <v>3291</v>
      </c>
      <c r="C2387" s="13" t="s">
        <v>11</v>
      </c>
      <c r="D2387" s="17">
        <v>88.55</v>
      </c>
      <c r="F2387" s="6">
        <v>59.5</v>
      </c>
      <c r="G2387" s="7">
        <f t="shared" ref="G2387:G2391" si="315">(D2387-F2387)/F2387</f>
        <v>0.488235294117647</v>
      </c>
    </row>
    <row r="2388" ht="77.5" spans="1:7">
      <c r="A2388" s="18">
        <v>16.41</v>
      </c>
      <c r="B2388" s="15" t="s">
        <v>3292</v>
      </c>
      <c r="C2388" s="13" t="s">
        <v>11</v>
      </c>
      <c r="D2388" s="17">
        <v>130.85</v>
      </c>
      <c r="F2388" s="6">
        <v>79.85</v>
      </c>
      <c r="G2388" s="7">
        <f t="shared" si="315"/>
        <v>0.638697557921102</v>
      </c>
    </row>
    <row r="2389" ht="31" spans="1:7">
      <c r="A2389" s="14"/>
      <c r="B2389" s="15" t="s">
        <v>3293</v>
      </c>
      <c r="C2389" s="13"/>
      <c r="D2389" s="16"/>
    </row>
    <row r="2390" spans="1:7">
      <c r="A2390" s="14"/>
      <c r="B2390" s="15" t="s">
        <v>3294</v>
      </c>
      <c r="C2390" s="13"/>
      <c r="D2390" s="16"/>
    </row>
    <row r="2391" ht="46.5" spans="1:7">
      <c r="A2391" s="18">
        <v>16.42</v>
      </c>
      <c r="B2391" s="15" t="s">
        <v>3295</v>
      </c>
      <c r="C2391" s="13" t="s">
        <v>14</v>
      </c>
      <c r="D2391" s="17">
        <v>7993.8</v>
      </c>
      <c r="F2391" s="6">
        <v>5503.8</v>
      </c>
      <c r="G2391" s="7">
        <f t="shared" si="315"/>
        <v>0.452414695301428</v>
      </c>
    </row>
    <row r="2392" ht="170.5" spans="1:7">
      <c r="A2392" s="18">
        <v>16.43</v>
      </c>
      <c r="B2392" s="15" t="s">
        <v>3296</v>
      </c>
      <c r="C2392" s="13"/>
      <c r="D2392" s="16"/>
    </row>
    <row r="2393" ht="31" spans="1:7">
      <c r="A2393" s="14"/>
      <c r="B2393" s="15" t="s">
        <v>3297</v>
      </c>
      <c r="C2393" s="13"/>
      <c r="D2393" s="16"/>
    </row>
    <row r="2394" spans="1:7">
      <c r="A2394" s="14" t="s">
        <v>3298</v>
      </c>
      <c r="B2394" s="12" t="s">
        <v>3299</v>
      </c>
      <c r="C2394" s="13" t="s">
        <v>14</v>
      </c>
      <c r="D2394" s="17">
        <v>10529.35</v>
      </c>
      <c r="F2394" s="6">
        <v>6893.25</v>
      </c>
      <c r="G2394" s="7">
        <f t="shared" ref="G2394:G2397" si="316">(D2394-F2394)/F2394</f>
        <v>0.527487034417727</v>
      </c>
    </row>
    <row r="2395" ht="31" spans="1:7">
      <c r="A2395" s="14" t="s">
        <v>3300</v>
      </c>
      <c r="B2395" s="12" t="s">
        <v>3301</v>
      </c>
      <c r="C2395" s="13" t="s">
        <v>14</v>
      </c>
      <c r="D2395" s="17">
        <v>11098.45</v>
      </c>
      <c r="F2395" s="6">
        <v>7160.4</v>
      </c>
      <c r="G2395" s="7">
        <f t="shared" si="316"/>
        <v>0.549976258309592</v>
      </c>
    </row>
    <row r="2396" ht="31" spans="1:7">
      <c r="A2396" s="18">
        <v>16.44</v>
      </c>
      <c r="B2396" s="15" t="s">
        <v>3302</v>
      </c>
      <c r="C2396" s="13" t="s">
        <v>144</v>
      </c>
      <c r="D2396" s="17">
        <v>55.5</v>
      </c>
      <c r="F2396" s="6">
        <v>46.45</v>
      </c>
      <c r="G2396" s="7">
        <f t="shared" si="316"/>
        <v>0.194833153928956</v>
      </c>
    </row>
    <row r="2397" ht="93" spans="1:7">
      <c r="A2397" s="18">
        <v>16.45</v>
      </c>
      <c r="B2397" s="15" t="s">
        <v>3303</v>
      </c>
      <c r="C2397" s="13" t="s">
        <v>3304</v>
      </c>
      <c r="D2397" s="17">
        <v>5.3</v>
      </c>
      <c r="F2397" s="6">
        <v>2.2</v>
      </c>
      <c r="G2397" s="7">
        <f t="shared" si="316"/>
        <v>1.40909090909091</v>
      </c>
    </row>
    <row r="2398" ht="46.5" spans="1:7">
      <c r="A2398" s="18">
        <v>16.46</v>
      </c>
      <c r="B2398" s="15" t="s">
        <v>3305</v>
      </c>
      <c r="C2398" s="13"/>
      <c r="D2398" s="16"/>
    </row>
    <row r="2399" ht="62" spans="1:7">
      <c r="A2399" s="14" t="s">
        <v>3306</v>
      </c>
      <c r="B2399" s="12" t="s">
        <v>3305</v>
      </c>
      <c r="C2399" s="13" t="s">
        <v>3304</v>
      </c>
      <c r="D2399" s="17">
        <v>8.65</v>
      </c>
      <c r="F2399" s="6">
        <v>2.2</v>
      </c>
      <c r="G2399" s="7">
        <f t="shared" ref="G2399:G2403" si="317">(D2399-F2399)/F2399</f>
        <v>2.93181818181818</v>
      </c>
    </row>
    <row r="2400" spans="1:7">
      <c r="A2400" s="14"/>
      <c r="B2400" s="15" t="s">
        <v>3307</v>
      </c>
      <c r="C2400" s="13"/>
      <c r="D2400" s="17"/>
    </row>
    <row r="2401" ht="62" spans="1:7">
      <c r="A2401" s="18">
        <v>16.47</v>
      </c>
      <c r="B2401" s="15" t="s">
        <v>3308</v>
      </c>
      <c r="C2401" s="13"/>
      <c r="D2401" s="16"/>
    </row>
    <row r="2402" spans="1:7">
      <c r="A2402" s="14" t="s">
        <v>3309</v>
      </c>
      <c r="B2402" s="12" t="s">
        <v>3310</v>
      </c>
      <c r="C2402" s="13" t="s">
        <v>11</v>
      </c>
      <c r="D2402" s="17">
        <v>188.2</v>
      </c>
      <c r="F2402" s="6">
        <v>104.9</v>
      </c>
      <c r="G2402" s="7">
        <f t="shared" si="317"/>
        <v>0.794089609151573</v>
      </c>
    </row>
    <row r="2403" spans="1:7">
      <c r="A2403" s="14" t="s">
        <v>3311</v>
      </c>
      <c r="B2403" s="12" t="s">
        <v>3312</v>
      </c>
      <c r="C2403" s="13" t="s">
        <v>11</v>
      </c>
      <c r="D2403" s="17">
        <v>120.8</v>
      </c>
      <c r="F2403" s="6">
        <v>66.25</v>
      </c>
      <c r="G2403" s="7">
        <f t="shared" si="317"/>
        <v>0.823396226415094</v>
      </c>
    </row>
    <row r="2404" ht="62" spans="1:7">
      <c r="A2404" s="18">
        <v>16.48</v>
      </c>
      <c r="B2404" s="15" t="s">
        <v>3313</v>
      </c>
      <c r="C2404" s="13"/>
      <c r="D2404" s="16"/>
    </row>
    <row r="2405" spans="1:7">
      <c r="A2405" s="14" t="s">
        <v>3314</v>
      </c>
      <c r="B2405" s="12" t="s">
        <v>3310</v>
      </c>
      <c r="C2405" s="13" t="s">
        <v>11</v>
      </c>
      <c r="D2405" s="17">
        <v>288.9</v>
      </c>
      <c r="F2405" s="6">
        <v>133.1</v>
      </c>
      <c r="G2405" s="7">
        <f t="shared" ref="G2405:G2409" si="318">(D2405-F2405)/F2405</f>
        <v>1.17054845980466</v>
      </c>
    </row>
    <row r="2406" spans="1:7">
      <c r="A2406" s="14" t="s">
        <v>3315</v>
      </c>
      <c r="B2406" s="12" t="s">
        <v>3312</v>
      </c>
      <c r="C2406" s="13" t="s">
        <v>11</v>
      </c>
      <c r="D2406" s="17">
        <v>189.85</v>
      </c>
      <c r="F2406" s="6">
        <v>86.9</v>
      </c>
      <c r="G2406" s="7">
        <f t="shared" si="318"/>
        <v>1.18469505178366</v>
      </c>
    </row>
    <row r="2407" spans="1:7">
      <c r="A2407" s="14"/>
      <c r="B2407" s="15" t="s">
        <v>295</v>
      </c>
      <c r="C2407" s="13"/>
      <c r="D2407" s="17"/>
    </row>
    <row r="2408" ht="108.5" spans="1:7">
      <c r="A2408" s="18">
        <v>16.49</v>
      </c>
      <c r="B2408" s="15" t="s">
        <v>3316</v>
      </c>
      <c r="C2408" s="13" t="s">
        <v>126</v>
      </c>
      <c r="D2408" s="17">
        <v>3050.4</v>
      </c>
      <c r="F2408" s="6">
        <v>1829.7</v>
      </c>
      <c r="G2408" s="7">
        <f t="shared" si="318"/>
        <v>0.667158550582063</v>
      </c>
    </row>
    <row r="2409" ht="155" spans="1:7">
      <c r="A2409" s="18">
        <v>16.5</v>
      </c>
      <c r="B2409" s="15" t="s">
        <v>3317</v>
      </c>
      <c r="C2409" s="13" t="s">
        <v>126</v>
      </c>
      <c r="D2409" s="17">
        <v>206.3</v>
      </c>
      <c r="F2409" s="6">
        <v>159.1</v>
      </c>
      <c r="G2409" s="7">
        <f t="shared" si="318"/>
        <v>0.296668761785041</v>
      </c>
    </row>
    <row r="2410" ht="62" spans="1:7">
      <c r="A2410" s="18">
        <v>16.51</v>
      </c>
      <c r="B2410" s="15" t="s">
        <v>3318</v>
      </c>
      <c r="C2410" s="13"/>
      <c r="D2410" s="16"/>
    </row>
    <row r="2411" spans="1:7">
      <c r="A2411" s="14" t="s">
        <v>3319</v>
      </c>
      <c r="B2411" s="12" t="s">
        <v>3320</v>
      </c>
      <c r="C2411" s="13" t="s">
        <v>14</v>
      </c>
      <c r="D2411" s="17">
        <v>1514.4</v>
      </c>
      <c r="F2411" s="6">
        <v>729.65</v>
      </c>
      <c r="G2411" s="7">
        <f t="shared" ref="G2411:G2413" si="319">(D2411-F2411)/F2411</f>
        <v>1.07551565819228</v>
      </c>
    </row>
    <row r="2412" ht="77.5" spans="1:7">
      <c r="A2412" s="18">
        <v>16.52</v>
      </c>
      <c r="B2412" s="15" t="s">
        <v>3321</v>
      </c>
      <c r="C2412" s="13" t="s">
        <v>14</v>
      </c>
      <c r="D2412" s="17">
        <v>13719.05</v>
      </c>
      <c r="F2412" s="6">
        <v>7026.2</v>
      </c>
      <c r="G2412" s="7">
        <f t="shared" si="319"/>
        <v>0.952556146992684</v>
      </c>
    </row>
    <row r="2413" ht="139.5" spans="1:7">
      <c r="A2413" s="18">
        <v>16.53</v>
      </c>
      <c r="B2413" s="15" t="s">
        <v>3322</v>
      </c>
      <c r="C2413" s="13" t="s">
        <v>39</v>
      </c>
      <c r="D2413" s="17">
        <v>375.8</v>
      </c>
      <c r="F2413" s="6">
        <v>255</v>
      </c>
      <c r="G2413" s="7">
        <f t="shared" si="319"/>
        <v>0.473725490196078</v>
      </c>
    </row>
    <row r="2414" ht="93" spans="1:7">
      <c r="A2414" s="18">
        <v>16.54</v>
      </c>
      <c r="B2414" s="15" t="s">
        <v>3323</v>
      </c>
      <c r="C2414" s="13"/>
      <c r="D2414" s="16"/>
    </row>
    <row r="2415" ht="46.5" spans="1:7">
      <c r="A2415" s="14" t="s">
        <v>3324</v>
      </c>
      <c r="B2415" s="12" t="s">
        <v>3325</v>
      </c>
      <c r="C2415" s="13" t="s">
        <v>14</v>
      </c>
      <c r="D2415" s="17">
        <v>11129.55</v>
      </c>
      <c r="F2415" s="6">
        <v>7247.7</v>
      </c>
      <c r="G2415" s="7">
        <f t="shared" ref="G2415:G2419" si="320">(D2415-F2415)/F2415</f>
        <v>0.535597499896519</v>
      </c>
    </row>
    <row r="2416" ht="46.5" spans="1:7">
      <c r="A2416" s="14" t="s">
        <v>3326</v>
      </c>
      <c r="B2416" s="12" t="s">
        <v>3327</v>
      </c>
      <c r="C2416" s="13" t="s">
        <v>14</v>
      </c>
      <c r="D2416" s="17">
        <v>11032.2</v>
      </c>
      <c r="F2416" s="6">
        <v>7140.45</v>
      </c>
      <c r="G2416" s="7">
        <f t="shared" si="320"/>
        <v>0.545028674663362</v>
      </c>
    </row>
    <row r="2417" ht="93" spans="1:7">
      <c r="A2417" s="18">
        <v>16.55</v>
      </c>
      <c r="B2417" s="15" t="s">
        <v>3328</v>
      </c>
      <c r="C2417" s="13"/>
      <c r="D2417" s="16"/>
    </row>
    <row r="2418" ht="46.5" spans="1:7">
      <c r="A2418" s="14" t="s">
        <v>3329</v>
      </c>
      <c r="B2418" s="12" t="s">
        <v>3330</v>
      </c>
      <c r="C2418" s="13" t="s">
        <v>14</v>
      </c>
      <c r="D2418" s="17">
        <v>8505.65</v>
      </c>
      <c r="F2418" s="6">
        <v>5708.05</v>
      </c>
      <c r="G2418" s="7">
        <f t="shared" si="320"/>
        <v>0.490114837816767</v>
      </c>
    </row>
    <row r="2419" ht="46.5" spans="1:7">
      <c r="A2419" s="14" t="s">
        <v>3331</v>
      </c>
      <c r="B2419" s="12" t="s">
        <v>3332</v>
      </c>
      <c r="C2419" s="13" t="s">
        <v>14</v>
      </c>
      <c r="D2419" s="17">
        <v>8413</v>
      </c>
      <c r="F2419" s="6">
        <v>5606.1</v>
      </c>
      <c r="G2419" s="7">
        <f t="shared" si="320"/>
        <v>0.500686751930932</v>
      </c>
    </row>
    <row r="2420" ht="93" spans="1:7">
      <c r="A2420" s="18">
        <v>16.56</v>
      </c>
      <c r="B2420" s="15" t="s">
        <v>3333</v>
      </c>
      <c r="C2420" s="13"/>
      <c r="D2420" s="16"/>
    </row>
    <row r="2421" ht="46.5" spans="1:7">
      <c r="A2421" s="14" t="s">
        <v>3334</v>
      </c>
      <c r="B2421" s="12" t="s">
        <v>3335</v>
      </c>
      <c r="C2421" s="13" t="s">
        <v>11</v>
      </c>
      <c r="D2421" s="17">
        <v>277.7</v>
      </c>
      <c r="F2421" s="6">
        <v>181.15</v>
      </c>
      <c r="G2421" s="7">
        <f t="shared" ref="G2421:G2431" si="321">(D2421-F2421)/F2421</f>
        <v>0.532983715153188</v>
      </c>
    </row>
    <row r="2422" ht="46.5" spans="1:7">
      <c r="A2422" s="14" t="s">
        <v>3336</v>
      </c>
      <c r="B2422" s="12" t="s">
        <v>3337</v>
      </c>
      <c r="C2422" s="13" t="s">
        <v>11</v>
      </c>
      <c r="D2422" s="17">
        <v>275.3</v>
      </c>
      <c r="F2422" s="6">
        <v>178.45</v>
      </c>
      <c r="G2422" s="7">
        <f t="shared" si="321"/>
        <v>0.542729055757916</v>
      </c>
    </row>
    <row r="2423" ht="93" spans="1:7">
      <c r="A2423" s="18">
        <v>16.57</v>
      </c>
      <c r="B2423" s="15" t="s">
        <v>3338</v>
      </c>
      <c r="C2423" s="13"/>
      <c r="D2423" s="16"/>
    </row>
    <row r="2424" ht="46.5" spans="1:7">
      <c r="A2424" s="14" t="s">
        <v>3339</v>
      </c>
      <c r="B2424" s="12" t="s">
        <v>3340</v>
      </c>
      <c r="C2424" s="13" t="s">
        <v>14</v>
      </c>
      <c r="D2424" s="17">
        <v>12126.2</v>
      </c>
      <c r="F2424" s="6">
        <v>7863.85</v>
      </c>
      <c r="G2424" s="7">
        <f t="shared" si="321"/>
        <v>0.542018222626322</v>
      </c>
    </row>
    <row r="2425" ht="62" spans="1:7">
      <c r="A2425" s="14" t="s">
        <v>3341</v>
      </c>
      <c r="B2425" s="12" t="s">
        <v>3342</v>
      </c>
      <c r="C2425" s="13" t="s">
        <v>14</v>
      </c>
      <c r="D2425" s="17">
        <v>12708.75</v>
      </c>
      <c r="F2425" s="6">
        <v>8345.45</v>
      </c>
      <c r="G2425" s="7">
        <f t="shared" si="321"/>
        <v>0.522835796751523</v>
      </c>
    </row>
    <row r="2426" ht="46.5" spans="1:7">
      <c r="A2426" s="14" t="s">
        <v>3343</v>
      </c>
      <c r="B2426" s="12" t="s">
        <v>3344</v>
      </c>
      <c r="C2426" s="13" t="s">
        <v>14</v>
      </c>
      <c r="D2426" s="17">
        <v>11204.1</v>
      </c>
      <c r="F2426" s="6">
        <v>9073</v>
      </c>
      <c r="G2426" s="7">
        <f t="shared" si="321"/>
        <v>0.234883720930233</v>
      </c>
    </row>
    <row r="2427" ht="46.5" spans="1:7">
      <c r="A2427" s="14" t="s">
        <v>3345</v>
      </c>
      <c r="B2427" s="12" t="s">
        <v>3346</v>
      </c>
      <c r="C2427" s="13" t="s">
        <v>14</v>
      </c>
      <c r="D2427" s="17">
        <v>10660.3</v>
      </c>
      <c r="F2427" s="6">
        <v>8389.1</v>
      </c>
      <c r="G2427" s="7">
        <f t="shared" si="321"/>
        <v>0.270732259717967</v>
      </c>
    </row>
    <row r="2428" ht="46.5" spans="1:7">
      <c r="A2428" s="14" t="s">
        <v>3347</v>
      </c>
      <c r="B2428" s="12" t="s">
        <v>3348</v>
      </c>
      <c r="C2428" s="13" t="s">
        <v>14</v>
      </c>
      <c r="D2428" s="17">
        <v>12026.8</v>
      </c>
      <c r="F2428" s="6">
        <v>7754.35</v>
      </c>
      <c r="G2428" s="7">
        <f t="shared" si="321"/>
        <v>0.550974614248776</v>
      </c>
    </row>
    <row r="2429" ht="62" spans="1:7">
      <c r="A2429" s="14" t="s">
        <v>3349</v>
      </c>
      <c r="B2429" s="12" t="s">
        <v>3350</v>
      </c>
      <c r="C2429" s="13" t="s">
        <v>14</v>
      </c>
      <c r="D2429" s="17">
        <v>12609.3</v>
      </c>
      <c r="F2429" s="6">
        <v>8236</v>
      </c>
      <c r="G2429" s="7">
        <f t="shared" si="321"/>
        <v>0.530998057309373</v>
      </c>
    </row>
    <row r="2430" ht="46.5" spans="1:7">
      <c r="A2430" s="14" t="s">
        <v>3351</v>
      </c>
      <c r="B2430" s="12" t="s">
        <v>3352</v>
      </c>
      <c r="C2430" s="13" t="s">
        <v>14</v>
      </c>
      <c r="D2430" s="17">
        <v>11104.65</v>
      </c>
      <c r="F2430" s="6">
        <v>8963.55</v>
      </c>
      <c r="G2430" s="7">
        <f t="shared" si="321"/>
        <v>0.238867413022742</v>
      </c>
    </row>
    <row r="2431" ht="46.5" spans="1:7">
      <c r="A2431" s="14" t="s">
        <v>3353</v>
      </c>
      <c r="B2431" s="12" t="s">
        <v>3354</v>
      </c>
      <c r="C2431" s="13" t="s">
        <v>14</v>
      </c>
      <c r="D2431" s="17">
        <v>10560.85</v>
      </c>
      <c r="F2431" s="6">
        <v>8279.65</v>
      </c>
      <c r="G2431" s="7">
        <f t="shared" si="321"/>
        <v>0.275518892706817</v>
      </c>
    </row>
    <row r="2432" ht="279" spans="1:7">
      <c r="A2432" s="18">
        <v>16.59</v>
      </c>
      <c r="B2432" s="15" t="s">
        <v>3355</v>
      </c>
      <c r="C2432" s="13"/>
      <c r="D2432" s="16"/>
    </row>
    <row r="2433" spans="1:7">
      <c r="A2433" s="14" t="s">
        <v>3356</v>
      </c>
      <c r="B2433" s="12" t="s">
        <v>3357</v>
      </c>
      <c r="C2433" s="13" t="s">
        <v>126</v>
      </c>
      <c r="D2433" s="17">
        <v>7183.35</v>
      </c>
      <c r="F2433" s="6">
        <v>4786.35</v>
      </c>
      <c r="G2433" s="7">
        <f t="shared" ref="G2433:G2441" si="322">(D2433-F2433)/F2433</f>
        <v>0.500799147575919</v>
      </c>
    </row>
    <row r="2434" ht="31" spans="1:7">
      <c r="A2434" s="14" t="s">
        <v>3358</v>
      </c>
      <c r="B2434" s="12" t="s">
        <v>3359</v>
      </c>
      <c r="C2434" s="13" t="s">
        <v>126</v>
      </c>
      <c r="D2434" s="17">
        <v>5559.75</v>
      </c>
      <c r="F2434" s="6">
        <v>3464.05</v>
      </c>
      <c r="G2434" s="7">
        <f t="shared" si="322"/>
        <v>0.604985493858345</v>
      </c>
    </row>
    <row r="2435" ht="248" spans="1:7">
      <c r="A2435" s="18">
        <v>16.6</v>
      </c>
      <c r="B2435" s="15" t="s">
        <v>3360</v>
      </c>
      <c r="C2435" s="13"/>
      <c r="D2435" s="16"/>
      <c r="G2435" s="7" t="e">
        <f t="shared" si="322"/>
        <v>#DIV/0!</v>
      </c>
    </row>
    <row r="2436" spans="1:7">
      <c r="A2436" s="14" t="s">
        <v>3361</v>
      </c>
      <c r="B2436" s="12" t="s">
        <v>3362</v>
      </c>
      <c r="C2436" s="13" t="s">
        <v>11</v>
      </c>
      <c r="D2436" s="17">
        <v>5879.9</v>
      </c>
      <c r="F2436" s="6">
        <v>4722.2</v>
      </c>
      <c r="G2436" s="7">
        <f t="shared" si="322"/>
        <v>0.245161153699547</v>
      </c>
    </row>
    <row r="2437" ht="170.5" spans="1:7">
      <c r="A2437" s="18">
        <v>16.61</v>
      </c>
      <c r="B2437" s="15" t="s">
        <v>3363</v>
      </c>
      <c r="C2437" s="13" t="s">
        <v>126</v>
      </c>
      <c r="D2437" s="17">
        <v>8154.35</v>
      </c>
      <c r="F2437" s="6">
        <v>5266.45</v>
      </c>
      <c r="G2437" s="7">
        <f t="shared" si="322"/>
        <v>0.548358002069706</v>
      </c>
    </row>
    <row r="2438" ht="108.5" spans="1:7">
      <c r="A2438" s="18">
        <v>16.62</v>
      </c>
      <c r="B2438" s="15" t="s">
        <v>3364</v>
      </c>
      <c r="C2438" s="13" t="s">
        <v>11</v>
      </c>
      <c r="D2438" s="17">
        <v>747.8</v>
      </c>
      <c r="F2438" s="6">
        <v>391.25</v>
      </c>
      <c r="G2438" s="7">
        <f t="shared" si="322"/>
        <v>0.911309904153355</v>
      </c>
    </row>
    <row r="2439" ht="77.5" spans="1:7">
      <c r="A2439" s="18">
        <v>16.63</v>
      </c>
      <c r="B2439" s="15" t="s">
        <v>3365</v>
      </c>
      <c r="C2439" s="13" t="s">
        <v>11</v>
      </c>
      <c r="D2439" s="17">
        <v>558.3</v>
      </c>
      <c r="E2439" s="36"/>
      <c r="F2439" s="6">
        <v>382.05</v>
      </c>
      <c r="G2439" s="7">
        <f t="shared" si="322"/>
        <v>0.461327051433058</v>
      </c>
    </row>
    <row r="2440" ht="46.5" spans="1:7">
      <c r="A2440" s="18">
        <v>16.64</v>
      </c>
      <c r="B2440" s="15" t="s">
        <v>3366</v>
      </c>
      <c r="C2440" s="13" t="s">
        <v>11</v>
      </c>
      <c r="D2440" s="17">
        <v>199.35</v>
      </c>
      <c r="E2440" s="36"/>
      <c r="F2440" s="6">
        <v>141.35</v>
      </c>
      <c r="G2440" s="7">
        <f t="shared" si="322"/>
        <v>0.410328970640255</v>
      </c>
    </row>
    <row r="2441" ht="46.5" spans="1:7">
      <c r="A2441" s="18">
        <v>16.65</v>
      </c>
      <c r="B2441" s="15" t="s">
        <v>3367</v>
      </c>
      <c r="C2441" s="13" t="s">
        <v>126</v>
      </c>
      <c r="D2441" s="17">
        <v>904.2</v>
      </c>
      <c r="F2441" s="6">
        <v>554.5</v>
      </c>
      <c r="G2441" s="7">
        <f t="shared" si="322"/>
        <v>0.630658250676285</v>
      </c>
    </row>
    <row r="2442" ht="62" spans="1:7">
      <c r="A2442" s="18">
        <v>16.66</v>
      </c>
      <c r="B2442" s="15" t="s">
        <v>3368</v>
      </c>
      <c r="C2442" s="13"/>
      <c r="D2442" s="16"/>
    </row>
    <row r="2443" spans="1:7">
      <c r="A2443" s="14" t="s">
        <v>3369</v>
      </c>
      <c r="B2443" s="12" t="s">
        <v>3370</v>
      </c>
      <c r="C2443" s="13" t="s">
        <v>126</v>
      </c>
      <c r="D2443" s="17">
        <v>27.5</v>
      </c>
      <c r="F2443" s="6">
        <v>17.55</v>
      </c>
      <c r="G2443" s="7">
        <f t="shared" ref="G2443:G2446" si="323">(D2443-F2443)/F2443</f>
        <v>0.566951566951567</v>
      </c>
    </row>
    <row r="2444" ht="93" spans="1:7">
      <c r="A2444" s="18">
        <v>16.67</v>
      </c>
      <c r="B2444" s="15" t="s">
        <v>3371</v>
      </c>
      <c r="C2444" s="13" t="s">
        <v>11</v>
      </c>
      <c r="D2444" s="17">
        <v>1600.55</v>
      </c>
      <c r="F2444" s="6">
        <v>654.35</v>
      </c>
      <c r="G2444" s="7">
        <f t="shared" si="323"/>
        <v>1.44601512951784</v>
      </c>
    </row>
    <row r="2445" ht="77.5" spans="1:7">
      <c r="A2445" s="18">
        <v>16.68</v>
      </c>
      <c r="B2445" s="15" t="s">
        <v>3372</v>
      </c>
      <c r="C2445" s="13" t="s">
        <v>11</v>
      </c>
      <c r="D2445" s="17">
        <v>972</v>
      </c>
      <c r="F2445" s="6">
        <v>615.7</v>
      </c>
      <c r="G2445" s="7">
        <f t="shared" si="323"/>
        <v>0.578690920903037</v>
      </c>
    </row>
    <row r="2446" ht="108.5" spans="1:7">
      <c r="A2446" s="18">
        <v>16.69</v>
      </c>
      <c r="B2446" s="15" t="s">
        <v>3373</v>
      </c>
      <c r="C2446" s="13" t="s">
        <v>14</v>
      </c>
      <c r="D2446" s="17">
        <v>10117.6</v>
      </c>
      <c r="F2446" s="6">
        <v>5012.65</v>
      </c>
      <c r="G2446" s="7">
        <f t="shared" si="323"/>
        <v>1.01841341406242</v>
      </c>
    </row>
    <row r="2447" ht="46.5" spans="1:7">
      <c r="A2447" s="18">
        <v>16.7</v>
      </c>
      <c r="B2447" s="15" t="s">
        <v>3374</v>
      </c>
      <c r="C2447" s="13"/>
      <c r="D2447" s="16"/>
    </row>
    <row r="2448" spans="1:7">
      <c r="A2448" s="14" t="s">
        <v>3375</v>
      </c>
      <c r="B2448" s="12" t="s">
        <v>3376</v>
      </c>
      <c r="C2448" s="13" t="s">
        <v>11</v>
      </c>
      <c r="D2448" s="17">
        <v>1017.8</v>
      </c>
      <c r="F2448" s="6">
        <v>561.7</v>
      </c>
      <c r="G2448" s="7">
        <f t="shared" ref="G2448:G2452" si="324">(D2448-F2448)/F2448</f>
        <v>0.81199928787609</v>
      </c>
    </row>
    <row r="2449" ht="31" spans="1:7">
      <c r="A2449" s="14" t="s">
        <v>3377</v>
      </c>
      <c r="B2449" s="12" t="s">
        <v>3378</v>
      </c>
      <c r="C2449" s="13" t="s">
        <v>11</v>
      </c>
      <c r="D2449" s="17">
        <v>1067.1</v>
      </c>
      <c r="F2449" s="6">
        <v>594.65</v>
      </c>
      <c r="G2449" s="7">
        <f t="shared" si="324"/>
        <v>0.794500966955352</v>
      </c>
    </row>
    <row r="2450" ht="46.5" spans="1:7">
      <c r="A2450" s="18">
        <v>16.71</v>
      </c>
      <c r="B2450" s="15" t="s">
        <v>3379</v>
      </c>
      <c r="C2450" s="13" t="s">
        <v>11</v>
      </c>
      <c r="D2450" s="17">
        <v>1149.25</v>
      </c>
      <c r="F2450" s="6">
        <v>594.15</v>
      </c>
      <c r="G2450" s="7">
        <f t="shared" si="324"/>
        <v>0.934275856265253</v>
      </c>
    </row>
    <row r="2451" spans="1:7">
      <c r="A2451" s="18">
        <v>16.72</v>
      </c>
      <c r="B2451" s="15" t="s">
        <v>3380</v>
      </c>
      <c r="C2451" s="13" t="s">
        <v>14</v>
      </c>
      <c r="D2451" s="17">
        <v>995.85</v>
      </c>
      <c r="F2451" s="6">
        <v>880.5</v>
      </c>
      <c r="G2451" s="7">
        <f t="shared" si="324"/>
        <v>0.131005110732538</v>
      </c>
    </row>
    <row r="2452" ht="46.5" spans="1:7">
      <c r="A2452" s="18">
        <v>16.73</v>
      </c>
      <c r="B2452" s="15" t="s">
        <v>3381</v>
      </c>
      <c r="C2452" s="13" t="s">
        <v>11</v>
      </c>
      <c r="D2452" s="17">
        <v>659.05</v>
      </c>
      <c r="F2452" s="6">
        <v>279.35</v>
      </c>
      <c r="G2452" s="7">
        <f t="shared" si="324"/>
        <v>1.35922677644532</v>
      </c>
    </row>
    <row r="2453" ht="31" spans="1:7">
      <c r="A2453" s="18">
        <v>16.74</v>
      </c>
      <c r="B2453" s="15" t="s">
        <v>3382</v>
      </c>
      <c r="C2453" s="13"/>
      <c r="D2453" s="16"/>
    </row>
    <row r="2454" spans="1:7">
      <c r="A2454" s="14" t="s">
        <v>3383</v>
      </c>
      <c r="B2454" s="12" t="s">
        <v>3181</v>
      </c>
      <c r="C2454" s="13" t="s">
        <v>11</v>
      </c>
      <c r="D2454" s="17">
        <v>76.3</v>
      </c>
      <c r="F2454" s="6">
        <v>55.85</v>
      </c>
      <c r="G2454" s="7">
        <f t="shared" ref="G2454:G2456" si="325">(D2454-F2454)/F2454</f>
        <v>0.366159355416294</v>
      </c>
    </row>
    <row r="2455" spans="1:7">
      <c r="A2455" s="14" t="s">
        <v>3384</v>
      </c>
      <c r="B2455" s="12" t="s">
        <v>3385</v>
      </c>
      <c r="C2455" s="13" t="s">
        <v>11</v>
      </c>
      <c r="D2455" s="17">
        <v>175</v>
      </c>
      <c r="F2455" s="6">
        <v>131.65</v>
      </c>
      <c r="G2455" s="7">
        <f t="shared" si="325"/>
        <v>0.329282187618686</v>
      </c>
    </row>
    <row r="2456" spans="1:7">
      <c r="A2456" s="14" t="s">
        <v>3386</v>
      </c>
      <c r="B2456" s="12" t="s">
        <v>3387</v>
      </c>
      <c r="C2456" s="13" t="s">
        <v>11</v>
      </c>
      <c r="D2456" s="17">
        <v>172.35</v>
      </c>
      <c r="F2456" s="6">
        <v>128.1</v>
      </c>
      <c r="G2456" s="7">
        <f t="shared" si="325"/>
        <v>0.345433255269321</v>
      </c>
    </row>
    <row r="2457" ht="77.5" spans="1:7">
      <c r="A2457" s="18">
        <v>16.75</v>
      </c>
      <c r="B2457" s="15" t="s">
        <v>3388</v>
      </c>
      <c r="C2457" s="13"/>
      <c r="D2457" s="16"/>
    </row>
    <row r="2458" ht="31" spans="1:7">
      <c r="A2458" s="14"/>
      <c r="B2458" s="15" t="s">
        <v>3389</v>
      </c>
      <c r="C2458" s="13" t="s">
        <v>14</v>
      </c>
      <c r="D2458" s="17">
        <v>9823.8</v>
      </c>
      <c r="F2458" s="6">
        <v>6912.15</v>
      </c>
      <c r="G2458" s="7">
        <f t="shared" ref="G2458:G2460" si="326">(D2458-F2458)/F2458</f>
        <v>0.421236518304724</v>
      </c>
    </row>
    <row r="2459" spans="1:7">
      <c r="A2459" s="18">
        <v>16.76</v>
      </c>
      <c r="B2459" s="15" t="s">
        <v>3390</v>
      </c>
      <c r="C2459" s="13" t="s">
        <v>14</v>
      </c>
      <c r="D2459" s="17">
        <v>203.8</v>
      </c>
      <c r="F2459" s="6">
        <v>187.6</v>
      </c>
      <c r="G2459" s="7">
        <f t="shared" si="326"/>
        <v>0.0863539445628999</v>
      </c>
    </row>
    <row r="2460" ht="31" spans="1:7">
      <c r="A2460" s="18">
        <v>16.77</v>
      </c>
      <c r="B2460" s="15" t="s">
        <v>3391</v>
      </c>
      <c r="C2460" s="13" t="s">
        <v>11</v>
      </c>
      <c r="D2460" s="17">
        <v>7</v>
      </c>
      <c r="F2460" s="6">
        <v>3.6</v>
      </c>
      <c r="G2460" s="7">
        <f t="shared" si="326"/>
        <v>0.944444444444444</v>
      </c>
    </row>
    <row r="2461" ht="93" spans="1:7">
      <c r="A2461" s="18">
        <v>16.78</v>
      </c>
      <c r="B2461" s="15" t="s">
        <v>3392</v>
      </c>
      <c r="C2461" s="13"/>
      <c r="D2461" s="16"/>
    </row>
    <row r="2462" ht="31" spans="1:7">
      <c r="A2462" s="14" t="s">
        <v>3393</v>
      </c>
      <c r="B2462" s="12" t="s">
        <v>3394</v>
      </c>
      <c r="C2462" s="13" t="s">
        <v>14</v>
      </c>
      <c r="D2462" s="17">
        <v>2784</v>
      </c>
      <c r="F2462" s="6">
        <v>2089.7</v>
      </c>
      <c r="G2462" s="7">
        <f t="shared" ref="G2462:G2466" si="327">(D2462-F2462)/F2462</f>
        <v>0.332248648131311</v>
      </c>
    </row>
    <row r="2463" ht="31" spans="1:7">
      <c r="A2463" s="14" t="s">
        <v>3395</v>
      </c>
      <c r="B2463" s="12" t="s">
        <v>3396</v>
      </c>
      <c r="C2463" s="13" t="s">
        <v>14</v>
      </c>
      <c r="D2463" s="17">
        <v>2924.85</v>
      </c>
      <c r="F2463" s="6">
        <v>2080.15</v>
      </c>
      <c r="G2463" s="7">
        <f t="shared" si="327"/>
        <v>0.40607648486888</v>
      </c>
    </row>
    <row r="2464" ht="31" spans="1:7">
      <c r="A2464" s="14" t="s">
        <v>3397</v>
      </c>
      <c r="B2464" s="12" t="s">
        <v>3398</v>
      </c>
      <c r="C2464" s="13" t="s">
        <v>14</v>
      </c>
      <c r="D2464" s="17">
        <v>2808.55</v>
      </c>
      <c r="F2464" s="6">
        <v>1931.45</v>
      </c>
      <c r="G2464" s="7">
        <f t="shared" si="327"/>
        <v>0.454114784229465</v>
      </c>
    </row>
    <row r="2465" ht="93" spans="1:7">
      <c r="A2465" s="18">
        <v>16.79</v>
      </c>
      <c r="B2465" s="15" t="s">
        <v>3399</v>
      </c>
      <c r="C2465" s="13" t="s">
        <v>14</v>
      </c>
      <c r="D2465" s="17">
        <v>2914.3</v>
      </c>
      <c r="F2465" s="6">
        <v>2132.25</v>
      </c>
      <c r="G2465" s="7">
        <f t="shared" si="327"/>
        <v>0.366772189002228</v>
      </c>
    </row>
    <row r="2466" ht="124" spans="1:7">
      <c r="A2466" s="18">
        <v>16.8</v>
      </c>
      <c r="B2466" s="15" t="s">
        <v>3400</v>
      </c>
      <c r="C2466" s="13" t="s">
        <v>14</v>
      </c>
      <c r="D2466" s="17">
        <v>4148.65</v>
      </c>
      <c r="F2466" s="6">
        <v>3331.95</v>
      </c>
      <c r="G2466" s="7">
        <f t="shared" si="327"/>
        <v>0.245111721364366</v>
      </c>
    </row>
    <row r="2467" ht="279" spans="1:7">
      <c r="A2467" s="14">
        <v>16.81</v>
      </c>
      <c r="B2467" s="15" t="s">
        <v>3401</v>
      </c>
      <c r="C2467" s="13"/>
      <c r="D2467" s="16"/>
    </row>
    <row r="2468" ht="46.5" spans="1:7">
      <c r="A2468" s="14"/>
      <c r="B2468" s="15" t="s">
        <v>3402</v>
      </c>
      <c r="C2468" s="13" t="s">
        <v>39</v>
      </c>
      <c r="D2468" s="17">
        <v>3439.5</v>
      </c>
      <c r="F2468" s="6">
        <v>1577.05</v>
      </c>
      <c r="G2468" s="7">
        <f t="shared" ref="G2468:G2472" si="328">(D2468-F2468)/F2468</f>
        <v>1.18097079991123</v>
      </c>
    </row>
    <row r="2469" ht="62" spans="1:7">
      <c r="A2469" s="18">
        <v>16.82</v>
      </c>
      <c r="B2469" s="15" t="s">
        <v>3403</v>
      </c>
      <c r="C2469" s="13" t="s">
        <v>39</v>
      </c>
      <c r="D2469" s="17">
        <v>39.35</v>
      </c>
      <c r="F2469" s="6">
        <v>16.05</v>
      </c>
      <c r="G2469" s="7">
        <f t="shared" si="328"/>
        <v>1.45171339563863</v>
      </c>
    </row>
    <row r="2470" ht="62" spans="1:7">
      <c r="A2470" s="18">
        <v>16.83</v>
      </c>
      <c r="B2470" s="15" t="s">
        <v>3404</v>
      </c>
      <c r="C2470" s="13" t="s">
        <v>11</v>
      </c>
      <c r="D2470" s="17">
        <v>131.75</v>
      </c>
      <c r="F2470" s="6">
        <v>53.95</v>
      </c>
      <c r="G2470" s="7">
        <f t="shared" si="328"/>
        <v>1.44207599629286</v>
      </c>
    </row>
    <row r="2471" ht="77.5" spans="1:7">
      <c r="A2471" s="18">
        <v>16.84</v>
      </c>
      <c r="B2471" s="15" t="s">
        <v>3405</v>
      </c>
      <c r="C2471" s="13" t="s">
        <v>11</v>
      </c>
      <c r="D2471" s="17">
        <v>402.95</v>
      </c>
      <c r="F2471" s="6">
        <v>209.2</v>
      </c>
      <c r="G2471" s="7">
        <f t="shared" si="328"/>
        <v>0.926147227533461</v>
      </c>
    </row>
    <row r="2472" ht="93" spans="1:7">
      <c r="A2472" s="18">
        <v>16.85</v>
      </c>
      <c r="B2472" s="15" t="s">
        <v>3406</v>
      </c>
      <c r="C2472" s="13" t="s">
        <v>39</v>
      </c>
      <c r="D2472" s="17">
        <v>109.45</v>
      </c>
      <c r="F2472" s="6">
        <v>48.9</v>
      </c>
      <c r="G2472" s="7">
        <f t="shared" si="328"/>
        <v>1.23824130879346</v>
      </c>
    </row>
    <row r="2473" ht="108.5" spans="1:7">
      <c r="A2473" s="18">
        <v>16.86</v>
      </c>
      <c r="B2473" s="15" t="s">
        <v>3407</v>
      </c>
      <c r="C2473" s="13"/>
      <c r="D2473" s="16"/>
    </row>
    <row r="2474" spans="1:7">
      <c r="A2474" s="14" t="s">
        <v>3408</v>
      </c>
      <c r="B2474" s="12" t="s">
        <v>3409</v>
      </c>
      <c r="C2474" s="13" t="s">
        <v>11</v>
      </c>
      <c r="D2474" s="17">
        <v>4746.2</v>
      </c>
      <c r="F2474" s="6">
        <v>3034.7</v>
      </c>
      <c r="G2474" s="7">
        <f t="shared" ref="G2474:G2480" si="329">(D2474-F2474)/F2474</f>
        <v>0.563976669852045</v>
      </c>
    </row>
    <row r="2475" ht="93" spans="1:7">
      <c r="A2475" s="18">
        <v>16.87</v>
      </c>
      <c r="B2475" s="15" t="s">
        <v>3410</v>
      </c>
      <c r="C2475" s="13"/>
      <c r="D2475" s="16"/>
    </row>
    <row r="2476" spans="1:7">
      <c r="A2476" s="14" t="s">
        <v>3411</v>
      </c>
      <c r="B2476" s="12" t="s">
        <v>3412</v>
      </c>
      <c r="C2476" s="13" t="s">
        <v>11</v>
      </c>
      <c r="D2476" s="17">
        <v>4950.9</v>
      </c>
      <c r="F2476" s="6">
        <v>3339.6</v>
      </c>
      <c r="G2476" s="7">
        <f t="shared" si="329"/>
        <v>0.482482932087675</v>
      </c>
    </row>
    <row r="2477" spans="1:7">
      <c r="A2477" s="14" t="s">
        <v>3413</v>
      </c>
      <c r="B2477" s="12" t="s">
        <v>3414</v>
      </c>
      <c r="C2477" s="13" t="s">
        <v>11</v>
      </c>
      <c r="D2477" s="17">
        <v>5272.05</v>
      </c>
    </row>
    <row r="2478" ht="93" spans="1:7">
      <c r="A2478" s="18">
        <v>16.88</v>
      </c>
      <c r="B2478" s="15" t="s">
        <v>3415</v>
      </c>
      <c r="C2478" s="13" t="s">
        <v>11</v>
      </c>
      <c r="D2478" s="17">
        <v>2159.85</v>
      </c>
      <c r="F2478" s="6">
        <v>842.95</v>
      </c>
      <c r="G2478" s="7">
        <f t="shared" si="329"/>
        <v>1.56225161634735</v>
      </c>
    </row>
    <row r="2479" ht="93" spans="1:7">
      <c r="A2479" s="18">
        <v>16.89</v>
      </c>
      <c r="B2479" s="15" t="s">
        <v>3416</v>
      </c>
      <c r="C2479" s="13" t="s">
        <v>11</v>
      </c>
      <c r="D2479" s="17">
        <v>1455.65</v>
      </c>
      <c r="F2479" s="6">
        <v>764</v>
      </c>
      <c r="G2479" s="7">
        <f t="shared" si="329"/>
        <v>0.905301047120419</v>
      </c>
    </row>
    <row r="2480" ht="93" spans="1:7">
      <c r="A2480" s="18">
        <v>16.9</v>
      </c>
      <c r="B2480" s="15" t="s">
        <v>3417</v>
      </c>
      <c r="C2480" s="13" t="s">
        <v>11</v>
      </c>
      <c r="D2480" s="17">
        <v>2017.6</v>
      </c>
      <c r="F2480" s="6">
        <v>1450.45</v>
      </c>
      <c r="G2480" s="7">
        <f t="shared" si="329"/>
        <v>0.39101658106105</v>
      </c>
    </row>
    <row r="2481" ht="124" spans="1:7">
      <c r="A2481" s="18">
        <v>16.91</v>
      </c>
      <c r="B2481" s="15" t="s">
        <v>3418</v>
      </c>
      <c r="C2481" s="13"/>
      <c r="D2481" s="16"/>
    </row>
    <row r="2482" ht="31" spans="1:7">
      <c r="A2482" s="14" t="s">
        <v>3419</v>
      </c>
      <c r="B2482" s="12" t="s">
        <v>3420</v>
      </c>
      <c r="C2482" s="13" t="s">
        <v>11</v>
      </c>
      <c r="D2482" s="17">
        <v>1045.65</v>
      </c>
      <c r="F2482" s="6">
        <v>756.15</v>
      </c>
      <c r="G2482" s="7">
        <f t="shared" ref="G2482:G2488" si="330">(D2482-F2482)/F2482</f>
        <v>0.382860543542948</v>
      </c>
    </row>
    <row r="2483" spans="1:7">
      <c r="A2483" s="14" t="s">
        <v>3421</v>
      </c>
      <c r="B2483" s="12" t="s">
        <v>3422</v>
      </c>
      <c r="C2483" s="13" t="s">
        <v>11</v>
      </c>
      <c r="D2483" s="17">
        <v>1091.5</v>
      </c>
      <c r="F2483" s="6">
        <v>638.95</v>
      </c>
      <c r="G2483" s="7">
        <f t="shared" si="330"/>
        <v>0.708271382737303</v>
      </c>
    </row>
    <row r="2484" ht="62" spans="1:7">
      <c r="A2484" s="18">
        <v>16.92</v>
      </c>
      <c r="B2484" s="15" t="s">
        <v>3423</v>
      </c>
      <c r="C2484" s="13" t="s">
        <v>11</v>
      </c>
      <c r="D2484" s="17">
        <v>2189.15</v>
      </c>
      <c r="F2484" s="6">
        <v>1395.25</v>
      </c>
      <c r="G2484" s="7">
        <f t="shared" si="330"/>
        <v>0.569001970972944</v>
      </c>
    </row>
    <row r="2485" ht="139.5" spans="1:7">
      <c r="A2485" s="18">
        <v>16.93</v>
      </c>
      <c r="B2485" s="15" t="s">
        <v>3424</v>
      </c>
      <c r="C2485" s="13" t="s">
        <v>11</v>
      </c>
      <c r="D2485" s="17">
        <v>3273.25</v>
      </c>
      <c r="F2485" s="6">
        <v>1907.95</v>
      </c>
      <c r="G2485" s="7">
        <f t="shared" si="330"/>
        <v>0.715584789957808</v>
      </c>
    </row>
    <row r="2486" ht="124" spans="1:7">
      <c r="A2486" s="18">
        <v>16.94</v>
      </c>
      <c r="B2486" s="15" t="s">
        <v>3425</v>
      </c>
      <c r="C2486" s="13" t="s">
        <v>14</v>
      </c>
      <c r="D2486" s="17">
        <v>4178</v>
      </c>
      <c r="F2486" s="6">
        <v>2501.1</v>
      </c>
      <c r="G2486" s="7">
        <f t="shared" si="330"/>
        <v>0.670464995402023</v>
      </c>
    </row>
    <row r="2487" ht="124" spans="1:7">
      <c r="A2487" s="18">
        <v>16.95</v>
      </c>
      <c r="B2487" s="15" t="s">
        <v>3426</v>
      </c>
      <c r="C2487" s="13" t="s">
        <v>14</v>
      </c>
      <c r="D2487" s="17">
        <v>4569.25</v>
      </c>
      <c r="F2487" s="6">
        <v>2692.75</v>
      </c>
      <c r="G2487" s="7">
        <f t="shared" si="330"/>
        <v>0.696871228298208</v>
      </c>
    </row>
    <row r="2488" ht="124" spans="1:7">
      <c r="A2488" s="18">
        <v>16.96</v>
      </c>
      <c r="B2488" s="15" t="s">
        <v>3427</v>
      </c>
      <c r="C2488" s="13" t="s">
        <v>14</v>
      </c>
      <c r="D2488" s="17">
        <v>4882.2</v>
      </c>
      <c r="F2488" s="6">
        <v>3139.95</v>
      </c>
      <c r="G2488" s="7">
        <f t="shared" si="330"/>
        <v>0.554865523336359</v>
      </c>
    </row>
    <row r="2489" spans="1:7">
      <c r="A2489" s="6"/>
      <c r="B2489" s="39"/>
      <c r="D2489" s="22"/>
    </row>
    <row r="2490" spans="1:7">
      <c r="A2490" s="6"/>
      <c r="B2490" s="39"/>
      <c r="D2490" s="22"/>
    </row>
    <row r="2491" spans="1:7">
      <c r="A2491" s="6"/>
      <c r="B2491" s="39"/>
      <c r="D2491" s="22"/>
    </row>
    <row r="2492" spans="1:7">
      <c r="A2492" s="6"/>
      <c r="B2492" s="39"/>
      <c r="D2492" s="22"/>
    </row>
    <row r="2493" spans="1:7">
      <c r="A2493" s="6"/>
      <c r="B2493" s="39"/>
      <c r="D2493" s="22"/>
    </row>
    <row r="2494" spans="1:7">
      <c r="A2494" s="6"/>
      <c r="B2494" s="39"/>
      <c r="D2494" s="22"/>
    </row>
    <row r="2495" ht="31" spans="1:7">
      <c r="A2495" s="5" t="s">
        <v>3428</v>
      </c>
      <c r="C2495" s="5"/>
      <c r="D2495" s="5"/>
    </row>
    <row r="2496" spans="1:7">
      <c r="A2496" s="14" t="s">
        <v>166</v>
      </c>
      <c r="B2496" s="15" t="s">
        <v>2</v>
      </c>
      <c r="C2496" s="13" t="s">
        <v>167</v>
      </c>
      <c r="D2496" s="16" t="s">
        <v>4</v>
      </c>
    </row>
    <row r="2497" ht="77.5" spans="1:7">
      <c r="A2497" s="14">
        <v>17.1</v>
      </c>
      <c r="B2497" s="15" t="s">
        <v>3429</v>
      </c>
      <c r="C2497" s="13"/>
      <c r="D2497" s="16"/>
      <c r="E2497" s="5" t="s">
        <v>8</v>
      </c>
    </row>
    <row r="2498" ht="31" spans="1:7">
      <c r="A2498" s="14" t="s">
        <v>3430</v>
      </c>
      <c r="B2498" s="12" t="s">
        <v>3431</v>
      </c>
      <c r="C2498" s="13" t="s">
        <v>126</v>
      </c>
      <c r="D2498" s="17">
        <v>6767.4</v>
      </c>
      <c r="E2498" s="5" t="s">
        <v>8</v>
      </c>
      <c r="F2498" s="6">
        <v>3494.2</v>
      </c>
      <c r="G2498" s="7">
        <f t="shared" ref="G2498:G2502" si="331">(D2498-F2498)/F2498</f>
        <v>0.936752332436609</v>
      </c>
    </row>
    <row r="2499" ht="31" spans="1:7">
      <c r="A2499" s="14" t="s">
        <v>3432</v>
      </c>
      <c r="B2499" s="12" t="s">
        <v>3433</v>
      </c>
      <c r="C2499" s="13" t="s">
        <v>126</v>
      </c>
      <c r="D2499" s="17">
        <v>11390.95</v>
      </c>
      <c r="E2499" s="5" t="s">
        <v>8</v>
      </c>
      <c r="F2499" s="6">
        <v>6769.6</v>
      </c>
      <c r="G2499" s="7">
        <f t="shared" si="331"/>
        <v>0.682662195698416</v>
      </c>
    </row>
    <row r="2500" ht="77.5" spans="1:7">
      <c r="A2500" s="14">
        <v>17.2</v>
      </c>
      <c r="B2500" s="15" t="s">
        <v>3434</v>
      </c>
      <c r="C2500" s="13"/>
      <c r="D2500" s="16"/>
      <c r="E2500" s="5" t="s">
        <v>8</v>
      </c>
    </row>
    <row r="2501" spans="1:7">
      <c r="A2501" s="14" t="s">
        <v>3435</v>
      </c>
      <c r="B2501" s="12" t="s">
        <v>3436</v>
      </c>
      <c r="C2501" s="13" t="s">
        <v>126</v>
      </c>
      <c r="D2501" s="17">
        <v>6515.55</v>
      </c>
      <c r="E2501" s="5" t="s">
        <v>8</v>
      </c>
      <c r="F2501" s="6">
        <v>3418.7</v>
      </c>
      <c r="G2501" s="7">
        <f t="shared" si="331"/>
        <v>0.905856027144821</v>
      </c>
    </row>
    <row r="2502" spans="1:7">
      <c r="A2502" s="14" t="s">
        <v>3437</v>
      </c>
      <c r="B2502" s="12" t="s">
        <v>3438</v>
      </c>
      <c r="C2502" s="13" t="s">
        <v>126</v>
      </c>
      <c r="D2502" s="17">
        <v>6383.25</v>
      </c>
      <c r="E2502" s="5" t="s">
        <v>8</v>
      </c>
      <c r="F2502" s="6">
        <v>3395.45</v>
      </c>
      <c r="G2502" s="7">
        <f t="shared" si="331"/>
        <v>0.879942275692471</v>
      </c>
    </row>
    <row r="2503" ht="93" spans="1:7">
      <c r="A2503" s="14">
        <v>17.3</v>
      </c>
      <c r="B2503" s="15" t="s">
        <v>3439</v>
      </c>
      <c r="C2503" s="13"/>
      <c r="D2503" s="16"/>
      <c r="E2503" s="5" t="s">
        <v>8</v>
      </c>
    </row>
    <row r="2504" spans="1:7">
      <c r="A2504" s="14" t="s">
        <v>3440</v>
      </c>
      <c r="B2504" s="12" t="s">
        <v>3436</v>
      </c>
      <c r="C2504" s="13" t="s">
        <v>126</v>
      </c>
      <c r="D2504" s="17">
        <v>8006.6</v>
      </c>
      <c r="E2504" s="5" t="s">
        <v>8</v>
      </c>
      <c r="F2504" s="6">
        <v>4593.75</v>
      </c>
      <c r="G2504" s="7">
        <f t="shared" ref="G2504:G2510" si="332">(D2504-F2504)/F2504</f>
        <v>0.742933333333333</v>
      </c>
    </row>
    <row r="2505" spans="1:7">
      <c r="A2505" s="14" t="s">
        <v>3441</v>
      </c>
      <c r="B2505" s="12" t="s">
        <v>3438</v>
      </c>
      <c r="C2505" s="13" t="s">
        <v>126</v>
      </c>
      <c r="D2505" s="17">
        <v>7874.3</v>
      </c>
      <c r="E2505" s="5" t="s">
        <v>8</v>
      </c>
      <c r="F2505" s="6">
        <v>4570.5</v>
      </c>
      <c r="G2505" s="7">
        <f t="shared" si="332"/>
        <v>0.72285307953178</v>
      </c>
    </row>
    <row r="2506" ht="77.5" spans="1:7">
      <c r="A2506" s="14">
        <v>17.4</v>
      </c>
      <c r="B2506" s="15" t="s">
        <v>3442</v>
      </c>
      <c r="C2506" s="13"/>
      <c r="D2506" s="16"/>
      <c r="E2506" s="5" t="s">
        <v>8</v>
      </c>
    </row>
    <row r="2507" spans="1:7">
      <c r="A2507" s="14" t="s">
        <v>3443</v>
      </c>
      <c r="B2507" s="12" t="s">
        <v>3444</v>
      </c>
      <c r="C2507" s="13" t="s">
        <v>126</v>
      </c>
      <c r="D2507" s="17">
        <v>6258.75</v>
      </c>
      <c r="E2507" s="5" t="s">
        <v>8</v>
      </c>
      <c r="F2507" s="6">
        <v>3494.15</v>
      </c>
      <c r="G2507" s="7">
        <f t="shared" si="332"/>
        <v>0.791208162213986</v>
      </c>
    </row>
    <row r="2508" spans="1:7">
      <c r="A2508" s="14" t="s">
        <v>3445</v>
      </c>
      <c r="B2508" s="12" t="s">
        <v>3446</v>
      </c>
      <c r="C2508" s="13" t="s">
        <v>126</v>
      </c>
      <c r="D2508" s="17">
        <v>9612.4</v>
      </c>
      <c r="E2508" s="5" t="s">
        <v>8</v>
      </c>
      <c r="F2508" s="6">
        <v>5373.4</v>
      </c>
      <c r="G2508" s="7">
        <f t="shared" si="332"/>
        <v>0.788885993970298</v>
      </c>
    </row>
    <row r="2509" spans="1:7">
      <c r="A2509" s="14" t="s">
        <v>3447</v>
      </c>
      <c r="B2509" s="12" t="s">
        <v>3448</v>
      </c>
      <c r="C2509" s="13" t="s">
        <v>126</v>
      </c>
      <c r="D2509" s="17">
        <v>13417.3</v>
      </c>
      <c r="E2509" s="5" t="s">
        <v>8</v>
      </c>
      <c r="F2509" s="6">
        <v>7403.35</v>
      </c>
      <c r="G2509" s="7">
        <f t="shared" si="332"/>
        <v>0.812328202773069</v>
      </c>
    </row>
    <row r="2510" spans="1:7">
      <c r="A2510" s="14" t="s">
        <v>3449</v>
      </c>
      <c r="B2510" s="12" t="s">
        <v>3450</v>
      </c>
      <c r="C2510" s="13" t="s">
        <v>126</v>
      </c>
      <c r="D2510" s="17">
        <v>18579.95</v>
      </c>
      <c r="E2510" s="5" t="s">
        <v>8</v>
      </c>
      <c r="F2510" s="6">
        <v>10109.6</v>
      </c>
      <c r="G2510" s="7">
        <f t="shared" si="332"/>
        <v>0.837852140539685</v>
      </c>
    </row>
    <row r="2511" ht="77.5" spans="1:7">
      <c r="A2511" s="14">
        <v>17.5</v>
      </c>
      <c r="B2511" s="15" t="s">
        <v>3451</v>
      </c>
      <c r="C2511" s="13"/>
      <c r="D2511" s="16"/>
      <c r="E2511" s="5" t="s">
        <v>8</v>
      </c>
    </row>
    <row r="2512" spans="1:7">
      <c r="A2512" s="14" t="s">
        <v>3452</v>
      </c>
      <c r="B2512" s="12" t="s">
        <v>3453</v>
      </c>
      <c r="C2512" s="13" t="s">
        <v>126</v>
      </c>
      <c r="D2512" s="17">
        <v>12071.75</v>
      </c>
      <c r="E2512" s="5" t="s">
        <v>8</v>
      </c>
      <c r="F2512" s="6">
        <v>6187.4</v>
      </c>
      <c r="G2512" s="7">
        <f t="shared" ref="G2512:G2515" si="333">(D2512-F2512)/F2512</f>
        <v>0.951021430649384</v>
      </c>
    </row>
    <row r="2513" spans="1:7">
      <c r="A2513" s="14" t="s">
        <v>3454</v>
      </c>
      <c r="B2513" s="12" t="s">
        <v>3455</v>
      </c>
      <c r="C2513" s="13" t="s">
        <v>126</v>
      </c>
      <c r="D2513" s="17">
        <v>18008.75</v>
      </c>
      <c r="E2513" s="5" t="s">
        <v>8</v>
      </c>
      <c r="F2513" s="6">
        <v>9317.6</v>
      </c>
      <c r="G2513" s="7">
        <f t="shared" si="333"/>
        <v>0.932767021550614</v>
      </c>
    </row>
    <row r="2514" spans="1:7">
      <c r="A2514" s="14" t="s">
        <v>3456</v>
      </c>
      <c r="B2514" s="12" t="s">
        <v>3457</v>
      </c>
      <c r="C2514" s="13" t="s">
        <v>126</v>
      </c>
      <c r="D2514" s="17">
        <v>22058.25</v>
      </c>
      <c r="E2514" s="5" t="s">
        <v>8</v>
      </c>
      <c r="F2514" s="6">
        <v>11694.9</v>
      </c>
      <c r="G2514" s="7">
        <f t="shared" si="333"/>
        <v>0.886142677577406</v>
      </c>
    </row>
    <row r="2515" spans="1:7">
      <c r="A2515" s="14" t="s">
        <v>3458</v>
      </c>
      <c r="B2515" s="12" t="s">
        <v>3459</v>
      </c>
      <c r="C2515" s="13" t="s">
        <v>126</v>
      </c>
      <c r="D2515" s="17">
        <v>25969.45</v>
      </c>
      <c r="E2515" s="5" t="s">
        <v>8</v>
      </c>
      <c r="F2515" s="6">
        <v>13941.75</v>
      </c>
      <c r="G2515" s="7">
        <f t="shared" si="333"/>
        <v>0.862710922229993</v>
      </c>
    </row>
    <row r="2516" ht="77.5" spans="1:7">
      <c r="A2516" s="14">
        <v>17.6</v>
      </c>
      <c r="B2516" s="15" t="s">
        <v>3460</v>
      </c>
      <c r="C2516" s="13"/>
      <c r="D2516" s="16"/>
      <c r="E2516" s="5" t="s">
        <v>8</v>
      </c>
    </row>
    <row r="2517" spans="1:7">
      <c r="A2517" s="14" t="s">
        <v>3461</v>
      </c>
      <c r="B2517" s="12" t="s">
        <v>3462</v>
      </c>
      <c r="C2517" s="13" t="s">
        <v>126</v>
      </c>
      <c r="D2517" s="17">
        <v>9256.45</v>
      </c>
      <c r="E2517" s="5" t="s">
        <v>8</v>
      </c>
      <c r="F2517" s="6">
        <v>4887.5</v>
      </c>
      <c r="G2517" s="7">
        <f t="shared" ref="G2517:G2520" si="334">(D2517-F2517)/F2517</f>
        <v>0.893902813299233</v>
      </c>
    </row>
    <row r="2518" spans="1:7">
      <c r="A2518" s="14" t="s">
        <v>3463</v>
      </c>
      <c r="B2518" s="12" t="s">
        <v>3464</v>
      </c>
      <c r="C2518" s="13" t="s">
        <v>126</v>
      </c>
      <c r="D2518" s="17">
        <v>13476.35</v>
      </c>
      <c r="E2518" s="5" t="s">
        <v>8</v>
      </c>
      <c r="F2518" s="6">
        <v>7257.4</v>
      </c>
      <c r="G2518" s="7">
        <f t="shared" si="334"/>
        <v>0.85691156612561</v>
      </c>
    </row>
    <row r="2519" spans="1:7">
      <c r="A2519" s="14" t="s">
        <v>3465</v>
      </c>
      <c r="B2519" s="12" t="s">
        <v>3466</v>
      </c>
      <c r="C2519" s="13" t="s">
        <v>126</v>
      </c>
      <c r="D2519" s="17">
        <v>17702.2</v>
      </c>
      <c r="E2519" s="5" t="s">
        <v>8</v>
      </c>
      <c r="F2519" s="6">
        <v>9650.15</v>
      </c>
      <c r="G2519" s="7">
        <f t="shared" si="334"/>
        <v>0.834396356533318</v>
      </c>
    </row>
    <row r="2520" spans="1:7">
      <c r="A2520" s="14" t="s">
        <v>3467</v>
      </c>
      <c r="B2520" s="12" t="s">
        <v>3468</v>
      </c>
      <c r="C2520" s="13" t="s">
        <v>126</v>
      </c>
      <c r="D2520" s="17">
        <v>21203.2</v>
      </c>
      <c r="E2520" s="5" t="s">
        <v>8</v>
      </c>
      <c r="F2520" s="6">
        <v>11723.85</v>
      </c>
      <c r="G2520" s="7">
        <f t="shared" si="334"/>
        <v>0.808552651219523</v>
      </c>
    </row>
    <row r="2521" ht="46.5" spans="1:7">
      <c r="A2521" s="14">
        <v>17.7</v>
      </c>
      <c r="B2521" s="15" t="s">
        <v>3469</v>
      </c>
      <c r="C2521" s="13"/>
      <c r="D2521" s="16"/>
      <c r="E2521" s="5" t="s">
        <v>8</v>
      </c>
    </row>
    <row r="2522" ht="31" spans="1:7">
      <c r="A2522" s="14" t="s">
        <v>3470</v>
      </c>
      <c r="B2522" s="12" t="s">
        <v>3471</v>
      </c>
      <c r="C2522" s="13" t="s">
        <v>126</v>
      </c>
      <c r="D2522" s="17">
        <v>2648.85</v>
      </c>
      <c r="E2522" s="5" t="s">
        <v>8</v>
      </c>
      <c r="F2522" s="6">
        <v>2298.55</v>
      </c>
      <c r="G2522" s="7">
        <f t="shared" ref="G2522:G2532" si="335">(D2522-F2522)/F2522</f>
        <v>0.152400426355746</v>
      </c>
    </row>
    <row r="2523" ht="31" spans="1:7">
      <c r="A2523" s="14" t="s">
        <v>3472</v>
      </c>
      <c r="B2523" s="12" t="s">
        <v>3473</v>
      </c>
      <c r="C2523" s="13" t="s">
        <v>126</v>
      </c>
      <c r="D2523" s="17">
        <v>2226.35</v>
      </c>
      <c r="E2523" s="5" t="s">
        <v>8</v>
      </c>
      <c r="F2523" s="6">
        <v>2020.6</v>
      </c>
      <c r="G2523" s="7">
        <f t="shared" si="335"/>
        <v>0.101826190240523</v>
      </c>
    </row>
    <row r="2524" ht="31" spans="1:7">
      <c r="A2524" s="14" t="s">
        <v>3474</v>
      </c>
      <c r="B2524" s="12" t="s">
        <v>3475</v>
      </c>
      <c r="C2524" s="13" t="s">
        <v>126</v>
      </c>
      <c r="D2524" s="17">
        <v>2301.75</v>
      </c>
      <c r="E2524" s="5" t="s">
        <v>8</v>
      </c>
      <c r="F2524" s="6">
        <v>2095.3</v>
      </c>
      <c r="G2524" s="7">
        <f t="shared" si="335"/>
        <v>0.0985300434305349</v>
      </c>
    </row>
    <row r="2525" ht="31" spans="1:7">
      <c r="A2525" s="14" t="s">
        <v>3476</v>
      </c>
      <c r="B2525" s="12" t="s">
        <v>3477</v>
      </c>
      <c r="C2525" s="13" t="s">
        <v>126</v>
      </c>
      <c r="D2525" s="17">
        <v>1879.2</v>
      </c>
      <c r="E2525" s="5" t="s">
        <v>8</v>
      </c>
      <c r="F2525" s="6">
        <v>1817.35</v>
      </c>
      <c r="G2525" s="7">
        <f t="shared" si="335"/>
        <v>0.0340330701295844</v>
      </c>
    </row>
    <row r="2526" ht="31" spans="1:7">
      <c r="A2526" s="14" t="s">
        <v>3478</v>
      </c>
      <c r="B2526" s="12" t="s">
        <v>3479</v>
      </c>
      <c r="C2526" s="13" t="s">
        <v>126</v>
      </c>
      <c r="D2526" s="17">
        <v>2226.35</v>
      </c>
      <c r="E2526" s="5" t="s">
        <v>8</v>
      </c>
      <c r="F2526" s="6">
        <v>2020.6</v>
      </c>
      <c r="G2526" s="7">
        <f t="shared" si="335"/>
        <v>0.101826190240523</v>
      </c>
    </row>
    <row r="2527" ht="31" spans="1:7">
      <c r="A2527" s="14" t="s">
        <v>3480</v>
      </c>
      <c r="B2527" s="12" t="s">
        <v>3481</v>
      </c>
      <c r="C2527" s="13" t="s">
        <v>126</v>
      </c>
      <c r="D2527" s="17">
        <v>1756.85</v>
      </c>
      <c r="E2527" s="5" t="s">
        <v>8</v>
      </c>
      <c r="F2527" s="6">
        <v>1672.15</v>
      </c>
      <c r="G2527" s="7">
        <f t="shared" si="335"/>
        <v>0.0506533504769308</v>
      </c>
    </row>
    <row r="2528" ht="31" spans="1:7">
      <c r="A2528" s="14" t="s">
        <v>3482</v>
      </c>
      <c r="B2528" s="12" t="s">
        <v>3483</v>
      </c>
      <c r="C2528" s="13" t="s">
        <v>126</v>
      </c>
      <c r="D2528" s="17">
        <v>1513.6</v>
      </c>
      <c r="E2528" s="5" t="s">
        <v>8</v>
      </c>
      <c r="F2528" s="6">
        <v>1556</v>
      </c>
      <c r="G2528" s="7">
        <f t="shared" si="335"/>
        <v>-0.0272493573264782</v>
      </c>
    </row>
    <row r="2529" ht="31" spans="1:7">
      <c r="A2529" s="14" t="s">
        <v>3484</v>
      </c>
      <c r="B2529" s="12" t="s">
        <v>3485</v>
      </c>
      <c r="C2529" s="13" t="s">
        <v>126</v>
      </c>
      <c r="D2529" s="17">
        <v>3600.6</v>
      </c>
      <c r="E2529" s="5" t="s">
        <v>8</v>
      </c>
      <c r="F2529" s="6">
        <v>3175.5</v>
      </c>
      <c r="G2529" s="7">
        <f t="shared" si="335"/>
        <v>0.133868682097307</v>
      </c>
    </row>
    <row r="2530" ht="31" spans="1:7">
      <c r="A2530" s="14" t="s">
        <v>3486</v>
      </c>
      <c r="B2530" s="12" t="s">
        <v>3487</v>
      </c>
      <c r="C2530" s="13" t="s">
        <v>126</v>
      </c>
      <c r="D2530" s="17">
        <v>2940.5</v>
      </c>
      <c r="E2530" s="5" t="s">
        <v>8</v>
      </c>
      <c r="F2530" s="6">
        <v>2617.75</v>
      </c>
      <c r="G2530" s="7">
        <f t="shared" si="335"/>
        <v>0.123292904211632</v>
      </c>
    </row>
    <row r="2531" ht="31" spans="1:7">
      <c r="A2531" s="14" t="s">
        <v>3488</v>
      </c>
      <c r="B2531" s="12" t="s">
        <v>3489</v>
      </c>
      <c r="C2531" s="13" t="s">
        <v>126</v>
      </c>
      <c r="D2531" s="17">
        <v>3438.4</v>
      </c>
      <c r="E2531" s="5" t="s">
        <v>8</v>
      </c>
      <c r="F2531" s="6">
        <v>2920.75</v>
      </c>
      <c r="G2531" s="7">
        <f t="shared" si="335"/>
        <v>0.177231875374476</v>
      </c>
    </row>
    <row r="2532" ht="31" spans="1:7">
      <c r="A2532" s="14" t="s">
        <v>3490</v>
      </c>
      <c r="B2532" s="12" t="s">
        <v>3491</v>
      </c>
      <c r="C2532" s="13" t="s">
        <v>126</v>
      </c>
      <c r="D2532" s="17">
        <v>4149.75</v>
      </c>
      <c r="E2532" s="5" t="s">
        <v>8</v>
      </c>
      <c r="F2532" s="6">
        <v>2920.75</v>
      </c>
      <c r="G2532" s="7">
        <f t="shared" si="335"/>
        <v>0.420782333304802</v>
      </c>
    </row>
    <row r="2533" ht="46.5" spans="1:7">
      <c r="A2533" s="14" t="s">
        <v>3492</v>
      </c>
      <c r="B2533" s="15" t="s">
        <v>3493</v>
      </c>
      <c r="C2533" s="13"/>
      <c r="D2533" s="16"/>
      <c r="E2533" s="5" t="s">
        <v>8</v>
      </c>
    </row>
    <row r="2534" ht="31" spans="1:7">
      <c r="A2534" s="14"/>
      <c r="B2534" s="15" t="s">
        <v>3494</v>
      </c>
      <c r="C2534" s="13" t="s">
        <v>126</v>
      </c>
      <c r="D2534" s="17">
        <v>3960.55</v>
      </c>
      <c r="E2534" s="5" t="s">
        <v>8</v>
      </c>
      <c r="F2534" s="6">
        <v>2984.2</v>
      </c>
      <c r="G2534" s="7">
        <f t="shared" ref="G2534:G2536" si="336">(D2534-F2534)/F2534</f>
        <v>0.327173111721735</v>
      </c>
    </row>
    <row r="2535" ht="62" spans="1:7">
      <c r="A2535" s="14" t="s">
        <v>3495</v>
      </c>
      <c r="B2535" s="15" t="s">
        <v>3496</v>
      </c>
      <c r="C2535" s="13" t="s">
        <v>126</v>
      </c>
      <c r="D2535" s="17">
        <v>1550.6</v>
      </c>
      <c r="E2535" s="5" t="s">
        <v>8</v>
      </c>
      <c r="F2535" s="6">
        <v>1706.2</v>
      </c>
      <c r="G2535" s="7">
        <f t="shared" si="336"/>
        <v>-0.0911968116281797</v>
      </c>
    </row>
    <row r="2536" ht="31" spans="1:7">
      <c r="A2536" s="14">
        <v>17.8</v>
      </c>
      <c r="B2536" s="15" t="s">
        <v>3497</v>
      </c>
      <c r="C2536" s="13" t="s">
        <v>126</v>
      </c>
      <c r="D2536" s="17">
        <v>1683.35</v>
      </c>
      <c r="E2536" s="5" t="s">
        <v>8</v>
      </c>
      <c r="F2536" s="6">
        <v>975.25</v>
      </c>
      <c r="G2536" s="7">
        <f t="shared" si="336"/>
        <v>0.72607023840041</v>
      </c>
    </row>
    <row r="2537" ht="46.5" spans="1:7">
      <c r="A2537" s="14">
        <v>17.9</v>
      </c>
      <c r="B2537" s="15" t="s">
        <v>3498</v>
      </c>
      <c r="C2537" s="13"/>
      <c r="D2537" s="16"/>
      <c r="E2537" s="5" t="s">
        <v>8</v>
      </c>
    </row>
    <row r="2538" spans="1:7">
      <c r="A2538" s="14" t="s">
        <v>3499</v>
      </c>
      <c r="B2538" s="12" t="s">
        <v>3500</v>
      </c>
      <c r="C2538" s="13" t="s">
        <v>126</v>
      </c>
      <c r="D2538" s="17">
        <v>3892.75</v>
      </c>
      <c r="E2538" s="5" t="s">
        <v>8</v>
      </c>
      <c r="F2538" s="6">
        <v>2433.25</v>
      </c>
      <c r="G2538" s="7">
        <f t="shared" ref="G2538:G2544" si="337">(D2538-F2538)/F2538</f>
        <v>0.599815062159663</v>
      </c>
    </row>
    <row r="2539" ht="46.5" spans="1:7">
      <c r="A2539" s="18">
        <v>17.1</v>
      </c>
      <c r="B2539" s="15" t="s">
        <v>3501</v>
      </c>
      <c r="C2539" s="13"/>
      <c r="D2539" s="16"/>
      <c r="E2539" s="5" t="s">
        <v>8</v>
      </c>
    </row>
    <row r="2540" spans="1:7">
      <c r="A2540" s="14" t="s">
        <v>3502</v>
      </c>
      <c r="B2540" s="12" t="s">
        <v>3503</v>
      </c>
      <c r="C2540" s="13"/>
      <c r="D2540" s="16"/>
      <c r="E2540" s="5" t="s">
        <v>8</v>
      </c>
      <c r="F2540" s="8"/>
    </row>
    <row r="2541" spans="1:7">
      <c r="A2541" s="14" t="s">
        <v>3504</v>
      </c>
      <c r="B2541" s="12" t="s">
        <v>3505</v>
      </c>
      <c r="C2541" s="13" t="s">
        <v>126</v>
      </c>
      <c r="D2541" s="17">
        <v>6945.6</v>
      </c>
      <c r="E2541" s="5" t="s">
        <v>8</v>
      </c>
      <c r="F2541" s="6">
        <v>4120.8</v>
      </c>
      <c r="G2541" s="7">
        <f t="shared" si="337"/>
        <v>0.685497961560862</v>
      </c>
    </row>
    <row r="2542" spans="1:7">
      <c r="A2542" s="14" t="s">
        <v>3506</v>
      </c>
      <c r="B2542" s="12" t="s">
        <v>3507</v>
      </c>
      <c r="C2542" s="13" t="s">
        <v>126</v>
      </c>
      <c r="D2542" s="17">
        <v>7514.65</v>
      </c>
      <c r="E2542" s="5" t="s">
        <v>8</v>
      </c>
      <c r="F2542" s="6">
        <v>3830.4</v>
      </c>
      <c r="G2542" s="7">
        <f t="shared" si="337"/>
        <v>0.961844715956558</v>
      </c>
    </row>
    <row r="2543" spans="1:7">
      <c r="A2543" s="14" t="s">
        <v>3508</v>
      </c>
      <c r="B2543" s="12" t="s">
        <v>3509</v>
      </c>
      <c r="C2543" s="13" t="s">
        <v>126</v>
      </c>
      <c r="D2543" s="17">
        <v>7159</v>
      </c>
      <c r="E2543" s="5" t="s">
        <v>8</v>
      </c>
      <c r="F2543" s="6">
        <v>3772.35</v>
      </c>
      <c r="G2543" s="7">
        <f t="shared" si="337"/>
        <v>0.897756040664307</v>
      </c>
    </row>
    <row r="2544" spans="1:7">
      <c r="A2544" s="14" t="s">
        <v>3510</v>
      </c>
      <c r="B2544" s="12" t="s">
        <v>3511</v>
      </c>
      <c r="C2544" s="13" t="s">
        <v>126</v>
      </c>
      <c r="D2544" s="17">
        <v>6917.2</v>
      </c>
      <c r="E2544" s="5" t="s">
        <v>8</v>
      </c>
      <c r="F2544" s="6">
        <v>3714.25</v>
      </c>
      <c r="G2544" s="7">
        <f t="shared" si="337"/>
        <v>0.862340984047923</v>
      </c>
    </row>
    <row r="2545" spans="1:7">
      <c r="A2545" s="14" t="s">
        <v>3512</v>
      </c>
      <c r="B2545" s="12" t="s">
        <v>3513</v>
      </c>
      <c r="C2545" s="13"/>
      <c r="D2545" s="16"/>
      <c r="E2545" s="5" t="s">
        <v>8</v>
      </c>
    </row>
    <row r="2546" spans="1:7">
      <c r="A2546" s="14" t="s">
        <v>3514</v>
      </c>
      <c r="B2546" s="12" t="s">
        <v>3515</v>
      </c>
      <c r="C2546" s="13" t="s">
        <v>126</v>
      </c>
      <c r="D2546" s="17">
        <v>4940.8</v>
      </c>
      <c r="E2546" s="5" t="s">
        <v>8</v>
      </c>
      <c r="F2546" s="6">
        <v>2476.6</v>
      </c>
      <c r="G2546" s="7">
        <f t="shared" ref="G2546:G2548" si="338">(D2546-F2546)/F2546</f>
        <v>0.994993135750626</v>
      </c>
    </row>
    <row r="2547" spans="1:7">
      <c r="A2547" s="14" t="s">
        <v>3516</v>
      </c>
      <c r="B2547" s="12" t="s">
        <v>3517</v>
      </c>
      <c r="C2547" s="13" t="s">
        <v>126</v>
      </c>
      <c r="D2547" s="17">
        <v>3873.8</v>
      </c>
      <c r="E2547" s="5" t="s">
        <v>8</v>
      </c>
      <c r="F2547" s="6">
        <v>2186.25</v>
      </c>
      <c r="G2547" s="7">
        <f t="shared" si="338"/>
        <v>0.771892510005718</v>
      </c>
    </row>
    <row r="2548" spans="1:7">
      <c r="A2548" s="14" t="s">
        <v>3518</v>
      </c>
      <c r="B2548" s="12" t="s">
        <v>3519</v>
      </c>
      <c r="C2548" s="13" t="s">
        <v>126</v>
      </c>
      <c r="D2548" s="17">
        <v>3407.2</v>
      </c>
      <c r="E2548" s="5" t="s">
        <v>8</v>
      </c>
      <c r="F2548" s="6">
        <v>2012</v>
      </c>
      <c r="G2548" s="7">
        <f t="shared" si="338"/>
        <v>0.693439363817097</v>
      </c>
    </row>
    <row r="2549" ht="62" spans="1:7">
      <c r="A2549" s="18">
        <v>17.11</v>
      </c>
      <c r="B2549" s="15" t="s">
        <v>3520</v>
      </c>
      <c r="C2549" s="13"/>
      <c r="D2549" s="16"/>
      <c r="E2549" s="5" t="s">
        <v>8</v>
      </c>
    </row>
    <row r="2550" spans="1:7">
      <c r="A2550" s="14" t="s">
        <v>3521</v>
      </c>
      <c r="B2550" s="12" t="s">
        <v>3522</v>
      </c>
      <c r="C2550" s="13" t="s">
        <v>126</v>
      </c>
      <c r="D2550" s="17">
        <v>5020.85</v>
      </c>
      <c r="E2550" s="5" t="s">
        <v>8</v>
      </c>
      <c r="F2550" s="6">
        <v>2392.6</v>
      </c>
      <c r="G2550" s="7">
        <f t="shared" ref="G2550:G2553" si="339">(D2550-F2550)/F2550</f>
        <v>1.09849118114185</v>
      </c>
    </row>
    <row r="2551" spans="1:7">
      <c r="A2551" s="14" t="s">
        <v>3523</v>
      </c>
      <c r="B2551" s="12" t="s">
        <v>3524</v>
      </c>
      <c r="C2551" s="13" t="s">
        <v>126</v>
      </c>
      <c r="D2551" s="17">
        <v>6585.8</v>
      </c>
      <c r="E2551" s="5" t="s">
        <v>8</v>
      </c>
      <c r="F2551" s="6">
        <v>3211.45</v>
      </c>
      <c r="G2551" s="7">
        <f t="shared" si="339"/>
        <v>1.05072475050211</v>
      </c>
    </row>
    <row r="2552" ht="31" spans="1:7">
      <c r="A2552" s="18">
        <v>17.12</v>
      </c>
      <c r="B2552" s="15" t="s">
        <v>3525</v>
      </c>
      <c r="C2552" s="13"/>
      <c r="D2552" s="16"/>
      <c r="E2552" s="5" t="s">
        <v>8</v>
      </c>
    </row>
    <row r="2553" spans="1:7">
      <c r="A2553" s="14" t="s">
        <v>3526</v>
      </c>
      <c r="B2553" s="12" t="s">
        <v>3527</v>
      </c>
      <c r="C2553" s="13" t="s">
        <v>126</v>
      </c>
      <c r="D2553" s="17">
        <v>1579.65</v>
      </c>
      <c r="E2553" s="5" t="s">
        <v>8</v>
      </c>
      <c r="F2553" s="6">
        <v>1033.3</v>
      </c>
      <c r="G2553" s="7">
        <f t="shared" si="339"/>
        <v>0.52874286267299</v>
      </c>
    </row>
    <row r="2554" spans="1:7">
      <c r="A2554" s="18">
        <v>17.13</v>
      </c>
      <c r="B2554" s="15" t="s">
        <v>3528</v>
      </c>
      <c r="C2554" s="13"/>
      <c r="D2554" s="16"/>
      <c r="E2554" s="5" t="s">
        <v>8</v>
      </c>
    </row>
    <row r="2555" spans="1:7">
      <c r="A2555" s="14" t="s">
        <v>3529</v>
      </c>
      <c r="B2555" s="12" t="s">
        <v>3530</v>
      </c>
      <c r="C2555" s="13" t="s">
        <v>126</v>
      </c>
      <c r="D2555" s="17">
        <v>1959.8</v>
      </c>
      <c r="E2555" s="5" t="s">
        <v>8</v>
      </c>
      <c r="F2555" s="6">
        <v>1073.3</v>
      </c>
      <c r="G2555" s="7">
        <f t="shared" ref="G2555:G2561" si="340">(D2555-F2555)/F2555</f>
        <v>0.825957327867325</v>
      </c>
    </row>
    <row r="2556" spans="1:7">
      <c r="A2556" s="14" t="s">
        <v>3531</v>
      </c>
      <c r="B2556" s="12" t="s">
        <v>3532</v>
      </c>
      <c r="C2556" s="13" t="s">
        <v>126</v>
      </c>
      <c r="D2556" s="17">
        <v>3169.05</v>
      </c>
      <c r="E2556" s="5" t="s">
        <v>8</v>
      </c>
      <c r="F2556" s="6">
        <v>1456.6</v>
      </c>
      <c r="G2556" s="7">
        <f t="shared" si="340"/>
        <v>1.17564877111081</v>
      </c>
    </row>
    <row r="2557" spans="1:7">
      <c r="A2557" s="18">
        <v>17.14</v>
      </c>
      <c r="B2557" s="15" t="s">
        <v>3533</v>
      </c>
      <c r="C2557" s="13"/>
      <c r="D2557" s="16"/>
      <c r="E2557" s="5" t="s">
        <v>8</v>
      </c>
    </row>
    <row r="2558" spans="1:7">
      <c r="A2558" s="14" t="s">
        <v>3534</v>
      </c>
      <c r="B2558" s="12" t="s">
        <v>3535</v>
      </c>
      <c r="C2558" s="13" t="s">
        <v>126</v>
      </c>
      <c r="D2558" s="17">
        <v>426.8</v>
      </c>
      <c r="E2558" s="5" t="s">
        <v>8</v>
      </c>
      <c r="F2558" s="6">
        <v>232.3</v>
      </c>
      <c r="G2558" s="7">
        <f t="shared" si="340"/>
        <v>0.837279380111924</v>
      </c>
    </row>
    <row r="2559" ht="31" spans="1:7">
      <c r="A2559" s="18">
        <v>17.15</v>
      </c>
      <c r="B2559" s="15" t="s">
        <v>3536</v>
      </c>
      <c r="C2559" s="13" t="s">
        <v>126</v>
      </c>
      <c r="D2559" s="17">
        <v>2784.95</v>
      </c>
      <c r="E2559" s="5" t="s">
        <v>8</v>
      </c>
      <c r="F2559" s="6">
        <v>1363.65</v>
      </c>
      <c r="G2559" s="7">
        <f t="shared" si="340"/>
        <v>1.04227624390423</v>
      </c>
    </row>
    <row r="2560" ht="31" spans="1:7">
      <c r="A2560" s="18">
        <v>17.16</v>
      </c>
      <c r="B2560" s="15" t="s">
        <v>3537</v>
      </c>
      <c r="C2560" s="13" t="s">
        <v>126</v>
      </c>
      <c r="D2560" s="17">
        <v>170.7</v>
      </c>
      <c r="E2560" s="5" t="s">
        <v>8</v>
      </c>
      <c r="F2560" s="6">
        <v>638.85</v>
      </c>
      <c r="G2560" s="7">
        <f t="shared" si="340"/>
        <v>-0.732801127025123</v>
      </c>
    </row>
    <row r="2561" ht="46.5" spans="1:7">
      <c r="A2561" s="14" t="s">
        <v>3538</v>
      </c>
      <c r="B2561" s="15" t="s">
        <v>3539</v>
      </c>
      <c r="C2561" s="13" t="s">
        <v>126</v>
      </c>
      <c r="D2561" s="17">
        <v>349.15</v>
      </c>
      <c r="E2561" s="5" t="s">
        <v>8</v>
      </c>
      <c r="F2561" s="6">
        <v>254.8</v>
      </c>
      <c r="G2561" s="7">
        <f t="shared" si="340"/>
        <v>0.370290423861852</v>
      </c>
    </row>
    <row r="2562" ht="31" spans="1:7">
      <c r="A2562" s="18">
        <v>17.17</v>
      </c>
      <c r="B2562" s="15" t="s">
        <v>3540</v>
      </c>
      <c r="C2562" s="13"/>
      <c r="D2562" s="16"/>
      <c r="E2562" s="5" t="s">
        <v>8</v>
      </c>
    </row>
    <row r="2563" spans="1:7">
      <c r="A2563" s="14" t="s">
        <v>3541</v>
      </c>
      <c r="B2563" s="12" t="s">
        <v>3542</v>
      </c>
      <c r="C2563" s="13" t="s">
        <v>2257</v>
      </c>
      <c r="D2563" s="17">
        <v>244.85</v>
      </c>
      <c r="E2563" s="5" t="s">
        <v>8</v>
      </c>
      <c r="F2563" s="6">
        <v>166.3</v>
      </c>
      <c r="G2563" s="7">
        <f t="shared" ref="G2563:G2567" si="341">(D2563-F2563)/F2563</f>
        <v>0.472339146121467</v>
      </c>
    </row>
    <row r="2564" spans="1:7">
      <c r="A2564" s="14" t="s">
        <v>3543</v>
      </c>
      <c r="B2564" s="12" t="s">
        <v>3544</v>
      </c>
      <c r="C2564" s="13" t="s">
        <v>2257</v>
      </c>
      <c r="D2564" s="17">
        <v>256.25</v>
      </c>
      <c r="E2564" s="5" t="s">
        <v>8</v>
      </c>
      <c r="F2564" s="6">
        <v>166.3</v>
      </c>
      <c r="G2564" s="7">
        <f t="shared" si="341"/>
        <v>0.540889957907396</v>
      </c>
    </row>
    <row r="2565" ht="31" spans="1:7">
      <c r="A2565" s="18">
        <v>17.18</v>
      </c>
      <c r="B2565" s="15" t="s">
        <v>3545</v>
      </c>
      <c r="C2565" s="13"/>
      <c r="D2565" s="16"/>
      <c r="E2565" s="5" t="s">
        <v>8</v>
      </c>
    </row>
    <row r="2566" spans="1:7">
      <c r="A2566" s="14" t="s">
        <v>3546</v>
      </c>
      <c r="B2566" s="12" t="s">
        <v>3547</v>
      </c>
      <c r="C2566" s="13" t="s">
        <v>126</v>
      </c>
      <c r="D2566" s="17">
        <v>1190.65</v>
      </c>
      <c r="E2566" s="5" t="s">
        <v>8</v>
      </c>
      <c r="F2566" s="6">
        <v>831.5</v>
      </c>
      <c r="G2566" s="7">
        <f t="shared" si="341"/>
        <v>0.431930246542393</v>
      </c>
    </row>
    <row r="2567" spans="1:7">
      <c r="A2567" s="14" t="s">
        <v>3548</v>
      </c>
      <c r="B2567" s="12" t="s">
        <v>3549</v>
      </c>
      <c r="C2567" s="13" t="s">
        <v>126</v>
      </c>
      <c r="D2567" s="17">
        <v>1136.6</v>
      </c>
      <c r="E2567" s="5" t="s">
        <v>8</v>
      </c>
      <c r="F2567" s="6">
        <v>765.45</v>
      </c>
      <c r="G2567" s="7">
        <f t="shared" si="341"/>
        <v>0.484878176236201</v>
      </c>
    </row>
    <row r="2568" ht="31" spans="1:7">
      <c r="A2568" s="18">
        <v>17.19</v>
      </c>
      <c r="B2568" s="15" t="s">
        <v>3550</v>
      </c>
      <c r="C2568" s="13"/>
      <c r="D2568" s="16"/>
      <c r="E2568" s="5" t="s">
        <v>8</v>
      </c>
    </row>
    <row r="2569" spans="1:7">
      <c r="A2569" s="14" t="s">
        <v>3551</v>
      </c>
      <c r="B2569" s="12" t="s">
        <v>3552</v>
      </c>
      <c r="C2569" s="13" t="s">
        <v>126</v>
      </c>
      <c r="D2569" s="17">
        <v>2243.75</v>
      </c>
      <c r="E2569" s="5" t="s">
        <v>8</v>
      </c>
      <c r="F2569" s="6">
        <v>1452.9</v>
      </c>
      <c r="G2569" s="7">
        <f t="shared" ref="G2569:G2576" si="342">(D2569-F2569)/F2569</f>
        <v>0.544325142817813</v>
      </c>
    </row>
    <row r="2570" spans="1:7">
      <c r="A2570" s="14" t="s">
        <v>3553</v>
      </c>
      <c r="B2570" s="12" t="s">
        <v>3554</v>
      </c>
      <c r="C2570" s="13" t="s">
        <v>126</v>
      </c>
      <c r="D2570" s="17">
        <v>2912.4</v>
      </c>
      <c r="E2570" s="5" t="s">
        <v>8</v>
      </c>
      <c r="F2570" s="6">
        <v>1917.5</v>
      </c>
      <c r="G2570" s="7">
        <f t="shared" si="342"/>
        <v>0.518852672750978</v>
      </c>
    </row>
    <row r="2571" spans="1:7">
      <c r="A2571" s="18">
        <v>17.2</v>
      </c>
      <c r="B2571" s="15" t="s">
        <v>3555</v>
      </c>
      <c r="C2571" s="13"/>
      <c r="D2571" s="16"/>
      <c r="E2571" s="5" t="s">
        <v>8</v>
      </c>
    </row>
    <row r="2572" spans="1:7">
      <c r="A2572" s="14" t="s">
        <v>3556</v>
      </c>
      <c r="B2572" s="12" t="s">
        <v>3557</v>
      </c>
      <c r="C2572" s="13" t="s">
        <v>126</v>
      </c>
      <c r="D2572" s="17">
        <v>684.85</v>
      </c>
      <c r="E2572" s="5" t="s">
        <v>8</v>
      </c>
      <c r="F2572" s="6">
        <v>410.2</v>
      </c>
      <c r="G2572" s="7">
        <f t="shared" si="342"/>
        <v>0.66955143832277</v>
      </c>
    </row>
    <row r="2573" spans="1:7">
      <c r="A2573" s="14" t="s">
        <v>3558</v>
      </c>
      <c r="B2573" s="12" t="s">
        <v>3559</v>
      </c>
      <c r="C2573" s="13" t="s">
        <v>126</v>
      </c>
      <c r="D2573" s="17">
        <v>552.55</v>
      </c>
      <c r="E2573" s="5" t="s">
        <v>8</v>
      </c>
      <c r="F2573" s="6">
        <v>386.95</v>
      </c>
      <c r="G2573" s="7">
        <f t="shared" si="342"/>
        <v>0.427962269027006</v>
      </c>
    </row>
    <row r="2574" spans="1:7">
      <c r="A2574" s="14" t="s">
        <v>3560</v>
      </c>
      <c r="B2574" s="12" t="s">
        <v>3561</v>
      </c>
      <c r="C2574" s="13" t="s">
        <v>126</v>
      </c>
      <c r="D2574" s="17">
        <v>590.95</v>
      </c>
      <c r="E2574" s="5" t="s">
        <v>8</v>
      </c>
      <c r="F2574" s="6">
        <v>497.3</v>
      </c>
      <c r="G2574" s="7">
        <f t="shared" si="342"/>
        <v>0.188316911321134</v>
      </c>
    </row>
    <row r="2575" spans="1:7">
      <c r="A2575" s="18">
        <v>17.22</v>
      </c>
      <c r="B2575" s="15" t="s">
        <v>3562</v>
      </c>
      <c r="C2575" s="13" t="s">
        <v>126</v>
      </c>
      <c r="D2575" s="17">
        <v>142.85</v>
      </c>
      <c r="E2575" s="5" t="s">
        <v>8</v>
      </c>
      <c r="F2575" s="6">
        <v>96.6</v>
      </c>
      <c r="G2575" s="7">
        <f t="shared" si="342"/>
        <v>0.478778467908903</v>
      </c>
    </row>
    <row r="2576" ht="31" spans="1:7">
      <c r="A2576" s="14" t="s">
        <v>3563</v>
      </c>
      <c r="B2576" s="15" t="s">
        <v>3564</v>
      </c>
      <c r="C2576" s="13" t="s">
        <v>126</v>
      </c>
      <c r="D2576" s="17">
        <v>1034.8</v>
      </c>
      <c r="E2576" s="5" t="s">
        <v>8</v>
      </c>
      <c r="F2576" s="6">
        <v>795.15</v>
      </c>
      <c r="G2576" s="7">
        <f t="shared" si="342"/>
        <v>0.301389674904106</v>
      </c>
    </row>
    <row r="2577" ht="31" spans="1:7">
      <c r="A2577" s="14" t="s">
        <v>3565</v>
      </c>
      <c r="B2577" s="15" t="s">
        <v>3566</v>
      </c>
      <c r="C2577" s="13"/>
      <c r="D2577" s="17"/>
      <c r="E2577" s="5" t="s">
        <v>8</v>
      </c>
    </row>
    <row r="2578" spans="1:7">
      <c r="A2578" s="14"/>
      <c r="B2578" s="15" t="s">
        <v>3567</v>
      </c>
      <c r="C2578" s="13" t="s">
        <v>126</v>
      </c>
      <c r="D2578" s="17">
        <v>6940.75</v>
      </c>
      <c r="E2578" s="5" t="s">
        <v>8</v>
      </c>
      <c r="F2578" s="6">
        <v>4715.75</v>
      </c>
      <c r="G2578" s="7">
        <f t="shared" ref="G2578:G2580" si="343">(D2578-F2578)/F2578</f>
        <v>0.471823145841064</v>
      </c>
    </row>
    <row r="2579" ht="31" spans="1:7">
      <c r="A2579" s="18">
        <v>17.23</v>
      </c>
      <c r="B2579" s="15" t="s">
        <v>3568</v>
      </c>
      <c r="C2579" s="13" t="s">
        <v>126</v>
      </c>
      <c r="D2579" s="17">
        <v>1648.95</v>
      </c>
      <c r="E2579" s="5" t="s">
        <v>8</v>
      </c>
      <c r="F2579" s="6">
        <v>930.75</v>
      </c>
      <c r="G2579" s="7">
        <f t="shared" si="343"/>
        <v>0.771635777598711</v>
      </c>
    </row>
    <row r="2580" ht="31" spans="1:7">
      <c r="A2580" s="18">
        <v>17.24</v>
      </c>
      <c r="B2580" s="15" t="s">
        <v>3569</v>
      </c>
      <c r="C2580" s="13" t="s">
        <v>126</v>
      </c>
      <c r="D2580" s="17">
        <v>4048.65</v>
      </c>
      <c r="E2580" s="5" t="s">
        <v>8</v>
      </c>
      <c r="F2580" s="6">
        <v>2264.75</v>
      </c>
      <c r="G2580" s="7">
        <f t="shared" si="343"/>
        <v>0.787680759465725</v>
      </c>
    </row>
    <row r="2581" ht="31" spans="1:7">
      <c r="A2581" s="18">
        <v>17.25</v>
      </c>
      <c r="B2581" s="15" t="s">
        <v>3570</v>
      </c>
      <c r="C2581" s="13"/>
      <c r="D2581" s="16"/>
      <c r="E2581" s="5" t="s">
        <v>8</v>
      </c>
    </row>
    <row r="2582" spans="1:7">
      <c r="A2582" s="14" t="s">
        <v>3571</v>
      </c>
      <c r="B2582" s="12" t="s">
        <v>3572</v>
      </c>
      <c r="C2582" s="13" t="s">
        <v>126</v>
      </c>
      <c r="D2582" s="17">
        <v>1339.7</v>
      </c>
      <c r="E2582" s="5" t="s">
        <v>8</v>
      </c>
      <c r="F2582" s="6">
        <v>969.3</v>
      </c>
      <c r="G2582" s="7">
        <f t="shared" ref="G2582:G2587" si="344">(D2582-F2582)/F2582</f>
        <v>0.382131435056226</v>
      </c>
    </row>
    <row r="2583" spans="1:7">
      <c r="A2583" s="14" t="s">
        <v>3573</v>
      </c>
      <c r="B2583" s="12" t="s">
        <v>3574</v>
      </c>
      <c r="C2583" s="13" t="s">
        <v>126</v>
      </c>
      <c r="D2583" s="17">
        <v>992.6</v>
      </c>
      <c r="E2583" s="5" t="s">
        <v>8</v>
      </c>
      <c r="F2583" s="6">
        <v>766.05</v>
      </c>
      <c r="G2583" s="7">
        <f t="shared" si="344"/>
        <v>0.295737876117747</v>
      </c>
    </row>
    <row r="2584" spans="1:7">
      <c r="A2584" s="14" t="s">
        <v>3575</v>
      </c>
      <c r="B2584" s="12" t="s">
        <v>3576</v>
      </c>
      <c r="C2584" s="13" t="s">
        <v>126</v>
      </c>
      <c r="D2584" s="17">
        <v>1339.7</v>
      </c>
      <c r="E2584" s="5" t="s">
        <v>8</v>
      </c>
      <c r="F2584" s="6">
        <v>969.3</v>
      </c>
      <c r="G2584" s="7">
        <f t="shared" si="344"/>
        <v>0.382131435056226</v>
      </c>
    </row>
    <row r="2585" spans="1:7">
      <c r="A2585" s="14" t="s">
        <v>3577</v>
      </c>
      <c r="B2585" s="12" t="s">
        <v>3578</v>
      </c>
      <c r="C2585" s="13" t="s">
        <v>126</v>
      </c>
      <c r="D2585" s="17">
        <v>870.25</v>
      </c>
      <c r="E2585" s="5" t="s">
        <v>8</v>
      </c>
      <c r="F2585" s="6">
        <v>620.85</v>
      </c>
      <c r="G2585" s="7">
        <f t="shared" si="344"/>
        <v>0.401707336715793</v>
      </c>
    </row>
    <row r="2586" spans="1:7">
      <c r="A2586" s="14" t="s">
        <v>3579</v>
      </c>
      <c r="B2586" s="12" t="s">
        <v>3580</v>
      </c>
      <c r="C2586" s="13" t="s">
        <v>126</v>
      </c>
      <c r="D2586" s="17">
        <v>627</v>
      </c>
      <c r="E2586" s="5" t="s">
        <v>8</v>
      </c>
      <c r="F2586" s="6">
        <v>504.7</v>
      </c>
      <c r="G2586" s="7">
        <f t="shared" si="344"/>
        <v>0.242322171587081</v>
      </c>
    </row>
    <row r="2587" spans="1:7">
      <c r="A2587" s="14" t="s">
        <v>3581</v>
      </c>
      <c r="B2587" s="12" t="s">
        <v>3582</v>
      </c>
      <c r="C2587" s="13" t="s">
        <v>126</v>
      </c>
      <c r="D2587" s="17">
        <v>1816.3</v>
      </c>
      <c r="E2587" s="5" t="s">
        <v>8</v>
      </c>
      <c r="F2587" s="6">
        <v>1288.7</v>
      </c>
      <c r="G2587" s="7">
        <f t="shared" si="344"/>
        <v>0.409404826569411</v>
      </c>
    </row>
    <row r="2588" ht="31" spans="1:7">
      <c r="A2588" s="18">
        <v>17.26</v>
      </c>
      <c r="B2588" s="15" t="s">
        <v>3583</v>
      </c>
      <c r="C2588" s="13"/>
      <c r="D2588" s="16"/>
      <c r="E2588" s="5" t="s">
        <v>8</v>
      </c>
    </row>
    <row r="2589" spans="1:7">
      <c r="A2589" s="14" t="s">
        <v>3584</v>
      </c>
      <c r="B2589" s="12" t="s">
        <v>3585</v>
      </c>
      <c r="C2589" s="13" t="s">
        <v>126</v>
      </c>
      <c r="D2589" s="17">
        <v>2199.8</v>
      </c>
      <c r="E2589" s="5" t="s">
        <v>8</v>
      </c>
      <c r="F2589" s="6">
        <v>1612.9</v>
      </c>
      <c r="G2589" s="7">
        <f t="shared" ref="G2589:G2592" si="345">(D2589-F2589)/F2589</f>
        <v>0.363878727757456</v>
      </c>
    </row>
    <row r="2590" ht="31" spans="1:7">
      <c r="A2590" s="18">
        <v>17.27</v>
      </c>
      <c r="B2590" s="15" t="s">
        <v>3586</v>
      </c>
      <c r="C2590" s="13"/>
      <c r="D2590" s="16"/>
      <c r="E2590" s="5" t="s">
        <v>8</v>
      </c>
    </row>
    <row r="2591" spans="1:7">
      <c r="A2591" s="14" t="s">
        <v>3587</v>
      </c>
      <c r="B2591" s="12" t="s">
        <v>3522</v>
      </c>
      <c r="C2591" s="13" t="s">
        <v>126</v>
      </c>
      <c r="D2591" s="17">
        <v>2512.75</v>
      </c>
      <c r="E2591" s="5" t="s">
        <v>8</v>
      </c>
      <c r="F2591" s="6">
        <v>1055.35</v>
      </c>
      <c r="G2591" s="7">
        <f t="shared" si="345"/>
        <v>1.38096366134458</v>
      </c>
    </row>
    <row r="2592" spans="1:7">
      <c r="A2592" s="14" t="s">
        <v>3588</v>
      </c>
      <c r="B2592" s="12" t="s">
        <v>3524</v>
      </c>
      <c r="C2592" s="13" t="s">
        <v>126</v>
      </c>
      <c r="D2592" s="17">
        <v>4077.65</v>
      </c>
      <c r="E2592" s="5" t="s">
        <v>8</v>
      </c>
      <c r="F2592" s="6">
        <v>1874.2</v>
      </c>
      <c r="G2592" s="7">
        <f t="shared" si="345"/>
        <v>1.17567495464732</v>
      </c>
    </row>
    <row r="2593" ht="31" spans="1:7">
      <c r="A2593" s="18">
        <v>17.28</v>
      </c>
      <c r="B2593" s="15" t="s">
        <v>3589</v>
      </c>
      <c r="C2593" s="13"/>
      <c r="D2593" s="16"/>
      <c r="E2593" s="5" t="s">
        <v>8</v>
      </c>
    </row>
    <row r="2594" spans="1:7">
      <c r="A2594" s="14" t="s">
        <v>3590</v>
      </c>
      <c r="B2594" s="12" t="s">
        <v>3591</v>
      </c>
      <c r="C2594" s="13"/>
      <c r="D2594" s="16"/>
      <c r="E2594" s="5" t="s">
        <v>8</v>
      </c>
    </row>
    <row r="2595" spans="1:7">
      <c r="A2595" s="14" t="s">
        <v>3592</v>
      </c>
      <c r="B2595" s="12" t="s">
        <v>2792</v>
      </c>
      <c r="C2595" s="13" t="s">
        <v>126</v>
      </c>
      <c r="D2595" s="17">
        <v>103.9</v>
      </c>
      <c r="E2595" s="5" t="s">
        <v>8</v>
      </c>
      <c r="F2595" s="6">
        <v>75.6</v>
      </c>
      <c r="G2595" s="7">
        <f t="shared" ref="G2595:G2602" si="346">(D2595-F2595)/F2595</f>
        <v>0.374338624338625</v>
      </c>
    </row>
    <row r="2596" spans="1:7">
      <c r="A2596" s="14" t="s">
        <v>3593</v>
      </c>
      <c r="B2596" s="12" t="s">
        <v>2794</v>
      </c>
      <c r="C2596" s="13" t="s">
        <v>126</v>
      </c>
      <c r="D2596" s="17">
        <v>116.7</v>
      </c>
      <c r="E2596" s="5" t="s">
        <v>8</v>
      </c>
      <c r="F2596" s="6">
        <v>81.4</v>
      </c>
      <c r="G2596" s="7">
        <f t="shared" si="346"/>
        <v>0.433660933660934</v>
      </c>
    </row>
    <row r="2597" spans="1:7">
      <c r="A2597" s="14" t="s">
        <v>3594</v>
      </c>
      <c r="B2597" s="12" t="s">
        <v>3595</v>
      </c>
      <c r="C2597" s="13"/>
      <c r="D2597" s="16"/>
      <c r="E2597" s="5" t="s">
        <v>8</v>
      </c>
    </row>
    <row r="2598" spans="1:7">
      <c r="A2598" s="14" t="s">
        <v>3596</v>
      </c>
      <c r="B2598" s="12" t="s">
        <v>2792</v>
      </c>
      <c r="C2598" s="13" t="s">
        <v>126</v>
      </c>
      <c r="D2598" s="17">
        <v>119.55</v>
      </c>
      <c r="E2598" s="5" t="s">
        <v>8</v>
      </c>
      <c r="F2598" s="6">
        <v>73.25</v>
      </c>
      <c r="G2598" s="7">
        <f t="shared" si="346"/>
        <v>0.632081911262799</v>
      </c>
    </row>
    <row r="2599" spans="1:7">
      <c r="A2599" s="14" t="s">
        <v>3597</v>
      </c>
      <c r="B2599" s="12" t="s">
        <v>2794</v>
      </c>
      <c r="C2599" s="13" t="s">
        <v>126</v>
      </c>
      <c r="D2599" s="17">
        <v>119.55</v>
      </c>
      <c r="E2599" s="5" t="s">
        <v>8</v>
      </c>
      <c r="F2599" s="6">
        <v>75.6</v>
      </c>
      <c r="G2599" s="7">
        <f t="shared" si="346"/>
        <v>0.581349206349206</v>
      </c>
    </row>
    <row r="2600" spans="1:7">
      <c r="A2600" s="18">
        <v>17.29</v>
      </c>
      <c r="B2600" s="15" t="s">
        <v>3598</v>
      </c>
      <c r="C2600" s="13" t="s">
        <v>126</v>
      </c>
      <c r="D2600" s="17">
        <v>53.25</v>
      </c>
      <c r="E2600" s="5" t="s">
        <v>8</v>
      </c>
      <c r="F2600" s="6">
        <v>29.25</v>
      </c>
      <c r="G2600" s="7">
        <f t="shared" si="346"/>
        <v>0.82051282051282</v>
      </c>
    </row>
    <row r="2601" ht="31" spans="1:7">
      <c r="A2601" s="18">
        <v>17.3</v>
      </c>
      <c r="B2601" s="15" t="s">
        <v>3599</v>
      </c>
      <c r="C2601" s="13" t="s">
        <v>126</v>
      </c>
      <c r="D2601" s="17">
        <v>55.65</v>
      </c>
      <c r="E2601" s="5" t="s">
        <v>8</v>
      </c>
      <c r="F2601" s="6">
        <v>38.5</v>
      </c>
      <c r="G2601" s="7">
        <f t="shared" si="346"/>
        <v>0.445454545454545</v>
      </c>
    </row>
    <row r="2602" ht="46.5" spans="1:7">
      <c r="A2602" s="18">
        <v>17.31</v>
      </c>
      <c r="B2602" s="15" t="s">
        <v>3600</v>
      </c>
      <c r="C2602" s="13" t="s">
        <v>126</v>
      </c>
      <c r="D2602" s="17">
        <v>1607.95</v>
      </c>
      <c r="E2602" s="5" t="s">
        <v>8</v>
      </c>
      <c r="F2602" s="6">
        <v>817.95</v>
      </c>
      <c r="G2602" s="7">
        <f t="shared" si="346"/>
        <v>0.965829207164252</v>
      </c>
    </row>
    <row r="2603" ht="46.5" spans="1:7">
      <c r="A2603" s="18">
        <v>17.32</v>
      </c>
      <c r="B2603" s="15" t="s">
        <v>3601</v>
      </c>
      <c r="C2603" s="13"/>
      <c r="D2603" s="16"/>
      <c r="E2603" s="5" t="s">
        <v>8</v>
      </c>
    </row>
    <row r="2604" spans="1:7">
      <c r="A2604" s="14" t="s">
        <v>3602</v>
      </c>
      <c r="B2604" s="12" t="s">
        <v>3603</v>
      </c>
      <c r="C2604" s="13" t="s">
        <v>126</v>
      </c>
      <c r="D2604" s="17">
        <v>1479.05</v>
      </c>
      <c r="E2604" s="5" t="s">
        <v>8</v>
      </c>
      <c r="F2604" s="6">
        <v>905</v>
      </c>
      <c r="G2604" s="7">
        <f t="shared" ref="G2604:G2608" si="347">(D2604-F2604)/F2604</f>
        <v>0.634309392265193</v>
      </c>
    </row>
    <row r="2605" spans="1:7">
      <c r="A2605" s="14" t="s">
        <v>3604</v>
      </c>
      <c r="B2605" s="12" t="s">
        <v>3605</v>
      </c>
      <c r="C2605" s="13" t="s">
        <v>126</v>
      </c>
      <c r="D2605" s="17">
        <v>1361.8</v>
      </c>
      <c r="E2605" s="5" t="s">
        <v>8</v>
      </c>
      <c r="F2605" s="6">
        <v>752.8</v>
      </c>
      <c r="G2605" s="7">
        <f t="shared" si="347"/>
        <v>0.808979808714134</v>
      </c>
    </row>
    <row r="2606" spans="1:7">
      <c r="A2606" s="14" t="s">
        <v>3606</v>
      </c>
      <c r="B2606" s="12" t="s">
        <v>3607</v>
      </c>
      <c r="C2606" s="13" t="s">
        <v>126</v>
      </c>
      <c r="D2606" s="17">
        <v>1377.1</v>
      </c>
      <c r="E2606" s="5" t="s">
        <v>8</v>
      </c>
      <c r="F2606" s="6">
        <v>809.5</v>
      </c>
      <c r="G2606" s="7">
        <f t="shared" si="347"/>
        <v>0.701173563928351</v>
      </c>
    </row>
    <row r="2607" spans="1:7">
      <c r="A2607" s="14" t="s">
        <v>3608</v>
      </c>
      <c r="B2607" s="12" t="s">
        <v>3609</v>
      </c>
      <c r="C2607" s="13" t="s">
        <v>126</v>
      </c>
      <c r="D2607" s="17">
        <v>2093</v>
      </c>
      <c r="E2607" s="5" t="s">
        <v>8</v>
      </c>
      <c r="F2607" s="6">
        <v>1323.1</v>
      </c>
      <c r="G2607" s="7">
        <f t="shared" si="347"/>
        <v>0.581891013528834</v>
      </c>
    </row>
    <row r="2608" ht="46.5" spans="1:7">
      <c r="A2608" s="18">
        <v>17.33</v>
      </c>
      <c r="B2608" s="15" t="s">
        <v>3610</v>
      </c>
      <c r="C2608" s="13" t="s">
        <v>126</v>
      </c>
      <c r="D2608" s="17">
        <v>1083.5</v>
      </c>
      <c r="E2608" s="5" t="s">
        <v>8</v>
      </c>
      <c r="F2608" s="6">
        <v>573.3</v>
      </c>
      <c r="G2608" s="7">
        <f t="shared" si="347"/>
        <v>0.889935461364033</v>
      </c>
    </row>
    <row r="2609" spans="1:7">
      <c r="A2609" s="18">
        <v>17.34</v>
      </c>
      <c r="B2609" s="15" t="s">
        <v>3611</v>
      </c>
      <c r="C2609" s="13"/>
      <c r="D2609" s="16"/>
      <c r="E2609" s="5" t="s">
        <v>8</v>
      </c>
    </row>
    <row r="2610" spans="1:7">
      <c r="A2610" s="14" t="s">
        <v>3612</v>
      </c>
      <c r="B2610" s="12" t="s">
        <v>3613</v>
      </c>
      <c r="C2610" s="13" t="s">
        <v>126</v>
      </c>
      <c r="D2610" s="17">
        <v>803.7</v>
      </c>
      <c r="E2610" s="5" t="s">
        <v>8</v>
      </c>
      <c r="F2610" s="6">
        <v>385.35</v>
      </c>
      <c r="G2610" s="7">
        <f t="shared" ref="G2610:G2616" si="348">(D2610-F2610)/F2610</f>
        <v>1.08563643441028</v>
      </c>
    </row>
    <row r="2611" spans="1:7">
      <c r="A2611" s="14" t="s">
        <v>3614</v>
      </c>
      <c r="B2611" s="12" t="s">
        <v>3615</v>
      </c>
      <c r="C2611" s="13" t="s">
        <v>126</v>
      </c>
      <c r="D2611" s="17">
        <v>546.35</v>
      </c>
      <c r="E2611" s="5" t="s">
        <v>8</v>
      </c>
      <c r="F2611" s="6">
        <v>295.45</v>
      </c>
      <c r="G2611" s="7">
        <f t="shared" si="348"/>
        <v>0.849213064816382</v>
      </c>
    </row>
    <row r="2612" spans="1:7">
      <c r="A2612" s="18">
        <v>17.35</v>
      </c>
      <c r="B2612" s="15" t="s">
        <v>3616</v>
      </c>
      <c r="C2612" s="13"/>
      <c r="D2612" s="16"/>
      <c r="E2612" s="5" t="s">
        <v>8</v>
      </c>
    </row>
    <row r="2613" spans="1:7">
      <c r="A2613" s="14" t="s">
        <v>3617</v>
      </c>
      <c r="B2613" s="12" t="s">
        <v>3618</v>
      </c>
      <c r="C2613" s="13"/>
      <c r="D2613" s="16"/>
      <c r="E2613" s="5" t="s">
        <v>8</v>
      </c>
    </row>
    <row r="2614" spans="1:7">
      <c r="A2614" s="14" t="s">
        <v>3619</v>
      </c>
      <c r="B2614" s="12" t="s">
        <v>3620</v>
      </c>
      <c r="C2614" s="13" t="s">
        <v>39</v>
      </c>
      <c r="D2614" s="17">
        <v>1151.9</v>
      </c>
      <c r="E2614" s="5" t="s">
        <v>8</v>
      </c>
      <c r="F2614" s="6">
        <v>862.8</v>
      </c>
      <c r="G2614" s="7">
        <f t="shared" si="348"/>
        <v>0.335071859063514</v>
      </c>
    </row>
    <row r="2615" spans="1:7">
      <c r="A2615" s="14" t="s">
        <v>3621</v>
      </c>
      <c r="B2615" s="12" t="s">
        <v>3622</v>
      </c>
      <c r="C2615" s="13" t="s">
        <v>39</v>
      </c>
      <c r="D2615" s="17">
        <v>1180.75</v>
      </c>
      <c r="E2615" s="5" t="s">
        <v>8</v>
      </c>
      <c r="F2615" s="6">
        <v>921.65</v>
      </c>
      <c r="G2615" s="7">
        <f t="shared" si="348"/>
        <v>0.28112624098085</v>
      </c>
    </row>
    <row r="2616" spans="1:7">
      <c r="A2616" s="14" t="s">
        <v>3623</v>
      </c>
      <c r="B2616" s="12" t="s">
        <v>3624</v>
      </c>
      <c r="C2616" s="13" t="s">
        <v>39</v>
      </c>
      <c r="D2616" s="17">
        <v>1169.3</v>
      </c>
      <c r="E2616" s="5" t="s">
        <v>8</v>
      </c>
      <c r="F2616" s="6">
        <v>925.55</v>
      </c>
      <c r="G2616" s="7">
        <f t="shared" si="348"/>
        <v>0.263356922910702</v>
      </c>
    </row>
    <row r="2617" spans="1:7">
      <c r="A2617" s="14" t="s">
        <v>3625</v>
      </c>
      <c r="B2617" s="12" t="s">
        <v>3626</v>
      </c>
      <c r="C2617" s="13"/>
      <c r="D2617" s="16"/>
      <c r="E2617" s="5" t="s">
        <v>8</v>
      </c>
    </row>
    <row r="2618" spans="1:7">
      <c r="A2618" s="14" t="s">
        <v>3627</v>
      </c>
      <c r="B2618" s="12" t="s">
        <v>3620</v>
      </c>
      <c r="C2618" s="13" t="s">
        <v>39</v>
      </c>
      <c r="D2618" s="17">
        <v>1044.75</v>
      </c>
      <c r="E2618" s="5" t="s">
        <v>8</v>
      </c>
      <c r="F2618" s="6">
        <v>712.2</v>
      </c>
      <c r="G2618" s="7">
        <f t="shared" ref="G2618:G2620" si="349">(D2618-F2618)/F2618</f>
        <v>0.466933445661331</v>
      </c>
    </row>
    <row r="2619" spans="1:7">
      <c r="A2619" s="14" t="s">
        <v>3628</v>
      </c>
      <c r="B2619" s="12" t="s">
        <v>3629</v>
      </c>
      <c r="C2619" s="13" t="s">
        <v>39</v>
      </c>
      <c r="D2619" s="17">
        <v>1186</v>
      </c>
      <c r="E2619" s="5" t="s">
        <v>8</v>
      </c>
      <c r="F2619" s="6">
        <v>794.55</v>
      </c>
      <c r="G2619" s="7">
        <f t="shared" si="349"/>
        <v>0.492668806242527</v>
      </c>
    </row>
    <row r="2620" spans="1:7">
      <c r="A2620" s="14" t="s">
        <v>3630</v>
      </c>
      <c r="B2620" s="12" t="s">
        <v>3631</v>
      </c>
      <c r="C2620" s="13" t="s">
        <v>39</v>
      </c>
      <c r="D2620" s="17">
        <v>964.25</v>
      </c>
      <c r="E2620" s="5" t="s">
        <v>8</v>
      </c>
      <c r="F2620" s="6">
        <v>759.8</v>
      </c>
      <c r="G2620" s="7">
        <f t="shared" si="349"/>
        <v>0.269083969465649</v>
      </c>
    </row>
    <row r="2621" ht="31" spans="1:7">
      <c r="A2621" s="18">
        <v>17.36</v>
      </c>
      <c r="B2621" s="15" t="s">
        <v>3632</v>
      </c>
      <c r="C2621" s="13"/>
      <c r="D2621" s="16"/>
      <c r="E2621" s="5" t="s">
        <v>8</v>
      </c>
    </row>
    <row r="2622" spans="1:7">
      <c r="A2622" s="14" t="s">
        <v>3633</v>
      </c>
      <c r="B2622" s="12" t="s">
        <v>3634</v>
      </c>
      <c r="C2622" s="13" t="s">
        <v>126</v>
      </c>
      <c r="D2622" s="17">
        <v>168.2</v>
      </c>
      <c r="E2622" s="5" t="s">
        <v>8</v>
      </c>
      <c r="F2622" s="6">
        <v>72.95</v>
      </c>
      <c r="G2622" s="7">
        <f t="shared" ref="G2622:G2626" si="350">(D2622-F2622)/F2622</f>
        <v>1.30568882796436</v>
      </c>
    </row>
    <row r="2623" spans="1:7">
      <c r="A2623" s="14" t="s">
        <v>3635</v>
      </c>
      <c r="B2623" s="12" t="s">
        <v>3107</v>
      </c>
      <c r="C2623" s="13" t="s">
        <v>126</v>
      </c>
      <c r="D2623" s="17">
        <v>198.15</v>
      </c>
      <c r="E2623" s="5" t="s">
        <v>8</v>
      </c>
      <c r="F2623" s="6">
        <v>85.95</v>
      </c>
      <c r="G2623" s="7">
        <f t="shared" si="350"/>
        <v>1.30541012216405</v>
      </c>
    </row>
    <row r="2624" ht="62" spans="1:7">
      <c r="A2624" s="18">
        <v>17.37</v>
      </c>
      <c r="B2624" s="15" t="s">
        <v>3636</v>
      </c>
      <c r="C2624" s="13"/>
      <c r="D2624" s="16"/>
      <c r="E2624" s="5" t="s">
        <v>8</v>
      </c>
    </row>
    <row r="2625" spans="1:7">
      <c r="A2625" s="14" t="s">
        <v>3637</v>
      </c>
      <c r="B2625" s="12" t="s">
        <v>3638</v>
      </c>
      <c r="C2625" s="13" t="s">
        <v>126</v>
      </c>
      <c r="D2625" s="17">
        <v>362.85</v>
      </c>
      <c r="E2625" s="5" t="s">
        <v>8</v>
      </c>
      <c r="F2625" s="6">
        <v>167.35</v>
      </c>
      <c r="G2625" s="7">
        <f t="shared" si="350"/>
        <v>1.16821033761578</v>
      </c>
    </row>
    <row r="2626" spans="1:7">
      <c r="A2626" s="14" t="s">
        <v>3639</v>
      </c>
      <c r="B2626" s="12" t="s">
        <v>3640</v>
      </c>
      <c r="C2626" s="13" t="s">
        <v>126</v>
      </c>
      <c r="D2626" s="17">
        <v>360</v>
      </c>
      <c r="E2626" s="5" t="s">
        <v>8</v>
      </c>
      <c r="F2626" s="6">
        <v>165.05</v>
      </c>
      <c r="G2626" s="7">
        <f t="shared" si="350"/>
        <v>1.18115722508331</v>
      </c>
    </row>
    <row r="2627" ht="31" spans="1:7">
      <c r="A2627" s="18">
        <v>17.38</v>
      </c>
      <c r="B2627" s="15" t="s">
        <v>3641</v>
      </c>
      <c r="C2627" s="13"/>
      <c r="D2627" s="16"/>
      <c r="E2627" s="5" t="s">
        <v>8</v>
      </c>
    </row>
    <row r="2628" spans="1:7">
      <c r="A2628" s="14" t="s">
        <v>3642</v>
      </c>
      <c r="B2628" s="12" t="s">
        <v>3618</v>
      </c>
      <c r="C2628" s="13"/>
      <c r="D2628" s="16"/>
      <c r="E2628" s="5" t="s">
        <v>8</v>
      </c>
    </row>
    <row r="2629" spans="1:7">
      <c r="A2629" s="14" t="s">
        <v>3643</v>
      </c>
      <c r="B2629" s="12" t="s">
        <v>3644</v>
      </c>
      <c r="C2629" s="13" t="s">
        <v>126</v>
      </c>
      <c r="D2629" s="17">
        <v>598.5</v>
      </c>
      <c r="E2629" s="5" t="s">
        <v>8</v>
      </c>
      <c r="F2629" s="6">
        <v>340.75</v>
      </c>
      <c r="G2629" s="7">
        <f t="shared" ref="G2629:G2631" si="351">(D2629-F2629)/F2629</f>
        <v>0.756419662509171</v>
      </c>
    </row>
    <row r="2630" spans="1:7">
      <c r="A2630" s="14" t="s">
        <v>3645</v>
      </c>
      <c r="B2630" s="12" t="s">
        <v>3646</v>
      </c>
      <c r="C2630" s="13" t="s">
        <v>126</v>
      </c>
      <c r="D2630" s="17">
        <v>705.2</v>
      </c>
      <c r="E2630" s="5" t="s">
        <v>8</v>
      </c>
      <c r="F2630" s="6">
        <v>384.9</v>
      </c>
      <c r="G2630" s="7">
        <f t="shared" si="351"/>
        <v>0.832164198493115</v>
      </c>
    </row>
    <row r="2631" spans="1:7">
      <c r="A2631" s="14" t="s">
        <v>3647</v>
      </c>
      <c r="B2631" s="12" t="s">
        <v>3648</v>
      </c>
      <c r="C2631" s="13" t="s">
        <v>126</v>
      </c>
      <c r="D2631" s="17">
        <v>567.2</v>
      </c>
      <c r="E2631" s="5" t="s">
        <v>8</v>
      </c>
      <c r="F2631" s="6">
        <v>489.45</v>
      </c>
      <c r="G2631" s="7">
        <f t="shared" si="351"/>
        <v>0.158851772397589</v>
      </c>
    </row>
    <row r="2632" spans="1:7">
      <c r="A2632" s="14" t="s">
        <v>3649</v>
      </c>
      <c r="B2632" s="12" t="s">
        <v>3650</v>
      </c>
      <c r="C2632" s="13"/>
      <c r="D2632" s="16"/>
      <c r="E2632" s="5" t="s">
        <v>8</v>
      </c>
    </row>
    <row r="2633" spans="1:7">
      <c r="A2633" s="14" t="s">
        <v>3651</v>
      </c>
      <c r="B2633" s="12" t="s">
        <v>3644</v>
      </c>
      <c r="C2633" s="13" t="s">
        <v>126</v>
      </c>
      <c r="D2633" s="17">
        <v>501.45</v>
      </c>
      <c r="E2633" s="5" t="s">
        <v>8</v>
      </c>
      <c r="F2633" s="6">
        <v>271.4</v>
      </c>
      <c r="G2633" s="7">
        <f t="shared" ref="G2633:G2635" si="352">(D2633-F2633)/F2633</f>
        <v>0.847641857037583</v>
      </c>
    </row>
    <row r="2634" spans="1:7">
      <c r="A2634" s="14" t="s">
        <v>3652</v>
      </c>
      <c r="B2634" s="12" t="s">
        <v>3653</v>
      </c>
      <c r="C2634" s="13" t="s">
        <v>126</v>
      </c>
      <c r="D2634" s="17">
        <v>522.8</v>
      </c>
      <c r="E2634" s="5" t="s">
        <v>8</v>
      </c>
      <c r="F2634" s="6">
        <v>317.85</v>
      </c>
      <c r="G2634" s="7">
        <f t="shared" si="352"/>
        <v>0.644801006764197</v>
      </c>
    </row>
    <row r="2635" spans="1:7">
      <c r="A2635" s="14" t="s">
        <v>3654</v>
      </c>
      <c r="B2635" s="12" t="s">
        <v>3648</v>
      </c>
      <c r="C2635" s="13" t="s">
        <v>126</v>
      </c>
      <c r="D2635" s="17">
        <v>418.95</v>
      </c>
      <c r="E2635" s="5" t="s">
        <v>8</v>
      </c>
      <c r="F2635" s="6">
        <v>391.05</v>
      </c>
      <c r="G2635" s="7">
        <f t="shared" si="352"/>
        <v>0.0713463751438434</v>
      </c>
    </row>
    <row r="2636" spans="1:7">
      <c r="A2636" s="18">
        <v>17.39</v>
      </c>
      <c r="B2636" s="15" t="s">
        <v>3655</v>
      </c>
      <c r="C2636" s="13"/>
      <c r="D2636" s="16"/>
      <c r="E2636" s="5" t="s">
        <v>8</v>
      </c>
    </row>
    <row r="2637" spans="1:7">
      <c r="A2637" s="14" t="s">
        <v>3656</v>
      </c>
      <c r="B2637" s="12" t="s">
        <v>3618</v>
      </c>
      <c r="C2637" s="13"/>
      <c r="D2637" s="16"/>
      <c r="E2637" s="5" t="s">
        <v>8</v>
      </c>
    </row>
    <row r="2638" spans="1:7">
      <c r="A2638" s="14" t="s">
        <v>3657</v>
      </c>
      <c r="B2638" s="12" t="s">
        <v>3644</v>
      </c>
      <c r="C2638" s="13" t="s">
        <v>126</v>
      </c>
      <c r="D2638" s="17">
        <v>470.45</v>
      </c>
      <c r="E2638" s="5" t="s">
        <v>8</v>
      </c>
      <c r="F2638" s="6">
        <v>433.7</v>
      </c>
      <c r="G2638" s="7">
        <f t="shared" ref="G2638:G2640" si="353">(D2638-F2638)/F2638</f>
        <v>0.0847359926216279</v>
      </c>
    </row>
    <row r="2639" spans="1:7">
      <c r="A2639" s="14" t="s">
        <v>3658</v>
      </c>
      <c r="B2639" s="12" t="s">
        <v>3659</v>
      </c>
      <c r="C2639" s="13" t="s">
        <v>126</v>
      </c>
      <c r="D2639" s="17">
        <v>570.05</v>
      </c>
      <c r="E2639" s="5" t="s">
        <v>8</v>
      </c>
      <c r="F2639" s="6">
        <v>334.95</v>
      </c>
      <c r="G2639" s="7">
        <f t="shared" si="353"/>
        <v>0.701895805344081</v>
      </c>
    </row>
    <row r="2640" spans="1:7">
      <c r="A2640" s="14" t="s">
        <v>3660</v>
      </c>
      <c r="B2640" s="12" t="s">
        <v>3631</v>
      </c>
      <c r="C2640" s="13" t="s">
        <v>126</v>
      </c>
      <c r="D2640" s="17">
        <v>368</v>
      </c>
      <c r="E2640" s="5" t="s">
        <v>8</v>
      </c>
      <c r="F2640" s="6">
        <v>307.1</v>
      </c>
      <c r="G2640" s="7">
        <f t="shared" si="353"/>
        <v>0.198306740475415</v>
      </c>
    </row>
    <row r="2641" spans="1:7">
      <c r="A2641" s="14" t="s">
        <v>3661</v>
      </c>
      <c r="B2641" s="12" t="s">
        <v>3650</v>
      </c>
      <c r="C2641" s="13"/>
      <c r="D2641" s="16"/>
      <c r="E2641" s="5" t="s">
        <v>8</v>
      </c>
    </row>
    <row r="2642" spans="1:7">
      <c r="A2642" s="14" t="s">
        <v>3662</v>
      </c>
      <c r="B2642" s="12" t="s">
        <v>3663</v>
      </c>
      <c r="C2642" s="13" t="s">
        <v>126</v>
      </c>
      <c r="D2642" s="17">
        <v>376.25</v>
      </c>
      <c r="E2642" s="5" t="s">
        <v>8</v>
      </c>
      <c r="F2642" s="6">
        <v>219.15</v>
      </c>
      <c r="G2642" s="7">
        <f t="shared" ref="G2642:G2644" si="354">(D2642-F2642)/F2642</f>
        <v>0.716860597764089</v>
      </c>
    </row>
    <row r="2643" spans="1:7">
      <c r="A2643" s="14" t="s">
        <v>3664</v>
      </c>
      <c r="B2643" s="12" t="s">
        <v>3646</v>
      </c>
      <c r="C2643" s="13" t="s">
        <v>126</v>
      </c>
      <c r="D2643" s="17">
        <v>390.5</v>
      </c>
      <c r="E2643" s="5" t="s">
        <v>8</v>
      </c>
      <c r="F2643" s="6">
        <v>248.2</v>
      </c>
      <c r="G2643" s="7">
        <f t="shared" si="354"/>
        <v>0.573327961321515</v>
      </c>
    </row>
    <row r="2644" spans="1:7">
      <c r="A2644" s="14" t="s">
        <v>3665</v>
      </c>
      <c r="B2644" s="12" t="s">
        <v>3631</v>
      </c>
      <c r="C2644" s="13" t="s">
        <v>126</v>
      </c>
      <c r="D2644" s="17">
        <v>252.5</v>
      </c>
      <c r="E2644" s="5" t="s">
        <v>8</v>
      </c>
      <c r="F2644" s="6">
        <v>212.2</v>
      </c>
      <c r="G2644" s="7">
        <f t="shared" si="354"/>
        <v>0.189915174363808</v>
      </c>
    </row>
    <row r="2645" spans="1:7">
      <c r="A2645" s="18">
        <v>17.4</v>
      </c>
      <c r="B2645" s="15" t="s">
        <v>3666</v>
      </c>
      <c r="C2645" s="13"/>
      <c r="D2645" s="16"/>
      <c r="E2645" s="5" t="s">
        <v>8</v>
      </c>
    </row>
    <row r="2646" spans="1:7">
      <c r="A2646" s="14" t="s">
        <v>3667</v>
      </c>
      <c r="B2646" s="12" t="s">
        <v>3618</v>
      </c>
      <c r="C2646" s="13"/>
      <c r="D2646" s="16"/>
      <c r="E2646" s="5" t="s">
        <v>8</v>
      </c>
    </row>
    <row r="2647" spans="1:7">
      <c r="A2647" s="14" t="s">
        <v>3668</v>
      </c>
      <c r="B2647" s="12" t="s">
        <v>3644</v>
      </c>
      <c r="C2647" s="13" t="s">
        <v>126</v>
      </c>
      <c r="D2647" s="17">
        <v>584.25</v>
      </c>
      <c r="E2647" s="5" t="s">
        <v>8</v>
      </c>
      <c r="F2647" s="6">
        <v>317.55</v>
      </c>
      <c r="G2647" s="7">
        <f t="shared" ref="G2647:G2651" si="355">(D2647-F2647)/F2647</f>
        <v>0.839867737364195</v>
      </c>
    </row>
    <row r="2648" spans="1:7">
      <c r="A2648" s="14" t="s">
        <v>3669</v>
      </c>
      <c r="B2648" s="12" t="s">
        <v>3646</v>
      </c>
      <c r="C2648" s="13" t="s">
        <v>126</v>
      </c>
      <c r="D2648" s="17">
        <v>548.7</v>
      </c>
      <c r="E2648" s="5" t="s">
        <v>8</v>
      </c>
      <c r="F2648" s="6">
        <v>370.95</v>
      </c>
      <c r="G2648" s="7">
        <f t="shared" si="355"/>
        <v>0.479175090982612</v>
      </c>
    </row>
    <row r="2649" spans="1:7">
      <c r="A2649" s="14" t="s">
        <v>3670</v>
      </c>
      <c r="B2649" s="12" t="s">
        <v>3650</v>
      </c>
      <c r="C2649" s="13"/>
      <c r="D2649" s="16"/>
      <c r="E2649" s="5" t="s">
        <v>8</v>
      </c>
    </row>
    <row r="2650" spans="1:7">
      <c r="A2650" s="14" t="s">
        <v>3671</v>
      </c>
      <c r="B2650" s="12" t="s">
        <v>3644</v>
      </c>
      <c r="C2650" s="13" t="s">
        <v>126</v>
      </c>
      <c r="D2650" s="17">
        <v>490.05</v>
      </c>
      <c r="E2650" s="5" t="s">
        <v>8</v>
      </c>
      <c r="F2650" s="6">
        <v>277.2</v>
      </c>
      <c r="G2650" s="7">
        <f t="shared" si="355"/>
        <v>0.767857142857143</v>
      </c>
    </row>
    <row r="2651" spans="1:7">
      <c r="A2651" s="14" t="s">
        <v>3672</v>
      </c>
      <c r="B2651" s="12" t="s">
        <v>3646</v>
      </c>
      <c r="C2651" s="13" t="s">
        <v>126</v>
      </c>
      <c r="D2651" s="17">
        <v>504.3</v>
      </c>
      <c r="E2651" s="5" t="s">
        <v>8</v>
      </c>
      <c r="F2651" s="6">
        <v>312.05</v>
      </c>
      <c r="G2651" s="7">
        <f t="shared" si="355"/>
        <v>0.616087165518346</v>
      </c>
    </row>
    <row r="2652" ht="31" spans="1:7">
      <c r="A2652" s="18">
        <v>17.41</v>
      </c>
      <c r="B2652" s="15" t="s">
        <v>3673</v>
      </c>
      <c r="C2652" s="13"/>
      <c r="D2652" s="16"/>
      <c r="E2652" s="5" t="s">
        <v>8</v>
      </c>
    </row>
    <row r="2653" spans="1:7">
      <c r="A2653" s="14" t="s">
        <v>3674</v>
      </c>
      <c r="B2653" s="12" t="s">
        <v>3675</v>
      </c>
      <c r="C2653" s="13"/>
      <c r="D2653" s="16"/>
      <c r="E2653" s="5" t="s">
        <v>8</v>
      </c>
    </row>
    <row r="2654" spans="1:7">
      <c r="A2654" s="14" t="s">
        <v>3676</v>
      </c>
      <c r="B2654" s="12" t="s">
        <v>3644</v>
      </c>
      <c r="C2654" s="13" t="s">
        <v>126</v>
      </c>
      <c r="D2654" s="17">
        <v>1138.65</v>
      </c>
      <c r="E2654" s="5" t="s">
        <v>8</v>
      </c>
      <c r="F2654" s="6">
        <v>686.65</v>
      </c>
      <c r="G2654" s="7">
        <f t="shared" ref="G2654:G2658" si="356">(D2654-F2654)/F2654</f>
        <v>0.658268404572927</v>
      </c>
    </row>
    <row r="2655" spans="1:7">
      <c r="A2655" s="14" t="s">
        <v>3677</v>
      </c>
      <c r="B2655" s="12" t="s">
        <v>3646</v>
      </c>
      <c r="C2655" s="13" t="s">
        <v>126</v>
      </c>
      <c r="D2655" s="17">
        <v>1103.1</v>
      </c>
      <c r="E2655" s="5" t="s">
        <v>8</v>
      </c>
      <c r="F2655" s="6">
        <v>762.15</v>
      </c>
      <c r="G2655" s="7">
        <f t="shared" si="356"/>
        <v>0.447352883290691</v>
      </c>
    </row>
    <row r="2656" spans="1:7">
      <c r="A2656" s="14" t="s">
        <v>3678</v>
      </c>
      <c r="B2656" s="12" t="s">
        <v>3679</v>
      </c>
      <c r="C2656" s="13"/>
      <c r="D2656" s="16"/>
      <c r="E2656" s="5" t="s">
        <v>8</v>
      </c>
    </row>
    <row r="2657" spans="1:7">
      <c r="A2657" s="14" t="s">
        <v>3680</v>
      </c>
      <c r="B2657" s="12" t="s">
        <v>3644</v>
      </c>
      <c r="C2657" s="13" t="s">
        <v>126</v>
      </c>
      <c r="D2657" s="17">
        <v>842.9</v>
      </c>
      <c r="E2657" s="5" t="s">
        <v>8</v>
      </c>
      <c r="F2657" s="6">
        <v>532.75</v>
      </c>
      <c r="G2657" s="7">
        <f t="shared" si="356"/>
        <v>0.582167996245894</v>
      </c>
    </row>
    <row r="2658" spans="1:7">
      <c r="A2658" s="14" t="s">
        <v>3681</v>
      </c>
      <c r="B2658" s="12" t="s">
        <v>3646</v>
      </c>
      <c r="C2658" s="13" t="s">
        <v>126</v>
      </c>
      <c r="D2658" s="17">
        <v>885.6</v>
      </c>
      <c r="E2658" s="5" t="s">
        <v>8</v>
      </c>
      <c r="F2658" s="6">
        <v>596.65</v>
      </c>
      <c r="G2658" s="7">
        <f t="shared" si="356"/>
        <v>0.484287270594151</v>
      </c>
    </row>
    <row r="2659" spans="1:7">
      <c r="A2659" s="18">
        <v>17.42</v>
      </c>
      <c r="B2659" s="15" t="s">
        <v>3682</v>
      </c>
      <c r="C2659" s="13"/>
      <c r="D2659" s="16"/>
      <c r="E2659" s="5" t="s">
        <v>8</v>
      </c>
    </row>
    <row r="2660" spans="1:7">
      <c r="A2660" s="14" t="s">
        <v>3683</v>
      </c>
      <c r="B2660" s="12" t="s">
        <v>3675</v>
      </c>
      <c r="C2660" s="13"/>
      <c r="D2660" s="16"/>
      <c r="E2660" s="5" t="s">
        <v>8</v>
      </c>
    </row>
    <row r="2661" spans="1:7">
      <c r="A2661" s="14" t="s">
        <v>3684</v>
      </c>
      <c r="B2661" s="12" t="s">
        <v>3644</v>
      </c>
      <c r="C2661" s="13" t="s">
        <v>126</v>
      </c>
      <c r="D2661" s="17">
        <v>939.9</v>
      </c>
      <c r="E2661" s="5" t="s">
        <v>8</v>
      </c>
      <c r="F2661" s="6">
        <v>631.15</v>
      </c>
      <c r="G2661" s="7">
        <f t="shared" ref="G2661:G2663" si="357">(D2661-F2661)/F2661</f>
        <v>0.48918640576725</v>
      </c>
    </row>
    <row r="2662" spans="1:7">
      <c r="A2662" s="14" t="s">
        <v>3685</v>
      </c>
      <c r="B2662" s="12" t="s">
        <v>3646</v>
      </c>
      <c r="C2662" s="13" t="s">
        <v>126</v>
      </c>
      <c r="D2662" s="17">
        <v>1075.05</v>
      </c>
      <c r="E2662" s="5" t="s">
        <v>8</v>
      </c>
      <c r="F2662" s="6">
        <v>747.3</v>
      </c>
      <c r="G2662" s="7">
        <f t="shared" si="357"/>
        <v>0.438578883982336</v>
      </c>
    </row>
    <row r="2663" spans="1:7">
      <c r="A2663" s="14" t="s">
        <v>3686</v>
      </c>
      <c r="B2663" s="12" t="s">
        <v>3631</v>
      </c>
      <c r="C2663" s="13" t="s">
        <v>126</v>
      </c>
      <c r="D2663" s="17">
        <v>760.7</v>
      </c>
      <c r="E2663" s="5" t="s">
        <v>8</v>
      </c>
      <c r="F2663" s="6">
        <v>645.1</v>
      </c>
      <c r="G2663" s="7">
        <f t="shared" si="357"/>
        <v>0.179197023717253</v>
      </c>
    </row>
    <row r="2664" spans="1:7">
      <c r="A2664" s="14" t="s">
        <v>3687</v>
      </c>
      <c r="B2664" s="12" t="s">
        <v>3679</v>
      </c>
      <c r="C2664" s="13"/>
      <c r="D2664" s="16"/>
      <c r="E2664" s="5" t="s">
        <v>8</v>
      </c>
    </row>
    <row r="2665" spans="1:7">
      <c r="A2665" s="14" t="s">
        <v>3688</v>
      </c>
      <c r="B2665" s="12" t="s">
        <v>3644</v>
      </c>
      <c r="C2665" s="13" t="s">
        <v>126</v>
      </c>
      <c r="D2665" s="17">
        <v>625.2</v>
      </c>
      <c r="E2665" s="5" t="s">
        <v>8</v>
      </c>
      <c r="F2665" s="6">
        <v>423.55</v>
      </c>
      <c r="G2665" s="7">
        <f t="shared" ref="G2665:G2667" si="358">(D2665-F2665)/F2665</f>
        <v>0.476094912052886</v>
      </c>
    </row>
    <row r="2666" spans="1:7">
      <c r="A2666" s="14" t="s">
        <v>3689</v>
      </c>
      <c r="B2666" s="12" t="s">
        <v>3646</v>
      </c>
      <c r="C2666" s="13" t="s">
        <v>126</v>
      </c>
      <c r="D2666" s="17">
        <v>803.05</v>
      </c>
      <c r="E2666" s="5" t="s">
        <v>8</v>
      </c>
      <c r="F2666" s="6">
        <v>558.3</v>
      </c>
      <c r="G2666" s="7">
        <f t="shared" si="358"/>
        <v>0.438384381157084</v>
      </c>
    </row>
    <row r="2667" spans="1:7">
      <c r="A2667" s="14" t="s">
        <v>3690</v>
      </c>
      <c r="B2667" s="12" t="s">
        <v>3631</v>
      </c>
      <c r="C2667" s="13" t="s">
        <v>126</v>
      </c>
      <c r="D2667" s="17">
        <v>418.95</v>
      </c>
      <c r="E2667" s="5" t="s">
        <v>8</v>
      </c>
      <c r="F2667" s="30">
        <v>353.9</v>
      </c>
      <c r="G2667" s="7">
        <f t="shared" si="358"/>
        <v>0.18380898558915</v>
      </c>
    </row>
    <row r="2668" ht="31" spans="1:7">
      <c r="A2668" s="18">
        <v>17.43</v>
      </c>
      <c r="B2668" s="15" t="s">
        <v>3691</v>
      </c>
      <c r="C2668" s="13"/>
      <c r="D2668" s="16"/>
      <c r="E2668" s="5" t="s">
        <v>8</v>
      </c>
    </row>
    <row r="2669" spans="1:7">
      <c r="A2669" s="14" t="s">
        <v>3692</v>
      </c>
      <c r="B2669" s="12" t="s">
        <v>3693</v>
      </c>
      <c r="C2669" s="13"/>
      <c r="D2669" s="16"/>
      <c r="E2669" s="5" t="s">
        <v>8</v>
      </c>
    </row>
    <row r="2670" spans="1:7">
      <c r="A2670" s="14" t="s">
        <v>3694</v>
      </c>
      <c r="B2670" s="12" t="s">
        <v>3644</v>
      </c>
      <c r="C2670" s="13" t="s">
        <v>126</v>
      </c>
      <c r="D2670" s="17">
        <v>726.55</v>
      </c>
      <c r="E2670" s="5" t="s">
        <v>8</v>
      </c>
      <c r="F2670" s="6">
        <v>484.8</v>
      </c>
      <c r="G2670" s="7">
        <f t="shared" ref="G2670:G2674" si="359">(D2670-F2670)/F2670</f>
        <v>0.498659240924092</v>
      </c>
    </row>
    <row r="2671" spans="1:7">
      <c r="A2671" s="14" t="s">
        <v>3695</v>
      </c>
      <c r="B2671" s="12" t="s">
        <v>3646</v>
      </c>
      <c r="C2671" s="13" t="s">
        <v>126</v>
      </c>
      <c r="D2671" s="17">
        <v>925.7</v>
      </c>
      <c r="E2671" s="5" t="s">
        <v>8</v>
      </c>
      <c r="F2671" s="6">
        <v>623</v>
      </c>
      <c r="G2671" s="7">
        <f t="shared" si="359"/>
        <v>0.485874799357945</v>
      </c>
    </row>
    <row r="2672" spans="1:7">
      <c r="A2672" s="14" t="s">
        <v>3696</v>
      </c>
      <c r="B2672" s="12" t="s">
        <v>2376</v>
      </c>
      <c r="C2672" s="13"/>
      <c r="D2672" s="16"/>
      <c r="E2672" s="5" t="s">
        <v>8</v>
      </c>
    </row>
    <row r="2673" spans="1:7">
      <c r="A2673" s="14" t="s">
        <v>3697</v>
      </c>
      <c r="B2673" s="12" t="s">
        <v>3644</v>
      </c>
      <c r="C2673" s="13" t="s">
        <v>126</v>
      </c>
      <c r="D2673" s="17">
        <v>629.5</v>
      </c>
      <c r="E2673" s="5" t="s">
        <v>8</v>
      </c>
      <c r="F2673" s="6">
        <v>362</v>
      </c>
      <c r="G2673" s="7">
        <f t="shared" si="359"/>
        <v>0.738950276243094</v>
      </c>
    </row>
    <row r="2674" spans="1:7">
      <c r="A2674" s="14" t="s">
        <v>3698</v>
      </c>
      <c r="B2674" s="12" t="s">
        <v>3646</v>
      </c>
      <c r="C2674" s="13" t="s">
        <v>126</v>
      </c>
      <c r="D2674" s="17">
        <v>665.05</v>
      </c>
      <c r="E2674" s="5" t="s">
        <v>8</v>
      </c>
      <c r="F2674" s="6">
        <v>472.35</v>
      </c>
      <c r="G2674" s="7">
        <f t="shared" si="359"/>
        <v>0.407960199004975</v>
      </c>
    </row>
    <row r="2675" spans="1:7">
      <c r="A2675" s="18">
        <v>17.44</v>
      </c>
      <c r="B2675" s="15" t="s">
        <v>3699</v>
      </c>
      <c r="C2675" s="13"/>
      <c r="D2675" s="16"/>
      <c r="E2675" s="5" t="s">
        <v>8</v>
      </c>
    </row>
    <row r="2676" spans="1:7">
      <c r="A2676" s="14" t="s">
        <v>3700</v>
      </c>
      <c r="B2676" s="12" t="s">
        <v>3693</v>
      </c>
      <c r="C2676" s="13"/>
      <c r="D2676" s="16"/>
      <c r="E2676" s="5" t="s">
        <v>8</v>
      </c>
    </row>
    <row r="2677" spans="1:7">
      <c r="A2677" s="14" t="s">
        <v>3701</v>
      </c>
      <c r="B2677" s="12" t="s">
        <v>3644</v>
      </c>
      <c r="C2677" s="13" t="s">
        <v>126</v>
      </c>
      <c r="D2677" s="17">
        <v>626.95</v>
      </c>
      <c r="E2677" s="5" t="s">
        <v>8</v>
      </c>
      <c r="F2677" s="6">
        <v>549.85</v>
      </c>
      <c r="G2677" s="7">
        <f t="shared" ref="G2677:G2679" si="360">(D2677-F2677)/F2677</f>
        <v>0.140220060016368</v>
      </c>
    </row>
    <row r="2678" spans="1:7">
      <c r="A2678" s="14" t="s">
        <v>3702</v>
      </c>
      <c r="B2678" s="12" t="s">
        <v>3646</v>
      </c>
      <c r="C2678" s="13" t="s">
        <v>126</v>
      </c>
      <c r="D2678" s="17">
        <v>811.9</v>
      </c>
      <c r="E2678" s="5" t="s">
        <v>8</v>
      </c>
      <c r="F2678" s="6">
        <v>575.4</v>
      </c>
      <c r="G2678" s="7">
        <f t="shared" si="360"/>
        <v>0.411018421967327</v>
      </c>
    </row>
    <row r="2679" spans="1:7">
      <c r="A2679" s="14" t="s">
        <v>3703</v>
      </c>
      <c r="B2679" s="12" t="s">
        <v>3704</v>
      </c>
      <c r="C2679" s="13" t="s">
        <v>126</v>
      </c>
      <c r="D2679" s="17">
        <v>581.45</v>
      </c>
      <c r="E2679" s="5" t="s">
        <v>8</v>
      </c>
      <c r="F2679" s="6">
        <v>503.4</v>
      </c>
      <c r="G2679" s="7">
        <f t="shared" si="360"/>
        <v>0.155045689312674</v>
      </c>
    </row>
    <row r="2680" spans="1:7">
      <c r="A2680" s="14" t="s">
        <v>3705</v>
      </c>
      <c r="B2680" s="12" t="s">
        <v>2376</v>
      </c>
      <c r="C2680" s="13"/>
      <c r="D2680" s="16"/>
      <c r="E2680" s="5" t="s">
        <v>8</v>
      </c>
    </row>
    <row r="2681" spans="1:7">
      <c r="A2681" s="14" t="s">
        <v>3706</v>
      </c>
      <c r="B2681" s="12" t="s">
        <v>3644</v>
      </c>
      <c r="C2681" s="13" t="s">
        <v>126</v>
      </c>
      <c r="D2681" s="17">
        <v>504.3</v>
      </c>
      <c r="E2681" s="5" t="s">
        <v>8</v>
      </c>
      <c r="F2681" s="6">
        <v>329.5</v>
      </c>
      <c r="G2681" s="7">
        <f t="shared" ref="G2681:G2683" si="361">(D2681-F2681)/F2681</f>
        <v>0.530500758725341</v>
      </c>
    </row>
    <row r="2682" spans="1:7">
      <c r="A2682" s="14" t="s">
        <v>3707</v>
      </c>
      <c r="B2682" s="12" t="s">
        <v>3646</v>
      </c>
      <c r="C2682" s="13" t="s">
        <v>126</v>
      </c>
      <c r="D2682" s="17">
        <v>561.2</v>
      </c>
      <c r="E2682" s="5" t="s">
        <v>8</v>
      </c>
      <c r="F2682" s="6">
        <v>405</v>
      </c>
      <c r="G2682" s="7">
        <f t="shared" si="361"/>
        <v>0.385679012345679</v>
      </c>
    </row>
    <row r="2683" spans="1:7">
      <c r="A2683" s="14" t="s">
        <v>3708</v>
      </c>
      <c r="B2683" s="12" t="s">
        <v>3648</v>
      </c>
      <c r="C2683" s="13" t="s">
        <v>126</v>
      </c>
      <c r="D2683" s="17">
        <v>337.85</v>
      </c>
      <c r="E2683" s="5" t="s">
        <v>8</v>
      </c>
      <c r="F2683" s="6">
        <v>283.05</v>
      </c>
      <c r="G2683" s="7">
        <f t="shared" si="361"/>
        <v>0.193605370075958</v>
      </c>
    </row>
    <row r="2684" ht="31" spans="1:7">
      <c r="A2684" s="18">
        <v>17.45</v>
      </c>
      <c r="B2684" s="15" t="s">
        <v>3709</v>
      </c>
      <c r="C2684" s="13"/>
      <c r="D2684" s="16"/>
      <c r="E2684" s="5" t="s">
        <v>8</v>
      </c>
    </row>
    <row r="2685" spans="1:7">
      <c r="A2685" s="14" t="s">
        <v>3710</v>
      </c>
      <c r="B2685" s="12" t="s">
        <v>3711</v>
      </c>
      <c r="C2685" s="13"/>
      <c r="D2685" s="16"/>
      <c r="E2685" s="5" t="s">
        <v>8</v>
      </c>
    </row>
    <row r="2686" spans="1:7">
      <c r="A2686" s="14" t="s">
        <v>3712</v>
      </c>
      <c r="B2686" s="12" t="s">
        <v>3644</v>
      </c>
      <c r="C2686" s="13" t="s">
        <v>126</v>
      </c>
      <c r="D2686" s="17">
        <v>1153.3</v>
      </c>
      <c r="E2686" s="5" t="s">
        <v>8</v>
      </c>
      <c r="F2686" s="6">
        <v>686.9</v>
      </c>
      <c r="G2686" s="7">
        <f t="shared" ref="G2686:G2692" si="362">(D2686-F2686)/F2686</f>
        <v>0.678992575338477</v>
      </c>
    </row>
    <row r="2687" spans="1:7">
      <c r="A2687" s="14" t="s">
        <v>3713</v>
      </c>
      <c r="B2687" s="12" t="s">
        <v>3646</v>
      </c>
      <c r="C2687" s="13" t="s">
        <v>126</v>
      </c>
      <c r="D2687" s="17">
        <v>1601.45</v>
      </c>
      <c r="E2687" s="5" t="s">
        <v>8</v>
      </c>
      <c r="F2687" s="6">
        <v>1035.35</v>
      </c>
      <c r="G2687" s="7">
        <f t="shared" si="362"/>
        <v>0.546771623122616</v>
      </c>
    </row>
    <row r="2688" spans="1:7">
      <c r="A2688" s="18">
        <v>17.46</v>
      </c>
      <c r="B2688" s="15" t="s">
        <v>3714</v>
      </c>
      <c r="C2688" s="13"/>
      <c r="D2688" s="16"/>
      <c r="E2688" s="5" t="s">
        <v>8</v>
      </c>
    </row>
    <row r="2689" spans="1:7">
      <c r="A2689" s="14" t="s">
        <v>3715</v>
      </c>
      <c r="B2689" s="12" t="s">
        <v>3711</v>
      </c>
      <c r="C2689" s="13"/>
      <c r="D2689" s="16"/>
      <c r="E2689" s="5" t="s">
        <v>8</v>
      </c>
    </row>
    <row r="2690" spans="1:7">
      <c r="A2690" s="14" t="s">
        <v>3716</v>
      </c>
      <c r="B2690" s="12" t="s">
        <v>3644</v>
      </c>
      <c r="C2690" s="13" t="s">
        <v>126</v>
      </c>
      <c r="D2690" s="17">
        <v>954.15</v>
      </c>
      <c r="E2690" s="5" t="s">
        <v>8</v>
      </c>
      <c r="F2690" s="6">
        <v>666</v>
      </c>
      <c r="G2690" s="7">
        <f t="shared" si="362"/>
        <v>0.432657657657658</v>
      </c>
    </row>
    <row r="2691" spans="1:7">
      <c r="A2691" s="14" t="s">
        <v>3717</v>
      </c>
      <c r="B2691" s="12" t="s">
        <v>3646</v>
      </c>
      <c r="C2691" s="13" t="s">
        <v>126</v>
      </c>
      <c r="D2691" s="17">
        <v>1402.3</v>
      </c>
      <c r="E2691" s="5" t="s">
        <v>8</v>
      </c>
      <c r="F2691" s="6">
        <v>956.35</v>
      </c>
      <c r="G2691" s="7">
        <f t="shared" si="362"/>
        <v>0.466304177340932</v>
      </c>
    </row>
    <row r="2692" spans="1:7">
      <c r="A2692" s="14" t="s">
        <v>3718</v>
      </c>
      <c r="B2692" s="12" t="s">
        <v>3648</v>
      </c>
      <c r="C2692" s="13" t="s">
        <v>126</v>
      </c>
      <c r="D2692" s="17">
        <v>607.05</v>
      </c>
      <c r="E2692" s="5" t="s">
        <v>8</v>
      </c>
      <c r="F2692" s="6">
        <v>516.15</v>
      </c>
      <c r="G2692" s="7">
        <f t="shared" si="362"/>
        <v>0.176111595466434</v>
      </c>
    </row>
    <row r="2693" ht="31" spans="1:7">
      <c r="A2693" s="18">
        <v>17.47</v>
      </c>
      <c r="B2693" s="15" t="s">
        <v>3719</v>
      </c>
      <c r="C2693" s="13"/>
      <c r="D2693" s="16"/>
      <c r="E2693" s="5" t="s">
        <v>8</v>
      </c>
    </row>
    <row r="2694" spans="1:7">
      <c r="A2694" s="14" t="s">
        <v>3720</v>
      </c>
      <c r="B2694" s="12" t="s">
        <v>3721</v>
      </c>
      <c r="C2694" s="13"/>
      <c r="D2694" s="16"/>
      <c r="E2694" s="5" t="s">
        <v>8</v>
      </c>
    </row>
    <row r="2695" spans="1:7">
      <c r="A2695" s="14" t="s">
        <v>3722</v>
      </c>
      <c r="B2695" s="12" t="s">
        <v>3644</v>
      </c>
      <c r="C2695" s="13" t="s">
        <v>126</v>
      </c>
      <c r="D2695" s="17">
        <v>911.45</v>
      </c>
      <c r="E2695" s="5" t="s">
        <v>8</v>
      </c>
      <c r="F2695" s="6">
        <v>512.65</v>
      </c>
      <c r="G2695" s="7">
        <f t="shared" ref="G2695:G2701" si="363">(D2695-F2695)/F2695</f>
        <v>0.77791865795377</v>
      </c>
    </row>
    <row r="2696" spans="1:7">
      <c r="A2696" s="14" t="s">
        <v>3723</v>
      </c>
      <c r="B2696" s="12" t="s">
        <v>3646</v>
      </c>
      <c r="C2696" s="13" t="s">
        <v>126</v>
      </c>
      <c r="D2696" s="17">
        <v>1146.2</v>
      </c>
      <c r="E2696" s="5" t="s">
        <v>8</v>
      </c>
      <c r="F2696" s="6">
        <v>791.45</v>
      </c>
      <c r="G2696" s="7">
        <f t="shared" si="363"/>
        <v>0.448227936066713</v>
      </c>
    </row>
    <row r="2697" spans="1:7">
      <c r="A2697" s="18">
        <v>17.48</v>
      </c>
      <c r="B2697" s="15" t="s">
        <v>3724</v>
      </c>
      <c r="C2697" s="13"/>
      <c r="D2697" s="16"/>
      <c r="E2697" s="5" t="s">
        <v>8</v>
      </c>
    </row>
    <row r="2698" spans="1:7">
      <c r="A2698" s="14" t="s">
        <v>3725</v>
      </c>
      <c r="B2698" s="12" t="s">
        <v>3721</v>
      </c>
      <c r="C2698" s="13"/>
      <c r="D2698" s="16"/>
      <c r="E2698" s="5" t="s">
        <v>8</v>
      </c>
    </row>
    <row r="2699" spans="1:7">
      <c r="A2699" s="14" t="s">
        <v>3726</v>
      </c>
      <c r="B2699" s="12" t="s">
        <v>3644</v>
      </c>
      <c r="C2699" s="13" t="s">
        <v>126</v>
      </c>
      <c r="D2699" s="17">
        <v>811.9</v>
      </c>
      <c r="E2699" s="5" t="s">
        <v>8</v>
      </c>
      <c r="F2699" s="6">
        <v>456.9</v>
      </c>
      <c r="G2699" s="7">
        <f t="shared" si="363"/>
        <v>0.776975268111184</v>
      </c>
    </row>
    <row r="2700" spans="1:7">
      <c r="A2700" s="14" t="s">
        <v>3727</v>
      </c>
      <c r="B2700" s="12" t="s">
        <v>3646</v>
      </c>
      <c r="C2700" s="13" t="s">
        <v>126</v>
      </c>
      <c r="D2700" s="17">
        <v>1032.4</v>
      </c>
      <c r="E2700" s="5" t="s">
        <v>8</v>
      </c>
      <c r="F2700" s="6">
        <v>689.2</v>
      </c>
      <c r="G2700" s="7">
        <f t="shared" si="363"/>
        <v>0.497968659315148</v>
      </c>
    </row>
    <row r="2701" spans="1:7">
      <c r="A2701" s="14" t="s">
        <v>3728</v>
      </c>
      <c r="B2701" s="12" t="s">
        <v>3648</v>
      </c>
      <c r="C2701" s="13" t="s">
        <v>126</v>
      </c>
      <c r="D2701" s="17">
        <v>551.55</v>
      </c>
      <c r="E2701" s="5" t="s">
        <v>8</v>
      </c>
      <c r="F2701" s="6">
        <v>482.45</v>
      </c>
      <c r="G2701" s="7">
        <f t="shared" si="363"/>
        <v>0.143227277438076</v>
      </c>
    </row>
    <row r="2702" spans="1:7">
      <c r="A2702" s="18">
        <v>17.49</v>
      </c>
      <c r="B2702" s="15" t="s">
        <v>3729</v>
      </c>
      <c r="C2702" s="13"/>
      <c r="D2702" s="16"/>
      <c r="E2702" s="5" t="s">
        <v>8</v>
      </c>
    </row>
    <row r="2703" spans="1:7">
      <c r="A2703" s="14" t="s">
        <v>3730</v>
      </c>
      <c r="B2703" s="12" t="s">
        <v>3675</v>
      </c>
      <c r="C2703" s="13"/>
      <c r="D2703" s="16"/>
      <c r="E2703" s="5" t="s">
        <v>8</v>
      </c>
    </row>
    <row r="2704" spans="1:7">
      <c r="A2704" s="14" t="s">
        <v>3731</v>
      </c>
      <c r="B2704" s="12" t="s">
        <v>3644</v>
      </c>
      <c r="C2704" s="13" t="s">
        <v>126</v>
      </c>
      <c r="D2704" s="17">
        <v>883</v>
      </c>
      <c r="E2704" s="5" t="s">
        <v>8</v>
      </c>
      <c r="F2704" s="6">
        <v>666</v>
      </c>
      <c r="G2704" s="7">
        <f t="shared" ref="G2704:G2706" si="364">(D2704-F2704)/F2704</f>
        <v>0.325825825825826</v>
      </c>
    </row>
    <row r="2705" spans="1:7">
      <c r="A2705" s="14" t="s">
        <v>3732</v>
      </c>
      <c r="B2705" s="12" t="s">
        <v>3733</v>
      </c>
      <c r="C2705" s="13" t="s">
        <v>126</v>
      </c>
      <c r="D2705" s="17">
        <v>989.7</v>
      </c>
      <c r="E2705" s="5" t="s">
        <v>8</v>
      </c>
      <c r="F2705" s="6">
        <v>642.75</v>
      </c>
      <c r="G2705" s="7">
        <f t="shared" si="364"/>
        <v>0.539789964994166</v>
      </c>
    </row>
    <row r="2706" spans="1:7">
      <c r="A2706" s="14" t="s">
        <v>3734</v>
      </c>
      <c r="B2706" s="12" t="s">
        <v>3648</v>
      </c>
      <c r="C2706" s="13" t="s">
        <v>126</v>
      </c>
      <c r="D2706" s="17">
        <v>1106.35</v>
      </c>
      <c r="E2706" s="5" t="s">
        <v>8</v>
      </c>
      <c r="F2706" s="6">
        <v>785.6</v>
      </c>
      <c r="G2706" s="7">
        <f t="shared" si="364"/>
        <v>0.4082866598778</v>
      </c>
    </row>
    <row r="2707" spans="1:7">
      <c r="A2707" s="14" t="s">
        <v>3735</v>
      </c>
      <c r="B2707" s="12" t="s">
        <v>3679</v>
      </c>
      <c r="C2707" s="13"/>
      <c r="D2707" s="16"/>
      <c r="E2707" s="5" t="s">
        <v>8</v>
      </c>
    </row>
    <row r="2708" spans="1:7">
      <c r="A2708" s="14" t="s">
        <v>3736</v>
      </c>
      <c r="B2708" s="12" t="s">
        <v>3644</v>
      </c>
      <c r="C2708" s="13" t="s">
        <v>126</v>
      </c>
      <c r="D2708" s="17">
        <v>660.8</v>
      </c>
      <c r="E2708" s="5" t="s">
        <v>8</v>
      </c>
      <c r="F2708" s="6">
        <v>497.9</v>
      </c>
      <c r="G2708" s="7">
        <f t="shared" ref="G2708:G2714" si="365">(D2708-F2708)/F2708</f>
        <v>0.327174131351677</v>
      </c>
    </row>
    <row r="2709" spans="1:7">
      <c r="A2709" s="14" t="s">
        <v>3737</v>
      </c>
      <c r="B2709" s="12" t="s">
        <v>3646</v>
      </c>
      <c r="C2709" s="13" t="s">
        <v>126</v>
      </c>
      <c r="D2709" s="17">
        <v>803.05</v>
      </c>
      <c r="E2709" s="5" t="s">
        <v>8</v>
      </c>
      <c r="F2709" s="6">
        <v>515.35</v>
      </c>
      <c r="G2709" s="7">
        <f t="shared" si="365"/>
        <v>0.558261375764044</v>
      </c>
    </row>
    <row r="2710" spans="1:7">
      <c r="A2710" s="18">
        <v>17.5</v>
      </c>
      <c r="B2710" s="15" t="s">
        <v>3738</v>
      </c>
      <c r="C2710" s="13"/>
      <c r="D2710" s="16"/>
      <c r="E2710" s="5" t="s">
        <v>8</v>
      </c>
    </row>
    <row r="2711" spans="1:7">
      <c r="A2711" s="14" t="s">
        <v>3739</v>
      </c>
      <c r="B2711" s="12" t="s">
        <v>3693</v>
      </c>
      <c r="C2711" s="13"/>
      <c r="D2711" s="16"/>
      <c r="E2711" s="5" t="s">
        <v>8</v>
      </c>
    </row>
    <row r="2712" spans="1:7">
      <c r="A2712" s="14" t="s">
        <v>3740</v>
      </c>
      <c r="B2712" s="12" t="s">
        <v>3741</v>
      </c>
      <c r="C2712" s="13" t="s">
        <v>126</v>
      </c>
      <c r="D2712" s="17">
        <v>698.05</v>
      </c>
      <c r="E2712" s="5" t="s">
        <v>8</v>
      </c>
      <c r="F2712" s="6">
        <v>503.4</v>
      </c>
      <c r="G2712" s="7">
        <f t="shared" si="365"/>
        <v>0.386670639650377</v>
      </c>
    </row>
    <row r="2713" spans="1:7">
      <c r="A2713" s="14" t="s">
        <v>3742</v>
      </c>
      <c r="B2713" s="12" t="s">
        <v>3646</v>
      </c>
      <c r="C2713" s="13" t="s">
        <v>126</v>
      </c>
      <c r="D2713" s="17">
        <v>747.85</v>
      </c>
      <c r="E2713" s="5" t="s">
        <v>8</v>
      </c>
      <c r="F2713" s="6">
        <v>520.8</v>
      </c>
      <c r="G2713" s="7">
        <f t="shared" si="365"/>
        <v>0.435963901689708</v>
      </c>
    </row>
    <row r="2714" spans="1:7">
      <c r="A2714" s="14" t="s">
        <v>3743</v>
      </c>
      <c r="B2714" s="12" t="s">
        <v>3648</v>
      </c>
      <c r="C2714" s="13" t="s">
        <v>126</v>
      </c>
      <c r="D2714" s="17">
        <v>645.45</v>
      </c>
      <c r="E2714" s="5" t="s">
        <v>8</v>
      </c>
      <c r="F2714" s="6">
        <v>503.4</v>
      </c>
      <c r="G2714" s="7">
        <f t="shared" si="365"/>
        <v>0.282181168057211</v>
      </c>
    </row>
    <row r="2715" spans="1:7">
      <c r="A2715" s="14" t="s">
        <v>3744</v>
      </c>
      <c r="B2715" s="12" t="s">
        <v>2376</v>
      </c>
      <c r="C2715" s="13"/>
      <c r="D2715" s="16"/>
      <c r="E2715" s="5" t="s">
        <v>8</v>
      </c>
    </row>
    <row r="2716" spans="1:7">
      <c r="A2716" s="14" t="s">
        <v>3745</v>
      </c>
      <c r="B2716" s="12" t="s">
        <v>3644</v>
      </c>
      <c r="C2716" s="13" t="s">
        <v>126</v>
      </c>
      <c r="D2716" s="17">
        <v>575.45</v>
      </c>
      <c r="E2716" s="5" t="s">
        <v>8</v>
      </c>
      <c r="F2716" s="6">
        <v>393.35</v>
      </c>
      <c r="G2716" s="7">
        <f t="shared" ref="G2716:G2718" si="366">(D2716-F2716)/F2716</f>
        <v>0.462946485318419</v>
      </c>
    </row>
    <row r="2717" spans="1:7">
      <c r="A2717" s="14" t="s">
        <v>3746</v>
      </c>
      <c r="B2717" s="12" t="s">
        <v>3646</v>
      </c>
      <c r="C2717" s="13" t="s">
        <v>126</v>
      </c>
      <c r="D2717" s="17">
        <v>575.45</v>
      </c>
      <c r="E2717" s="5" t="s">
        <v>8</v>
      </c>
      <c r="F2717" s="6">
        <v>396.85</v>
      </c>
      <c r="G2717" s="7">
        <f t="shared" si="366"/>
        <v>0.45004409726597</v>
      </c>
    </row>
    <row r="2718" spans="1:7">
      <c r="A2718" s="14" t="s">
        <v>3747</v>
      </c>
      <c r="B2718" s="12" t="s">
        <v>3648</v>
      </c>
      <c r="C2718" s="13" t="s">
        <v>126</v>
      </c>
      <c r="D2718" s="17">
        <v>401.9</v>
      </c>
      <c r="E2718" s="5" t="s">
        <v>8</v>
      </c>
      <c r="F2718" s="6">
        <v>335.3</v>
      </c>
      <c r="G2718" s="7">
        <f t="shared" si="366"/>
        <v>0.198628094243961</v>
      </c>
    </row>
    <row r="2719" spans="1:7">
      <c r="A2719" s="18">
        <v>17.51</v>
      </c>
      <c r="B2719" s="15" t="s">
        <v>3748</v>
      </c>
      <c r="C2719" s="13"/>
      <c r="D2719" s="16"/>
      <c r="E2719" s="5" t="s">
        <v>8</v>
      </c>
    </row>
    <row r="2720" spans="1:7">
      <c r="A2720" s="14" t="s">
        <v>3749</v>
      </c>
      <c r="B2720" s="12" t="s">
        <v>3711</v>
      </c>
      <c r="C2720" s="13"/>
      <c r="D2720" s="16"/>
      <c r="E2720" s="5" t="s">
        <v>8</v>
      </c>
    </row>
    <row r="2721" spans="1:7">
      <c r="A2721" s="14" t="s">
        <v>3750</v>
      </c>
      <c r="B2721" s="12" t="s">
        <v>3644</v>
      </c>
      <c r="C2721" s="13" t="s">
        <v>126</v>
      </c>
      <c r="D2721" s="17">
        <v>1011.05</v>
      </c>
      <c r="E2721" s="5" t="s">
        <v>8</v>
      </c>
      <c r="F2721" s="6">
        <v>689.2</v>
      </c>
      <c r="G2721" s="7">
        <f t="shared" ref="G2721:G2727" si="367">(D2721-F2721)/F2721</f>
        <v>0.466990713871155</v>
      </c>
    </row>
    <row r="2722" spans="1:7">
      <c r="A2722" s="14" t="s">
        <v>3751</v>
      </c>
      <c r="B2722" s="12" t="s">
        <v>3646</v>
      </c>
      <c r="C2722" s="13" t="s">
        <v>126</v>
      </c>
      <c r="D2722" s="17">
        <v>1274.25</v>
      </c>
      <c r="E2722" s="5" t="s">
        <v>8</v>
      </c>
      <c r="F2722" s="6">
        <v>869.25</v>
      </c>
      <c r="G2722" s="7">
        <f t="shared" si="367"/>
        <v>0.465918895599655</v>
      </c>
    </row>
    <row r="2723" spans="1:7">
      <c r="A2723" s="18">
        <v>17.52</v>
      </c>
      <c r="B2723" s="15" t="s">
        <v>3752</v>
      </c>
      <c r="C2723" s="13"/>
      <c r="D2723" s="16"/>
      <c r="E2723" s="5" t="s">
        <v>8</v>
      </c>
    </row>
    <row r="2724" spans="1:7">
      <c r="A2724" s="14" t="s">
        <v>3753</v>
      </c>
      <c r="B2724" s="12" t="s">
        <v>3721</v>
      </c>
      <c r="C2724" s="13"/>
      <c r="D2724" s="16"/>
      <c r="E2724" s="5" t="s">
        <v>8</v>
      </c>
    </row>
    <row r="2725" spans="1:7">
      <c r="A2725" s="14" t="s">
        <v>3754</v>
      </c>
      <c r="B2725" s="12" t="s">
        <v>3644</v>
      </c>
      <c r="C2725" s="13" t="s">
        <v>126</v>
      </c>
      <c r="D2725" s="17">
        <v>804.8</v>
      </c>
      <c r="E2725" s="5" t="s">
        <v>8</v>
      </c>
      <c r="F2725" s="6">
        <v>602.1</v>
      </c>
      <c r="G2725" s="7">
        <f t="shared" si="367"/>
        <v>0.336655040690915</v>
      </c>
    </row>
    <row r="2726" spans="1:7">
      <c r="A2726" s="14" t="s">
        <v>3755</v>
      </c>
      <c r="B2726" s="12" t="s">
        <v>3646</v>
      </c>
      <c r="C2726" s="13" t="s">
        <v>126</v>
      </c>
      <c r="D2726" s="17">
        <v>996.85</v>
      </c>
      <c r="E2726" s="5" t="s">
        <v>8</v>
      </c>
      <c r="F2726" s="6">
        <v>660.2</v>
      </c>
      <c r="G2726" s="7">
        <f t="shared" si="367"/>
        <v>0.509921235989094</v>
      </c>
    </row>
    <row r="2727" spans="1:7">
      <c r="A2727" s="14" t="s">
        <v>3756</v>
      </c>
      <c r="B2727" s="12" t="s">
        <v>3648</v>
      </c>
      <c r="C2727" s="13" t="s">
        <v>126</v>
      </c>
      <c r="D2727" s="17">
        <v>658.25</v>
      </c>
      <c r="E2727" s="5" t="s">
        <v>8</v>
      </c>
      <c r="F2727" s="6">
        <v>549.85</v>
      </c>
      <c r="G2727" s="7">
        <f t="shared" si="367"/>
        <v>0.197144675820678</v>
      </c>
    </row>
    <row r="2728" spans="1:7">
      <c r="A2728" s="18">
        <v>17.53</v>
      </c>
      <c r="B2728" s="15" t="s">
        <v>3757</v>
      </c>
      <c r="C2728" s="13"/>
      <c r="D2728" s="16"/>
      <c r="E2728" s="5" t="s">
        <v>8</v>
      </c>
    </row>
    <row r="2729" spans="1:7">
      <c r="A2729" s="14" t="s">
        <v>3758</v>
      </c>
      <c r="B2729" s="12" t="s">
        <v>3759</v>
      </c>
      <c r="C2729" s="13"/>
      <c r="D2729" s="16"/>
      <c r="E2729" s="5" t="s">
        <v>8</v>
      </c>
    </row>
    <row r="2730" spans="1:7">
      <c r="A2730" s="14" t="s">
        <v>3760</v>
      </c>
      <c r="B2730" s="12" t="s">
        <v>3761</v>
      </c>
      <c r="C2730" s="13" t="s">
        <v>126</v>
      </c>
      <c r="D2730" s="17">
        <v>376.25</v>
      </c>
      <c r="E2730" s="5" t="s">
        <v>8</v>
      </c>
      <c r="F2730" s="6">
        <v>274.9</v>
      </c>
      <c r="G2730" s="7">
        <f t="shared" ref="G2730:G2734" si="368">(D2730-F2730)/F2730</f>
        <v>0.368679519825391</v>
      </c>
    </row>
    <row r="2731" spans="1:7">
      <c r="A2731" s="14" t="s">
        <v>3762</v>
      </c>
      <c r="B2731" s="12" t="s">
        <v>3763</v>
      </c>
      <c r="C2731" s="13" t="s">
        <v>126</v>
      </c>
      <c r="D2731" s="17">
        <v>603.9</v>
      </c>
      <c r="E2731" s="5" t="s">
        <v>8</v>
      </c>
      <c r="F2731" s="6">
        <v>443.3</v>
      </c>
      <c r="G2731" s="7">
        <f t="shared" si="368"/>
        <v>0.362282878411911</v>
      </c>
    </row>
    <row r="2732" spans="1:7">
      <c r="A2732" s="14" t="s">
        <v>3764</v>
      </c>
      <c r="B2732" s="12" t="s">
        <v>3765</v>
      </c>
      <c r="C2732" s="13"/>
      <c r="D2732" s="16"/>
      <c r="E2732" s="5" t="s">
        <v>8</v>
      </c>
    </row>
    <row r="2733" spans="1:7">
      <c r="A2733" s="14" t="s">
        <v>3766</v>
      </c>
      <c r="B2733" s="12" t="s">
        <v>3761</v>
      </c>
      <c r="C2733" s="13" t="s">
        <v>126</v>
      </c>
      <c r="D2733" s="17">
        <v>527.35</v>
      </c>
      <c r="E2733" s="5" t="s">
        <v>8</v>
      </c>
      <c r="F2733" s="6">
        <v>375.6</v>
      </c>
      <c r="G2733" s="7">
        <f t="shared" si="368"/>
        <v>0.4040202342918</v>
      </c>
    </row>
    <row r="2734" spans="1:7">
      <c r="A2734" s="14" t="s">
        <v>3767</v>
      </c>
      <c r="B2734" s="12" t="s">
        <v>3763</v>
      </c>
      <c r="C2734" s="13" t="s">
        <v>126</v>
      </c>
      <c r="D2734" s="17">
        <v>648.3</v>
      </c>
      <c r="E2734" s="5" t="s">
        <v>8</v>
      </c>
      <c r="F2734" s="6">
        <v>472</v>
      </c>
      <c r="G2734" s="7">
        <f t="shared" si="368"/>
        <v>0.373516949152542</v>
      </c>
    </row>
    <row r="2735" spans="1:7">
      <c r="A2735" s="14" t="s">
        <v>3768</v>
      </c>
      <c r="B2735" s="12" t="s">
        <v>3769</v>
      </c>
      <c r="C2735" s="13"/>
      <c r="D2735" s="16"/>
      <c r="E2735" s="5" t="s">
        <v>8</v>
      </c>
    </row>
    <row r="2736" spans="1:7">
      <c r="A2736" s="14" t="s">
        <v>3770</v>
      </c>
      <c r="B2736" s="12" t="s">
        <v>3761</v>
      </c>
      <c r="C2736" s="13" t="s">
        <v>126</v>
      </c>
      <c r="D2736" s="17">
        <v>619.9</v>
      </c>
      <c r="E2736" s="5" t="s">
        <v>8</v>
      </c>
      <c r="F2736" s="6">
        <v>451.85</v>
      </c>
      <c r="G2736" s="7">
        <f t="shared" ref="G2736:G2741" si="369">(D2736-F2736)/F2736</f>
        <v>0.371915458669912</v>
      </c>
    </row>
    <row r="2737" spans="1:7">
      <c r="A2737" s="14" t="s">
        <v>3771</v>
      </c>
      <c r="B2737" s="12" t="s">
        <v>3763</v>
      </c>
      <c r="C2737" s="13" t="s">
        <v>126</v>
      </c>
      <c r="D2737" s="17">
        <v>769.25</v>
      </c>
      <c r="E2737" s="5" t="s">
        <v>8</v>
      </c>
      <c r="F2737" s="6">
        <v>564.55</v>
      </c>
      <c r="G2737" s="7">
        <f t="shared" si="369"/>
        <v>0.362589673191037</v>
      </c>
    </row>
    <row r="2738" ht="31" spans="1:7">
      <c r="A2738" s="14" t="s">
        <v>3772</v>
      </c>
      <c r="B2738" s="15" t="s">
        <v>3773</v>
      </c>
      <c r="C2738" s="13"/>
      <c r="D2738" s="16"/>
      <c r="E2738" s="5" t="s">
        <v>8</v>
      </c>
    </row>
    <row r="2739" spans="1:7">
      <c r="A2739" s="14" t="s">
        <v>3774</v>
      </c>
      <c r="B2739" s="12" t="s">
        <v>3775</v>
      </c>
      <c r="C2739" s="13"/>
      <c r="D2739" s="16"/>
      <c r="E2739" s="5" t="s">
        <v>8</v>
      </c>
    </row>
    <row r="2740" spans="1:7">
      <c r="A2740" s="14" t="s">
        <v>3776</v>
      </c>
      <c r="B2740" s="12" t="s">
        <v>3763</v>
      </c>
      <c r="C2740" s="13" t="s">
        <v>126</v>
      </c>
      <c r="D2740" s="17">
        <v>547</v>
      </c>
      <c r="E2740" s="5" t="s">
        <v>8</v>
      </c>
      <c r="F2740" s="6">
        <v>460.75</v>
      </c>
      <c r="G2740" s="7">
        <f t="shared" si="369"/>
        <v>0.187194791101465</v>
      </c>
    </row>
    <row r="2741" spans="1:7">
      <c r="A2741" s="14" t="s">
        <v>3777</v>
      </c>
      <c r="B2741" s="12" t="s">
        <v>3761</v>
      </c>
      <c r="C2741" s="13" t="s">
        <v>126</v>
      </c>
      <c r="D2741" s="17">
        <v>454.5</v>
      </c>
      <c r="E2741" s="5" t="s">
        <v>8</v>
      </c>
      <c r="F2741" s="6">
        <v>379.45</v>
      </c>
      <c r="G2741" s="7">
        <f t="shared" si="369"/>
        <v>0.197786269600738</v>
      </c>
    </row>
    <row r="2742" spans="1:7">
      <c r="A2742" s="18">
        <v>17.54</v>
      </c>
      <c r="B2742" s="15" t="s">
        <v>3778</v>
      </c>
      <c r="C2742" s="13"/>
      <c r="D2742" s="16"/>
      <c r="E2742" s="5" t="s">
        <v>8</v>
      </c>
    </row>
    <row r="2743" spans="1:7">
      <c r="A2743" s="14" t="s">
        <v>3779</v>
      </c>
      <c r="B2743" s="12" t="s">
        <v>3780</v>
      </c>
      <c r="C2743" s="13"/>
      <c r="D2743" s="16"/>
      <c r="E2743" s="5" t="s">
        <v>8</v>
      </c>
    </row>
    <row r="2744" spans="1:7">
      <c r="A2744" s="14" t="s">
        <v>3781</v>
      </c>
      <c r="B2744" s="12" t="s">
        <v>3761</v>
      </c>
      <c r="C2744" s="13" t="s">
        <v>126</v>
      </c>
      <c r="D2744" s="17">
        <v>418.95</v>
      </c>
      <c r="E2744" s="5" t="s">
        <v>8</v>
      </c>
      <c r="F2744" s="6">
        <v>283.05</v>
      </c>
      <c r="G2744" s="7">
        <f t="shared" ref="G2744:G2747" si="370">(D2744-F2744)/F2744</f>
        <v>0.480127186009539</v>
      </c>
    </row>
    <row r="2745" spans="1:7">
      <c r="A2745" s="14" t="s">
        <v>3782</v>
      </c>
      <c r="B2745" s="12" t="s">
        <v>3783</v>
      </c>
      <c r="C2745" s="13"/>
      <c r="D2745" s="16"/>
      <c r="E2745" s="5" t="s">
        <v>8</v>
      </c>
      <c r="F2745" s="8"/>
    </row>
    <row r="2746" spans="1:7">
      <c r="A2746" s="14" t="s">
        <v>3784</v>
      </c>
      <c r="B2746" s="12" t="s">
        <v>3761</v>
      </c>
      <c r="C2746" s="13" t="s">
        <v>126</v>
      </c>
      <c r="D2746" s="17">
        <v>585.55</v>
      </c>
      <c r="E2746" s="5" t="s">
        <v>8</v>
      </c>
      <c r="F2746" s="6">
        <v>363.4</v>
      </c>
      <c r="G2746" s="7">
        <f t="shared" si="370"/>
        <v>0.611309851403412</v>
      </c>
    </row>
    <row r="2747" spans="1:7">
      <c r="A2747" s="14" t="s">
        <v>3785</v>
      </c>
      <c r="B2747" s="12" t="s">
        <v>3763</v>
      </c>
      <c r="C2747" s="13" t="s">
        <v>126</v>
      </c>
      <c r="D2747" s="17">
        <v>734.95</v>
      </c>
      <c r="E2747" s="5" t="s">
        <v>8</v>
      </c>
      <c r="F2747" s="6">
        <v>485.4</v>
      </c>
      <c r="G2747" s="7">
        <f t="shared" si="370"/>
        <v>0.514112072517511</v>
      </c>
    </row>
    <row r="2748" ht="31" spans="1:7">
      <c r="A2748" s="14" t="s">
        <v>3786</v>
      </c>
      <c r="B2748" s="15" t="s">
        <v>3773</v>
      </c>
      <c r="C2748" s="13"/>
      <c r="D2748" s="16"/>
      <c r="E2748" s="5" t="s">
        <v>8</v>
      </c>
    </row>
    <row r="2749" spans="1:7">
      <c r="A2749" s="14" t="s">
        <v>3787</v>
      </c>
      <c r="B2749" s="12" t="s">
        <v>3788</v>
      </c>
      <c r="C2749" s="13"/>
      <c r="D2749" s="16"/>
      <c r="E2749" s="5" t="s">
        <v>8</v>
      </c>
    </row>
    <row r="2750" spans="1:7">
      <c r="A2750" s="14" t="s">
        <v>3789</v>
      </c>
      <c r="B2750" s="12" t="s">
        <v>3790</v>
      </c>
      <c r="C2750" s="13" t="s">
        <v>126</v>
      </c>
      <c r="D2750" s="17">
        <v>632.65</v>
      </c>
      <c r="E2750" s="5" t="s">
        <v>8</v>
      </c>
      <c r="F2750" s="6">
        <v>557.95</v>
      </c>
      <c r="G2750" s="7">
        <f t="shared" ref="G2750:G2755" si="371">(D2750-F2750)/F2750</f>
        <v>0.133882964423335</v>
      </c>
    </row>
    <row r="2751" spans="1:7">
      <c r="A2751" s="14" t="s">
        <v>3791</v>
      </c>
      <c r="B2751" s="12" t="s">
        <v>3792</v>
      </c>
      <c r="C2751" s="13" t="s">
        <v>126</v>
      </c>
      <c r="D2751" s="17">
        <v>465.9</v>
      </c>
      <c r="E2751" s="5" t="s">
        <v>8</v>
      </c>
      <c r="F2751" s="6">
        <v>399.2</v>
      </c>
      <c r="G2751" s="7">
        <f t="shared" si="371"/>
        <v>0.167084168336673</v>
      </c>
    </row>
    <row r="2752" ht="31" spans="1:7">
      <c r="A2752" s="18">
        <v>17.55</v>
      </c>
      <c r="B2752" s="15" t="s">
        <v>3793</v>
      </c>
      <c r="C2752" s="13"/>
      <c r="D2752" s="16"/>
      <c r="E2752" s="5" t="s">
        <v>8</v>
      </c>
    </row>
    <row r="2753" spans="1:7">
      <c r="A2753" s="14" t="s">
        <v>3794</v>
      </c>
      <c r="B2753" s="12" t="s">
        <v>1286</v>
      </c>
      <c r="C2753" s="13"/>
      <c r="D2753" s="16"/>
      <c r="E2753" s="5" t="s">
        <v>8</v>
      </c>
    </row>
    <row r="2754" spans="1:7">
      <c r="A2754" s="14" t="s">
        <v>3795</v>
      </c>
      <c r="B2754" s="12" t="s">
        <v>3644</v>
      </c>
      <c r="C2754" s="13" t="s">
        <v>126</v>
      </c>
      <c r="D2754" s="17">
        <v>783.45</v>
      </c>
      <c r="E2754" s="5" t="s">
        <v>8</v>
      </c>
      <c r="F2754" s="6">
        <v>512.65</v>
      </c>
      <c r="G2754" s="7">
        <f t="shared" si="371"/>
        <v>0.528235638349751</v>
      </c>
    </row>
    <row r="2755" spans="1:7">
      <c r="A2755" s="14" t="s">
        <v>3796</v>
      </c>
      <c r="B2755" s="12" t="s">
        <v>3646</v>
      </c>
      <c r="C2755" s="13" t="s">
        <v>126</v>
      </c>
      <c r="D2755" s="17">
        <v>683.85</v>
      </c>
      <c r="E2755" s="5" t="s">
        <v>8</v>
      </c>
      <c r="F2755" s="6">
        <v>512.65</v>
      </c>
      <c r="G2755" s="7">
        <f t="shared" si="371"/>
        <v>0.333951038720375</v>
      </c>
    </row>
    <row r="2756" spans="1:7">
      <c r="A2756" s="14" t="s">
        <v>3797</v>
      </c>
      <c r="B2756" s="12" t="s">
        <v>1322</v>
      </c>
      <c r="C2756" s="13"/>
      <c r="D2756" s="16"/>
      <c r="E2756" s="5" t="s">
        <v>8</v>
      </c>
    </row>
    <row r="2757" spans="1:7">
      <c r="A2757" s="14" t="s">
        <v>3798</v>
      </c>
      <c r="B2757" s="12" t="s">
        <v>3644</v>
      </c>
      <c r="C2757" s="13" t="s">
        <v>126</v>
      </c>
      <c r="D2757" s="17">
        <v>501.45</v>
      </c>
      <c r="E2757" s="5" t="s">
        <v>8</v>
      </c>
      <c r="F2757" s="6">
        <v>358.5</v>
      </c>
      <c r="G2757" s="7">
        <f t="shared" ref="G2757:G2763" si="372">(D2757-F2757)/F2757</f>
        <v>0.398744769874477</v>
      </c>
    </row>
    <row r="2758" spans="1:7">
      <c r="A2758" s="14" t="s">
        <v>3799</v>
      </c>
      <c r="B2758" s="12" t="s">
        <v>3646</v>
      </c>
      <c r="C2758" s="13" t="s">
        <v>126</v>
      </c>
      <c r="D2758" s="17">
        <v>537</v>
      </c>
      <c r="E2758" s="5" t="s">
        <v>8</v>
      </c>
      <c r="F2758" s="6">
        <v>381.75</v>
      </c>
      <c r="G2758" s="7">
        <f t="shared" si="372"/>
        <v>0.406679764243615</v>
      </c>
    </row>
    <row r="2759" spans="1:7">
      <c r="A2759" s="18">
        <v>17.56</v>
      </c>
      <c r="B2759" s="15" t="s">
        <v>3800</v>
      </c>
      <c r="C2759" s="13"/>
      <c r="D2759" s="16"/>
      <c r="E2759" s="5" t="s">
        <v>8</v>
      </c>
    </row>
    <row r="2760" spans="1:7">
      <c r="A2760" s="14" t="s">
        <v>3801</v>
      </c>
      <c r="B2760" s="12" t="s">
        <v>1286</v>
      </c>
      <c r="C2760" s="13"/>
      <c r="D2760" s="16"/>
      <c r="E2760" s="5" t="s">
        <v>8</v>
      </c>
    </row>
    <row r="2761" spans="1:7">
      <c r="A2761" s="14" t="s">
        <v>3802</v>
      </c>
      <c r="B2761" s="12" t="s">
        <v>3644</v>
      </c>
      <c r="C2761" s="13" t="s">
        <v>126</v>
      </c>
      <c r="D2761" s="17">
        <v>442</v>
      </c>
      <c r="E2761" s="5" t="s">
        <v>8</v>
      </c>
      <c r="F2761" s="6">
        <v>247.85</v>
      </c>
      <c r="G2761" s="7">
        <f t="shared" si="372"/>
        <v>0.783336695582005</v>
      </c>
    </row>
    <row r="2762" spans="1:7">
      <c r="A2762" s="14" t="s">
        <v>3803</v>
      </c>
      <c r="B2762" s="12" t="s">
        <v>3646</v>
      </c>
      <c r="C2762" s="13" t="s">
        <v>126</v>
      </c>
      <c r="D2762" s="17">
        <v>506</v>
      </c>
      <c r="E2762" s="5" t="s">
        <v>8</v>
      </c>
      <c r="F2762" s="6">
        <v>333.8</v>
      </c>
      <c r="G2762" s="7">
        <f t="shared" si="372"/>
        <v>0.515877771120431</v>
      </c>
    </row>
    <row r="2763" spans="1:7">
      <c r="A2763" s="14" t="s">
        <v>3804</v>
      </c>
      <c r="B2763" s="12" t="s">
        <v>3648</v>
      </c>
      <c r="C2763" s="13" t="s">
        <v>126</v>
      </c>
      <c r="D2763" s="17">
        <v>427.8</v>
      </c>
      <c r="E2763" s="5" t="s">
        <v>8</v>
      </c>
      <c r="F2763" s="6">
        <v>355.85</v>
      </c>
      <c r="G2763" s="7">
        <f t="shared" si="372"/>
        <v>0.20219193480399</v>
      </c>
    </row>
    <row r="2764" spans="1:7">
      <c r="A2764" s="14" t="s">
        <v>3805</v>
      </c>
      <c r="B2764" s="12" t="s">
        <v>1322</v>
      </c>
      <c r="C2764" s="13"/>
      <c r="D2764" s="16"/>
      <c r="E2764" s="5" t="s">
        <v>8</v>
      </c>
    </row>
    <row r="2765" spans="1:7">
      <c r="A2765" s="14" t="s">
        <v>3806</v>
      </c>
      <c r="B2765" s="12" t="s">
        <v>3644</v>
      </c>
      <c r="C2765" s="13" t="s">
        <v>126</v>
      </c>
      <c r="D2765" s="17">
        <v>340.7</v>
      </c>
      <c r="E2765" s="5" t="s">
        <v>8</v>
      </c>
      <c r="F2765" s="6">
        <v>197.1</v>
      </c>
      <c r="G2765" s="7">
        <f t="shared" ref="G2765:G2770" si="373">(D2765-F2765)/F2765</f>
        <v>0.728564180618975</v>
      </c>
    </row>
    <row r="2766" spans="1:7">
      <c r="A2766" s="14" t="s">
        <v>3807</v>
      </c>
      <c r="B2766" s="12" t="s">
        <v>3646</v>
      </c>
      <c r="C2766" s="13" t="s">
        <v>126</v>
      </c>
      <c r="D2766" s="17">
        <v>404.75</v>
      </c>
      <c r="E2766" s="5" t="s">
        <v>8</v>
      </c>
      <c r="F2766" s="6">
        <v>265.6</v>
      </c>
      <c r="G2766" s="7">
        <f t="shared" si="373"/>
        <v>0.52390813253012</v>
      </c>
    </row>
    <row r="2767" spans="1:7">
      <c r="A2767" s="18">
        <v>17.57</v>
      </c>
      <c r="B2767" s="15" t="s">
        <v>3808</v>
      </c>
      <c r="C2767" s="13"/>
      <c r="D2767" s="16"/>
      <c r="E2767" s="5" t="s">
        <v>8</v>
      </c>
    </row>
    <row r="2768" spans="1:7">
      <c r="A2768" s="14" t="s">
        <v>3809</v>
      </c>
      <c r="B2768" s="12" t="s">
        <v>1286</v>
      </c>
      <c r="C2768" s="13"/>
      <c r="D2768" s="16"/>
      <c r="E2768" s="5" t="s">
        <v>8</v>
      </c>
    </row>
    <row r="2769" spans="1:7">
      <c r="A2769" s="14" t="s">
        <v>3810</v>
      </c>
      <c r="B2769" s="12" t="s">
        <v>3644</v>
      </c>
      <c r="C2769" s="13" t="s">
        <v>126</v>
      </c>
      <c r="D2769" s="17">
        <v>463.35</v>
      </c>
      <c r="E2769" s="5" t="s">
        <v>8</v>
      </c>
      <c r="F2769" s="6">
        <v>187.45</v>
      </c>
      <c r="G2769" s="7">
        <f t="shared" si="373"/>
        <v>1.47185916244332</v>
      </c>
    </row>
    <row r="2770" spans="1:7">
      <c r="A2770" s="14" t="s">
        <v>3811</v>
      </c>
      <c r="B2770" s="12" t="s">
        <v>3646</v>
      </c>
      <c r="C2770" s="13" t="s">
        <v>126</v>
      </c>
      <c r="D2770" s="17">
        <v>513.15</v>
      </c>
      <c r="E2770" s="5" t="s">
        <v>8</v>
      </c>
      <c r="F2770" s="6">
        <v>351.2</v>
      </c>
      <c r="G2770" s="7">
        <f t="shared" si="373"/>
        <v>0.461133257403189</v>
      </c>
    </row>
    <row r="2771" spans="1:7">
      <c r="A2771" s="14" t="s">
        <v>3812</v>
      </c>
      <c r="B2771" s="12" t="s">
        <v>1322</v>
      </c>
      <c r="C2771" s="13"/>
      <c r="D2771" s="16"/>
      <c r="E2771" s="5" t="s">
        <v>8</v>
      </c>
    </row>
    <row r="2772" spans="1:7">
      <c r="A2772" s="14" t="s">
        <v>3813</v>
      </c>
      <c r="B2772" s="12" t="s">
        <v>3644</v>
      </c>
      <c r="C2772" s="13" t="s">
        <v>126</v>
      </c>
      <c r="D2772" s="17">
        <v>305.15</v>
      </c>
      <c r="E2772" s="5" t="s">
        <v>8</v>
      </c>
      <c r="F2772" s="6">
        <v>128.55</v>
      </c>
      <c r="G2772" s="7">
        <f t="shared" ref="G2772:G2776" si="374">(D2772-F2772)/F2772</f>
        <v>1.37378451964216</v>
      </c>
    </row>
    <row r="2773" spans="1:7">
      <c r="A2773" s="14" t="s">
        <v>3814</v>
      </c>
      <c r="B2773" s="12" t="s">
        <v>3646</v>
      </c>
      <c r="C2773" s="13" t="s">
        <v>126</v>
      </c>
      <c r="D2773" s="17">
        <v>362.05</v>
      </c>
      <c r="E2773" s="5" t="s">
        <v>8</v>
      </c>
      <c r="F2773" s="6">
        <v>219.15</v>
      </c>
      <c r="G2773" s="7">
        <f t="shared" si="374"/>
        <v>0.652064795801962</v>
      </c>
    </row>
    <row r="2774" spans="1:7">
      <c r="A2774" s="14" t="s">
        <v>3815</v>
      </c>
      <c r="B2774" s="15" t="s">
        <v>3816</v>
      </c>
      <c r="C2774" s="13"/>
      <c r="D2774" s="16"/>
      <c r="E2774" s="5" t="s">
        <v>8</v>
      </c>
    </row>
    <row r="2775" spans="1:7">
      <c r="A2775" s="14" t="s">
        <v>3817</v>
      </c>
      <c r="B2775" s="12" t="s">
        <v>3618</v>
      </c>
      <c r="C2775" s="13"/>
      <c r="D2775" s="16"/>
      <c r="E2775" s="5" t="s">
        <v>8</v>
      </c>
    </row>
    <row r="2776" spans="1:7">
      <c r="A2776" s="14" t="s">
        <v>3818</v>
      </c>
      <c r="B2776" s="12" t="s">
        <v>3819</v>
      </c>
      <c r="C2776" s="13" t="s">
        <v>126</v>
      </c>
      <c r="D2776" s="17">
        <v>432.05</v>
      </c>
      <c r="E2776" s="5" t="s">
        <v>8</v>
      </c>
      <c r="F2776" s="6">
        <v>360.5</v>
      </c>
      <c r="G2776" s="7">
        <f t="shared" si="374"/>
        <v>0.198474341192788</v>
      </c>
    </row>
    <row r="2777" spans="1:7">
      <c r="A2777" s="14" t="s">
        <v>3820</v>
      </c>
      <c r="B2777" s="12" t="s">
        <v>3650</v>
      </c>
      <c r="C2777" s="13"/>
      <c r="D2777" s="16"/>
      <c r="E2777" s="5" t="s">
        <v>8</v>
      </c>
    </row>
    <row r="2778" spans="1:7">
      <c r="A2778" s="14" t="s">
        <v>3821</v>
      </c>
      <c r="B2778" s="12" t="s">
        <v>3819</v>
      </c>
      <c r="C2778" s="13" t="s">
        <v>126</v>
      </c>
      <c r="D2778" s="17">
        <v>389.05</v>
      </c>
      <c r="E2778" s="5" t="s">
        <v>8</v>
      </c>
      <c r="F2778" s="6">
        <v>326</v>
      </c>
      <c r="G2778" s="7">
        <f t="shared" ref="G2778:G2782" si="375">(D2778-F2778)/F2778</f>
        <v>0.19340490797546</v>
      </c>
    </row>
    <row r="2779" ht="31" spans="1:7">
      <c r="A2779" s="18">
        <v>17.58</v>
      </c>
      <c r="B2779" s="15" t="s">
        <v>3822</v>
      </c>
      <c r="C2779" s="13"/>
      <c r="D2779" s="16"/>
      <c r="E2779" s="5" t="s">
        <v>8</v>
      </c>
    </row>
    <row r="2780" spans="1:7">
      <c r="A2780" s="14" t="s">
        <v>3823</v>
      </c>
      <c r="B2780" s="12" t="s">
        <v>1286</v>
      </c>
      <c r="C2780" s="13" t="s">
        <v>126</v>
      </c>
      <c r="D2780" s="17">
        <v>622.5</v>
      </c>
      <c r="E2780" s="5" t="s">
        <v>8</v>
      </c>
      <c r="F2780" s="6">
        <v>309.95</v>
      </c>
      <c r="G2780" s="7">
        <f t="shared" si="375"/>
        <v>1.00838844974996</v>
      </c>
    </row>
    <row r="2781" spans="1:7">
      <c r="A2781" s="14" t="s">
        <v>3824</v>
      </c>
      <c r="B2781" s="12" t="s">
        <v>1322</v>
      </c>
      <c r="C2781" s="13" t="s">
        <v>126</v>
      </c>
      <c r="D2781" s="17">
        <v>526.25</v>
      </c>
      <c r="E2781" s="5" t="s">
        <v>8</v>
      </c>
      <c r="F2781" s="6">
        <v>263.6</v>
      </c>
      <c r="G2781" s="7">
        <f t="shared" si="375"/>
        <v>0.996396054628224</v>
      </c>
    </row>
    <row r="2782" spans="1:7">
      <c r="A2782" s="14" t="s">
        <v>3825</v>
      </c>
      <c r="B2782" s="12" t="s">
        <v>1395</v>
      </c>
      <c r="C2782" s="13" t="s">
        <v>126</v>
      </c>
      <c r="D2782" s="17">
        <v>423.15</v>
      </c>
      <c r="E2782" s="5" t="s">
        <v>8</v>
      </c>
      <c r="F2782" s="6">
        <v>213.35</v>
      </c>
      <c r="G2782" s="7">
        <f t="shared" si="375"/>
        <v>0.98336067494727</v>
      </c>
    </row>
    <row r="2783" ht="31" spans="1:7">
      <c r="A2783" s="18">
        <v>17.59</v>
      </c>
      <c r="B2783" s="15" t="s">
        <v>3826</v>
      </c>
      <c r="C2783" s="13"/>
      <c r="D2783" s="16"/>
      <c r="E2783" s="5" t="s">
        <v>8</v>
      </c>
    </row>
    <row r="2784" spans="1:7">
      <c r="A2784" s="14" t="s">
        <v>3827</v>
      </c>
      <c r="B2784" s="12" t="s">
        <v>1286</v>
      </c>
      <c r="C2784" s="13" t="s">
        <v>126</v>
      </c>
      <c r="D2784" s="17">
        <v>139.7</v>
      </c>
      <c r="E2784" s="5" t="s">
        <v>8</v>
      </c>
      <c r="F2784" s="6">
        <v>62</v>
      </c>
      <c r="G2784" s="7">
        <f t="shared" ref="G2784:G2786" si="376">(D2784-F2784)/F2784</f>
        <v>1.25322580645161</v>
      </c>
    </row>
    <row r="2785" spans="1:7">
      <c r="A2785" s="14" t="s">
        <v>3828</v>
      </c>
      <c r="B2785" s="12" t="s">
        <v>1322</v>
      </c>
      <c r="C2785" s="13" t="s">
        <v>126</v>
      </c>
      <c r="D2785" s="17">
        <v>90.3</v>
      </c>
      <c r="E2785" s="5" t="s">
        <v>8</v>
      </c>
      <c r="F2785" s="6">
        <v>56.55</v>
      </c>
      <c r="G2785" s="7">
        <f t="shared" si="376"/>
        <v>0.596816976127321</v>
      </c>
    </row>
    <row r="2786" spans="1:7">
      <c r="A2786" s="14" t="s">
        <v>3829</v>
      </c>
      <c r="B2786" s="12" t="s">
        <v>1395</v>
      </c>
      <c r="C2786" s="13" t="s">
        <v>126</v>
      </c>
      <c r="D2786" s="17">
        <v>81.85</v>
      </c>
      <c r="E2786" s="5" t="s">
        <v>8</v>
      </c>
      <c r="F2786" s="6">
        <v>51.6</v>
      </c>
      <c r="G2786" s="7">
        <f t="shared" si="376"/>
        <v>0.586240310077519</v>
      </c>
    </row>
    <row r="2787" ht="46.5" spans="1:7">
      <c r="A2787" s="18">
        <v>17.6</v>
      </c>
      <c r="B2787" s="15" t="s">
        <v>3830</v>
      </c>
      <c r="C2787" s="13"/>
      <c r="D2787" s="16"/>
      <c r="E2787" s="5" t="s">
        <v>8</v>
      </c>
    </row>
    <row r="2788" spans="1:7">
      <c r="A2788" s="14" t="s">
        <v>3831</v>
      </c>
      <c r="B2788" s="12" t="s">
        <v>3832</v>
      </c>
      <c r="C2788" s="13"/>
      <c r="D2788" s="16"/>
      <c r="E2788" s="5" t="s">
        <v>8</v>
      </c>
    </row>
    <row r="2789" spans="1:7">
      <c r="A2789" s="14" t="s">
        <v>3833</v>
      </c>
      <c r="B2789" s="12" t="s">
        <v>3834</v>
      </c>
      <c r="C2789" s="13" t="s">
        <v>126</v>
      </c>
      <c r="D2789" s="17">
        <v>1996.5</v>
      </c>
      <c r="E2789" s="5" t="s">
        <v>8</v>
      </c>
      <c r="F2789" s="6">
        <v>1034.45</v>
      </c>
      <c r="G2789" s="7">
        <f t="shared" ref="G2789:G2791" si="377">(D2789-F2789)/F2789</f>
        <v>0.930011117018706</v>
      </c>
    </row>
    <row r="2790" spans="1:7">
      <c r="A2790" s="14" t="s">
        <v>3835</v>
      </c>
      <c r="B2790" s="12" t="s">
        <v>3836</v>
      </c>
      <c r="C2790" s="13" t="s">
        <v>126</v>
      </c>
      <c r="D2790" s="17">
        <v>1683.55</v>
      </c>
      <c r="E2790" s="5" t="s">
        <v>8</v>
      </c>
      <c r="F2790" s="6">
        <v>848.6</v>
      </c>
      <c r="G2790" s="7">
        <f t="shared" si="377"/>
        <v>0.983914683007306</v>
      </c>
    </row>
    <row r="2791" spans="1:7">
      <c r="A2791" s="14" t="s">
        <v>3837</v>
      </c>
      <c r="B2791" s="12" t="s">
        <v>3648</v>
      </c>
      <c r="C2791" s="13" t="s">
        <v>126</v>
      </c>
      <c r="D2791" s="17">
        <v>854.55</v>
      </c>
      <c r="E2791" s="5" t="s">
        <v>8</v>
      </c>
      <c r="F2791" s="6">
        <v>677.6</v>
      </c>
      <c r="G2791" s="7">
        <f t="shared" si="377"/>
        <v>0.261142266824085</v>
      </c>
    </row>
    <row r="2792" spans="1:7">
      <c r="A2792" s="14" t="s">
        <v>3838</v>
      </c>
      <c r="B2792" s="12" t="s">
        <v>3839</v>
      </c>
      <c r="C2792" s="13"/>
      <c r="D2792" s="16"/>
      <c r="E2792" s="5" t="s">
        <v>8</v>
      </c>
    </row>
    <row r="2793" spans="1:7">
      <c r="A2793" s="14" t="s">
        <v>3840</v>
      </c>
      <c r="B2793" s="12" t="s">
        <v>3646</v>
      </c>
      <c r="C2793" s="13" t="s">
        <v>126</v>
      </c>
      <c r="D2793" s="17">
        <v>1975.15</v>
      </c>
      <c r="E2793" s="5" t="s">
        <v>8</v>
      </c>
      <c r="F2793" s="6">
        <v>1072.8</v>
      </c>
      <c r="G2793" s="7">
        <f t="shared" ref="G2793:G2795" si="378">(D2793-F2793)/F2793</f>
        <v>0.841116703952275</v>
      </c>
    </row>
    <row r="2794" spans="1:7">
      <c r="A2794" s="14" t="s">
        <v>3841</v>
      </c>
      <c r="B2794" s="12" t="s">
        <v>3842</v>
      </c>
      <c r="C2794" s="13" t="s">
        <v>126</v>
      </c>
      <c r="D2794" s="17">
        <v>1558.35</v>
      </c>
      <c r="E2794" s="5" t="s">
        <v>8</v>
      </c>
      <c r="F2794" s="6">
        <v>782.4</v>
      </c>
      <c r="G2794" s="7">
        <f t="shared" si="378"/>
        <v>0.991756134969325</v>
      </c>
    </row>
    <row r="2795" spans="1:7">
      <c r="A2795" s="14" t="s">
        <v>3843</v>
      </c>
      <c r="B2795" s="12" t="s">
        <v>3648</v>
      </c>
      <c r="C2795" s="13" t="s">
        <v>126</v>
      </c>
      <c r="D2795" s="17">
        <v>591.4</v>
      </c>
      <c r="E2795" s="5" t="s">
        <v>8</v>
      </c>
      <c r="F2795" s="6">
        <v>496.4</v>
      </c>
      <c r="G2795" s="7">
        <f t="shared" si="378"/>
        <v>0.191377921031426</v>
      </c>
    </row>
    <row r="2796" ht="62" spans="1:7">
      <c r="A2796" s="18">
        <v>17.61</v>
      </c>
      <c r="B2796" s="15" t="s">
        <v>3844</v>
      </c>
      <c r="C2796" s="13"/>
      <c r="D2796" s="16"/>
      <c r="E2796" s="5" t="s">
        <v>8</v>
      </c>
    </row>
    <row r="2797" spans="1:7">
      <c r="A2797" s="14" t="s">
        <v>3845</v>
      </c>
      <c r="B2797" s="12" t="s">
        <v>3618</v>
      </c>
      <c r="C2797" s="13" t="s">
        <v>39</v>
      </c>
      <c r="D2797" s="17">
        <v>713.2</v>
      </c>
      <c r="E2797" s="5" t="s">
        <v>8</v>
      </c>
      <c r="F2797" s="6">
        <v>355.7</v>
      </c>
      <c r="G2797" s="7">
        <f t="shared" ref="G2797:G2802" si="379">(D2797-F2797)/F2797</f>
        <v>1.00506044419455</v>
      </c>
    </row>
    <row r="2798" spans="1:7">
      <c r="A2798" s="14" t="s">
        <v>3846</v>
      </c>
      <c r="B2798" s="12" t="s">
        <v>3650</v>
      </c>
      <c r="C2798" s="13" t="s">
        <v>39</v>
      </c>
      <c r="D2798" s="17">
        <v>513.25</v>
      </c>
      <c r="E2798" s="5" t="s">
        <v>8</v>
      </c>
      <c r="F2798" s="6">
        <v>254.65</v>
      </c>
      <c r="G2798" s="7">
        <f t="shared" si="379"/>
        <v>1.01551148635382</v>
      </c>
    </row>
    <row r="2799" spans="1:7">
      <c r="A2799" s="14" t="s">
        <v>3847</v>
      </c>
      <c r="B2799" s="12" t="s">
        <v>3848</v>
      </c>
      <c r="C2799" s="13" t="s">
        <v>39</v>
      </c>
      <c r="D2799" s="17">
        <v>336</v>
      </c>
      <c r="E2799" s="5" t="s">
        <v>8</v>
      </c>
      <c r="F2799" s="6">
        <v>163.3</v>
      </c>
      <c r="G2799" s="7">
        <f t="shared" si="379"/>
        <v>1.05756276791182</v>
      </c>
    </row>
    <row r="2800" ht="46.5" spans="1:7">
      <c r="A2800" s="18">
        <v>17.62</v>
      </c>
      <c r="B2800" s="15" t="s">
        <v>3849</v>
      </c>
      <c r="C2800" s="13" t="s">
        <v>126</v>
      </c>
      <c r="D2800" s="17">
        <v>1020.6</v>
      </c>
      <c r="E2800" s="5" t="s">
        <v>8</v>
      </c>
      <c r="F2800" s="6">
        <v>471.75</v>
      </c>
      <c r="G2800" s="7">
        <f t="shared" si="379"/>
        <v>1.16343402225755</v>
      </c>
    </row>
    <row r="2801" ht="62" spans="1:7">
      <c r="A2801" s="18">
        <v>17.63</v>
      </c>
      <c r="B2801" s="15" t="s">
        <v>3850</v>
      </c>
      <c r="C2801" s="13" t="s">
        <v>126</v>
      </c>
      <c r="D2801" s="17">
        <v>673.7</v>
      </c>
      <c r="E2801" s="5" t="s">
        <v>8</v>
      </c>
      <c r="F2801" s="6">
        <v>328.4</v>
      </c>
      <c r="G2801" s="7">
        <f t="shared" si="379"/>
        <v>1.05146163215591</v>
      </c>
    </row>
    <row r="2802" ht="31" spans="1:7">
      <c r="A2802" s="18">
        <v>17.64</v>
      </c>
      <c r="B2802" s="15" t="s">
        <v>3851</v>
      </c>
      <c r="C2802" s="13" t="s">
        <v>126</v>
      </c>
      <c r="D2802" s="17">
        <v>292.55</v>
      </c>
      <c r="E2802" s="5" t="s">
        <v>8</v>
      </c>
      <c r="F2802" s="6">
        <v>140.3</v>
      </c>
      <c r="G2802" s="7">
        <f t="shared" si="379"/>
        <v>1.08517462580185</v>
      </c>
    </row>
    <row r="2803" ht="46.5" spans="1:7">
      <c r="A2803" s="18">
        <v>17.65</v>
      </c>
      <c r="B2803" s="15" t="s">
        <v>3852</v>
      </c>
      <c r="C2803" s="13"/>
      <c r="D2803" s="16"/>
      <c r="E2803" s="5" t="s">
        <v>8</v>
      </c>
      <c r="F2803" s="8"/>
    </row>
    <row r="2804" spans="1:7">
      <c r="A2804" s="14" t="s">
        <v>3853</v>
      </c>
      <c r="B2804" s="12" t="s">
        <v>3854</v>
      </c>
      <c r="C2804" s="13" t="s">
        <v>39</v>
      </c>
      <c r="D2804" s="17">
        <v>82.8</v>
      </c>
      <c r="E2804" s="5" t="s">
        <v>8</v>
      </c>
      <c r="F2804" s="6">
        <v>40.65</v>
      </c>
      <c r="G2804" s="7">
        <f t="shared" ref="G2804:G2809" si="380">(D2804-F2804)/F2804</f>
        <v>1.03690036900369</v>
      </c>
    </row>
    <row r="2805" spans="1:7">
      <c r="A2805" s="14" t="s">
        <v>3855</v>
      </c>
      <c r="B2805" s="12" t="s">
        <v>3856</v>
      </c>
      <c r="C2805" s="13" t="s">
        <v>39</v>
      </c>
      <c r="D2805" s="17">
        <v>62.95</v>
      </c>
      <c r="E2805" s="5" t="s">
        <v>8</v>
      </c>
      <c r="F2805" s="6">
        <v>31</v>
      </c>
      <c r="G2805" s="7">
        <f t="shared" si="380"/>
        <v>1.03064516129032</v>
      </c>
    </row>
    <row r="2806" ht="46.5" spans="1:7">
      <c r="A2806" s="18">
        <v>17.66</v>
      </c>
      <c r="B2806" s="15" t="s">
        <v>3857</v>
      </c>
      <c r="C2806" s="13"/>
      <c r="D2806" s="16"/>
      <c r="E2806" s="5" t="s">
        <v>8</v>
      </c>
    </row>
    <row r="2807" spans="1:7">
      <c r="A2807" s="14" t="s">
        <v>3858</v>
      </c>
      <c r="B2807" s="12" t="s">
        <v>3854</v>
      </c>
      <c r="C2807" s="13" t="s">
        <v>39</v>
      </c>
      <c r="D2807" s="17">
        <v>39.5</v>
      </c>
      <c r="E2807" s="5" t="s">
        <v>8</v>
      </c>
      <c r="F2807" s="6">
        <v>20.2</v>
      </c>
      <c r="G2807" s="7">
        <f t="shared" si="380"/>
        <v>0.955445544554456</v>
      </c>
    </row>
    <row r="2808" spans="1:7">
      <c r="A2808" s="14" t="s">
        <v>3859</v>
      </c>
      <c r="B2808" s="12" t="s">
        <v>3856</v>
      </c>
      <c r="C2808" s="13" t="s">
        <v>39</v>
      </c>
      <c r="D2808" s="17">
        <v>29.55</v>
      </c>
      <c r="E2808" s="5" t="s">
        <v>8</v>
      </c>
      <c r="F2808" s="6">
        <v>15.1</v>
      </c>
      <c r="G2808" s="7">
        <f t="shared" si="380"/>
        <v>0.956953642384106</v>
      </c>
    </row>
    <row r="2809" spans="1:7">
      <c r="A2809" s="18">
        <v>17.67</v>
      </c>
      <c r="B2809" s="15" t="s">
        <v>3860</v>
      </c>
      <c r="C2809" s="13" t="s">
        <v>126</v>
      </c>
      <c r="D2809" s="17">
        <v>804.3</v>
      </c>
      <c r="E2809" s="5" t="s">
        <v>8</v>
      </c>
      <c r="F2809" s="6">
        <v>412.55</v>
      </c>
      <c r="G2809" s="7">
        <f t="shared" si="380"/>
        <v>0.94958186886438</v>
      </c>
    </row>
    <row r="2810" ht="93" spans="1:7">
      <c r="A2810" s="18">
        <v>17.68</v>
      </c>
      <c r="B2810" s="15" t="s">
        <v>3861</v>
      </c>
      <c r="C2810" s="13"/>
      <c r="D2810" s="16"/>
      <c r="E2810" s="5" t="s">
        <v>8</v>
      </c>
    </row>
    <row r="2811" ht="31" spans="1:7">
      <c r="A2811" s="14" t="s">
        <v>3862</v>
      </c>
      <c r="B2811" s="12" t="s">
        <v>3863</v>
      </c>
      <c r="C2811" s="13" t="s">
        <v>126</v>
      </c>
      <c r="D2811" s="17">
        <v>11847.65</v>
      </c>
      <c r="E2811" s="5" t="s">
        <v>8</v>
      </c>
      <c r="F2811" s="6">
        <v>6290.85</v>
      </c>
      <c r="G2811" s="7">
        <f t="shared" ref="G2811:G2814" si="381">(D2811-F2811)/F2811</f>
        <v>0.883314655412226</v>
      </c>
    </row>
    <row r="2812" ht="31" spans="1:7">
      <c r="A2812" s="18">
        <v>17.69</v>
      </c>
      <c r="B2812" s="15" t="s">
        <v>3864</v>
      </c>
      <c r="C2812" s="13"/>
      <c r="D2812" s="16"/>
      <c r="E2812" s="5" t="s">
        <v>8</v>
      </c>
    </row>
    <row r="2813" ht="31" spans="1:7">
      <c r="A2813" s="14" t="s">
        <v>3865</v>
      </c>
      <c r="B2813" s="12" t="s">
        <v>3866</v>
      </c>
      <c r="C2813" s="13" t="s">
        <v>126</v>
      </c>
      <c r="D2813" s="17">
        <v>115.3</v>
      </c>
      <c r="E2813" s="5" t="s">
        <v>8</v>
      </c>
      <c r="F2813" s="6">
        <v>82.55</v>
      </c>
      <c r="G2813" s="7">
        <f t="shared" si="381"/>
        <v>0.396729254996972</v>
      </c>
    </row>
    <row r="2814" ht="31" spans="1:7">
      <c r="A2814" s="14" t="s">
        <v>3867</v>
      </c>
      <c r="B2814" s="12" t="s">
        <v>3868</v>
      </c>
      <c r="C2814" s="13" t="s">
        <v>126</v>
      </c>
      <c r="D2814" s="17">
        <v>122.4</v>
      </c>
      <c r="E2814" s="5" t="s">
        <v>8</v>
      </c>
      <c r="F2814" s="6">
        <v>98.8</v>
      </c>
      <c r="G2814" s="7">
        <f t="shared" si="381"/>
        <v>0.238866396761134</v>
      </c>
    </row>
    <row r="2815" spans="1:7">
      <c r="A2815" s="18">
        <v>17.7</v>
      </c>
      <c r="B2815" s="15" t="s">
        <v>3869</v>
      </c>
      <c r="C2815" s="13"/>
      <c r="D2815" s="16"/>
      <c r="E2815" s="5" t="s">
        <v>8</v>
      </c>
    </row>
    <row r="2816" ht="46.5" spans="1:7">
      <c r="A2816" s="14" t="s">
        <v>3870</v>
      </c>
      <c r="B2816" s="12" t="s">
        <v>3871</v>
      </c>
      <c r="C2816" s="13" t="s">
        <v>126</v>
      </c>
      <c r="D2816" s="17">
        <v>367.1</v>
      </c>
      <c r="E2816" s="5" t="s">
        <v>8</v>
      </c>
      <c r="F2816" s="6">
        <v>293.95</v>
      </c>
      <c r="G2816" s="7">
        <f t="shared" ref="G2816:G2819" si="382">(D2816-F2816)/F2816</f>
        <v>0.248851845551965</v>
      </c>
    </row>
    <row r="2817" ht="46.5" spans="1:7">
      <c r="A2817" s="14" t="s">
        <v>3872</v>
      </c>
      <c r="B2817" s="12" t="s">
        <v>3873</v>
      </c>
      <c r="C2817" s="13" t="s">
        <v>126</v>
      </c>
      <c r="D2817" s="17">
        <v>375.65</v>
      </c>
      <c r="E2817" s="5" t="s">
        <v>8</v>
      </c>
      <c r="F2817" s="6">
        <v>305.55</v>
      </c>
      <c r="G2817" s="7">
        <f t="shared" si="382"/>
        <v>0.229422353133693</v>
      </c>
    </row>
    <row r="2818" ht="46.5" spans="1:7">
      <c r="A2818" s="18">
        <v>17.71</v>
      </c>
      <c r="B2818" s="15" t="s">
        <v>3874</v>
      </c>
      <c r="C2818" s="13" t="s">
        <v>126</v>
      </c>
      <c r="D2818" s="17">
        <v>168.35</v>
      </c>
      <c r="E2818" s="5" t="s">
        <v>8</v>
      </c>
      <c r="F2818" s="6">
        <v>137.85</v>
      </c>
      <c r="G2818" s="7">
        <f t="shared" si="382"/>
        <v>0.221254987305042</v>
      </c>
    </row>
    <row r="2819" ht="46.5" spans="1:7">
      <c r="A2819" s="18">
        <v>17.72</v>
      </c>
      <c r="B2819" s="15" t="s">
        <v>3875</v>
      </c>
      <c r="C2819" s="13" t="s">
        <v>126</v>
      </c>
      <c r="D2819" s="17">
        <v>231.95</v>
      </c>
      <c r="E2819" s="5" t="s">
        <v>8</v>
      </c>
      <c r="F2819" s="6">
        <v>197.55</v>
      </c>
      <c r="G2819" s="7">
        <f t="shared" si="382"/>
        <v>0.174133130852948</v>
      </c>
    </row>
    <row r="2820" ht="31" spans="1:7">
      <c r="A2820" s="18">
        <v>17.73</v>
      </c>
      <c r="B2820" s="15" t="s">
        <v>3876</v>
      </c>
      <c r="C2820" s="13"/>
      <c r="D2820" s="16"/>
      <c r="E2820" s="5" t="s">
        <v>8</v>
      </c>
    </row>
    <row r="2821" ht="31" spans="1:7">
      <c r="A2821" s="14" t="s">
        <v>3877</v>
      </c>
      <c r="B2821" s="12" t="s">
        <v>3878</v>
      </c>
      <c r="C2821" s="13" t="s">
        <v>126</v>
      </c>
      <c r="D2821" s="17">
        <v>673.4</v>
      </c>
      <c r="E2821" s="5" t="s">
        <v>8</v>
      </c>
      <c r="F2821" s="6">
        <v>390.2</v>
      </c>
      <c r="G2821" s="7">
        <f t="shared" ref="G2821:G2824" si="383">(D2821-F2821)/F2821</f>
        <v>0.725781650435674</v>
      </c>
    </row>
    <row r="2822" ht="31" spans="1:7">
      <c r="A2822" s="14" t="s">
        <v>3879</v>
      </c>
      <c r="B2822" s="12" t="s">
        <v>3880</v>
      </c>
      <c r="C2822" s="13" t="s">
        <v>126</v>
      </c>
      <c r="D2822" s="17">
        <v>708.95</v>
      </c>
      <c r="E2822" s="5" t="s">
        <v>8</v>
      </c>
      <c r="F2822" s="6">
        <v>422.7</v>
      </c>
      <c r="G2822" s="7">
        <f t="shared" si="383"/>
        <v>0.677194227584575</v>
      </c>
    </row>
    <row r="2823" ht="31" spans="1:7">
      <c r="A2823" s="18">
        <v>17.74</v>
      </c>
      <c r="B2823" s="15" t="s">
        <v>3881</v>
      </c>
      <c r="C2823" s="13" t="s">
        <v>126</v>
      </c>
      <c r="D2823" s="17">
        <v>713.2</v>
      </c>
      <c r="E2823" s="5" t="s">
        <v>8</v>
      </c>
      <c r="F2823" s="6">
        <v>470.35</v>
      </c>
      <c r="G2823" s="7">
        <f t="shared" si="383"/>
        <v>0.516317635803125</v>
      </c>
    </row>
    <row r="2824" ht="31" spans="1:7">
      <c r="A2824" s="18">
        <v>17.75</v>
      </c>
      <c r="B2824" s="15" t="s">
        <v>3882</v>
      </c>
      <c r="C2824" s="13" t="s">
        <v>126</v>
      </c>
      <c r="D2824" s="17">
        <v>107.2</v>
      </c>
      <c r="E2824" s="5" t="s">
        <v>8</v>
      </c>
      <c r="F2824" s="6">
        <v>106.5</v>
      </c>
      <c r="G2824" s="7">
        <f t="shared" si="383"/>
        <v>0.00657276995305167</v>
      </c>
    </row>
    <row r="2825" spans="1:7">
      <c r="A2825" s="18">
        <v>17.76</v>
      </c>
      <c r="B2825" s="15" t="s">
        <v>3883</v>
      </c>
      <c r="C2825" s="13"/>
      <c r="D2825" s="16"/>
      <c r="E2825" s="5" t="s">
        <v>8</v>
      </c>
    </row>
    <row r="2826" ht="31" spans="1:7">
      <c r="A2826" s="14" t="s">
        <v>3884</v>
      </c>
      <c r="B2826" s="12" t="s">
        <v>3885</v>
      </c>
      <c r="C2826" s="13" t="s">
        <v>126</v>
      </c>
      <c r="D2826" s="17">
        <v>175.4</v>
      </c>
      <c r="E2826" s="5" t="s">
        <v>8</v>
      </c>
      <c r="F2826" s="6">
        <v>143.95</v>
      </c>
      <c r="G2826" s="7">
        <f t="shared" ref="G2826:G2834" si="384">(D2826-F2826)/F2826</f>
        <v>0.218478638416117</v>
      </c>
    </row>
    <row r="2827" ht="124" spans="1:7">
      <c r="A2827" s="18">
        <v>17.77</v>
      </c>
      <c r="B2827" s="15" t="s">
        <v>3886</v>
      </c>
      <c r="C2827" s="13"/>
      <c r="D2827" s="16"/>
      <c r="E2827" s="5" t="s">
        <v>8</v>
      </c>
    </row>
    <row r="2828" spans="1:7">
      <c r="A2828" s="14" t="s">
        <v>3887</v>
      </c>
      <c r="B2828" s="12" t="s">
        <v>3888</v>
      </c>
      <c r="C2828" s="13" t="s">
        <v>126</v>
      </c>
      <c r="D2828" s="17">
        <v>304.05</v>
      </c>
      <c r="E2828" s="5" t="s">
        <v>8</v>
      </c>
      <c r="F2828" s="6">
        <v>179.4</v>
      </c>
      <c r="G2828" s="7">
        <f t="shared" si="384"/>
        <v>0.694816053511706</v>
      </c>
    </row>
    <row r="2829" spans="1:7">
      <c r="A2829" s="14" t="s">
        <v>3889</v>
      </c>
      <c r="B2829" s="12" t="s">
        <v>3890</v>
      </c>
      <c r="C2829" s="13" t="s">
        <v>126</v>
      </c>
      <c r="D2829" s="17">
        <v>378.1</v>
      </c>
      <c r="E2829" s="5" t="s">
        <v>8</v>
      </c>
      <c r="F2829" s="6">
        <v>216.3</v>
      </c>
      <c r="G2829" s="7">
        <f t="shared" si="384"/>
        <v>0.748035136384651</v>
      </c>
    </row>
    <row r="2830" spans="1:7">
      <c r="A2830" s="14" t="s">
        <v>3891</v>
      </c>
      <c r="B2830" s="12" t="s">
        <v>3892</v>
      </c>
      <c r="C2830" s="13" t="s">
        <v>126</v>
      </c>
      <c r="D2830" s="17">
        <v>451.9</v>
      </c>
      <c r="E2830" s="5" t="s">
        <v>8</v>
      </c>
      <c r="F2830" s="6">
        <v>253.15</v>
      </c>
      <c r="G2830" s="7">
        <f t="shared" si="384"/>
        <v>0.785107643689512</v>
      </c>
    </row>
    <row r="2831" ht="62" spans="1:7">
      <c r="A2831" s="18">
        <v>17.78</v>
      </c>
      <c r="B2831" s="15" t="s">
        <v>3893</v>
      </c>
      <c r="C2831" s="13" t="s">
        <v>126</v>
      </c>
      <c r="D2831" s="17">
        <v>14999.15</v>
      </c>
      <c r="E2831" s="5" t="s">
        <v>8</v>
      </c>
      <c r="F2831" s="6">
        <v>9685.7</v>
      </c>
      <c r="G2831" s="7">
        <f t="shared" si="384"/>
        <v>0.548587092311345</v>
      </c>
    </row>
    <row r="2832" ht="46.5" spans="1:7">
      <c r="A2832" s="18">
        <v>17.79</v>
      </c>
      <c r="B2832" s="15" t="s">
        <v>3894</v>
      </c>
      <c r="C2832" s="13" t="s">
        <v>126</v>
      </c>
      <c r="D2832" s="17">
        <v>18088.45</v>
      </c>
      <c r="E2832" s="5" t="s">
        <v>8</v>
      </c>
      <c r="F2832" s="6">
        <v>15040.75</v>
      </c>
      <c r="G2832" s="7">
        <f t="shared" si="384"/>
        <v>0.202629523128833</v>
      </c>
    </row>
    <row r="2833" ht="62" spans="1:7">
      <c r="A2833" s="18">
        <v>17.8</v>
      </c>
      <c r="B2833" s="15" t="s">
        <v>3895</v>
      </c>
      <c r="C2833" s="13" t="s">
        <v>126</v>
      </c>
      <c r="D2833" s="17">
        <v>7979.2</v>
      </c>
      <c r="E2833" s="5" t="s">
        <v>8</v>
      </c>
      <c r="F2833" s="6">
        <v>5162.2</v>
      </c>
      <c r="G2833" s="7">
        <f t="shared" si="384"/>
        <v>0.545697570803146</v>
      </c>
    </row>
    <row r="2834" ht="93" spans="1:7">
      <c r="A2834" s="18">
        <v>17.81</v>
      </c>
      <c r="B2834" s="15" t="s">
        <v>3896</v>
      </c>
      <c r="C2834" s="13" t="s">
        <v>126</v>
      </c>
      <c r="D2834" s="17">
        <v>18212.9</v>
      </c>
      <c r="E2834" s="5" t="s">
        <v>8</v>
      </c>
      <c r="F2834" s="6">
        <v>12612.65</v>
      </c>
      <c r="G2834" s="7">
        <f t="shared" si="384"/>
        <v>0.44401850523086</v>
      </c>
    </row>
    <row r="2835" spans="1:7">
      <c r="A2835" s="6"/>
      <c r="B2835" s="39"/>
      <c r="D2835" s="22"/>
    </row>
    <row r="2836" spans="1:7">
      <c r="A2836" s="6"/>
      <c r="B2836" s="39"/>
      <c r="D2836" s="22"/>
    </row>
    <row r="2837" spans="1:7">
      <c r="A2837" s="6"/>
      <c r="B2837" s="39"/>
      <c r="D2837" s="22"/>
    </row>
    <row r="2838" spans="1:7">
      <c r="A2838" s="6"/>
      <c r="B2838" s="39"/>
      <c r="D2838" s="22"/>
    </row>
    <row r="2839" spans="1:7">
      <c r="A2839" s="5" t="s">
        <v>3897</v>
      </c>
      <c r="C2839" s="5"/>
      <c r="D2839" s="5"/>
      <c r="E2839" s="5" t="s">
        <v>8</v>
      </c>
    </row>
    <row r="2840" spans="1:7">
      <c r="A2840" s="14" t="s">
        <v>166</v>
      </c>
      <c r="B2840" s="15" t="s">
        <v>2</v>
      </c>
      <c r="C2840" s="13" t="s">
        <v>167</v>
      </c>
      <c r="D2840" s="16" t="s">
        <v>4</v>
      </c>
      <c r="E2840" s="5" t="s">
        <v>8</v>
      </c>
    </row>
    <row r="2841" spans="1:7">
      <c r="A2841" s="14"/>
      <c r="B2841" s="15" t="s">
        <v>3898</v>
      </c>
      <c r="C2841" s="13"/>
      <c r="D2841" s="16"/>
      <c r="E2841" s="5" t="s">
        <v>8</v>
      </c>
    </row>
    <row r="2842" ht="108.5" spans="1:7">
      <c r="A2842" s="14">
        <v>18.1</v>
      </c>
      <c r="B2842" s="15" t="s">
        <v>3899</v>
      </c>
      <c r="C2842" s="13"/>
      <c r="D2842" s="16"/>
      <c r="E2842" s="5" t="s">
        <v>8</v>
      </c>
    </row>
    <row r="2843" spans="1:7">
      <c r="A2843" s="14"/>
      <c r="B2843" s="15" t="s">
        <v>3900</v>
      </c>
      <c r="C2843" s="13"/>
      <c r="D2843" s="16"/>
      <c r="E2843" s="5" t="s">
        <v>8</v>
      </c>
    </row>
    <row r="2844" spans="1:7">
      <c r="A2844" s="14" t="s">
        <v>3901</v>
      </c>
      <c r="B2844" s="12" t="s">
        <v>3902</v>
      </c>
      <c r="C2844" s="13" t="s">
        <v>39</v>
      </c>
      <c r="D2844" s="17">
        <v>286.75</v>
      </c>
      <c r="E2844" s="5" t="s">
        <v>8</v>
      </c>
      <c r="F2844" s="6">
        <v>175.4</v>
      </c>
      <c r="G2844" s="7">
        <f t="shared" ref="G2844:G2849" si="385">(D2844-F2844)/F2844</f>
        <v>0.634834663625998</v>
      </c>
    </row>
    <row r="2845" spans="1:7">
      <c r="A2845" s="14" t="s">
        <v>3903</v>
      </c>
      <c r="B2845" s="12" t="s">
        <v>3904</v>
      </c>
      <c r="C2845" s="13" t="s">
        <v>39</v>
      </c>
      <c r="D2845" s="17">
        <v>331.2</v>
      </c>
      <c r="E2845" s="5" t="s">
        <v>8</v>
      </c>
      <c r="F2845" s="6">
        <v>207.85</v>
      </c>
      <c r="G2845" s="7">
        <f t="shared" si="385"/>
        <v>0.593456819821987</v>
      </c>
    </row>
    <row r="2846" spans="1:7">
      <c r="A2846" s="14" t="s">
        <v>3905</v>
      </c>
      <c r="B2846" s="12" t="s">
        <v>3906</v>
      </c>
      <c r="C2846" s="13" t="s">
        <v>39</v>
      </c>
      <c r="D2846" s="17">
        <v>401.55</v>
      </c>
      <c r="E2846" s="5" t="s">
        <v>8</v>
      </c>
      <c r="F2846" s="6">
        <v>264.5</v>
      </c>
      <c r="G2846" s="7">
        <f t="shared" si="385"/>
        <v>0.518147448015123</v>
      </c>
    </row>
    <row r="2847" spans="1:7">
      <c r="A2847" s="14" t="s">
        <v>3907</v>
      </c>
      <c r="B2847" s="12" t="s">
        <v>3908</v>
      </c>
      <c r="C2847" s="13" t="s">
        <v>39</v>
      </c>
      <c r="D2847" s="17">
        <v>529.85</v>
      </c>
      <c r="E2847" s="5" t="s">
        <v>8</v>
      </c>
      <c r="F2847" s="6">
        <v>349.45</v>
      </c>
      <c r="G2847" s="7">
        <f t="shared" si="385"/>
        <v>0.516239805408499</v>
      </c>
    </row>
    <row r="2848" spans="1:7">
      <c r="A2848" s="14" t="s">
        <v>3909</v>
      </c>
      <c r="B2848" s="12" t="s">
        <v>3910</v>
      </c>
      <c r="C2848" s="13" t="s">
        <v>39</v>
      </c>
      <c r="D2848" s="17">
        <v>684.45</v>
      </c>
      <c r="E2848" s="5" t="s">
        <v>8</v>
      </c>
      <c r="F2848" s="6">
        <v>498.75</v>
      </c>
      <c r="G2848" s="7">
        <f t="shared" si="385"/>
        <v>0.372330827067669</v>
      </c>
    </row>
    <row r="2849" spans="1:7">
      <c r="A2849" s="14" t="s">
        <v>3911</v>
      </c>
      <c r="B2849" s="12" t="s">
        <v>3912</v>
      </c>
      <c r="C2849" s="13" t="s">
        <v>39</v>
      </c>
      <c r="D2849" s="17">
        <v>939.7</v>
      </c>
      <c r="E2849" s="5" t="s">
        <v>8</v>
      </c>
      <c r="F2849" s="6">
        <v>642.2</v>
      </c>
      <c r="G2849" s="7">
        <f t="shared" si="385"/>
        <v>0.46325132357521</v>
      </c>
    </row>
    <row r="2850" ht="108.5" spans="1:7">
      <c r="A2850" s="14">
        <v>18.2</v>
      </c>
      <c r="B2850" s="15" t="s">
        <v>3913</v>
      </c>
      <c r="C2850" s="13"/>
      <c r="D2850" s="16"/>
      <c r="E2850" s="5" t="s">
        <v>8</v>
      </c>
    </row>
    <row r="2851" spans="1:7">
      <c r="A2851" s="14"/>
      <c r="B2851" s="15" t="s">
        <v>3914</v>
      </c>
      <c r="C2851" s="13"/>
      <c r="D2851" s="16"/>
      <c r="E2851" s="5" t="s">
        <v>8</v>
      </c>
    </row>
    <row r="2852" spans="1:7">
      <c r="A2852" s="14" t="s">
        <v>3915</v>
      </c>
      <c r="B2852" s="12" t="s">
        <v>3902</v>
      </c>
      <c r="C2852" s="13" t="s">
        <v>39</v>
      </c>
      <c r="D2852" s="17">
        <v>522.7</v>
      </c>
      <c r="E2852" s="5" t="s">
        <v>8</v>
      </c>
      <c r="F2852" s="6">
        <v>301.1</v>
      </c>
      <c r="G2852" s="7">
        <f t="shared" ref="G2852:G2855" si="386">(D2852-F2852)/F2852</f>
        <v>0.735968116904683</v>
      </c>
    </row>
    <row r="2853" spans="1:7">
      <c r="A2853" s="14" t="s">
        <v>3916</v>
      </c>
      <c r="B2853" s="12" t="s">
        <v>3904</v>
      </c>
      <c r="C2853" s="13" t="s">
        <v>39</v>
      </c>
      <c r="D2853" s="17">
        <v>557.55</v>
      </c>
      <c r="E2853" s="5" t="s">
        <v>8</v>
      </c>
      <c r="F2853" s="6">
        <v>333.6</v>
      </c>
      <c r="G2853" s="7">
        <f t="shared" si="386"/>
        <v>0.671312949640288</v>
      </c>
    </row>
    <row r="2854" spans="1:7">
      <c r="A2854" s="14" t="s">
        <v>3917</v>
      </c>
      <c r="B2854" s="12" t="s">
        <v>3906</v>
      </c>
      <c r="C2854" s="13" t="s">
        <v>39</v>
      </c>
      <c r="D2854" s="17">
        <v>627.25</v>
      </c>
      <c r="E2854" s="5" t="s">
        <v>8</v>
      </c>
      <c r="F2854" s="6">
        <v>398.65</v>
      </c>
      <c r="G2854" s="7">
        <f t="shared" si="386"/>
        <v>0.573435344286969</v>
      </c>
    </row>
    <row r="2855" spans="1:7">
      <c r="A2855" s="14" t="s">
        <v>3918</v>
      </c>
      <c r="B2855" s="12" t="s">
        <v>3908</v>
      </c>
      <c r="C2855" s="13" t="s">
        <v>39</v>
      </c>
      <c r="D2855" s="17">
        <v>754.2</v>
      </c>
      <c r="E2855" s="5" t="s">
        <v>8</v>
      </c>
      <c r="F2855" s="6">
        <v>494.2</v>
      </c>
      <c r="G2855" s="7">
        <f t="shared" si="386"/>
        <v>0.526102792391744</v>
      </c>
    </row>
    <row r="2856" ht="93" spans="1:7">
      <c r="A2856" s="14">
        <v>18.3</v>
      </c>
      <c r="B2856" s="15" t="s">
        <v>3919</v>
      </c>
      <c r="C2856" s="13"/>
      <c r="D2856" s="16"/>
      <c r="E2856" s="5" t="s">
        <v>8</v>
      </c>
    </row>
    <row r="2857" spans="1:7">
      <c r="A2857" s="14"/>
      <c r="B2857" s="15" t="s">
        <v>3920</v>
      </c>
      <c r="C2857" s="13"/>
      <c r="D2857" s="16"/>
      <c r="E2857" s="5" t="s">
        <v>8</v>
      </c>
    </row>
    <row r="2858" spans="1:7">
      <c r="A2858" s="14" t="s">
        <v>3921</v>
      </c>
      <c r="B2858" s="12" t="s">
        <v>3902</v>
      </c>
      <c r="C2858" s="13" t="s">
        <v>39</v>
      </c>
      <c r="D2858" s="17">
        <v>263.2</v>
      </c>
      <c r="E2858" s="5" t="s">
        <v>8</v>
      </c>
      <c r="F2858" s="6">
        <v>161.4</v>
      </c>
      <c r="G2858" s="7">
        <f t="shared" ref="G2858:G2863" si="387">(D2858-F2858)/F2858</f>
        <v>0.630731102850062</v>
      </c>
    </row>
    <row r="2859" spans="1:7">
      <c r="A2859" s="14" t="s">
        <v>3922</v>
      </c>
      <c r="B2859" s="12" t="s">
        <v>3923</v>
      </c>
      <c r="C2859" s="13" t="s">
        <v>39</v>
      </c>
      <c r="D2859" s="17">
        <v>289.1</v>
      </c>
      <c r="E2859" s="5" t="s">
        <v>8</v>
      </c>
      <c r="F2859" s="6">
        <v>185.55</v>
      </c>
      <c r="G2859" s="7">
        <f t="shared" si="387"/>
        <v>0.558070600916195</v>
      </c>
    </row>
    <row r="2860" spans="1:7">
      <c r="A2860" s="14" t="s">
        <v>3924</v>
      </c>
      <c r="B2860" s="12" t="s">
        <v>3925</v>
      </c>
      <c r="C2860" s="13" t="s">
        <v>39</v>
      </c>
      <c r="D2860" s="17">
        <v>340.85</v>
      </c>
      <c r="E2860" s="5" t="s">
        <v>8</v>
      </c>
      <c r="F2860" s="6">
        <v>233.9</v>
      </c>
      <c r="G2860" s="7">
        <f t="shared" si="387"/>
        <v>0.457246686618213</v>
      </c>
    </row>
    <row r="2861" spans="1:7">
      <c r="A2861" s="14" t="s">
        <v>3926</v>
      </c>
      <c r="B2861" s="12" t="s">
        <v>3927</v>
      </c>
      <c r="C2861" s="13" t="s">
        <v>39</v>
      </c>
      <c r="D2861" s="17">
        <v>435.2</v>
      </c>
      <c r="E2861" s="5" t="s">
        <v>8</v>
      </c>
      <c r="F2861" s="6">
        <v>304.85</v>
      </c>
      <c r="G2861" s="7">
        <f t="shared" si="387"/>
        <v>0.427587338035099</v>
      </c>
    </row>
    <row r="2862" spans="1:7">
      <c r="A2862" s="14" t="s">
        <v>3928</v>
      </c>
      <c r="B2862" s="12" t="s">
        <v>3929</v>
      </c>
      <c r="C2862" s="13" t="s">
        <v>39</v>
      </c>
      <c r="D2862" s="17">
        <v>544.55</v>
      </c>
      <c r="E2862" s="5" t="s">
        <v>8</v>
      </c>
      <c r="F2862" s="6">
        <v>434.4</v>
      </c>
      <c r="G2862" s="7">
        <f t="shared" si="387"/>
        <v>0.253568139963168</v>
      </c>
    </row>
    <row r="2863" spans="1:7">
      <c r="A2863" s="14" t="s">
        <v>3930</v>
      </c>
      <c r="B2863" s="12" t="s">
        <v>3931</v>
      </c>
      <c r="C2863" s="13" t="s">
        <v>39</v>
      </c>
      <c r="D2863" s="17">
        <v>799.8</v>
      </c>
      <c r="E2863" s="5" t="s">
        <v>8</v>
      </c>
      <c r="F2863" s="6">
        <v>577.85</v>
      </c>
      <c r="G2863" s="7">
        <f t="shared" si="387"/>
        <v>0.384096218741888</v>
      </c>
    </row>
    <row r="2864" spans="1:7">
      <c r="A2864" s="14"/>
      <c r="B2864" s="15" t="s">
        <v>3932</v>
      </c>
      <c r="C2864" s="13"/>
      <c r="D2864" s="17"/>
    </row>
    <row r="2865" ht="77.5" spans="1:4">
      <c r="A2865" s="14">
        <v>18.4</v>
      </c>
      <c r="B2865" s="15" t="s">
        <v>3933</v>
      </c>
      <c r="C2865" s="13"/>
      <c r="D2865" s="17"/>
    </row>
    <row r="2866" spans="1:4">
      <c r="A2866" s="14"/>
      <c r="B2866" s="15" t="s">
        <v>3934</v>
      </c>
      <c r="C2866" s="13"/>
      <c r="D2866" s="17"/>
    </row>
    <row r="2867" spans="1:4">
      <c r="A2867" s="14" t="s">
        <v>3935</v>
      </c>
      <c r="B2867" s="12" t="s">
        <v>3936</v>
      </c>
      <c r="C2867" s="13" t="s">
        <v>39</v>
      </c>
      <c r="D2867" s="17">
        <v>272</v>
      </c>
    </row>
    <row r="2868" spans="1:4">
      <c r="A2868" s="14" t="s">
        <v>3937</v>
      </c>
      <c r="B2868" s="12" t="s">
        <v>3938</v>
      </c>
      <c r="C2868" s="13" t="s">
        <v>39</v>
      </c>
      <c r="D2868" s="17">
        <v>318.35</v>
      </c>
    </row>
    <row r="2869" spans="1:4">
      <c r="A2869" s="14" t="s">
        <v>3939</v>
      </c>
      <c r="B2869" s="12" t="s">
        <v>3940</v>
      </c>
      <c r="C2869" s="13" t="s">
        <v>39</v>
      </c>
      <c r="D2869" s="17">
        <v>362.9</v>
      </c>
    </row>
    <row r="2870" spans="1:4">
      <c r="A2870" s="14" t="s">
        <v>3941</v>
      </c>
      <c r="B2870" s="12" t="s">
        <v>3942</v>
      </c>
      <c r="C2870" s="13" t="s">
        <v>39</v>
      </c>
      <c r="D2870" s="17">
        <v>545.75</v>
      </c>
    </row>
    <row r="2871" spans="1:4">
      <c r="A2871" s="14" t="s">
        <v>3943</v>
      </c>
      <c r="B2871" s="12" t="s">
        <v>3944</v>
      </c>
      <c r="C2871" s="13" t="s">
        <v>39</v>
      </c>
      <c r="D2871" s="17">
        <v>580.1</v>
      </c>
    </row>
    <row r="2872" ht="93" spans="1:4">
      <c r="A2872" s="14">
        <v>18.5</v>
      </c>
      <c r="B2872" s="15" t="s">
        <v>3945</v>
      </c>
      <c r="C2872" s="13"/>
      <c r="D2872" s="17"/>
    </row>
    <row r="2873" spans="1:4">
      <c r="A2873" s="14"/>
      <c r="B2873" s="15" t="s">
        <v>3946</v>
      </c>
      <c r="C2873" s="13"/>
      <c r="D2873" s="17"/>
    </row>
    <row r="2874" spans="1:4">
      <c r="A2874" s="14" t="s">
        <v>3947</v>
      </c>
      <c r="B2874" s="12" t="s">
        <v>3936</v>
      </c>
      <c r="C2874" s="13" t="s">
        <v>39</v>
      </c>
      <c r="D2874" s="17">
        <v>477.85</v>
      </c>
    </row>
    <row r="2875" spans="1:4">
      <c r="A2875" s="14" t="s">
        <v>3948</v>
      </c>
      <c r="B2875" s="12" t="s">
        <v>3938</v>
      </c>
      <c r="C2875" s="13" t="s">
        <v>39</v>
      </c>
      <c r="D2875" s="17">
        <v>515.2</v>
      </c>
    </row>
    <row r="2876" spans="1:4">
      <c r="A2876" s="14" t="s">
        <v>3949</v>
      </c>
      <c r="B2876" s="12" t="s">
        <v>3940</v>
      </c>
      <c r="C2876" s="13" t="s">
        <v>39</v>
      </c>
      <c r="D2876" s="17">
        <v>561.45</v>
      </c>
    </row>
    <row r="2877" ht="77.5" spans="1:4">
      <c r="A2877" s="14">
        <v>18.6</v>
      </c>
      <c r="B2877" s="15" t="s">
        <v>3950</v>
      </c>
      <c r="C2877" s="13"/>
      <c r="D2877" s="17"/>
    </row>
    <row r="2878" spans="1:4">
      <c r="A2878" s="14"/>
      <c r="B2878" s="15" t="s">
        <v>3920</v>
      </c>
      <c r="C2878" s="13"/>
      <c r="D2878" s="17"/>
    </row>
    <row r="2879" spans="1:4">
      <c r="A2879" s="14" t="s">
        <v>3951</v>
      </c>
      <c r="B2879" s="12" t="s">
        <v>3936</v>
      </c>
      <c r="C2879" s="13" t="s">
        <v>39</v>
      </c>
      <c r="D2879" s="17">
        <v>224.95</v>
      </c>
    </row>
    <row r="2880" spans="1:4">
      <c r="A2880" s="14" t="s">
        <v>3952</v>
      </c>
      <c r="B2880" s="12" t="s">
        <v>3953</v>
      </c>
      <c r="C2880" s="13" t="s">
        <v>39</v>
      </c>
      <c r="D2880" s="17">
        <v>265.05</v>
      </c>
    </row>
    <row r="2881" spans="1:4">
      <c r="A2881" s="14" t="s">
        <v>3954</v>
      </c>
      <c r="B2881" s="12" t="s">
        <v>3955</v>
      </c>
      <c r="C2881" s="13" t="s">
        <v>39</v>
      </c>
      <c r="D2881" s="17">
        <v>316.25</v>
      </c>
    </row>
    <row r="2882" spans="1:4">
      <c r="A2882" s="14" t="s">
        <v>3956</v>
      </c>
      <c r="B2882" s="12" t="s">
        <v>3957</v>
      </c>
      <c r="C2882" s="13" t="s">
        <v>39</v>
      </c>
      <c r="D2882" s="17">
        <v>415.1</v>
      </c>
    </row>
    <row r="2883" spans="1:4">
      <c r="A2883" s="14" t="s">
        <v>3958</v>
      </c>
      <c r="B2883" s="12" t="s">
        <v>3959</v>
      </c>
      <c r="C2883" s="13" t="s">
        <v>39</v>
      </c>
      <c r="D2883" s="17">
        <v>450.95</v>
      </c>
    </row>
    <row r="2884" spans="1:4">
      <c r="A2884" s="14" t="s">
        <v>3960</v>
      </c>
      <c r="B2884" s="12" t="s">
        <v>3961</v>
      </c>
      <c r="C2884" s="13" t="s">
        <v>39</v>
      </c>
      <c r="D2884" s="17">
        <v>597.75</v>
      </c>
    </row>
    <row r="2885" spans="1:4">
      <c r="A2885" s="14" t="s">
        <v>3962</v>
      </c>
      <c r="B2885" s="12" t="s">
        <v>3963</v>
      </c>
      <c r="C2885" s="13" t="s">
        <v>39</v>
      </c>
      <c r="D2885" s="17">
        <v>696.75</v>
      </c>
    </row>
    <row r="2886" spans="1:4">
      <c r="A2886" s="14" t="s">
        <v>3964</v>
      </c>
      <c r="B2886" s="12" t="s">
        <v>3965</v>
      </c>
      <c r="C2886" s="13" t="s">
        <v>39</v>
      </c>
      <c r="D2886" s="17">
        <v>975.3</v>
      </c>
    </row>
    <row r="2887" spans="1:4">
      <c r="A2887" s="14" t="s">
        <v>3966</v>
      </c>
      <c r="B2887" s="12" t="s">
        <v>3967</v>
      </c>
      <c r="C2887" s="13" t="s">
        <v>39</v>
      </c>
      <c r="D2887" s="17">
        <v>1301.35</v>
      </c>
    </row>
    <row r="2888" spans="1:4">
      <c r="A2888" s="14" t="s">
        <v>3968</v>
      </c>
      <c r="B2888" s="12" t="s">
        <v>3969</v>
      </c>
      <c r="C2888" s="13" t="s">
        <v>39</v>
      </c>
      <c r="D2888" s="17">
        <v>2746.85</v>
      </c>
    </row>
    <row r="2889" spans="1:4">
      <c r="A2889" s="14" t="s">
        <v>3970</v>
      </c>
      <c r="B2889" s="15" t="s">
        <v>3971</v>
      </c>
      <c r="C2889" s="13"/>
      <c r="D2889" s="17"/>
    </row>
    <row r="2890" spans="1:4">
      <c r="A2890" s="14" t="s">
        <v>3972</v>
      </c>
      <c r="B2890" s="12" t="s">
        <v>3973</v>
      </c>
      <c r="C2890" s="13" t="s">
        <v>126</v>
      </c>
      <c r="D2890" s="17">
        <v>315.5</v>
      </c>
    </row>
    <row r="2891" spans="1:4">
      <c r="A2891" s="14" t="s">
        <v>3974</v>
      </c>
      <c r="B2891" s="12" t="s">
        <v>3975</v>
      </c>
      <c r="C2891" s="13" t="s">
        <v>126</v>
      </c>
      <c r="D2891" s="17">
        <v>334</v>
      </c>
    </row>
    <row r="2892" spans="1:4">
      <c r="A2892" s="14" t="s">
        <v>3976</v>
      </c>
      <c r="B2892" s="12" t="s">
        <v>3977</v>
      </c>
      <c r="C2892" s="13" t="s">
        <v>126</v>
      </c>
      <c r="D2892" s="17">
        <v>403.7</v>
      </c>
    </row>
    <row r="2893" spans="1:4">
      <c r="A2893" s="14" t="s">
        <v>3978</v>
      </c>
      <c r="B2893" s="12" t="s">
        <v>3979</v>
      </c>
      <c r="C2893" s="13" t="s">
        <v>126</v>
      </c>
      <c r="D2893" s="17">
        <v>543.1</v>
      </c>
    </row>
    <row r="2894" spans="1:4">
      <c r="A2894" s="14" t="s">
        <v>3980</v>
      </c>
      <c r="B2894" s="12" t="s">
        <v>3981</v>
      </c>
      <c r="C2894" s="13" t="s">
        <v>126</v>
      </c>
      <c r="D2894" s="17">
        <v>782.1</v>
      </c>
    </row>
    <row r="2895" spans="1:4">
      <c r="A2895" s="14" t="s">
        <v>3982</v>
      </c>
      <c r="B2895" s="12" t="s">
        <v>3983</v>
      </c>
      <c r="C2895" s="13" t="s">
        <v>126</v>
      </c>
      <c r="D2895" s="17">
        <v>913</v>
      </c>
    </row>
    <row r="2896" spans="1:4">
      <c r="A2896" s="14" t="s">
        <v>3984</v>
      </c>
      <c r="B2896" s="12" t="s">
        <v>3985</v>
      </c>
      <c r="C2896" s="13" t="s">
        <v>126</v>
      </c>
      <c r="D2896" s="17">
        <v>1684.05</v>
      </c>
    </row>
    <row r="2897" spans="1:7">
      <c r="A2897" s="14"/>
      <c r="B2897" s="15" t="s">
        <v>3986</v>
      </c>
      <c r="C2897" s="13"/>
      <c r="D2897" s="16"/>
      <c r="E2897" s="5" t="s">
        <v>8</v>
      </c>
    </row>
    <row r="2898" ht="77.5" spans="1:7">
      <c r="A2898" s="14">
        <v>18.7</v>
      </c>
      <c r="B2898" s="15" t="s">
        <v>3987</v>
      </c>
      <c r="C2898" s="13"/>
      <c r="D2898" s="16"/>
      <c r="E2898" s="5" t="s">
        <v>8</v>
      </c>
    </row>
    <row r="2899" spans="1:7">
      <c r="A2899" s="14"/>
      <c r="B2899" s="15" t="s">
        <v>3988</v>
      </c>
      <c r="C2899" s="13"/>
      <c r="D2899" s="16"/>
      <c r="E2899" s="5" t="s">
        <v>8</v>
      </c>
    </row>
    <row r="2900" spans="1:7">
      <c r="A2900" s="14" t="s">
        <v>3989</v>
      </c>
      <c r="B2900" s="12" t="s">
        <v>3990</v>
      </c>
      <c r="C2900" s="13" t="s">
        <v>39</v>
      </c>
      <c r="D2900" s="17">
        <v>286.8</v>
      </c>
      <c r="E2900" s="5" t="s">
        <v>8</v>
      </c>
      <c r="F2900" s="6">
        <v>142.95</v>
      </c>
      <c r="G2900" s="7">
        <f t="shared" ref="G2900:G2905" si="388">(D2900-F2900)/F2900</f>
        <v>1.00629590766002</v>
      </c>
    </row>
    <row r="2901" spans="1:7">
      <c r="A2901" s="14" t="s">
        <v>3991</v>
      </c>
      <c r="B2901" s="12" t="s">
        <v>3992</v>
      </c>
      <c r="C2901" s="13" t="s">
        <v>39</v>
      </c>
      <c r="D2901" s="17">
        <v>335</v>
      </c>
      <c r="E2901" s="5" t="s">
        <v>8</v>
      </c>
      <c r="F2901" s="6">
        <v>179.95</v>
      </c>
      <c r="G2901" s="7">
        <f t="shared" si="388"/>
        <v>0.861628230063907</v>
      </c>
    </row>
    <row r="2902" spans="1:7">
      <c r="A2902" s="14" t="s">
        <v>3993</v>
      </c>
      <c r="B2902" s="12" t="s">
        <v>3994</v>
      </c>
      <c r="C2902" s="13" t="s">
        <v>39</v>
      </c>
      <c r="D2902" s="17">
        <v>401.55</v>
      </c>
      <c r="E2902" s="5" t="s">
        <v>8</v>
      </c>
      <c r="F2902" s="6">
        <v>216.2</v>
      </c>
      <c r="G2902" s="7">
        <f t="shared" si="388"/>
        <v>0.857308048103608</v>
      </c>
    </row>
    <row r="2903" spans="1:7">
      <c r="A2903" s="14" t="s">
        <v>3995</v>
      </c>
      <c r="B2903" s="12" t="s">
        <v>3996</v>
      </c>
      <c r="C2903" s="13" t="s">
        <v>39</v>
      </c>
      <c r="D2903" s="17">
        <v>518.75</v>
      </c>
      <c r="E2903" s="5" t="s">
        <v>8</v>
      </c>
      <c r="F2903" s="6">
        <v>289.05</v>
      </c>
      <c r="G2903" s="7">
        <f t="shared" si="388"/>
        <v>0.794672202041169</v>
      </c>
    </row>
    <row r="2904" spans="1:7">
      <c r="A2904" s="14" t="s">
        <v>3997</v>
      </c>
      <c r="B2904" s="12" t="s">
        <v>3998</v>
      </c>
      <c r="C2904" s="13" t="s">
        <v>39</v>
      </c>
      <c r="D2904" s="17">
        <v>702.95</v>
      </c>
      <c r="E2904" s="5" t="s">
        <v>8</v>
      </c>
      <c r="F2904" s="6">
        <v>385.5</v>
      </c>
      <c r="G2904" s="7">
        <f t="shared" si="388"/>
        <v>0.823476005188068</v>
      </c>
    </row>
    <row r="2905" spans="1:7">
      <c r="A2905" s="14" t="s">
        <v>3999</v>
      </c>
      <c r="B2905" s="12" t="s">
        <v>4000</v>
      </c>
      <c r="C2905" s="13" t="s">
        <v>39</v>
      </c>
      <c r="D2905" s="17">
        <v>934.15</v>
      </c>
      <c r="E2905" s="5" t="s">
        <v>8</v>
      </c>
      <c r="F2905" s="6">
        <v>548.55</v>
      </c>
      <c r="G2905" s="7">
        <f t="shared" si="388"/>
        <v>0.702944125421566</v>
      </c>
    </row>
    <row r="2906" ht="77.5" spans="1:7">
      <c r="A2906" s="14">
        <v>18.8</v>
      </c>
      <c r="B2906" s="15" t="s">
        <v>4001</v>
      </c>
      <c r="C2906" s="13"/>
      <c r="D2906" s="16"/>
      <c r="E2906" s="5" t="s">
        <v>8</v>
      </c>
    </row>
    <row r="2907" spans="1:7">
      <c r="A2907" s="14"/>
      <c r="B2907" s="15" t="s">
        <v>4002</v>
      </c>
      <c r="C2907" s="13"/>
      <c r="D2907" s="16"/>
      <c r="E2907" s="5" t="s">
        <v>8</v>
      </c>
    </row>
    <row r="2908" spans="1:7">
      <c r="A2908" s="14" t="s">
        <v>4003</v>
      </c>
      <c r="B2908" s="12" t="s">
        <v>3990</v>
      </c>
      <c r="C2908" s="13" t="s">
        <v>39</v>
      </c>
      <c r="D2908" s="17">
        <v>497.8</v>
      </c>
      <c r="E2908" s="5" t="s">
        <v>8</v>
      </c>
      <c r="F2908" s="6">
        <v>246.2</v>
      </c>
      <c r="G2908" s="7">
        <f t="shared" ref="G2908:G2911" si="389">(D2908-F2908)/F2908</f>
        <v>1.02193338748985</v>
      </c>
    </row>
    <row r="2909" spans="1:7">
      <c r="A2909" s="14" t="s">
        <v>4004</v>
      </c>
      <c r="B2909" s="12" t="s">
        <v>3992</v>
      </c>
      <c r="C2909" s="13" t="s">
        <v>39</v>
      </c>
      <c r="D2909" s="17">
        <v>537.6</v>
      </c>
      <c r="E2909" s="5" t="s">
        <v>8</v>
      </c>
      <c r="F2909" s="6">
        <v>284.85</v>
      </c>
      <c r="G2909" s="7">
        <f t="shared" si="389"/>
        <v>0.887309110057925</v>
      </c>
    </row>
    <row r="2910" spans="1:7">
      <c r="A2910" s="14" t="s">
        <v>4005</v>
      </c>
      <c r="B2910" s="12" t="s">
        <v>3994</v>
      </c>
      <c r="C2910" s="13" t="s">
        <v>39</v>
      </c>
      <c r="D2910" s="17">
        <v>627.25</v>
      </c>
      <c r="E2910" s="5" t="s">
        <v>8</v>
      </c>
      <c r="F2910" s="6">
        <v>333.6</v>
      </c>
      <c r="G2910" s="7">
        <f t="shared" si="389"/>
        <v>0.880245803357314</v>
      </c>
    </row>
    <row r="2911" spans="1:7">
      <c r="A2911" s="14" t="s">
        <v>4006</v>
      </c>
      <c r="B2911" s="12" t="s">
        <v>3996</v>
      </c>
      <c r="C2911" s="13" t="s">
        <v>39</v>
      </c>
      <c r="D2911" s="17">
        <v>739.3</v>
      </c>
      <c r="E2911" s="5" t="s">
        <v>8</v>
      </c>
      <c r="F2911" s="6">
        <v>412.9</v>
      </c>
      <c r="G2911" s="7">
        <f t="shared" si="389"/>
        <v>0.790506175829499</v>
      </c>
    </row>
    <row r="2912" ht="62" spans="1:7">
      <c r="A2912" s="14">
        <v>18.9</v>
      </c>
      <c r="B2912" s="15" t="s">
        <v>4007</v>
      </c>
      <c r="C2912" s="13"/>
      <c r="D2912" s="16"/>
      <c r="E2912" s="5" t="s">
        <v>8</v>
      </c>
    </row>
    <row r="2913" spans="1:7">
      <c r="A2913" s="14"/>
      <c r="B2913" s="15" t="s">
        <v>3920</v>
      </c>
      <c r="C2913" s="13"/>
      <c r="D2913" s="16"/>
      <c r="E2913" s="5" t="s">
        <v>8</v>
      </c>
    </row>
    <row r="2914" spans="1:7">
      <c r="A2914" s="14" t="s">
        <v>4008</v>
      </c>
      <c r="B2914" s="12" t="s">
        <v>3990</v>
      </c>
      <c r="C2914" s="13" t="s">
        <v>39</v>
      </c>
      <c r="D2914" s="17">
        <v>244.7</v>
      </c>
      <c r="E2914" s="5" t="s">
        <v>8</v>
      </c>
      <c r="F2914" s="6">
        <v>120.65</v>
      </c>
      <c r="G2914" s="7">
        <f t="shared" ref="G2914:G2923" si="390">(D2914-F2914)/F2914</f>
        <v>1.02818068794032</v>
      </c>
    </row>
    <row r="2915" spans="1:7">
      <c r="A2915" s="14" t="s">
        <v>4009</v>
      </c>
      <c r="B2915" s="12" t="s">
        <v>3992</v>
      </c>
      <c r="C2915" s="13" t="s">
        <v>39</v>
      </c>
      <c r="D2915" s="17">
        <v>274.3</v>
      </c>
      <c r="E2915" s="5" t="s">
        <v>8</v>
      </c>
      <c r="F2915" s="6">
        <v>149.3</v>
      </c>
      <c r="G2915" s="7">
        <f t="shared" si="390"/>
        <v>0.837240455458808</v>
      </c>
    </row>
    <row r="2916" spans="1:7">
      <c r="A2916" s="14" t="s">
        <v>4010</v>
      </c>
      <c r="B2916" s="12" t="s">
        <v>3994</v>
      </c>
      <c r="C2916" s="13" t="s">
        <v>39</v>
      </c>
      <c r="D2916" s="17">
        <v>355.4</v>
      </c>
      <c r="E2916" s="5" t="s">
        <v>8</v>
      </c>
      <c r="F2916" s="6">
        <v>191.65</v>
      </c>
      <c r="G2916" s="7">
        <f t="shared" si="390"/>
        <v>0.854422123662927</v>
      </c>
    </row>
    <row r="2917" spans="1:7">
      <c r="A2917" s="14" t="s">
        <v>4011</v>
      </c>
      <c r="B2917" s="12" t="s">
        <v>3996</v>
      </c>
      <c r="C2917" s="13" t="s">
        <v>39</v>
      </c>
      <c r="D2917" s="17">
        <v>438.6</v>
      </c>
      <c r="E2917" s="5" t="s">
        <v>8</v>
      </c>
      <c r="F2917" s="6">
        <v>250.55</v>
      </c>
      <c r="G2917" s="7">
        <f t="shared" si="390"/>
        <v>0.750548792656156</v>
      </c>
    </row>
    <row r="2918" spans="1:7">
      <c r="A2918" s="14" t="s">
        <v>4012</v>
      </c>
      <c r="B2918" s="12" t="s">
        <v>3998</v>
      </c>
      <c r="C2918" s="13" t="s">
        <v>39</v>
      </c>
      <c r="D2918" s="17">
        <v>563.05</v>
      </c>
      <c r="E2918" s="5" t="s">
        <v>8</v>
      </c>
      <c r="F2918" s="6">
        <v>321.15</v>
      </c>
      <c r="G2918" s="7">
        <f t="shared" si="390"/>
        <v>0.753230577611708</v>
      </c>
    </row>
    <row r="2919" spans="1:7">
      <c r="A2919" s="14" t="s">
        <v>4013</v>
      </c>
      <c r="B2919" s="12" t="s">
        <v>4000</v>
      </c>
      <c r="C2919" s="13" t="s">
        <v>39</v>
      </c>
      <c r="D2919" s="17">
        <v>794.25</v>
      </c>
      <c r="E2919" s="5" t="s">
        <v>8</v>
      </c>
      <c r="F2919" s="6">
        <v>484.25</v>
      </c>
      <c r="G2919" s="7">
        <f t="shared" si="390"/>
        <v>0.640165203923593</v>
      </c>
    </row>
    <row r="2920" spans="1:7">
      <c r="A2920" s="14" t="s">
        <v>4014</v>
      </c>
      <c r="B2920" s="12" t="s">
        <v>4015</v>
      </c>
      <c r="C2920" s="13" t="s">
        <v>39</v>
      </c>
      <c r="D2920" s="17">
        <v>1674.4</v>
      </c>
      <c r="E2920" s="5" t="s">
        <v>8</v>
      </c>
      <c r="F2920" s="6">
        <v>1081.75</v>
      </c>
      <c r="G2920" s="7">
        <f t="shared" si="390"/>
        <v>0.547862260226485</v>
      </c>
    </row>
    <row r="2921" spans="1:7">
      <c r="A2921" s="14" t="s">
        <v>4016</v>
      </c>
      <c r="B2921" s="12" t="s">
        <v>4017</v>
      </c>
      <c r="C2921" s="13" t="s">
        <v>39</v>
      </c>
      <c r="D2921" s="17">
        <v>2166.35</v>
      </c>
      <c r="E2921" s="5" t="s">
        <v>8</v>
      </c>
      <c r="F2921" s="6">
        <v>1201.05</v>
      </c>
      <c r="G2921" s="7">
        <f t="shared" si="390"/>
        <v>0.803713417426419</v>
      </c>
    </row>
    <row r="2922" spans="1:7">
      <c r="A2922" s="14" t="s">
        <v>4018</v>
      </c>
      <c r="B2922" s="12" t="s">
        <v>4019</v>
      </c>
      <c r="C2922" s="13" t="s">
        <v>39</v>
      </c>
      <c r="D2922" s="17">
        <v>3271.7</v>
      </c>
      <c r="E2922" s="5" t="s">
        <v>8</v>
      </c>
      <c r="F2922" s="6">
        <v>1618.1</v>
      </c>
      <c r="G2922" s="7">
        <f t="shared" si="390"/>
        <v>1.02193931153822</v>
      </c>
    </row>
    <row r="2923" spans="1:7">
      <c r="A2923" s="14" t="s">
        <v>4020</v>
      </c>
      <c r="B2923" s="12" t="s">
        <v>4021</v>
      </c>
      <c r="C2923" s="13" t="s">
        <v>39</v>
      </c>
      <c r="D2923" s="17">
        <v>6822.7</v>
      </c>
      <c r="E2923" s="5" t="s">
        <v>8</v>
      </c>
      <c r="F2923" s="6">
        <v>2408.75</v>
      </c>
      <c r="G2923" s="7">
        <f t="shared" si="390"/>
        <v>1.83246497145823</v>
      </c>
    </row>
    <row r="2924" ht="31" spans="1:7">
      <c r="A2924" s="18">
        <v>18.1</v>
      </c>
      <c r="B2924" s="15" t="s">
        <v>4022</v>
      </c>
      <c r="C2924" s="13"/>
      <c r="D2924" s="16"/>
      <c r="E2924" s="5" t="s">
        <v>8</v>
      </c>
    </row>
    <row r="2925" spans="1:7">
      <c r="A2925" s="14"/>
      <c r="B2925" s="15" t="s">
        <v>3988</v>
      </c>
      <c r="C2925" s="13"/>
      <c r="D2925" s="16"/>
      <c r="E2925" s="5" t="s">
        <v>8</v>
      </c>
    </row>
    <row r="2926" spans="1:7">
      <c r="A2926" s="14" t="s">
        <v>4023</v>
      </c>
      <c r="B2926" s="12" t="s">
        <v>4024</v>
      </c>
      <c r="C2926" s="13" t="s">
        <v>39</v>
      </c>
      <c r="D2926" s="17">
        <v>366.4</v>
      </c>
      <c r="E2926" s="5" t="s">
        <v>8</v>
      </c>
      <c r="F2926" s="6">
        <v>186.4</v>
      </c>
      <c r="G2926" s="7">
        <f t="shared" ref="G2926:G2931" si="391">(D2926-F2926)/F2926</f>
        <v>0.965665236051502</v>
      </c>
    </row>
    <row r="2927" spans="1:7">
      <c r="A2927" s="14" t="s">
        <v>4025</v>
      </c>
      <c r="B2927" s="12" t="s">
        <v>4026</v>
      </c>
      <c r="C2927" s="13" t="s">
        <v>39</v>
      </c>
      <c r="D2927" s="17">
        <v>437.3</v>
      </c>
      <c r="E2927" s="5" t="s">
        <v>8</v>
      </c>
      <c r="F2927" s="6">
        <v>224.15</v>
      </c>
      <c r="G2927" s="7">
        <f t="shared" si="391"/>
        <v>0.950925719384341</v>
      </c>
    </row>
    <row r="2928" spans="1:7">
      <c r="A2928" s="14" t="s">
        <v>4027</v>
      </c>
      <c r="B2928" s="12" t="s">
        <v>4028</v>
      </c>
      <c r="C2928" s="13" t="s">
        <v>39</v>
      </c>
      <c r="D2928" s="17">
        <v>551.7</v>
      </c>
      <c r="E2928" s="5" t="s">
        <v>8</v>
      </c>
      <c r="F2928" s="6">
        <v>247.85</v>
      </c>
      <c r="G2928" s="7">
        <f t="shared" si="391"/>
        <v>1.22594311075247</v>
      </c>
    </row>
    <row r="2929" spans="1:7">
      <c r="A2929" s="14" t="s">
        <v>4029</v>
      </c>
      <c r="B2929" s="12" t="s">
        <v>4030</v>
      </c>
      <c r="C2929" s="13" t="s">
        <v>39</v>
      </c>
      <c r="D2929" s="17">
        <v>667</v>
      </c>
      <c r="E2929" s="5" t="s">
        <v>8</v>
      </c>
      <c r="F2929" s="6">
        <v>308.35</v>
      </c>
      <c r="G2929" s="7">
        <f t="shared" si="391"/>
        <v>1.16312631749635</v>
      </c>
    </row>
    <row r="2930" spans="1:7">
      <c r="A2930" s="14" t="s">
        <v>4031</v>
      </c>
      <c r="B2930" s="12" t="s">
        <v>4032</v>
      </c>
      <c r="C2930" s="13" t="s">
        <v>39</v>
      </c>
      <c r="D2930" s="17">
        <v>811.9</v>
      </c>
      <c r="E2930" s="5" t="s">
        <v>8</v>
      </c>
      <c r="F2930" s="6">
        <v>394.15</v>
      </c>
      <c r="G2930" s="7">
        <f t="shared" si="391"/>
        <v>1.05987568184701</v>
      </c>
    </row>
    <row r="2931" spans="1:7">
      <c r="A2931" s="14" t="s">
        <v>4033</v>
      </c>
      <c r="B2931" s="12" t="s">
        <v>4034</v>
      </c>
      <c r="C2931" s="13" t="s">
        <v>39</v>
      </c>
      <c r="D2931" s="17">
        <v>1048.35</v>
      </c>
      <c r="E2931" s="5" t="s">
        <v>8</v>
      </c>
      <c r="F2931" s="6">
        <v>472.4</v>
      </c>
      <c r="G2931" s="7">
        <f t="shared" si="391"/>
        <v>1.21919983065199</v>
      </c>
    </row>
    <row r="2932" ht="46.5" spans="1:7">
      <c r="A2932" s="18">
        <v>18.11</v>
      </c>
      <c r="B2932" s="15" t="s">
        <v>4035</v>
      </c>
      <c r="C2932" s="13"/>
      <c r="D2932" s="16"/>
      <c r="E2932" s="5" t="s">
        <v>8</v>
      </c>
    </row>
    <row r="2933" spans="1:7">
      <c r="A2933" s="14" t="s">
        <v>4036</v>
      </c>
      <c r="B2933" s="12" t="s">
        <v>4024</v>
      </c>
      <c r="C2933" s="13" t="s">
        <v>39</v>
      </c>
      <c r="D2933" s="17">
        <v>580.45</v>
      </c>
      <c r="E2933" s="5" t="s">
        <v>8</v>
      </c>
      <c r="F2933" s="6">
        <v>285.7</v>
      </c>
      <c r="G2933" s="7">
        <f t="shared" ref="G2933:G2944" si="392">(D2933-F2933)/F2933</f>
        <v>1.03167658382919</v>
      </c>
    </row>
    <row r="2934" spans="1:7">
      <c r="A2934" s="14" t="s">
        <v>4037</v>
      </c>
      <c r="B2934" s="12" t="s">
        <v>4026</v>
      </c>
      <c r="C2934" s="13" t="s">
        <v>39</v>
      </c>
      <c r="D2934" s="17">
        <v>635.2</v>
      </c>
      <c r="E2934" s="5" t="s">
        <v>8</v>
      </c>
      <c r="F2934" s="6">
        <v>316.2</v>
      </c>
      <c r="G2934" s="7">
        <f t="shared" si="392"/>
        <v>1.00885515496521</v>
      </c>
    </row>
    <row r="2935" ht="31" spans="1:7">
      <c r="A2935" s="18">
        <v>18.12</v>
      </c>
      <c r="B2935" s="15" t="s">
        <v>4038</v>
      </c>
      <c r="C2935" s="13"/>
      <c r="D2935" s="16"/>
      <c r="E2935" s="5" t="s">
        <v>8</v>
      </c>
    </row>
    <row r="2936" spans="1:7">
      <c r="A2936" s="14"/>
      <c r="B2936" s="15" t="s">
        <v>3920</v>
      </c>
      <c r="C2936" s="13"/>
      <c r="D2936" s="16"/>
      <c r="E2936" s="5" t="s">
        <v>8</v>
      </c>
    </row>
    <row r="2937" spans="1:7">
      <c r="A2937" s="14" t="s">
        <v>4039</v>
      </c>
      <c r="B2937" s="12" t="s">
        <v>4024</v>
      </c>
      <c r="C2937" s="13" t="s">
        <v>39</v>
      </c>
      <c r="D2937" s="17">
        <v>322.15</v>
      </c>
      <c r="E2937" s="5" t="s">
        <v>8</v>
      </c>
      <c r="F2937" s="6">
        <v>160.2</v>
      </c>
      <c r="G2937" s="7">
        <f t="shared" si="392"/>
        <v>1.01092384519351</v>
      </c>
    </row>
    <row r="2938" spans="1:7">
      <c r="A2938" s="14" t="s">
        <v>4040</v>
      </c>
      <c r="B2938" s="12" t="s">
        <v>4026</v>
      </c>
      <c r="C2938" s="13" t="s">
        <v>39</v>
      </c>
      <c r="D2938" s="17">
        <v>368.6</v>
      </c>
      <c r="E2938" s="5" t="s">
        <v>8</v>
      </c>
      <c r="F2938" s="6">
        <v>186.3</v>
      </c>
      <c r="G2938" s="7">
        <f t="shared" si="392"/>
        <v>0.978529253891573</v>
      </c>
    </row>
    <row r="2939" spans="1:7">
      <c r="A2939" s="14" t="s">
        <v>4041</v>
      </c>
      <c r="B2939" s="12" t="s">
        <v>4028</v>
      </c>
      <c r="C2939" s="13" t="s">
        <v>39</v>
      </c>
      <c r="D2939" s="17">
        <v>467.75</v>
      </c>
      <c r="E2939" s="5" t="s">
        <v>8</v>
      </c>
      <c r="F2939" s="6">
        <v>205.85</v>
      </c>
      <c r="G2939" s="7">
        <f t="shared" si="392"/>
        <v>1.27228564488705</v>
      </c>
    </row>
    <row r="2940" spans="1:7">
      <c r="A2940" s="14" t="s">
        <v>4042</v>
      </c>
      <c r="B2940" s="12" t="s">
        <v>4030</v>
      </c>
      <c r="C2940" s="13" t="s">
        <v>39</v>
      </c>
      <c r="D2940" s="17">
        <v>540.3</v>
      </c>
      <c r="E2940" s="5" t="s">
        <v>8</v>
      </c>
      <c r="F2940" s="6">
        <v>247.4</v>
      </c>
      <c r="G2940" s="7">
        <f t="shared" si="392"/>
        <v>1.18391269199677</v>
      </c>
    </row>
    <row r="2941" spans="1:7">
      <c r="A2941" s="14" t="s">
        <v>4043</v>
      </c>
      <c r="B2941" s="12" t="s">
        <v>4032</v>
      </c>
      <c r="C2941" s="13" t="s">
        <v>39</v>
      </c>
      <c r="D2941" s="17">
        <v>617.05</v>
      </c>
      <c r="E2941" s="5" t="s">
        <v>8</v>
      </c>
      <c r="F2941" s="6">
        <v>301.05</v>
      </c>
      <c r="G2941" s="7">
        <f t="shared" si="392"/>
        <v>1.04965952499585</v>
      </c>
    </row>
    <row r="2942" spans="1:7">
      <c r="A2942" s="14" t="s">
        <v>4044</v>
      </c>
      <c r="B2942" s="12" t="s">
        <v>4034</v>
      </c>
      <c r="C2942" s="13" t="s">
        <v>39</v>
      </c>
      <c r="D2942" s="17">
        <v>762.15</v>
      </c>
      <c r="E2942" s="5" t="s">
        <v>8</v>
      </c>
      <c r="F2942" s="6">
        <v>342.7</v>
      </c>
      <c r="G2942" s="7">
        <f t="shared" si="392"/>
        <v>1.22395681353954</v>
      </c>
    </row>
    <row r="2943" spans="1:7">
      <c r="A2943" s="14" t="s">
        <v>4045</v>
      </c>
      <c r="B2943" s="12" t="s">
        <v>4046</v>
      </c>
      <c r="C2943" s="13" t="s">
        <v>39</v>
      </c>
      <c r="D2943" s="17">
        <v>896.6</v>
      </c>
      <c r="E2943" s="5" t="s">
        <v>8</v>
      </c>
      <c r="F2943" s="6">
        <v>451.7</v>
      </c>
      <c r="G2943" s="7">
        <f t="shared" si="392"/>
        <v>0.984945760460483</v>
      </c>
    </row>
    <row r="2944" spans="1:7">
      <c r="A2944" s="14" t="s">
        <v>4047</v>
      </c>
      <c r="B2944" s="12" t="s">
        <v>4048</v>
      </c>
      <c r="C2944" s="13" t="s">
        <v>39</v>
      </c>
      <c r="D2944" s="17">
        <v>1041.7</v>
      </c>
      <c r="E2944" s="5" t="s">
        <v>8</v>
      </c>
      <c r="F2944" s="6">
        <v>576.3</v>
      </c>
      <c r="G2944" s="7">
        <f t="shared" si="392"/>
        <v>0.807565504077738</v>
      </c>
    </row>
    <row r="2945" ht="31" spans="1:7">
      <c r="A2945" s="18">
        <v>18.13</v>
      </c>
      <c r="B2945" s="15" t="s">
        <v>4049</v>
      </c>
      <c r="C2945" s="13"/>
      <c r="D2945" s="16"/>
      <c r="E2945" s="5" t="s">
        <v>8</v>
      </c>
    </row>
    <row r="2946" spans="1:7">
      <c r="A2946" s="14" t="s">
        <v>4050</v>
      </c>
      <c r="B2946" s="12" t="s">
        <v>4051</v>
      </c>
      <c r="C2946" s="13" t="s">
        <v>126</v>
      </c>
      <c r="D2946" s="17">
        <v>911.9</v>
      </c>
      <c r="E2946" s="5" t="s">
        <v>8</v>
      </c>
      <c r="F2946" s="6">
        <v>394.15</v>
      </c>
      <c r="G2946" s="7">
        <f t="shared" ref="G2946:G2948" si="393">(D2946-F2946)/F2946</f>
        <v>1.31358619814791</v>
      </c>
    </row>
    <row r="2947" spans="1:7">
      <c r="A2947" s="14" t="s">
        <v>4052</v>
      </c>
      <c r="B2947" s="12" t="s">
        <v>4053</v>
      </c>
      <c r="C2947" s="13" t="s">
        <v>126</v>
      </c>
      <c r="D2947" s="17">
        <v>1785.35</v>
      </c>
      <c r="E2947" s="5" t="s">
        <v>8</v>
      </c>
      <c r="F2947" s="6">
        <v>771.2</v>
      </c>
      <c r="G2947" s="7">
        <f t="shared" si="393"/>
        <v>1.31502852697095</v>
      </c>
    </row>
    <row r="2948" ht="46.5" spans="1:7">
      <c r="A2948" s="18">
        <v>18.14</v>
      </c>
      <c r="B2948" s="15" t="s">
        <v>4054</v>
      </c>
      <c r="C2948" s="13" t="s">
        <v>126</v>
      </c>
      <c r="D2948" s="17">
        <v>812.3</v>
      </c>
      <c r="E2948" s="5" t="s">
        <v>8</v>
      </c>
      <c r="F2948" s="6">
        <v>347.7</v>
      </c>
      <c r="G2948" s="7">
        <f t="shared" si="393"/>
        <v>1.33620937589876</v>
      </c>
    </row>
    <row r="2949" spans="1:7">
      <c r="A2949" s="14"/>
      <c r="B2949" s="15" t="s">
        <v>1353</v>
      </c>
      <c r="C2949" s="13"/>
      <c r="D2949" s="16"/>
      <c r="E2949" s="5" t="s">
        <v>8</v>
      </c>
    </row>
    <row r="2950" spans="1:7">
      <c r="A2950" s="18">
        <v>18.15</v>
      </c>
      <c r="B2950" s="15" t="s">
        <v>4055</v>
      </c>
      <c r="C2950" s="13"/>
      <c r="D2950" s="16"/>
      <c r="E2950" s="5" t="s">
        <v>8</v>
      </c>
    </row>
    <row r="2951" spans="1:7">
      <c r="A2951" s="14" t="s">
        <v>4056</v>
      </c>
      <c r="B2951" s="12" t="s">
        <v>4057</v>
      </c>
      <c r="C2951" s="13" t="s">
        <v>126</v>
      </c>
      <c r="D2951" s="17">
        <v>353.25</v>
      </c>
      <c r="E2951" s="5" t="s">
        <v>8</v>
      </c>
      <c r="F2951" s="6">
        <v>260.1</v>
      </c>
      <c r="G2951" s="7">
        <f t="shared" ref="G2951:G2955" si="394">(D2951-F2951)/F2951</f>
        <v>0.358131487889273</v>
      </c>
    </row>
    <row r="2952" spans="1:7">
      <c r="A2952" s="14" t="s">
        <v>4058</v>
      </c>
      <c r="B2952" s="12" t="s">
        <v>4059</v>
      </c>
      <c r="C2952" s="13" t="s">
        <v>126</v>
      </c>
      <c r="D2952" s="17">
        <v>379.2</v>
      </c>
      <c r="E2952" s="5" t="s">
        <v>8</v>
      </c>
      <c r="F2952" s="6">
        <v>280.4</v>
      </c>
      <c r="G2952" s="7">
        <f t="shared" si="394"/>
        <v>0.352353780313837</v>
      </c>
    </row>
    <row r="2953" spans="1:7">
      <c r="A2953" s="18">
        <v>18.16</v>
      </c>
      <c r="B2953" s="15" t="s">
        <v>4060</v>
      </c>
      <c r="C2953" s="13"/>
      <c r="D2953" s="16"/>
      <c r="E2953" s="5" t="s">
        <v>8</v>
      </c>
    </row>
    <row r="2954" spans="1:7">
      <c r="A2954" s="14" t="s">
        <v>4061</v>
      </c>
      <c r="B2954" s="12" t="s">
        <v>4057</v>
      </c>
      <c r="C2954" s="13" t="s">
        <v>126</v>
      </c>
      <c r="D2954" s="17">
        <v>353.25</v>
      </c>
      <c r="E2954" s="5" t="s">
        <v>8</v>
      </c>
      <c r="F2954" s="6">
        <v>260.1</v>
      </c>
      <c r="G2954" s="7">
        <f t="shared" si="394"/>
        <v>0.358131487889273</v>
      </c>
    </row>
    <row r="2955" spans="1:7">
      <c r="A2955" s="14" t="s">
        <v>4062</v>
      </c>
      <c r="B2955" s="12" t="s">
        <v>4059</v>
      </c>
      <c r="C2955" s="13" t="s">
        <v>126</v>
      </c>
      <c r="D2955" s="17">
        <v>379.2</v>
      </c>
      <c r="E2955" s="5" t="s">
        <v>8</v>
      </c>
      <c r="F2955" s="6">
        <v>280.4</v>
      </c>
      <c r="G2955" s="7">
        <f t="shared" si="394"/>
        <v>0.352353780313837</v>
      </c>
    </row>
    <row r="2956" ht="31" spans="1:7">
      <c r="A2956" s="18">
        <v>18.17</v>
      </c>
      <c r="B2956" s="15" t="s">
        <v>4063</v>
      </c>
      <c r="C2956" s="13"/>
      <c r="D2956" s="16"/>
      <c r="E2956" s="5" t="s">
        <v>8</v>
      </c>
    </row>
    <row r="2957" spans="1:7">
      <c r="A2957" s="14" t="s">
        <v>4064</v>
      </c>
      <c r="B2957" s="12" t="s">
        <v>4065</v>
      </c>
      <c r="C2957" s="13" t="s">
        <v>126</v>
      </c>
      <c r="D2957" s="17">
        <v>622.4</v>
      </c>
      <c r="E2957" s="5" t="s">
        <v>8</v>
      </c>
      <c r="F2957" s="6">
        <v>428.2</v>
      </c>
      <c r="G2957" s="7">
        <f t="shared" ref="G2957:G2963" si="395">(D2957-F2957)/F2957</f>
        <v>0.453526389537599</v>
      </c>
    </row>
    <row r="2958" spans="1:7">
      <c r="A2958" s="14" t="s">
        <v>4066</v>
      </c>
      <c r="B2958" s="12" t="s">
        <v>4059</v>
      </c>
      <c r="C2958" s="13" t="s">
        <v>126</v>
      </c>
      <c r="D2958" s="17">
        <v>539.95</v>
      </c>
      <c r="E2958" s="5" t="s">
        <v>8</v>
      </c>
      <c r="F2958" s="6">
        <v>396.55</v>
      </c>
      <c r="G2958" s="7">
        <f t="shared" si="395"/>
        <v>0.361618963560711</v>
      </c>
    </row>
    <row r="2959" spans="1:7">
      <c r="A2959" s="14" t="s">
        <v>4067</v>
      </c>
      <c r="B2959" s="12" t="s">
        <v>4068</v>
      </c>
      <c r="C2959" s="13" t="s">
        <v>126</v>
      </c>
      <c r="D2959" s="17">
        <v>689.6</v>
      </c>
      <c r="E2959" s="5" t="s">
        <v>8</v>
      </c>
      <c r="F2959" s="6">
        <v>500.75</v>
      </c>
      <c r="G2959" s="7">
        <f t="shared" si="395"/>
        <v>0.377134298552172</v>
      </c>
    </row>
    <row r="2960" spans="1:7">
      <c r="A2960" s="14" t="s">
        <v>4069</v>
      </c>
      <c r="B2960" s="12" t="s">
        <v>4070</v>
      </c>
      <c r="C2960" s="13" t="s">
        <v>126</v>
      </c>
      <c r="D2960" s="17">
        <v>826.1</v>
      </c>
      <c r="E2960" s="5" t="s">
        <v>8</v>
      </c>
      <c r="F2960" s="6">
        <v>584.7</v>
      </c>
      <c r="G2960" s="7">
        <f t="shared" si="395"/>
        <v>0.412861296391312</v>
      </c>
    </row>
    <row r="2961" spans="1:7">
      <c r="A2961" s="14" t="s">
        <v>4071</v>
      </c>
      <c r="B2961" s="12" t="s">
        <v>4072</v>
      </c>
      <c r="C2961" s="13" t="s">
        <v>126</v>
      </c>
      <c r="D2961" s="17">
        <v>1026.65</v>
      </c>
      <c r="E2961" s="5" t="s">
        <v>8</v>
      </c>
      <c r="F2961" s="6">
        <v>749.9</v>
      </c>
      <c r="G2961" s="7">
        <f t="shared" si="395"/>
        <v>0.369049206560875</v>
      </c>
    </row>
    <row r="2962" spans="1:7">
      <c r="A2962" s="14" t="s">
        <v>4073</v>
      </c>
      <c r="B2962" s="12" t="s">
        <v>4074</v>
      </c>
      <c r="C2962" s="13" t="s">
        <v>126</v>
      </c>
      <c r="D2962" s="17">
        <v>1742.15</v>
      </c>
      <c r="E2962" s="5" t="s">
        <v>8</v>
      </c>
      <c r="F2962" s="6">
        <v>1286.8</v>
      </c>
      <c r="G2962" s="7">
        <f t="shared" si="395"/>
        <v>0.353862294062792</v>
      </c>
    </row>
    <row r="2963" spans="1:7">
      <c r="A2963" s="14" t="s">
        <v>4075</v>
      </c>
      <c r="B2963" s="12" t="s">
        <v>4076</v>
      </c>
      <c r="C2963" s="13" t="s">
        <v>126</v>
      </c>
      <c r="D2963" s="17">
        <v>2604.55</v>
      </c>
      <c r="E2963" s="5" t="s">
        <v>8</v>
      </c>
      <c r="F2963" s="6">
        <v>1919.5</v>
      </c>
      <c r="G2963" s="7">
        <f t="shared" si="395"/>
        <v>0.356889815056004</v>
      </c>
    </row>
    <row r="2964" ht="31" spans="1:7">
      <c r="A2964" s="18">
        <v>18.18</v>
      </c>
      <c r="B2964" s="15" t="s">
        <v>4077</v>
      </c>
      <c r="C2964" s="13"/>
      <c r="D2964" s="16"/>
      <c r="E2964" s="5" t="s">
        <v>8</v>
      </c>
    </row>
    <row r="2965" spans="1:7">
      <c r="A2965" s="14" t="s">
        <v>4078</v>
      </c>
      <c r="B2965" s="12" t="s">
        <v>4057</v>
      </c>
      <c r="C2965" s="13" t="s">
        <v>126</v>
      </c>
      <c r="D2965" s="17">
        <v>406.85</v>
      </c>
      <c r="E2965" s="5" t="s">
        <v>8</v>
      </c>
      <c r="F2965" s="6">
        <v>287.25</v>
      </c>
      <c r="G2965" s="7">
        <f t="shared" ref="G2965:G2967" si="396">(D2965-F2965)/F2965</f>
        <v>0.416362053959965</v>
      </c>
    </row>
    <row r="2966" spans="1:7">
      <c r="A2966" s="14" t="s">
        <v>4079</v>
      </c>
      <c r="B2966" s="12" t="s">
        <v>4059</v>
      </c>
      <c r="C2966" s="13" t="s">
        <v>126</v>
      </c>
      <c r="D2966" s="17">
        <v>462.5</v>
      </c>
      <c r="E2966" s="5" t="s">
        <v>8</v>
      </c>
      <c r="F2966" s="6">
        <v>327.05</v>
      </c>
      <c r="G2966" s="7">
        <f t="shared" si="396"/>
        <v>0.414156856749732</v>
      </c>
    </row>
    <row r="2967" spans="1:7">
      <c r="A2967" s="14" t="s">
        <v>4080</v>
      </c>
      <c r="B2967" s="12" t="s">
        <v>4065</v>
      </c>
      <c r="C2967" s="13" t="s">
        <v>126</v>
      </c>
      <c r="D2967" s="17">
        <v>464.05</v>
      </c>
      <c r="E2967" s="5" t="s">
        <v>8</v>
      </c>
      <c r="F2967" s="6">
        <v>331.95</v>
      </c>
      <c r="G2967" s="7">
        <f t="shared" si="396"/>
        <v>0.397951498719687</v>
      </c>
    </row>
    <row r="2968" spans="1:7">
      <c r="A2968" s="18">
        <v>18.19</v>
      </c>
      <c r="B2968" s="15" t="s">
        <v>4081</v>
      </c>
      <c r="C2968" s="13"/>
      <c r="D2968" s="16"/>
      <c r="E2968" s="5" t="s">
        <v>8</v>
      </c>
    </row>
    <row r="2969" spans="1:7">
      <c r="A2969" s="14" t="s">
        <v>4082</v>
      </c>
      <c r="B2969" s="12" t="s">
        <v>4065</v>
      </c>
      <c r="C2969" s="13"/>
      <c r="D2969" s="16"/>
      <c r="E2969" s="5" t="s">
        <v>8</v>
      </c>
    </row>
    <row r="2970" spans="1:7">
      <c r="A2970" s="14" t="s">
        <v>4083</v>
      </c>
      <c r="B2970" s="12" t="s">
        <v>4084</v>
      </c>
      <c r="C2970" s="13" t="s">
        <v>126</v>
      </c>
      <c r="D2970" s="17">
        <v>591.4</v>
      </c>
      <c r="E2970" s="5" t="s">
        <v>8</v>
      </c>
      <c r="F2970" s="6">
        <v>410.45</v>
      </c>
      <c r="G2970" s="7">
        <f t="shared" ref="G2970:G2974" si="397">(D2970-F2970)/F2970</f>
        <v>0.440857595322207</v>
      </c>
    </row>
    <row r="2971" spans="1:7">
      <c r="A2971" s="14" t="s">
        <v>4085</v>
      </c>
      <c r="B2971" s="12" t="s">
        <v>4086</v>
      </c>
      <c r="C2971" s="13" t="s">
        <v>126</v>
      </c>
      <c r="D2971" s="17">
        <v>624.1</v>
      </c>
      <c r="E2971" s="5" t="s">
        <v>8</v>
      </c>
      <c r="F2971" s="6">
        <v>433.7</v>
      </c>
      <c r="G2971" s="7">
        <f t="shared" si="397"/>
        <v>0.439013142725386</v>
      </c>
    </row>
    <row r="2972" spans="1:7">
      <c r="A2972" s="14" t="s">
        <v>4087</v>
      </c>
      <c r="B2972" s="12" t="s">
        <v>4088</v>
      </c>
      <c r="C2972" s="13"/>
      <c r="D2972" s="16"/>
      <c r="E2972" s="5" t="s">
        <v>8</v>
      </c>
    </row>
    <row r="2973" spans="1:7">
      <c r="A2973" s="14" t="s">
        <v>4089</v>
      </c>
      <c r="B2973" s="12" t="s">
        <v>4084</v>
      </c>
      <c r="C2973" s="13" t="s">
        <v>126</v>
      </c>
      <c r="D2973" s="17">
        <v>791.9</v>
      </c>
      <c r="E2973" s="5" t="s">
        <v>8</v>
      </c>
      <c r="F2973" s="6">
        <v>552.45</v>
      </c>
      <c r="G2973" s="7">
        <f t="shared" si="397"/>
        <v>0.433432889854285</v>
      </c>
    </row>
    <row r="2974" spans="1:7">
      <c r="A2974" s="14" t="s">
        <v>4090</v>
      </c>
      <c r="B2974" s="12" t="s">
        <v>4086</v>
      </c>
      <c r="C2974" s="13" t="s">
        <v>126</v>
      </c>
      <c r="D2974" s="17">
        <v>850.25</v>
      </c>
      <c r="E2974" s="5" t="s">
        <v>8</v>
      </c>
      <c r="F2974" s="6">
        <v>610.55</v>
      </c>
      <c r="G2974" s="7">
        <f t="shared" si="397"/>
        <v>0.392596838915732</v>
      </c>
    </row>
    <row r="2975" spans="1:7">
      <c r="A2975" s="14" t="s">
        <v>4091</v>
      </c>
      <c r="B2975" s="12" t="s">
        <v>4070</v>
      </c>
      <c r="C2975" s="13"/>
      <c r="D2975" s="16"/>
      <c r="E2975" s="5" t="s">
        <v>8</v>
      </c>
    </row>
    <row r="2976" spans="1:7">
      <c r="A2976" s="14" t="s">
        <v>4092</v>
      </c>
      <c r="B2976" s="12" t="s">
        <v>4084</v>
      </c>
      <c r="C2976" s="13" t="s">
        <v>126</v>
      </c>
      <c r="D2976" s="17">
        <v>952.6</v>
      </c>
      <c r="E2976" s="5" t="s">
        <v>8</v>
      </c>
      <c r="F2976" s="6">
        <v>682.85</v>
      </c>
      <c r="G2976" s="7">
        <f t="shared" ref="G2976:G2980" si="398">(D2976-F2976)/F2976</f>
        <v>0.395035512923775</v>
      </c>
    </row>
    <row r="2977" spans="1:7">
      <c r="A2977" s="14" t="s">
        <v>4093</v>
      </c>
      <c r="B2977" s="12" t="s">
        <v>4086</v>
      </c>
      <c r="C2977" s="13" t="s">
        <v>126</v>
      </c>
      <c r="D2977" s="17">
        <v>1134.7</v>
      </c>
      <c r="E2977" s="5" t="s">
        <v>8</v>
      </c>
      <c r="F2977" s="6">
        <v>845.45</v>
      </c>
      <c r="G2977" s="7">
        <f t="shared" si="398"/>
        <v>0.342125495298362</v>
      </c>
    </row>
    <row r="2978" spans="1:7">
      <c r="A2978" s="14" t="s">
        <v>4094</v>
      </c>
      <c r="B2978" s="12" t="s">
        <v>4072</v>
      </c>
      <c r="C2978" s="13"/>
      <c r="D2978" s="16"/>
      <c r="E2978" s="5" t="s">
        <v>8</v>
      </c>
    </row>
    <row r="2979" spans="1:7">
      <c r="A2979" s="14" t="s">
        <v>4095</v>
      </c>
      <c r="B2979" s="12" t="s">
        <v>4084</v>
      </c>
      <c r="C2979" s="13" t="s">
        <v>126</v>
      </c>
      <c r="D2979" s="17">
        <v>1371.2</v>
      </c>
      <c r="E2979" s="5" t="s">
        <v>8</v>
      </c>
      <c r="F2979" s="6">
        <v>987.7</v>
      </c>
      <c r="G2979" s="7">
        <f t="shared" si="398"/>
        <v>0.388275792244609</v>
      </c>
    </row>
    <row r="2980" spans="1:7">
      <c r="A2980" s="14" t="s">
        <v>4096</v>
      </c>
      <c r="B2980" s="12" t="s">
        <v>4086</v>
      </c>
      <c r="C2980" s="13" t="s">
        <v>126</v>
      </c>
      <c r="D2980" s="17">
        <v>1445.15</v>
      </c>
      <c r="E2980" s="5" t="s">
        <v>8</v>
      </c>
      <c r="F2980" s="6">
        <v>1080.6</v>
      </c>
      <c r="G2980" s="7">
        <f t="shared" si="398"/>
        <v>0.337358874699241</v>
      </c>
    </row>
    <row r="2981" spans="1:7">
      <c r="A2981" s="14" t="s">
        <v>4097</v>
      </c>
      <c r="B2981" s="12" t="s">
        <v>4074</v>
      </c>
      <c r="C2981" s="13"/>
      <c r="D2981" s="16"/>
      <c r="E2981" s="5" t="s">
        <v>8</v>
      </c>
    </row>
    <row r="2982" spans="1:7">
      <c r="A2982" s="14" t="s">
        <v>4098</v>
      </c>
      <c r="B2982" s="12" t="s">
        <v>4084</v>
      </c>
      <c r="C2982" s="13" t="s">
        <v>126</v>
      </c>
      <c r="D2982" s="17">
        <v>2448.05</v>
      </c>
      <c r="E2982" s="5" t="s">
        <v>8</v>
      </c>
      <c r="F2982" s="6">
        <v>1768.5</v>
      </c>
      <c r="G2982" s="7">
        <f t="shared" ref="G2982:G2986" si="399">(D2982-F2982)/F2982</f>
        <v>0.38425219112242</v>
      </c>
    </row>
    <row r="2983" spans="1:7">
      <c r="A2983" s="14" t="s">
        <v>4099</v>
      </c>
      <c r="B2983" s="12" t="s">
        <v>4086</v>
      </c>
      <c r="C2983" s="13" t="s">
        <v>126</v>
      </c>
      <c r="D2983" s="17">
        <v>2291.55</v>
      </c>
      <c r="E2983" s="5" t="s">
        <v>8</v>
      </c>
      <c r="F2983" s="6">
        <v>1780.15</v>
      </c>
      <c r="G2983" s="7">
        <f t="shared" si="399"/>
        <v>0.287279161868382</v>
      </c>
    </row>
    <row r="2984" spans="1:7">
      <c r="A2984" s="14" t="s">
        <v>4100</v>
      </c>
      <c r="B2984" s="12" t="s">
        <v>4076</v>
      </c>
      <c r="C2984" s="13"/>
      <c r="D2984" s="16"/>
      <c r="E2984" s="5" t="s">
        <v>8</v>
      </c>
    </row>
    <row r="2985" spans="1:7">
      <c r="A2985" s="14" t="s">
        <v>4101</v>
      </c>
      <c r="B2985" s="12" t="s">
        <v>4084</v>
      </c>
      <c r="C2985" s="13" t="s">
        <v>126</v>
      </c>
      <c r="D2985" s="17">
        <v>3664.75</v>
      </c>
      <c r="E2985" s="5" t="s">
        <v>8</v>
      </c>
      <c r="F2985" s="6">
        <v>2503.1</v>
      </c>
      <c r="G2985" s="7">
        <f t="shared" si="399"/>
        <v>0.464084535176381</v>
      </c>
    </row>
    <row r="2986" spans="1:7">
      <c r="A2986" s="14" t="s">
        <v>4102</v>
      </c>
      <c r="B2986" s="12" t="s">
        <v>4086</v>
      </c>
      <c r="C2986" s="13" t="s">
        <v>126</v>
      </c>
      <c r="D2986" s="17">
        <v>3855.4</v>
      </c>
      <c r="E2986" s="5" t="s">
        <v>8</v>
      </c>
      <c r="F2986" s="6">
        <v>2944.5</v>
      </c>
      <c r="G2986" s="7">
        <f t="shared" si="399"/>
        <v>0.309356427237222</v>
      </c>
    </row>
    <row r="2987" ht="31" spans="1:7">
      <c r="A2987" s="18">
        <v>18.2</v>
      </c>
      <c r="B2987" s="15" t="s">
        <v>4103</v>
      </c>
      <c r="C2987" s="13"/>
      <c r="D2987" s="16"/>
      <c r="E2987" s="5" t="s">
        <v>8</v>
      </c>
    </row>
    <row r="2988" spans="1:7">
      <c r="A2988" s="14" t="s">
        <v>4104</v>
      </c>
      <c r="B2988" s="12" t="s">
        <v>4057</v>
      </c>
      <c r="C2988" s="13" t="s">
        <v>126</v>
      </c>
      <c r="D2988" s="17">
        <v>329.3</v>
      </c>
      <c r="E2988" s="5" t="s">
        <v>8</v>
      </c>
      <c r="F2988" s="6">
        <v>243.6</v>
      </c>
      <c r="G2988" s="7">
        <f t="shared" ref="G2988:G2990" si="400">(D2988-F2988)/F2988</f>
        <v>0.351806239737274</v>
      </c>
    </row>
    <row r="2989" spans="1:7">
      <c r="A2989" s="14" t="s">
        <v>4105</v>
      </c>
      <c r="B2989" s="12" t="s">
        <v>4059</v>
      </c>
      <c r="C2989" s="13" t="s">
        <v>126</v>
      </c>
      <c r="D2989" s="17">
        <v>380</v>
      </c>
      <c r="E2989" s="5" t="s">
        <v>8</v>
      </c>
      <c r="F2989" s="6">
        <v>280.65</v>
      </c>
      <c r="G2989" s="7">
        <f t="shared" si="400"/>
        <v>0.353999643684304</v>
      </c>
    </row>
    <row r="2990" spans="1:7">
      <c r="A2990" s="14" t="s">
        <v>4106</v>
      </c>
      <c r="B2990" s="12" t="s">
        <v>4065</v>
      </c>
      <c r="C2990" s="13" t="s">
        <v>126</v>
      </c>
      <c r="D2990" s="17">
        <v>486.8</v>
      </c>
      <c r="E2990" s="5" t="s">
        <v>8</v>
      </c>
      <c r="F2990" s="6">
        <v>363.7</v>
      </c>
      <c r="G2990" s="7">
        <f t="shared" si="400"/>
        <v>0.338465768490514</v>
      </c>
    </row>
    <row r="2991" spans="1:7">
      <c r="A2991" s="18">
        <v>18.21</v>
      </c>
      <c r="B2991" s="15" t="s">
        <v>4107</v>
      </c>
      <c r="C2991" s="13"/>
      <c r="D2991" s="16"/>
      <c r="E2991" s="5" t="s">
        <v>8</v>
      </c>
    </row>
    <row r="2992" spans="1:7">
      <c r="A2992" s="14" t="s">
        <v>4108</v>
      </c>
      <c r="B2992" s="12" t="s">
        <v>4109</v>
      </c>
      <c r="C2992" s="13"/>
      <c r="D2992" s="16"/>
      <c r="E2992" s="5" t="s">
        <v>8</v>
      </c>
    </row>
    <row r="2993" spans="1:7">
      <c r="A2993" s="14" t="s">
        <v>4110</v>
      </c>
      <c r="B2993" s="12" t="s">
        <v>4057</v>
      </c>
      <c r="C2993" s="13" t="s">
        <v>126</v>
      </c>
      <c r="D2993" s="17">
        <v>85</v>
      </c>
      <c r="E2993" s="5" t="s">
        <v>8</v>
      </c>
      <c r="F2993" s="6">
        <v>59.4</v>
      </c>
      <c r="G2993" s="7">
        <f t="shared" ref="G2993:G2997" si="401">(D2993-F2993)/F2993</f>
        <v>0.430976430976431</v>
      </c>
    </row>
    <row r="2994" spans="1:7">
      <c r="A2994" s="14" t="s">
        <v>4111</v>
      </c>
      <c r="B2994" s="12" t="s">
        <v>4059</v>
      </c>
      <c r="C2994" s="13" t="s">
        <v>126</v>
      </c>
      <c r="D2994" s="17">
        <v>93.55</v>
      </c>
      <c r="E2994" s="5" t="s">
        <v>8</v>
      </c>
      <c r="F2994" s="6">
        <v>65.2</v>
      </c>
      <c r="G2994" s="7">
        <f t="shared" si="401"/>
        <v>0.434815950920245</v>
      </c>
    </row>
    <row r="2995" spans="1:7">
      <c r="A2995" s="14" t="s">
        <v>4112</v>
      </c>
      <c r="B2995" s="12" t="s">
        <v>4113</v>
      </c>
      <c r="C2995" s="13"/>
      <c r="D2995" s="16"/>
      <c r="E2995" s="5" t="s">
        <v>8</v>
      </c>
    </row>
    <row r="2996" spans="1:7">
      <c r="A2996" s="14" t="s">
        <v>4114</v>
      </c>
      <c r="B2996" s="12" t="s">
        <v>4057</v>
      </c>
      <c r="C2996" s="13" t="s">
        <v>126</v>
      </c>
      <c r="D2996" s="17">
        <v>97.75</v>
      </c>
      <c r="E2996" s="5" t="s">
        <v>8</v>
      </c>
      <c r="F2996" s="6">
        <v>67.8</v>
      </c>
      <c r="G2996" s="7">
        <f t="shared" si="401"/>
        <v>0.441740412979351</v>
      </c>
    </row>
    <row r="2997" spans="1:7">
      <c r="A2997" s="14" t="s">
        <v>4115</v>
      </c>
      <c r="B2997" s="12" t="s">
        <v>4059</v>
      </c>
      <c r="C2997" s="13" t="s">
        <v>126</v>
      </c>
      <c r="D2997" s="17">
        <v>119.05</v>
      </c>
      <c r="E2997" s="5" t="s">
        <v>8</v>
      </c>
      <c r="F2997" s="6">
        <v>82.9</v>
      </c>
      <c r="G2997" s="7">
        <f t="shared" si="401"/>
        <v>0.436067551266586</v>
      </c>
    </row>
    <row r="2998" spans="1:7">
      <c r="A2998" s="18">
        <v>18.22</v>
      </c>
      <c r="B2998" s="15" t="s">
        <v>4116</v>
      </c>
      <c r="C2998" s="13"/>
      <c r="D2998" s="16"/>
      <c r="E2998" s="5" t="s">
        <v>8</v>
      </c>
    </row>
    <row r="2999" spans="1:7">
      <c r="A2999" s="14" t="s">
        <v>4117</v>
      </c>
      <c r="B2999" s="12" t="s">
        <v>2346</v>
      </c>
      <c r="C2999" s="13" t="s">
        <v>126</v>
      </c>
      <c r="D2999" s="17">
        <v>193.95</v>
      </c>
      <c r="E2999" s="5" t="s">
        <v>8</v>
      </c>
      <c r="F2999" s="6">
        <v>71.65</v>
      </c>
      <c r="G2999" s="7">
        <f t="shared" ref="G2999:G3003" si="402">(D2999-F2999)/F2999</f>
        <v>1.70690858339149</v>
      </c>
    </row>
    <row r="3000" spans="1:7">
      <c r="A3000" s="14" t="s">
        <v>4118</v>
      </c>
      <c r="B3000" s="12" t="s">
        <v>2348</v>
      </c>
      <c r="C3000" s="13" t="s">
        <v>126</v>
      </c>
      <c r="D3000" s="17">
        <v>222.35</v>
      </c>
      <c r="E3000" s="5" t="s">
        <v>8</v>
      </c>
      <c r="F3000" s="6">
        <v>85.9</v>
      </c>
      <c r="G3000" s="7">
        <f t="shared" si="402"/>
        <v>1.58847497089639</v>
      </c>
    </row>
    <row r="3001" spans="1:7">
      <c r="A3001" s="14"/>
      <c r="B3001" s="15" t="s">
        <v>4119</v>
      </c>
      <c r="C3001" s="13"/>
      <c r="D3001" s="16"/>
      <c r="E3001" s="5" t="s">
        <v>8</v>
      </c>
    </row>
    <row r="3002" ht="31" spans="1:7">
      <c r="A3002" s="18">
        <v>18.23</v>
      </c>
      <c r="B3002" s="15" t="s">
        <v>4120</v>
      </c>
      <c r="C3002" s="13" t="s">
        <v>566</v>
      </c>
      <c r="D3002" s="17">
        <v>361.65</v>
      </c>
      <c r="E3002" s="5" t="s">
        <v>8</v>
      </c>
      <c r="F3002" s="6">
        <v>152.8</v>
      </c>
      <c r="G3002" s="7">
        <f t="shared" si="402"/>
        <v>1.36681937172775</v>
      </c>
    </row>
    <row r="3003" ht="31" spans="1:7">
      <c r="A3003" s="18">
        <v>18.24</v>
      </c>
      <c r="B3003" s="15" t="s">
        <v>4121</v>
      </c>
      <c r="C3003" s="13" t="s">
        <v>566</v>
      </c>
      <c r="D3003" s="17">
        <v>661.85</v>
      </c>
      <c r="E3003" s="5" t="s">
        <v>8</v>
      </c>
      <c r="F3003" s="6">
        <v>284.2</v>
      </c>
      <c r="G3003" s="7">
        <f t="shared" si="402"/>
        <v>1.32881773399015</v>
      </c>
    </row>
    <row r="3004" ht="31" spans="1:7">
      <c r="A3004" s="18">
        <v>18.25</v>
      </c>
      <c r="B3004" s="15" t="s">
        <v>4122</v>
      </c>
      <c r="C3004" s="13"/>
      <c r="D3004" s="16"/>
      <c r="E3004" s="5" t="s">
        <v>8</v>
      </c>
    </row>
    <row r="3005" spans="1:7">
      <c r="A3005" s="14" t="s">
        <v>4123</v>
      </c>
      <c r="B3005" s="12" t="s">
        <v>4124</v>
      </c>
      <c r="C3005" s="13" t="s">
        <v>566</v>
      </c>
      <c r="D3005" s="17">
        <v>6352.4</v>
      </c>
      <c r="E3005" s="5" t="s">
        <v>8</v>
      </c>
      <c r="F3005" s="6">
        <v>4476.3</v>
      </c>
      <c r="G3005" s="7">
        <f t="shared" ref="G3005:G3009" si="403">(D3005-F3005)/F3005</f>
        <v>0.419118468377901</v>
      </c>
    </row>
    <row r="3006" spans="1:7">
      <c r="A3006" s="14" t="s">
        <v>4125</v>
      </c>
      <c r="B3006" s="12" t="s">
        <v>4126</v>
      </c>
      <c r="C3006" s="13" t="s">
        <v>566</v>
      </c>
      <c r="D3006" s="17">
        <v>6352.4</v>
      </c>
      <c r="E3006" s="5" t="s">
        <v>8</v>
      </c>
      <c r="F3006" s="6">
        <v>4592.45</v>
      </c>
      <c r="G3006" s="7">
        <f t="shared" si="403"/>
        <v>0.383226817929428</v>
      </c>
    </row>
    <row r="3007" ht="31" spans="1:7">
      <c r="A3007" s="18">
        <v>18.26</v>
      </c>
      <c r="B3007" s="15" t="s">
        <v>4127</v>
      </c>
      <c r="C3007" s="13"/>
      <c r="D3007" s="16"/>
      <c r="E3007" s="5" t="s">
        <v>8</v>
      </c>
    </row>
    <row r="3008" spans="1:7">
      <c r="A3008" s="14" t="s">
        <v>4128</v>
      </c>
      <c r="B3008" s="12" t="s">
        <v>4124</v>
      </c>
      <c r="C3008" s="13" t="s">
        <v>566</v>
      </c>
      <c r="D3008" s="17">
        <v>8913.15</v>
      </c>
      <c r="E3008" s="5" t="s">
        <v>8</v>
      </c>
      <c r="F3008" s="6">
        <v>6683.15</v>
      </c>
      <c r="G3008" s="7">
        <f t="shared" si="403"/>
        <v>0.333674988590709</v>
      </c>
    </row>
    <row r="3009" spans="1:7">
      <c r="A3009" s="14" t="s">
        <v>4129</v>
      </c>
      <c r="B3009" s="12" t="s">
        <v>4126</v>
      </c>
      <c r="C3009" s="13" t="s">
        <v>566</v>
      </c>
      <c r="D3009" s="17">
        <v>8486.35</v>
      </c>
      <c r="E3009" s="5" t="s">
        <v>8</v>
      </c>
      <c r="F3009" s="6">
        <v>6683.15</v>
      </c>
      <c r="G3009" s="7">
        <f t="shared" si="403"/>
        <v>0.269812887635322</v>
      </c>
    </row>
    <row r="3010" ht="31" spans="1:7">
      <c r="A3010" s="18">
        <v>18.27</v>
      </c>
      <c r="B3010" s="15" t="s">
        <v>4130</v>
      </c>
      <c r="C3010" s="13"/>
      <c r="D3010" s="16"/>
      <c r="E3010" s="5" t="s">
        <v>8</v>
      </c>
    </row>
    <row r="3011" spans="1:7">
      <c r="A3011" s="14" t="s">
        <v>4131</v>
      </c>
      <c r="B3011" s="12" t="s">
        <v>3107</v>
      </c>
      <c r="C3011" s="13" t="s">
        <v>39</v>
      </c>
      <c r="D3011" s="17">
        <v>1423.1</v>
      </c>
      <c r="E3011" s="5" t="s">
        <v>8</v>
      </c>
      <c r="F3011" s="6">
        <v>1078.25</v>
      </c>
      <c r="G3011" s="7">
        <f t="shared" ref="G3011:G3021" si="404">(D3011-F3011)/F3011</f>
        <v>0.319823788546255</v>
      </c>
    </row>
    <row r="3012" spans="1:7">
      <c r="A3012" s="14" t="s">
        <v>4132</v>
      </c>
      <c r="B3012" s="12" t="s">
        <v>4133</v>
      </c>
      <c r="C3012" s="13" t="s">
        <v>39</v>
      </c>
      <c r="D3012" s="17">
        <v>1729.35</v>
      </c>
      <c r="E3012" s="5" t="s">
        <v>8</v>
      </c>
      <c r="F3012" s="6">
        <v>1343.8</v>
      </c>
      <c r="G3012" s="7">
        <f t="shared" si="404"/>
        <v>0.286910254502158</v>
      </c>
    </row>
    <row r="3013" spans="1:7">
      <c r="A3013" s="14" t="s">
        <v>4134</v>
      </c>
      <c r="B3013" s="12" t="s">
        <v>3109</v>
      </c>
      <c r="C3013" s="13" t="s">
        <v>39</v>
      </c>
      <c r="D3013" s="17">
        <v>2037</v>
      </c>
      <c r="E3013" s="5" t="s">
        <v>8</v>
      </c>
      <c r="F3013" s="6">
        <v>1621.6</v>
      </c>
      <c r="G3013" s="7">
        <f t="shared" si="404"/>
        <v>0.256166748889985</v>
      </c>
    </row>
    <row r="3014" spans="1:7">
      <c r="A3014" s="14" t="s">
        <v>4135</v>
      </c>
      <c r="B3014" s="12" t="s">
        <v>4136</v>
      </c>
      <c r="C3014" s="13" t="s">
        <v>39</v>
      </c>
      <c r="D3014" s="17">
        <v>3406.85</v>
      </c>
      <c r="E3014" s="5" t="s">
        <v>8</v>
      </c>
      <c r="F3014" s="6">
        <v>2750.55</v>
      </c>
      <c r="G3014" s="7">
        <f t="shared" si="404"/>
        <v>0.238606824089727</v>
      </c>
    </row>
    <row r="3015" spans="1:7">
      <c r="A3015" s="14" t="s">
        <v>4137</v>
      </c>
      <c r="B3015" s="12" t="s">
        <v>4138</v>
      </c>
      <c r="C3015" s="13" t="s">
        <v>39</v>
      </c>
      <c r="D3015" s="17">
        <v>4639.8</v>
      </c>
      <c r="E3015" s="5" t="s">
        <v>8</v>
      </c>
      <c r="F3015" s="6">
        <v>3591.65</v>
      </c>
      <c r="G3015" s="7">
        <f t="shared" si="404"/>
        <v>0.291829660462462</v>
      </c>
    </row>
    <row r="3016" spans="1:7">
      <c r="A3016" s="14" t="s">
        <v>4139</v>
      </c>
      <c r="B3016" s="12" t="s">
        <v>4140</v>
      </c>
      <c r="C3016" s="13" t="s">
        <v>39</v>
      </c>
      <c r="D3016" s="17">
        <v>6128.65</v>
      </c>
      <c r="E3016" s="5" t="s">
        <v>8</v>
      </c>
      <c r="F3016" s="6">
        <v>4841.35</v>
      </c>
      <c r="G3016" s="7">
        <f t="shared" si="404"/>
        <v>0.265896908920032</v>
      </c>
    </row>
    <row r="3017" spans="1:7">
      <c r="A3017" s="14" t="s">
        <v>4141</v>
      </c>
      <c r="B3017" s="12" t="s">
        <v>4142</v>
      </c>
      <c r="C3017" s="13" t="s">
        <v>39</v>
      </c>
      <c r="D3017" s="17">
        <v>7343.8</v>
      </c>
      <c r="E3017" s="5" t="s">
        <v>8</v>
      </c>
      <c r="F3017" s="6">
        <v>5808.35</v>
      </c>
      <c r="G3017" s="7">
        <f t="shared" si="404"/>
        <v>0.264352182633622</v>
      </c>
    </row>
    <row r="3018" spans="1:7">
      <c r="A3018" s="14" t="s">
        <v>4143</v>
      </c>
      <c r="B3018" s="12" t="s">
        <v>4144</v>
      </c>
      <c r="C3018" s="13" t="s">
        <v>39</v>
      </c>
      <c r="D3018" s="17">
        <v>9701</v>
      </c>
      <c r="E3018" s="5" t="s">
        <v>8</v>
      </c>
      <c r="F3018" s="6">
        <v>7649.3</v>
      </c>
      <c r="G3018" s="7">
        <f t="shared" si="404"/>
        <v>0.268220621494777</v>
      </c>
    </row>
    <row r="3019" spans="1:7">
      <c r="A3019" s="14" t="s">
        <v>4145</v>
      </c>
      <c r="B3019" s="12" t="s">
        <v>4146</v>
      </c>
      <c r="C3019" s="13" t="s">
        <v>39</v>
      </c>
      <c r="D3019" s="17">
        <v>11714.85</v>
      </c>
      <c r="E3019" s="5" t="s">
        <v>8</v>
      </c>
      <c r="F3019" s="6">
        <v>9262.1</v>
      </c>
      <c r="G3019" s="7">
        <f t="shared" si="404"/>
        <v>0.264815754526511</v>
      </c>
    </row>
    <row r="3020" spans="1:7">
      <c r="A3020" s="14" t="s">
        <v>4147</v>
      </c>
      <c r="B3020" s="12" t="s">
        <v>4148</v>
      </c>
      <c r="C3020" s="13" t="s">
        <v>39</v>
      </c>
      <c r="D3020" s="17">
        <v>13728.75</v>
      </c>
      <c r="E3020" s="5" t="s">
        <v>8</v>
      </c>
      <c r="F3020" s="6">
        <v>10753.4</v>
      </c>
      <c r="G3020" s="7">
        <f t="shared" si="404"/>
        <v>0.276689233172764</v>
      </c>
    </row>
    <row r="3021" spans="1:7">
      <c r="A3021" s="14" t="s">
        <v>4149</v>
      </c>
      <c r="B3021" s="12" t="s">
        <v>4150</v>
      </c>
      <c r="C3021" s="13" t="s">
        <v>39</v>
      </c>
      <c r="D3021" s="17">
        <v>18636.45</v>
      </c>
      <c r="E3021" s="5" t="s">
        <v>8</v>
      </c>
      <c r="F3021" s="6">
        <v>15033.6</v>
      </c>
      <c r="G3021" s="7">
        <f t="shared" si="404"/>
        <v>0.23965317688378</v>
      </c>
    </row>
    <row r="3022" ht="31" spans="1:7">
      <c r="A3022" s="18">
        <v>18.28</v>
      </c>
      <c r="B3022" s="15" t="s">
        <v>4151</v>
      </c>
      <c r="C3022" s="13"/>
      <c r="D3022" s="16"/>
      <c r="E3022" s="5" t="s">
        <v>8</v>
      </c>
    </row>
    <row r="3023" spans="1:7">
      <c r="A3023" s="14" t="s">
        <v>4152</v>
      </c>
      <c r="B3023" s="12" t="s">
        <v>3854</v>
      </c>
      <c r="C3023" s="13" t="s">
        <v>126</v>
      </c>
      <c r="D3023" s="17">
        <v>496.4</v>
      </c>
      <c r="E3023" s="5" t="s">
        <v>8</v>
      </c>
      <c r="F3023" s="6">
        <v>224.65</v>
      </c>
      <c r="G3023" s="7">
        <f t="shared" ref="G3023:G3034" si="405">(D3023-F3023)/F3023</f>
        <v>1.20965947028711</v>
      </c>
    </row>
    <row r="3024" spans="1:7">
      <c r="A3024" s="14" t="s">
        <v>4153</v>
      </c>
      <c r="B3024" s="12" t="s">
        <v>4154</v>
      </c>
      <c r="C3024" s="13" t="s">
        <v>126</v>
      </c>
      <c r="D3024" s="17">
        <v>737.5</v>
      </c>
      <c r="E3024" s="5" t="s">
        <v>8</v>
      </c>
      <c r="F3024" s="6">
        <v>332</v>
      </c>
      <c r="G3024" s="7">
        <f t="shared" si="405"/>
        <v>1.22138554216867</v>
      </c>
    </row>
    <row r="3025" spans="1:7">
      <c r="A3025" s="14" t="s">
        <v>4155</v>
      </c>
      <c r="B3025" s="12" t="s">
        <v>4156</v>
      </c>
      <c r="C3025" s="13" t="s">
        <v>126</v>
      </c>
      <c r="D3025" s="17">
        <v>744.85</v>
      </c>
      <c r="E3025" s="5" t="s">
        <v>8</v>
      </c>
      <c r="F3025" s="6">
        <v>337.2</v>
      </c>
      <c r="G3025" s="7">
        <f t="shared" si="405"/>
        <v>1.20892645314354</v>
      </c>
    </row>
    <row r="3026" spans="1:7">
      <c r="A3026" s="14" t="s">
        <v>4157</v>
      </c>
      <c r="B3026" s="12" t="s">
        <v>4158</v>
      </c>
      <c r="C3026" s="13" t="s">
        <v>126</v>
      </c>
      <c r="D3026" s="17">
        <v>990.2</v>
      </c>
      <c r="E3026" s="5" t="s">
        <v>8</v>
      </c>
      <c r="F3026" s="6">
        <v>447.5</v>
      </c>
      <c r="G3026" s="7">
        <f t="shared" si="405"/>
        <v>1.2127374301676</v>
      </c>
    </row>
    <row r="3027" spans="1:7">
      <c r="A3027" s="14" t="s">
        <v>4159</v>
      </c>
      <c r="B3027" s="12" t="s">
        <v>4160</v>
      </c>
      <c r="C3027" s="13" t="s">
        <v>126</v>
      </c>
      <c r="D3027" s="17">
        <v>1237.8</v>
      </c>
      <c r="E3027" s="5" t="s">
        <v>8</v>
      </c>
      <c r="F3027" s="6">
        <v>559.2</v>
      </c>
      <c r="G3027" s="7">
        <f t="shared" si="405"/>
        <v>1.21351931330472</v>
      </c>
    </row>
    <row r="3028" spans="1:7">
      <c r="A3028" s="14" t="s">
        <v>4161</v>
      </c>
      <c r="B3028" s="12" t="s">
        <v>4162</v>
      </c>
      <c r="C3028" s="13" t="s">
        <v>126</v>
      </c>
      <c r="D3028" s="17">
        <v>1488.8</v>
      </c>
      <c r="E3028" s="5" t="s">
        <v>8</v>
      </c>
      <c r="F3028" s="6">
        <v>673.25</v>
      </c>
      <c r="G3028" s="7">
        <f t="shared" si="405"/>
        <v>1.2113627924248</v>
      </c>
    </row>
    <row r="3029" spans="1:7">
      <c r="A3029" s="14" t="s">
        <v>4163</v>
      </c>
      <c r="B3029" s="12" t="s">
        <v>4164</v>
      </c>
      <c r="C3029" s="13" t="s">
        <v>126</v>
      </c>
      <c r="D3029" s="17">
        <v>1513.6</v>
      </c>
      <c r="E3029" s="5" t="s">
        <v>8</v>
      </c>
      <c r="F3029" s="6">
        <v>690.85</v>
      </c>
      <c r="G3029" s="7">
        <f t="shared" si="405"/>
        <v>1.1909242237823</v>
      </c>
    </row>
    <row r="3030" spans="1:7">
      <c r="A3030" s="14" t="s">
        <v>4165</v>
      </c>
      <c r="B3030" s="12" t="s">
        <v>4166</v>
      </c>
      <c r="C3030" s="13" t="s">
        <v>126</v>
      </c>
      <c r="D3030" s="17">
        <v>1993.75</v>
      </c>
      <c r="E3030" s="5" t="s">
        <v>8</v>
      </c>
      <c r="F3030" s="6">
        <v>904.05</v>
      </c>
      <c r="G3030" s="7">
        <f t="shared" si="405"/>
        <v>1.20535368618992</v>
      </c>
    </row>
    <row r="3031" spans="1:7">
      <c r="A3031" s="14" t="s">
        <v>4167</v>
      </c>
      <c r="B3031" s="12" t="s">
        <v>4168</v>
      </c>
      <c r="C3031" s="13" t="s">
        <v>126</v>
      </c>
      <c r="D3031" s="17">
        <v>2238.45</v>
      </c>
      <c r="E3031" s="5" t="s">
        <v>8</v>
      </c>
      <c r="F3031" s="6">
        <v>1013.9</v>
      </c>
      <c r="G3031" s="7">
        <f t="shared" si="405"/>
        <v>1.20776210671664</v>
      </c>
    </row>
    <row r="3032" spans="1:7">
      <c r="A3032" s="14" t="s">
        <v>4169</v>
      </c>
      <c r="B3032" s="12" t="s">
        <v>4170</v>
      </c>
      <c r="C3032" s="13" t="s">
        <v>126</v>
      </c>
      <c r="D3032" s="17">
        <v>2366.45</v>
      </c>
      <c r="E3032" s="5" t="s">
        <v>8</v>
      </c>
      <c r="F3032" s="6">
        <v>1072.75</v>
      </c>
      <c r="G3032" s="7">
        <f t="shared" si="405"/>
        <v>1.20596597529713</v>
      </c>
    </row>
    <row r="3033" spans="1:7">
      <c r="A3033" s="14" t="s">
        <v>4171</v>
      </c>
      <c r="B3033" s="12" t="s">
        <v>4172</v>
      </c>
      <c r="C3033" s="13" t="s">
        <v>126</v>
      </c>
      <c r="D3033" s="17">
        <v>3211.4</v>
      </c>
      <c r="E3033" s="5" t="s">
        <v>8</v>
      </c>
      <c r="F3033" s="6">
        <v>1449.4</v>
      </c>
      <c r="G3033" s="7">
        <f t="shared" si="405"/>
        <v>1.21567545191114</v>
      </c>
    </row>
    <row r="3034" spans="1:7">
      <c r="A3034" s="18">
        <v>18.29</v>
      </c>
      <c r="B3034" s="15" t="s">
        <v>4173</v>
      </c>
      <c r="C3034" s="13" t="s">
        <v>566</v>
      </c>
      <c r="D3034" s="17">
        <v>29875.4</v>
      </c>
      <c r="E3034" s="5" t="s">
        <v>8</v>
      </c>
      <c r="F3034" s="6">
        <v>16039.4</v>
      </c>
      <c r="G3034" s="7">
        <f t="shared" si="405"/>
        <v>0.862625784006883</v>
      </c>
    </row>
    <row r="3035" ht="31" spans="1:7">
      <c r="A3035" s="18">
        <v>18.3</v>
      </c>
      <c r="B3035" s="15" t="s">
        <v>4174</v>
      </c>
      <c r="C3035" s="13"/>
      <c r="D3035" s="16"/>
      <c r="E3035" s="5" t="s">
        <v>8</v>
      </c>
    </row>
    <row r="3036" spans="1:7">
      <c r="A3036" s="14" t="s">
        <v>4175</v>
      </c>
      <c r="B3036" s="12" t="s">
        <v>4176</v>
      </c>
      <c r="C3036" s="13" t="s">
        <v>126</v>
      </c>
      <c r="D3036" s="17">
        <v>215.1</v>
      </c>
      <c r="E3036" s="5" t="s">
        <v>8</v>
      </c>
      <c r="F3036" s="6">
        <v>119.55</v>
      </c>
      <c r="G3036" s="7">
        <f t="shared" ref="G3036:G3047" si="406">(D3036-F3036)/F3036</f>
        <v>0.799247176913425</v>
      </c>
    </row>
    <row r="3037" spans="1:7">
      <c r="A3037" s="14" t="s">
        <v>4177</v>
      </c>
      <c r="B3037" s="12" t="s">
        <v>3854</v>
      </c>
      <c r="C3037" s="13" t="s">
        <v>126</v>
      </c>
      <c r="D3037" s="17">
        <v>332</v>
      </c>
      <c r="E3037" s="5" t="s">
        <v>8</v>
      </c>
      <c r="F3037" s="6">
        <v>193.85</v>
      </c>
      <c r="G3037" s="7">
        <f t="shared" si="406"/>
        <v>0.712664431261285</v>
      </c>
    </row>
    <row r="3038" spans="1:7">
      <c r="A3038" s="14" t="s">
        <v>4178</v>
      </c>
      <c r="B3038" s="12" t="s">
        <v>4154</v>
      </c>
      <c r="C3038" s="13" t="s">
        <v>126</v>
      </c>
      <c r="D3038" s="17">
        <v>351.9</v>
      </c>
      <c r="E3038" s="5" t="s">
        <v>8</v>
      </c>
      <c r="F3038" s="6">
        <v>205.45</v>
      </c>
      <c r="G3038" s="7">
        <f t="shared" si="406"/>
        <v>0.712825504989048</v>
      </c>
    </row>
    <row r="3039" spans="1:7">
      <c r="A3039" s="14" t="s">
        <v>4179</v>
      </c>
      <c r="B3039" s="12" t="s">
        <v>4156</v>
      </c>
      <c r="C3039" s="13" t="s">
        <v>126</v>
      </c>
      <c r="D3039" s="17">
        <v>387.4</v>
      </c>
      <c r="E3039" s="5" t="s">
        <v>8</v>
      </c>
      <c r="F3039" s="6">
        <v>243.05</v>
      </c>
      <c r="G3039" s="7">
        <f t="shared" si="406"/>
        <v>0.593910717959267</v>
      </c>
    </row>
    <row r="3040" spans="1:7">
      <c r="A3040" s="14" t="s">
        <v>4180</v>
      </c>
      <c r="B3040" s="12" t="s">
        <v>4158</v>
      </c>
      <c r="C3040" s="13" t="s">
        <v>126</v>
      </c>
      <c r="D3040" s="17">
        <v>428.65</v>
      </c>
      <c r="E3040" s="5" t="s">
        <v>8</v>
      </c>
      <c r="F3040" s="6">
        <v>267.45</v>
      </c>
      <c r="G3040" s="7">
        <f t="shared" si="406"/>
        <v>0.602729482146195</v>
      </c>
    </row>
    <row r="3041" spans="1:7">
      <c r="A3041" s="14" t="s">
        <v>4181</v>
      </c>
      <c r="B3041" s="12" t="s">
        <v>4160</v>
      </c>
      <c r="C3041" s="13" t="s">
        <v>126</v>
      </c>
      <c r="D3041" s="17">
        <v>596.65</v>
      </c>
      <c r="E3041" s="5" t="s">
        <v>8</v>
      </c>
      <c r="F3041" s="6">
        <v>369.55</v>
      </c>
      <c r="G3041" s="7">
        <f t="shared" si="406"/>
        <v>0.614531186578271</v>
      </c>
    </row>
    <row r="3042" spans="1:7">
      <c r="A3042" s="14" t="s">
        <v>4182</v>
      </c>
      <c r="B3042" s="12" t="s">
        <v>4162</v>
      </c>
      <c r="C3042" s="13" t="s">
        <v>126</v>
      </c>
      <c r="D3042" s="17">
        <v>599.5</v>
      </c>
      <c r="E3042" s="5" t="s">
        <v>8</v>
      </c>
      <c r="F3042" s="6">
        <v>375.35</v>
      </c>
      <c r="G3042" s="7">
        <f t="shared" si="406"/>
        <v>0.597175969095511</v>
      </c>
    </row>
    <row r="3043" spans="1:7">
      <c r="A3043" s="14" t="s">
        <v>4183</v>
      </c>
      <c r="B3043" s="12" t="s">
        <v>4164</v>
      </c>
      <c r="C3043" s="13" t="s">
        <v>126</v>
      </c>
      <c r="D3043" s="17">
        <v>762.9</v>
      </c>
      <c r="E3043" s="5" t="s">
        <v>8</v>
      </c>
      <c r="F3043" s="6">
        <v>512.05</v>
      </c>
      <c r="G3043" s="7">
        <f t="shared" si="406"/>
        <v>0.489893565081535</v>
      </c>
    </row>
    <row r="3044" spans="1:7">
      <c r="A3044" s="14" t="s">
        <v>4184</v>
      </c>
      <c r="B3044" s="12" t="s">
        <v>4166</v>
      </c>
      <c r="C3044" s="13" t="s">
        <v>126</v>
      </c>
      <c r="D3044" s="17">
        <v>1066.8</v>
      </c>
      <c r="E3044" s="5" t="s">
        <v>8</v>
      </c>
      <c r="F3044" s="6">
        <v>725.15</v>
      </c>
      <c r="G3044" s="7">
        <f t="shared" si="406"/>
        <v>0.471143901261808</v>
      </c>
    </row>
    <row r="3045" spans="1:7">
      <c r="A3045" s="14" t="s">
        <v>4185</v>
      </c>
      <c r="B3045" s="12" t="s">
        <v>4168</v>
      </c>
      <c r="C3045" s="13" t="s">
        <v>126</v>
      </c>
      <c r="D3045" s="17">
        <v>1305.6</v>
      </c>
      <c r="E3045" s="5" t="s">
        <v>8</v>
      </c>
      <c r="F3045" s="6">
        <v>896.75</v>
      </c>
      <c r="G3045" s="7">
        <f t="shared" si="406"/>
        <v>0.455924170616114</v>
      </c>
    </row>
    <row r="3046" spans="1:7">
      <c r="A3046" s="14" t="s">
        <v>4186</v>
      </c>
      <c r="B3046" s="12" t="s">
        <v>4170</v>
      </c>
      <c r="C3046" s="13" t="s">
        <v>126</v>
      </c>
      <c r="D3046" s="17">
        <v>1437.8</v>
      </c>
      <c r="E3046" s="5" t="s">
        <v>8</v>
      </c>
      <c r="F3046" s="6">
        <v>1020.25</v>
      </c>
      <c r="G3046" s="7">
        <f t="shared" si="406"/>
        <v>0.40926243567753</v>
      </c>
    </row>
    <row r="3047" spans="1:7">
      <c r="A3047" s="14" t="s">
        <v>4187</v>
      </c>
      <c r="B3047" s="12" t="s">
        <v>4172</v>
      </c>
      <c r="C3047" s="13" t="s">
        <v>126</v>
      </c>
      <c r="D3047" s="17">
        <v>1704.1</v>
      </c>
      <c r="E3047" s="5" t="s">
        <v>8</v>
      </c>
      <c r="F3047" s="6">
        <v>1196.75</v>
      </c>
      <c r="G3047" s="7">
        <f t="shared" si="406"/>
        <v>0.423939837058701</v>
      </c>
    </row>
    <row r="3048" spans="1:7">
      <c r="A3048" s="14"/>
      <c r="B3048" s="15" t="s">
        <v>4188</v>
      </c>
      <c r="C3048" s="13"/>
      <c r="D3048" s="16"/>
      <c r="E3048" s="5" t="s">
        <v>8</v>
      </c>
    </row>
    <row r="3049" ht="31" spans="1:7">
      <c r="A3049" s="18">
        <v>18.31</v>
      </c>
      <c r="B3049" s="15" t="s">
        <v>4189</v>
      </c>
      <c r="C3049" s="13"/>
      <c r="D3049" s="16"/>
      <c r="E3049" s="5" t="s">
        <v>8</v>
      </c>
    </row>
    <row r="3050" spans="1:7">
      <c r="A3050" s="14" t="s">
        <v>4190</v>
      </c>
      <c r="B3050" s="12" t="s">
        <v>2346</v>
      </c>
      <c r="C3050" s="13"/>
      <c r="D3050" s="16"/>
      <c r="E3050" s="5" t="s">
        <v>8</v>
      </c>
    </row>
    <row r="3051" spans="1:7">
      <c r="A3051" s="14" t="s">
        <v>4191</v>
      </c>
      <c r="B3051" s="12" t="s">
        <v>4192</v>
      </c>
      <c r="C3051" s="13" t="s">
        <v>126</v>
      </c>
      <c r="D3051" s="17">
        <v>4791.2</v>
      </c>
      <c r="E3051" s="5" t="s">
        <v>8</v>
      </c>
      <c r="F3051" s="6">
        <v>3317.55</v>
      </c>
      <c r="G3051" s="7">
        <f t="shared" ref="G3051:G3055" si="407">(D3051-F3051)/F3051</f>
        <v>0.444198278850356</v>
      </c>
    </row>
    <row r="3052" spans="1:7">
      <c r="A3052" s="14" t="s">
        <v>4193</v>
      </c>
      <c r="B3052" s="12" t="s">
        <v>4194</v>
      </c>
      <c r="C3052" s="13" t="s">
        <v>126</v>
      </c>
      <c r="D3052" s="17">
        <v>4985.85</v>
      </c>
      <c r="E3052" s="5" t="s">
        <v>8</v>
      </c>
      <c r="F3052" s="6">
        <v>3689.75</v>
      </c>
      <c r="G3052" s="7">
        <f t="shared" si="407"/>
        <v>0.351270411274477</v>
      </c>
    </row>
    <row r="3053" spans="1:7">
      <c r="A3053" s="14" t="s">
        <v>4195</v>
      </c>
      <c r="B3053" s="12" t="s">
        <v>4196</v>
      </c>
      <c r="C3053" s="13"/>
      <c r="D3053" s="16"/>
      <c r="E3053" s="5" t="s">
        <v>8</v>
      </c>
    </row>
    <row r="3054" spans="1:7">
      <c r="A3054" s="14" t="s">
        <v>4197</v>
      </c>
      <c r="B3054" s="12" t="s">
        <v>4192</v>
      </c>
      <c r="C3054" s="13" t="s">
        <v>126</v>
      </c>
      <c r="D3054" s="17">
        <v>5160.8</v>
      </c>
      <c r="E3054" s="5" t="s">
        <v>8</v>
      </c>
      <c r="F3054" s="6">
        <v>3596.8</v>
      </c>
      <c r="G3054" s="7">
        <f t="shared" si="407"/>
        <v>0.434830960854093</v>
      </c>
    </row>
    <row r="3055" spans="1:7">
      <c r="A3055" s="14" t="s">
        <v>4198</v>
      </c>
      <c r="B3055" s="12" t="s">
        <v>4194</v>
      </c>
      <c r="C3055" s="13" t="s">
        <v>126</v>
      </c>
      <c r="D3055" s="17">
        <v>5943</v>
      </c>
      <c r="E3055" s="5" t="s">
        <v>8</v>
      </c>
      <c r="F3055" s="6">
        <v>4329.1</v>
      </c>
      <c r="G3055" s="7">
        <f t="shared" si="407"/>
        <v>0.37280266106119</v>
      </c>
    </row>
    <row r="3056" spans="1:7">
      <c r="A3056" s="14" t="s">
        <v>4199</v>
      </c>
      <c r="B3056" s="12" t="s">
        <v>2348</v>
      </c>
      <c r="C3056" s="13"/>
      <c r="D3056" s="16"/>
      <c r="E3056" s="5" t="s">
        <v>8</v>
      </c>
    </row>
    <row r="3057" spans="1:7">
      <c r="A3057" s="14" t="s">
        <v>4200</v>
      </c>
      <c r="B3057" s="12" t="s">
        <v>4192</v>
      </c>
      <c r="C3057" s="13" t="s">
        <v>126</v>
      </c>
      <c r="D3057" s="17">
        <v>6966.55</v>
      </c>
      <c r="E3057" s="5" t="s">
        <v>8</v>
      </c>
      <c r="F3057" s="6">
        <v>4881.25</v>
      </c>
      <c r="G3057" s="7">
        <f t="shared" ref="G3057:G3061" si="408">(D3057-F3057)/F3057</f>
        <v>0.427206145966709</v>
      </c>
    </row>
    <row r="3058" spans="1:7">
      <c r="A3058" s="14" t="s">
        <v>4201</v>
      </c>
      <c r="B3058" s="12" t="s">
        <v>4194</v>
      </c>
      <c r="C3058" s="13" t="s">
        <v>126</v>
      </c>
      <c r="D3058" s="17">
        <v>7312.4</v>
      </c>
      <c r="E3058" s="5" t="s">
        <v>8</v>
      </c>
      <c r="F3058" s="6">
        <v>5387.2</v>
      </c>
      <c r="G3058" s="7">
        <f t="shared" si="408"/>
        <v>0.357365607365607</v>
      </c>
    </row>
    <row r="3059" spans="1:7">
      <c r="A3059" s="14" t="s">
        <v>4202</v>
      </c>
      <c r="B3059" s="12" t="s">
        <v>4203</v>
      </c>
      <c r="C3059" s="13"/>
      <c r="D3059" s="16"/>
      <c r="E3059" s="5" t="s">
        <v>8</v>
      </c>
    </row>
    <row r="3060" spans="1:7">
      <c r="A3060" s="14" t="s">
        <v>4204</v>
      </c>
      <c r="B3060" s="12" t="s">
        <v>4192</v>
      </c>
      <c r="C3060" s="13" t="s">
        <v>126</v>
      </c>
      <c r="D3060" s="17">
        <v>13554.7</v>
      </c>
      <c r="E3060" s="5" t="s">
        <v>8</v>
      </c>
      <c r="F3060" s="6">
        <v>9604.5</v>
      </c>
      <c r="G3060" s="7">
        <f t="shared" si="408"/>
        <v>0.411286376177833</v>
      </c>
    </row>
    <row r="3061" spans="1:7">
      <c r="A3061" s="14" t="s">
        <v>4205</v>
      </c>
      <c r="B3061" s="12" t="s">
        <v>4194</v>
      </c>
      <c r="C3061" s="13" t="s">
        <v>126</v>
      </c>
      <c r="D3061" s="17">
        <v>14622.95</v>
      </c>
      <c r="E3061" s="5" t="s">
        <v>8</v>
      </c>
      <c r="F3061" s="6">
        <v>11316.05</v>
      </c>
      <c r="G3061" s="7">
        <f t="shared" si="408"/>
        <v>0.292230946310771</v>
      </c>
    </row>
    <row r="3062" spans="1:7">
      <c r="A3062" s="14" t="s">
        <v>4206</v>
      </c>
      <c r="B3062" s="12" t="s">
        <v>4207</v>
      </c>
      <c r="C3062" s="13"/>
      <c r="D3062" s="16"/>
      <c r="E3062" s="5" t="s">
        <v>8</v>
      </c>
    </row>
    <row r="3063" spans="1:7">
      <c r="A3063" s="14" t="s">
        <v>4208</v>
      </c>
      <c r="B3063" s="12" t="s">
        <v>4192</v>
      </c>
      <c r="C3063" s="13" t="s">
        <v>126</v>
      </c>
      <c r="D3063" s="17">
        <v>19566.55</v>
      </c>
      <c r="E3063" s="5" t="s">
        <v>8</v>
      </c>
      <c r="F3063" s="6">
        <v>14022.95</v>
      </c>
      <c r="G3063" s="7">
        <f t="shared" ref="G3063:G3067" si="409">(D3063-F3063)/F3063</f>
        <v>0.395323380601086</v>
      </c>
    </row>
    <row r="3064" spans="1:7">
      <c r="A3064" s="14" t="s">
        <v>4209</v>
      </c>
      <c r="B3064" s="12" t="s">
        <v>4194</v>
      </c>
      <c r="C3064" s="13" t="s">
        <v>126</v>
      </c>
      <c r="D3064" s="17">
        <v>24623.5</v>
      </c>
      <c r="E3064" s="5" t="s">
        <v>8</v>
      </c>
      <c r="F3064" s="6">
        <v>18258.85</v>
      </c>
      <c r="G3064" s="7">
        <f t="shared" si="409"/>
        <v>0.348578908310217</v>
      </c>
    </row>
    <row r="3065" spans="1:7">
      <c r="A3065" s="14" t="s">
        <v>4210</v>
      </c>
      <c r="B3065" s="12" t="s">
        <v>4211</v>
      </c>
      <c r="C3065" s="13"/>
      <c r="D3065" s="16"/>
      <c r="E3065" s="5" t="s">
        <v>8</v>
      </c>
    </row>
    <row r="3066" spans="1:7">
      <c r="A3066" s="14" t="s">
        <v>4212</v>
      </c>
      <c r="B3066" s="12" t="s">
        <v>4192</v>
      </c>
      <c r="C3066" s="13" t="s">
        <v>126</v>
      </c>
      <c r="D3066" s="17">
        <v>27059.3</v>
      </c>
      <c r="E3066" s="5" t="s">
        <v>8</v>
      </c>
      <c r="F3066" s="6">
        <v>19468.75</v>
      </c>
      <c r="G3066" s="7">
        <f t="shared" si="409"/>
        <v>0.38988378812199</v>
      </c>
    </row>
    <row r="3067" spans="1:7">
      <c r="A3067" s="14" t="s">
        <v>4213</v>
      </c>
      <c r="B3067" s="12" t="s">
        <v>4194</v>
      </c>
      <c r="C3067" s="13" t="s">
        <v>126</v>
      </c>
      <c r="D3067" s="17">
        <v>30203</v>
      </c>
      <c r="E3067" s="5" t="s">
        <v>8</v>
      </c>
      <c r="F3067" s="6">
        <v>22784.75</v>
      </c>
      <c r="G3067" s="7">
        <f t="shared" si="409"/>
        <v>0.325579609168413</v>
      </c>
    </row>
    <row r="3068" ht="108.5" spans="1:7">
      <c r="A3068" s="18">
        <v>18.32</v>
      </c>
      <c r="B3068" s="15" t="s">
        <v>4214</v>
      </c>
      <c r="C3068" s="13"/>
      <c r="D3068" s="16"/>
      <c r="E3068" s="5" t="s">
        <v>8</v>
      </c>
    </row>
    <row r="3069" spans="1:7">
      <c r="A3069" s="14" t="s">
        <v>4215</v>
      </c>
      <c r="B3069" s="12" t="s">
        <v>809</v>
      </c>
      <c r="C3069" s="13" t="s">
        <v>126</v>
      </c>
      <c r="D3069" s="17">
        <v>1992.6</v>
      </c>
      <c r="E3069" s="5" t="s">
        <v>8</v>
      </c>
      <c r="F3069" s="6">
        <v>1195.35</v>
      </c>
      <c r="G3069" s="7">
        <f t="shared" ref="G3069:G3073" si="410">(D3069-F3069)/F3069</f>
        <v>0.666959467938261</v>
      </c>
    </row>
    <row r="3070" ht="124" spans="1:7">
      <c r="A3070" s="18">
        <v>18.33</v>
      </c>
      <c r="B3070" s="15" t="s">
        <v>4216</v>
      </c>
      <c r="C3070" s="13"/>
      <c r="D3070" s="16"/>
      <c r="E3070" s="5" t="s">
        <v>8</v>
      </c>
    </row>
    <row r="3071" spans="1:7">
      <c r="A3071" s="14" t="s">
        <v>4217</v>
      </c>
      <c r="B3071" s="12" t="s">
        <v>809</v>
      </c>
      <c r="C3071" s="13" t="s">
        <v>126</v>
      </c>
      <c r="D3071" s="17">
        <v>10862.4</v>
      </c>
      <c r="E3071" s="5" t="s">
        <v>8</v>
      </c>
      <c r="F3071" s="6">
        <v>6849.6</v>
      </c>
      <c r="G3071" s="7">
        <f t="shared" si="410"/>
        <v>0.585844428871759</v>
      </c>
    </row>
    <row r="3072" ht="124" spans="1:7">
      <c r="A3072" s="18">
        <v>18.34</v>
      </c>
      <c r="B3072" s="15" t="s">
        <v>4218</v>
      </c>
      <c r="C3072" s="13"/>
      <c r="D3072" s="16"/>
      <c r="E3072" s="5" t="s">
        <v>8</v>
      </c>
    </row>
    <row r="3073" spans="1:7">
      <c r="A3073" s="14" t="s">
        <v>4219</v>
      </c>
      <c r="B3073" s="12" t="s">
        <v>809</v>
      </c>
      <c r="C3073" s="13" t="s">
        <v>126</v>
      </c>
      <c r="D3073" s="17">
        <v>18896.7</v>
      </c>
      <c r="E3073" s="5" t="s">
        <v>8</v>
      </c>
      <c r="F3073" s="6">
        <v>11842.75</v>
      </c>
      <c r="G3073" s="7">
        <f t="shared" si="410"/>
        <v>0.595634459901628</v>
      </c>
    </row>
    <row r="3074" ht="124" spans="1:7">
      <c r="A3074" s="18">
        <v>18.35</v>
      </c>
      <c r="B3074" s="15" t="s">
        <v>4220</v>
      </c>
      <c r="C3074" s="13"/>
      <c r="D3074" s="16"/>
      <c r="E3074" s="5" t="s">
        <v>8</v>
      </c>
    </row>
    <row r="3075" spans="1:7">
      <c r="A3075" s="14" t="s">
        <v>4221</v>
      </c>
      <c r="B3075" s="12" t="s">
        <v>809</v>
      </c>
      <c r="C3075" s="13" t="s">
        <v>126</v>
      </c>
      <c r="D3075" s="17">
        <v>26163.4</v>
      </c>
      <c r="E3075" s="5" t="s">
        <v>8</v>
      </c>
      <c r="F3075" s="6">
        <v>16334.65</v>
      </c>
      <c r="G3075" s="7">
        <f t="shared" ref="G3075:G3079" si="411">(D3075-F3075)/F3075</f>
        <v>0.601711698750815</v>
      </c>
    </row>
    <row r="3076" ht="108.5" spans="1:7">
      <c r="A3076" s="18">
        <v>18.36</v>
      </c>
      <c r="B3076" s="15" t="s">
        <v>4222</v>
      </c>
      <c r="C3076" s="13"/>
      <c r="D3076" s="16"/>
      <c r="E3076" s="5" t="s">
        <v>8</v>
      </c>
    </row>
    <row r="3077" spans="1:7">
      <c r="A3077" s="14" t="s">
        <v>4223</v>
      </c>
      <c r="B3077" s="12" t="s">
        <v>809</v>
      </c>
      <c r="C3077" s="13" t="s">
        <v>126</v>
      </c>
      <c r="D3077" s="17">
        <v>10354.95</v>
      </c>
      <c r="E3077" s="5" t="s">
        <v>8</v>
      </c>
      <c r="F3077" s="6">
        <v>6529.7</v>
      </c>
      <c r="G3077" s="7">
        <f t="shared" si="411"/>
        <v>0.585823238433619</v>
      </c>
    </row>
    <row r="3078" ht="124" spans="1:7">
      <c r="A3078" s="18">
        <v>18.37</v>
      </c>
      <c r="B3078" s="15" t="s">
        <v>4224</v>
      </c>
      <c r="C3078" s="13"/>
      <c r="D3078" s="16"/>
      <c r="E3078" s="5" t="s">
        <v>8</v>
      </c>
    </row>
    <row r="3079" spans="1:7">
      <c r="A3079" s="14" t="s">
        <v>4225</v>
      </c>
      <c r="B3079" s="12" t="s">
        <v>809</v>
      </c>
      <c r="C3079" s="13" t="s">
        <v>126</v>
      </c>
      <c r="D3079" s="17">
        <v>9698.55</v>
      </c>
      <c r="E3079" s="5" t="s">
        <v>8</v>
      </c>
      <c r="F3079" s="6">
        <v>6088.6</v>
      </c>
      <c r="G3079" s="7">
        <f t="shared" si="411"/>
        <v>0.592903130440495</v>
      </c>
    </row>
    <row r="3080" ht="31" spans="1:7">
      <c r="A3080" s="18">
        <v>18.38</v>
      </c>
      <c r="B3080" s="15" t="s">
        <v>4226</v>
      </c>
      <c r="C3080" s="13"/>
      <c r="D3080" s="16"/>
      <c r="E3080" s="5" t="s">
        <v>8</v>
      </c>
    </row>
    <row r="3081" spans="1:7">
      <c r="A3081" s="14" t="s">
        <v>4227</v>
      </c>
      <c r="B3081" s="12" t="s">
        <v>4228</v>
      </c>
      <c r="C3081" s="13" t="s">
        <v>39</v>
      </c>
      <c r="D3081" s="17">
        <v>19.4</v>
      </c>
      <c r="E3081" s="5" t="s">
        <v>8</v>
      </c>
      <c r="F3081" s="6">
        <v>9.95</v>
      </c>
      <c r="G3081" s="7">
        <f t="shared" ref="G3081:G3086" si="412">(D3081-F3081)/F3081</f>
        <v>0.949748743718593</v>
      </c>
    </row>
    <row r="3082" spans="1:7">
      <c r="A3082" s="14" t="s">
        <v>4229</v>
      </c>
      <c r="B3082" s="12" t="s">
        <v>4230</v>
      </c>
      <c r="C3082" s="13" t="s">
        <v>39</v>
      </c>
      <c r="D3082" s="17">
        <v>23.25</v>
      </c>
      <c r="E3082" s="5" t="s">
        <v>8</v>
      </c>
      <c r="F3082" s="6">
        <v>11.8</v>
      </c>
      <c r="G3082" s="7">
        <f t="shared" si="412"/>
        <v>0.970338983050847</v>
      </c>
    </row>
    <row r="3083" spans="1:7">
      <c r="A3083" s="14" t="s">
        <v>4231</v>
      </c>
      <c r="B3083" s="12" t="s">
        <v>4232</v>
      </c>
      <c r="C3083" s="13" t="s">
        <v>39</v>
      </c>
      <c r="D3083" s="17">
        <v>30.25</v>
      </c>
      <c r="E3083" s="5" t="s">
        <v>8</v>
      </c>
      <c r="F3083" s="6">
        <v>15.5</v>
      </c>
      <c r="G3083" s="7">
        <f t="shared" si="412"/>
        <v>0.951612903225806</v>
      </c>
    </row>
    <row r="3084" spans="1:7">
      <c r="A3084" s="14" t="s">
        <v>4233</v>
      </c>
      <c r="B3084" s="12" t="s">
        <v>4234</v>
      </c>
      <c r="C3084" s="13" t="s">
        <v>39</v>
      </c>
      <c r="D3084" s="17">
        <v>36.35</v>
      </c>
      <c r="E3084" s="5" t="s">
        <v>8</v>
      </c>
      <c r="F3084" s="6">
        <v>18.4</v>
      </c>
      <c r="G3084" s="7">
        <f t="shared" si="412"/>
        <v>0.97554347826087</v>
      </c>
    </row>
    <row r="3085" spans="1:7">
      <c r="A3085" s="14" t="s">
        <v>4235</v>
      </c>
      <c r="B3085" s="12" t="s">
        <v>4236</v>
      </c>
      <c r="C3085" s="13" t="s">
        <v>39</v>
      </c>
      <c r="D3085" s="17">
        <v>42.65</v>
      </c>
      <c r="E3085" s="5" t="s">
        <v>8</v>
      </c>
      <c r="F3085" s="6">
        <v>21.75</v>
      </c>
      <c r="G3085" s="7">
        <f t="shared" si="412"/>
        <v>0.960919540229885</v>
      </c>
    </row>
    <row r="3086" spans="1:7">
      <c r="A3086" s="14" t="s">
        <v>4237</v>
      </c>
      <c r="B3086" s="12" t="s">
        <v>4238</v>
      </c>
      <c r="C3086" s="13" t="s">
        <v>39</v>
      </c>
      <c r="D3086" s="17">
        <v>51</v>
      </c>
      <c r="E3086" s="5" t="s">
        <v>8</v>
      </c>
      <c r="F3086" s="6">
        <v>25.75</v>
      </c>
      <c r="G3086" s="7">
        <f t="shared" si="412"/>
        <v>0.980582524271845</v>
      </c>
    </row>
    <row r="3087" ht="31" spans="1:7">
      <c r="A3087" s="18">
        <v>18.39</v>
      </c>
      <c r="B3087" s="15" t="s">
        <v>4239</v>
      </c>
      <c r="C3087" s="13"/>
      <c r="D3087" s="16"/>
      <c r="E3087" s="5" t="s">
        <v>8</v>
      </c>
    </row>
    <row r="3088" spans="1:7">
      <c r="A3088" s="14" t="s">
        <v>4240</v>
      </c>
      <c r="B3088" s="12" t="s">
        <v>4228</v>
      </c>
      <c r="C3088" s="13" t="s">
        <v>39</v>
      </c>
      <c r="D3088" s="17">
        <v>9.5</v>
      </c>
      <c r="E3088" s="5" t="s">
        <v>8</v>
      </c>
      <c r="F3088" s="6">
        <v>5.05</v>
      </c>
      <c r="G3088" s="7">
        <f t="shared" ref="G3088:G3093" si="413">(D3088-F3088)/F3088</f>
        <v>0.881188118811881</v>
      </c>
    </row>
    <row r="3089" spans="1:7">
      <c r="A3089" s="14" t="s">
        <v>4241</v>
      </c>
      <c r="B3089" s="12" t="s">
        <v>4230</v>
      </c>
      <c r="C3089" s="13" t="s">
        <v>39</v>
      </c>
      <c r="D3089" s="17">
        <v>11.3</v>
      </c>
      <c r="E3089" s="5" t="s">
        <v>8</v>
      </c>
      <c r="F3089" s="6">
        <v>5.95</v>
      </c>
      <c r="G3089" s="7">
        <f t="shared" si="413"/>
        <v>0.899159663865546</v>
      </c>
    </row>
    <row r="3090" spans="1:7">
      <c r="A3090" s="14" t="s">
        <v>4242</v>
      </c>
      <c r="B3090" s="12" t="s">
        <v>4232</v>
      </c>
      <c r="C3090" s="13" t="s">
        <v>39</v>
      </c>
      <c r="D3090" s="17">
        <v>14.4</v>
      </c>
      <c r="E3090" s="5" t="s">
        <v>8</v>
      </c>
      <c r="F3090" s="6">
        <v>7.6</v>
      </c>
      <c r="G3090" s="7">
        <f t="shared" si="413"/>
        <v>0.894736842105263</v>
      </c>
    </row>
    <row r="3091" spans="1:7">
      <c r="A3091" s="14" t="s">
        <v>4243</v>
      </c>
      <c r="B3091" s="12" t="s">
        <v>4234</v>
      </c>
      <c r="C3091" s="13" t="s">
        <v>39</v>
      </c>
      <c r="D3091" s="17">
        <v>17.25</v>
      </c>
      <c r="E3091" s="5" t="s">
        <v>8</v>
      </c>
      <c r="F3091" s="6">
        <v>9.05</v>
      </c>
      <c r="G3091" s="7">
        <f t="shared" si="413"/>
        <v>0.906077348066298</v>
      </c>
    </row>
    <row r="3092" spans="1:7">
      <c r="A3092" s="14" t="s">
        <v>4244</v>
      </c>
      <c r="B3092" s="12" t="s">
        <v>4236</v>
      </c>
      <c r="C3092" s="13" t="s">
        <v>39</v>
      </c>
      <c r="D3092" s="17">
        <v>20</v>
      </c>
      <c r="E3092" s="5" t="s">
        <v>8</v>
      </c>
      <c r="F3092" s="6">
        <v>10.5</v>
      </c>
      <c r="G3092" s="7">
        <f t="shared" si="413"/>
        <v>0.904761904761905</v>
      </c>
    </row>
    <row r="3093" spans="1:7">
      <c r="A3093" s="14" t="s">
        <v>4245</v>
      </c>
      <c r="B3093" s="12" t="s">
        <v>4238</v>
      </c>
      <c r="C3093" s="13" t="s">
        <v>39</v>
      </c>
      <c r="D3093" s="17">
        <v>23.85</v>
      </c>
      <c r="E3093" s="5" t="s">
        <v>8</v>
      </c>
      <c r="F3093" s="6">
        <v>12.45</v>
      </c>
      <c r="G3093" s="7">
        <f t="shared" si="413"/>
        <v>0.91566265060241</v>
      </c>
    </row>
    <row r="3094" ht="31" spans="1:7">
      <c r="A3094" s="18">
        <v>18.4</v>
      </c>
      <c r="B3094" s="15" t="s">
        <v>4246</v>
      </c>
      <c r="C3094" s="13"/>
      <c r="D3094" s="16"/>
      <c r="E3094" s="5" t="s">
        <v>8</v>
      </c>
    </row>
    <row r="3095" spans="1:7">
      <c r="A3095" s="14" t="s">
        <v>4247</v>
      </c>
      <c r="B3095" s="12" t="s">
        <v>4228</v>
      </c>
      <c r="C3095" s="13" t="s">
        <v>39</v>
      </c>
      <c r="D3095" s="17">
        <v>12.05</v>
      </c>
      <c r="E3095" s="5" t="s">
        <v>8</v>
      </c>
      <c r="F3095" s="6">
        <v>6</v>
      </c>
      <c r="G3095" s="7">
        <f t="shared" ref="G3095:G3102" si="414">(D3095-F3095)/F3095</f>
        <v>1.00833333333333</v>
      </c>
    </row>
    <row r="3096" spans="1:7">
      <c r="A3096" s="14" t="s">
        <v>4248</v>
      </c>
      <c r="B3096" s="12" t="s">
        <v>4230</v>
      </c>
      <c r="C3096" s="13" t="s">
        <v>39</v>
      </c>
      <c r="D3096" s="17">
        <v>14.45</v>
      </c>
      <c r="E3096" s="5" t="s">
        <v>8</v>
      </c>
      <c r="F3096" s="6">
        <v>7.1</v>
      </c>
      <c r="G3096" s="7">
        <f t="shared" si="414"/>
        <v>1.03521126760563</v>
      </c>
    </row>
    <row r="3097" spans="1:7">
      <c r="A3097" s="14" t="s">
        <v>4249</v>
      </c>
      <c r="B3097" s="12" t="s">
        <v>4232</v>
      </c>
      <c r="C3097" s="13" t="s">
        <v>39</v>
      </c>
      <c r="D3097" s="17">
        <v>18.35</v>
      </c>
      <c r="E3097" s="5" t="s">
        <v>8</v>
      </c>
      <c r="F3097" s="6">
        <v>9.1</v>
      </c>
      <c r="G3097" s="7">
        <f t="shared" si="414"/>
        <v>1.01648351648352</v>
      </c>
    </row>
    <row r="3098" spans="1:7">
      <c r="A3098" s="14" t="s">
        <v>4250</v>
      </c>
      <c r="B3098" s="12" t="s">
        <v>4234</v>
      </c>
      <c r="C3098" s="13" t="s">
        <v>39</v>
      </c>
      <c r="D3098" s="17">
        <v>22.2</v>
      </c>
      <c r="E3098" s="5" t="s">
        <v>8</v>
      </c>
      <c r="F3098" s="6">
        <v>10.85</v>
      </c>
      <c r="G3098" s="7">
        <f t="shared" si="414"/>
        <v>1.04608294930876</v>
      </c>
    </row>
    <row r="3099" spans="1:7">
      <c r="A3099" s="14" t="s">
        <v>4251</v>
      </c>
      <c r="B3099" s="12" t="s">
        <v>4236</v>
      </c>
      <c r="C3099" s="13" t="s">
        <v>39</v>
      </c>
      <c r="D3099" s="17">
        <v>25.25</v>
      </c>
      <c r="E3099" s="5" t="s">
        <v>8</v>
      </c>
      <c r="F3099" s="6">
        <v>12.35</v>
      </c>
      <c r="G3099" s="7">
        <f t="shared" si="414"/>
        <v>1.04453441295547</v>
      </c>
    </row>
    <row r="3100" spans="1:7">
      <c r="A3100" s="14" t="s">
        <v>4252</v>
      </c>
      <c r="B3100" s="12" t="s">
        <v>4238</v>
      </c>
      <c r="C3100" s="13" t="s">
        <v>39</v>
      </c>
      <c r="D3100" s="17">
        <v>30.5</v>
      </c>
      <c r="E3100" s="5" t="s">
        <v>8</v>
      </c>
      <c r="F3100" s="6">
        <v>14.8</v>
      </c>
      <c r="G3100" s="7">
        <f t="shared" si="414"/>
        <v>1.06081081081081</v>
      </c>
    </row>
    <row r="3101" spans="1:7">
      <c r="A3101" s="14" t="s">
        <v>4253</v>
      </c>
      <c r="B3101" s="12" t="s">
        <v>4254</v>
      </c>
      <c r="C3101" s="13" t="s">
        <v>39</v>
      </c>
      <c r="D3101" s="17">
        <v>37.85</v>
      </c>
      <c r="E3101" s="5" t="s">
        <v>8</v>
      </c>
      <c r="F3101" s="6">
        <v>18.25</v>
      </c>
      <c r="G3101" s="7">
        <f t="shared" si="414"/>
        <v>1.07397260273973</v>
      </c>
    </row>
    <row r="3102" spans="1:7">
      <c r="A3102" s="14" t="s">
        <v>4255</v>
      </c>
      <c r="B3102" s="12" t="s">
        <v>4176</v>
      </c>
      <c r="C3102" s="13" t="s">
        <v>39</v>
      </c>
      <c r="D3102" s="17">
        <v>44</v>
      </c>
      <c r="E3102" s="5" t="s">
        <v>8</v>
      </c>
      <c r="F3102" s="6">
        <v>21.2</v>
      </c>
      <c r="G3102" s="7">
        <f t="shared" si="414"/>
        <v>1.07547169811321</v>
      </c>
    </row>
    <row r="3103" ht="31" spans="1:7">
      <c r="A3103" s="18">
        <v>18.41</v>
      </c>
      <c r="B3103" s="15" t="s">
        <v>4256</v>
      </c>
      <c r="C3103" s="13"/>
      <c r="D3103" s="16"/>
      <c r="E3103" s="5" t="s">
        <v>8</v>
      </c>
    </row>
    <row r="3104" spans="1:7">
      <c r="A3104" s="14" t="s">
        <v>4257</v>
      </c>
      <c r="B3104" s="12" t="s">
        <v>4228</v>
      </c>
      <c r="C3104" s="13" t="s">
        <v>39</v>
      </c>
      <c r="D3104" s="17">
        <v>154.45</v>
      </c>
      <c r="E3104" s="5" t="s">
        <v>8</v>
      </c>
      <c r="F3104" s="6">
        <v>66.8</v>
      </c>
      <c r="G3104" s="7">
        <f t="shared" ref="G3104:G3113" si="415">(D3104-F3104)/F3104</f>
        <v>1.31212574850299</v>
      </c>
    </row>
    <row r="3105" spans="1:7">
      <c r="A3105" s="14" t="s">
        <v>4258</v>
      </c>
      <c r="B3105" s="12" t="s">
        <v>4230</v>
      </c>
      <c r="C3105" s="13" t="s">
        <v>39</v>
      </c>
      <c r="D3105" s="17">
        <v>156.55</v>
      </c>
      <c r="E3105" s="5" t="s">
        <v>8</v>
      </c>
      <c r="F3105" s="6">
        <v>67.7</v>
      </c>
      <c r="G3105" s="7">
        <f t="shared" si="415"/>
        <v>1.31240768094535</v>
      </c>
    </row>
    <row r="3106" spans="1:7">
      <c r="A3106" s="14" t="s">
        <v>4259</v>
      </c>
      <c r="B3106" s="12" t="s">
        <v>4232</v>
      </c>
      <c r="C3106" s="13" t="s">
        <v>39</v>
      </c>
      <c r="D3106" s="17">
        <v>160.7</v>
      </c>
      <c r="E3106" s="5" t="s">
        <v>8</v>
      </c>
      <c r="F3106" s="6">
        <v>69.5</v>
      </c>
      <c r="G3106" s="7">
        <f t="shared" si="415"/>
        <v>1.31223021582734</v>
      </c>
    </row>
    <row r="3107" spans="1:7">
      <c r="A3107" s="14" t="s">
        <v>4260</v>
      </c>
      <c r="B3107" s="12" t="s">
        <v>4234</v>
      </c>
      <c r="C3107" s="13" t="s">
        <v>39</v>
      </c>
      <c r="D3107" s="17">
        <v>164.9</v>
      </c>
      <c r="E3107" s="5" t="s">
        <v>8</v>
      </c>
      <c r="F3107" s="6">
        <v>71.3</v>
      </c>
      <c r="G3107" s="7">
        <f t="shared" si="415"/>
        <v>1.31276297335203</v>
      </c>
    </row>
    <row r="3108" spans="1:7">
      <c r="A3108" s="14" t="s">
        <v>4261</v>
      </c>
      <c r="B3108" s="12" t="s">
        <v>4236</v>
      </c>
      <c r="C3108" s="13" t="s">
        <v>39</v>
      </c>
      <c r="D3108" s="17">
        <v>167</v>
      </c>
      <c r="E3108" s="5" t="s">
        <v>8</v>
      </c>
      <c r="F3108" s="6">
        <v>72.25</v>
      </c>
      <c r="G3108" s="7">
        <f t="shared" si="415"/>
        <v>1.31141868512111</v>
      </c>
    </row>
    <row r="3109" spans="1:7">
      <c r="A3109" s="14" t="s">
        <v>4262</v>
      </c>
      <c r="B3109" s="12" t="s">
        <v>4238</v>
      </c>
      <c r="C3109" s="13" t="s">
        <v>39</v>
      </c>
      <c r="D3109" s="17">
        <v>173.25</v>
      </c>
      <c r="E3109" s="5" t="s">
        <v>8</v>
      </c>
      <c r="F3109" s="6">
        <v>74.95</v>
      </c>
      <c r="G3109" s="7">
        <f t="shared" si="415"/>
        <v>1.31154102735157</v>
      </c>
    </row>
    <row r="3110" spans="1:7">
      <c r="A3110" s="14" t="s">
        <v>4263</v>
      </c>
      <c r="B3110" s="12" t="s">
        <v>4254</v>
      </c>
      <c r="C3110" s="13" t="s">
        <v>39</v>
      </c>
      <c r="D3110" s="17">
        <v>273.45</v>
      </c>
      <c r="E3110" s="5" t="s">
        <v>8</v>
      </c>
      <c r="F3110" s="6">
        <v>118.3</v>
      </c>
      <c r="G3110" s="7">
        <f t="shared" si="415"/>
        <v>1.31149619611158</v>
      </c>
    </row>
    <row r="3111" spans="1:7">
      <c r="A3111" s="14" t="s">
        <v>4264</v>
      </c>
      <c r="B3111" s="12" t="s">
        <v>4176</v>
      </c>
      <c r="C3111" s="13" t="s">
        <v>39</v>
      </c>
      <c r="D3111" s="17">
        <v>281.8</v>
      </c>
      <c r="E3111" s="5" t="s">
        <v>8</v>
      </c>
      <c r="F3111" s="6">
        <v>121.9</v>
      </c>
      <c r="G3111" s="7">
        <f t="shared" si="415"/>
        <v>1.31173092698934</v>
      </c>
    </row>
    <row r="3112" spans="1:7">
      <c r="A3112" s="14" t="s">
        <v>4265</v>
      </c>
      <c r="B3112" s="12" t="s">
        <v>3854</v>
      </c>
      <c r="C3112" s="13" t="s">
        <v>39</v>
      </c>
      <c r="D3112" s="17">
        <v>298.5</v>
      </c>
      <c r="E3112" s="5" t="s">
        <v>8</v>
      </c>
      <c r="F3112" s="6">
        <v>129.1</v>
      </c>
      <c r="G3112" s="7">
        <f t="shared" si="415"/>
        <v>1.31216111541441</v>
      </c>
    </row>
    <row r="3113" spans="1:7">
      <c r="A3113" s="14" t="s">
        <v>4266</v>
      </c>
      <c r="B3113" s="12" t="s">
        <v>4156</v>
      </c>
      <c r="C3113" s="13" t="s">
        <v>39</v>
      </c>
      <c r="D3113" s="17">
        <v>444.6</v>
      </c>
      <c r="E3113" s="5" t="s">
        <v>8</v>
      </c>
      <c r="F3113" s="6">
        <v>192.3</v>
      </c>
      <c r="G3113" s="7">
        <f t="shared" si="415"/>
        <v>1.31201248049922</v>
      </c>
    </row>
    <row r="3114" ht="46.5" spans="1:7">
      <c r="A3114" s="18">
        <v>18.42</v>
      </c>
      <c r="B3114" s="15" t="s">
        <v>4267</v>
      </c>
      <c r="C3114" s="13"/>
      <c r="D3114" s="16"/>
      <c r="E3114" s="5" t="s">
        <v>8</v>
      </c>
    </row>
    <row r="3115" spans="1:7">
      <c r="A3115" s="14" t="s">
        <v>4268</v>
      </c>
      <c r="B3115" s="12" t="s">
        <v>4269</v>
      </c>
      <c r="C3115" s="13" t="s">
        <v>39</v>
      </c>
      <c r="D3115" s="17">
        <v>747.9</v>
      </c>
      <c r="E3115" s="5" t="s">
        <v>8</v>
      </c>
      <c r="F3115" s="6">
        <v>350.6</v>
      </c>
      <c r="G3115" s="7">
        <f t="shared" ref="G3115:G3120" si="416">(D3115-F3115)/F3115</f>
        <v>1.13320022818026</v>
      </c>
    </row>
    <row r="3116" spans="1:7">
      <c r="A3116" s="14" t="s">
        <v>4270</v>
      </c>
      <c r="B3116" s="12" t="s">
        <v>4271</v>
      </c>
      <c r="C3116" s="13" t="s">
        <v>39</v>
      </c>
      <c r="D3116" s="17">
        <v>884.85</v>
      </c>
      <c r="E3116" s="5" t="s">
        <v>8</v>
      </c>
      <c r="F3116" s="6">
        <v>416.1</v>
      </c>
      <c r="G3116" s="7">
        <f t="shared" si="416"/>
        <v>1.12653208363374</v>
      </c>
    </row>
    <row r="3117" spans="1:7">
      <c r="A3117" s="14" t="s">
        <v>4272</v>
      </c>
      <c r="B3117" s="12" t="s">
        <v>4273</v>
      </c>
      <c r="C3117" s="13" t="s">
        <v>39</v>
      </c>
      <c r="D3117" s="17">
        <v>1025.95</v>
      </c>
      <c r="E3117" s="5" t="s">
        <v>8</v>
      </c>
      <c r="F3117" s="6">
        <v>484.1</v>
      </c>
      <c r="G3117" s="7">
        <f t="shared" si="416"/>
        <v>1.11929353439372</v>
      </c>
    </row>
    <row r="3118" ht="31" spans="1:7">
      <c r="A3118" s="18">
        <v>18.43</v>
      </c>
      <c r="B3118" s="15" t="s">
        <v>4274</v>
      </c>
      <c r="C3118" s="13" t="s">
        <v>39</v>
      </c>
      <c r="D3118" s="17">
        <v>960.3</v>
      </c>
      <c r="E3118" s="5" t="s">
        <v>8</v>
      </c>
      <c r="F3118" s="6">
        <v>604.85</v>
      </c>
      <c r="G3118" s="7">
        <f t="shared" si="416"/>
        <v>0.587666363561213</v>
      </c>
    </row>
    <row r="3119" ht="31" spans="1:7">
      <c r="A3119" s="18">
        <v>18.44</v>
      </c>
      <c r="B3119" s="15" t="s">
        <v>4275</v>
      </c>
      <c r="C3119" s="13" t="s">
        <v>39</v>
      </c>
      <c r="D3119" s="17">
        <v>546</v>
      </c>
      <c r="E3119" s="5" t="s">
        <v>8</v>
      </c>
      <c r="F3119" s="6">
        <v>273.1</v>
      </c>
      <c r="G3119" s="7">
        <f t="shared" si="416"/>
        <v>0.999267667521054</v>
      </c>
    </row>
    <row r="3120" ht="31" spans="1:7">
      <c r="A3120" s="18">
        <v>18.45</v>
      </c>
      <c r="B3120" s="15" t="s">
        <v>4276</v>
      </c>
      <c r="C3120" s="13" t="s">
        <v>126</v>
      </c>
      <c r="D3120" s="17">
        <v>1321.65</v>
      </c>
      <c r="E3120" s="5" t="s">
        <v>8</v>
      </c>
      <c r="F3120" s="6">
        <v>913.55</v>
      </c>
      <c r="G3120" s="7">
        <f t="shared" si="416"/>
        <v>0.446718844069838</v>
      </c>
    </row>
    <row r="3121" ht="31" spans="1:7">
      <c r="A3121" s="18">
        <v>18.46</v>
      </c>
      <c r="B3121" s="15" t="s">
        <v>4277</v>
      </c>
      <c r="C3121" s="13"/>
      <c r="D3121" s="16"/>
      <c r="E3121" s="5" t="s">
        <v>8</v>
      </c>
    </row>
    <row r="3122" spans="1:7">
      <c r="A3122" s="14" t="s">
        <v>4278</v>
      </c>
      <c r="B3122" s="12" t="s">
        <v>4057</v>
      </c>
      <c r="C3122" s="13" t="s">
        <v>126</v>
      </c>
      <c r="D3122" s="17">
        <v>318.35</v>
      </c>
      <c r="E3122" s="5" t="s">
        <v>8</v>
      </c>
      <c r="F3122" s="6">
        <v>147.75</v>
      </c>
      <c r="G3122" s="7">
        <f t="shared" ref="G3122:G3129" si="417">(D3122-F3122)/F3122</f>
        <v>1.15465313028765</v>
      </c>
    </row>
    <row r="3123" spans="1:7">
      <c r="A3123" s="14" t="s">
        <v>4279</v>
      </c>
      <c r="B3123" s="12" t="s">
        <v>4059</v>
      </c>
      <c r="C3123" s="13" t="s">
        <v>126</v>
      </c>
      <c r="D3123" s="17">
        <v>346.8</v>
      </c>
      <c r="E3123" s="5" t="s">
        <v>8</v>
      </c>
      <c r="F3123" s="6">
        <v>170.95</v>
      </c>
      <c r="G3123" s="7">
        <f t="shared" si="417"/>
        <v>1.02866335185727</v>
      </c>
    </row>
    <row r="3124" spans="1:7">
      <c r="A3124" s="14" t="s">
        <v>4280</v>
      </c>
      <c r="B3124" s="12" t="s">
        <v>4065</v>
      </c>
      <c r="C3124" s="13" t="s">
        <v>126</v>
      </c>
      <c r="D3124" s="17">
        <v>439.25</v>
      </c>
      <c r="E3124" s="5" t="s">
        <v>8</v>
      </c>
      <c r="F3124" s="6">
        <v>205.8</v>
      </c>
      <c r="G3124" s="7">
        <f t="shared" si="417"/>
        <v>1.1343537414966</v>
      </c>
    </row>
    <row r="3125" spans="1:7">
      <c r="A3125" s="14" t="s">
        <v>4281</v>
      </c>
      <c r="B3125" s="12" t="s">
        <v>4088</v>
      </c>
      <c r="C3125" s="13" t="s">
        <v>126</v>
      </c>
      <c r="D3125" s="17">
        <v>489.05</v>
      </c>
      <c r="E3125" s="5" t="s">
        <v>8</v>
      </c>
      <c r="F3125" s="6">
        <v>240.65</v>
      </c>
      <c r="G3125" s="7">
        <f t="shared" si="417"/>
        <v>1.03220444629129</v>
      </c>
    </row>
    <row r="3126" spans="1:7">
      <c r="A3126" s="14" t="s">
        <v>4282</v>
      </c>
      <c r="B3126" s="12" t="s">
        <v>4070</v>
      </c>
      <c r="C3126" s="13" t="s">
        <v>126</v>
      </c>
      <c r="D3126" s="17">
        <v>631.3</v>
      </c>
      <c r="E3126" s="5" t="s">
        <v>8</v>
      </c>
      <c r="F3126" s="6">
        <v>298.75</v>
      </c>
      <c r="G3126" s="7">
        <f t="shared" si="417"/>
        <v>1.11313807531381</v>
      </c>
    </row>
    <row r="3127" spans="1:7">
      <c r="A3127" s="14" t="s">
        <v>4283</v>
      </c>
      <c r="B3127" s="12" t="s">
        <v>4072</v>
      </c>
      <c r="C3127" s="13" t="s">
        <v>126</v>
      </c>
      <c r="D3127" s="17">
        <v>823.8</v>
      </c>
      <c r="E3127" s="5" t="s">
        <v>8</v>
      </c>
      <c r="F3127" s="6">
        <v>384.9</v>
      </c>
      <c r="G3127" s="7">
        <f t="shared" si="417"/>
        <v>1.14029618082619</v>
      </c>
    </row>
    <row r="3128" spans="1:7">
      <c r="A3128" s="14" t="s">
        <v>4284</v>
      </c>
      <c r="B3128" s="12" t="s">
        <v>4074</v>
      </c>
      <c r="C3128" s="13" t="s">
        <v>126</v>
      </c>
      <c r="D3128" s="17">
        <v>1136.8</v>
      </c>
      <c r="E3128" s="5" t="s">
        <v>8</v>
      </c>
      <c r="F3128" s="6">
        <v>617.2</v>
      </c>
      <c r="G3128" s="7">
        <f t="shared" si="417"/>
        <v>0.841866493843162</v>
      </c>
    </row>
    <row r="3129" spans="1:7">
      <c r="A3129" s="14" t="s">
        <v>4285</v>
      </c>
      <c r="B3129" s="12" t="s">
        <v>4076</v>
      </c>
      <c r="C3129" s="13" t="s">
        <v>126</v>
      </c>
      <c r="D3129" s="17">
        <v>1207.95</v>
      </c>
      <c r="E3129" s="5" t="s">
        <v>8</v>
      </c>
      <c r="F3129" s="6">
        <v>698.5</v>
      </c>
      <c r="G3129" s="7">
        <f t="shared" si="417"/>
        <v>0.729348604151754</v>
      </c>
    </row>
    <row r="3130" ht="46.5" spans="1:7">
      <c r="A3130" s="18">
        <v>18.47</v>
      </c>
      <c r="B3130" s="15" t="s">
        <v>4286</v>
      </c>
      <c r="C3130" s="13"/>
      <c r="D3130" s="16"/>
      <c r="E3130" s="5" t="s">
        <v>8</v>
      </c>
    </row>
    <row r="3131" spans="1:7">
      <c r="A3131" s="14" t="s">
        <v>4287</v>
      </c>
      <c r="B3131" s="12" t="s">
        <v>4057</v>
      </c>
      <c r="C3131" s="13" t="s">
        <v>126</v>
      </c>
      <c r="D3131" s="17">
        <v>829.45</v>
      </c>
      <c r="E3131" s="5" t="s">
        <v>8</v>
      </c>
      <c r="F3131" s="6">
        <v>366.2</v>
      </c>
      <c r="G3131" s="7">
        <f t="shared" ref="G3131:G3140" si="418">(D3131-F3131)/F3131</f>
        <v>1.26501911523758</v>
      </c>
    </row>
    <row r="3132" spans="1:7">
      <c r="A3132" s="14" t="s">
        <v>4288</v>
      </c>
      <c r="B3132" s="12" t="s">
        <v>4059</v>
      </c>
      <c r="C3132" s="13" t="s">
        <v>126</v>
      </c>
      <c r="D3132" s="17">
        <v>857.85</v>
      </c>
      <c r="E3132" s="5" t="s">
        <v>8</v>
      </c>
      <c r="F3132" s="6">
        <v>389.45</v>
      </c>
      <c r="G3132" s="7">
        <f t="shared" si="418"/>
        <v>1.2027217871357</v>
      </c>
    </row>
    <row r="3133" spans="1:7">
      <c r="A3133" s="14" t="s">
        <v>4289</v>
      </c>
      <c r="B3133" s="12" t="s">
        <v>4065</v>
      </c>
      <c r="C3133" s="13" t="s">
        <v>126</v>
      </c>
      <c r="D3133" s="17">
        <v>950.35</v>
      </c>
      <c r="E3133" s="5" t="s">
        <v>8</v>
      </c>
      <c r="F3133" s="6">
        <v>424.3</v>
      </c>
      <c r="G3133" s="7">
        <f t="shared" si="418"/>
        <v>1.23980674051379</v>
      </c>
    </row>
    <row r="3134" spans="1:7">
      <c r="A3134" s="14" t="s">
        <v>4290</v>
      </c>
      <c r="B3134" s="12" t="s">
        <v>4088</v>
      </c>
      <c r="C3134" s="13" t="s">
        <v>126</v>
      </c>
      <c r="D3134" s="17">
        <v>1000.15</v>
      </c>
      <c r="E3134" s="5" t="s">
        <v>8</v>
      </c>
      <c r="F3134" s="6">
        <v>459.15</v>
      </c>
      <c r="G3134" s="7">
        <f t="shared" si="418"/>
        <v>1.17826418381792</v>
      </c>
    </row>
    <row r="3135" spans="1:7">
      <c r="A3135" s="14" t="s">
        <v>4291</v>
      </c>
      <c r="B3135" s="12" t="s">
        <v>4070</v>
      </c>
      <c r="C3135" s="13" t="s">
        <v>126</v>
      </c>
      <c r="D3135" s="17">
        <v>1142.4</v>
      </c>
      <c r="E3135" s="5" t="s">
        <v>8</v>
      </c>
      <c r="F3135" s="6">
        <v>517.2</v>
      </c>
      <c r="G3135" s="7">
        <f t="shared" si="418"/>
        <v>1.20881670533643</v>
      </c>
    </row>
    <row r="3136" spans="1:7">
      <c r="A3136" s="14" t="s">
        <v>4292</v>
      </c>
      <c r="B3136" s="12" t="s">
        <v>4072</v>
      </c>
      <c r="C3136" s="13" t="s">
        <v>126</v>
      </c>
      <c r="D3136" s="17">
        <v>1520.8</v>
      </c>
      <c r="E3136" s="5" t="s">
        <v>8</v>
      </c>
      <c r="F3136" s="6">
        <v>682.85</v>
      </c>
      <c r="G3136" s="7">
        <f t="shared" si="418"/>
        <v>1.22713626711576</v>
      </c>
    </row>
    <row r="3137" spans="1:7">
      <c r="A3137" s="14" t="s">
        <v>4293</v>
      </c>
      <c r="B3137" s="12" t="s">
        <v>4074</v>
      </c>
      <c r="C3137" s="13" t="s">
        <v>126</v>
      </c>
      <c r="D3137" s="17">
        <v>1833.75</v>
      </c>
      <c r="E3137" s="5" t="s">
        <v>8</v>
      </c>
      <c r="F3137" s="6">
        <v>915.15</v>
      </c>
      <c r="G3137" s="7">
        <f t="shared" si="418"/>
        <v>1.00376987379118</v>
      </c>
    </row>
    <row r="3138" spans="1:7">
      <c r="A3138" s="14" t="s">
        <v>4294</v>
      </c>
      <c r="B3138" s="12" t="s">
        <v>4076</v>
      </c>
      <c r="C3138" s="13" t="s">
        <v>126</v>
      </c>
      <c r="D3138" s="17">
        <v>1904.9</v>
      </c>
      <c r="E3138" s="5" t="s">
        <v>8</v>
      </c>
      <c r="F3138" s="6">
        <v>996.45</v>
      </c>
      <c r="G3138" s="7">
        <f t="shared" si="418"/>
        <v>0.911686487028953</v>
      </c>
    </row>
    <row r="3139" ht="46.5" spans="1:7">
      <c r="A3139" s="18">
        <v>18.48</v>
      </c>
      <c r="B3139" s="15" t="s">
        <v>4295</v>
      </c>
      <c r="C3139" s="13" t="s">
        <v>4296</v>
      </c>
      <c r="D3139" s="17">
        <v>11</v>
      </c>
      <c r="E3139" s="5" t="s">
        <v>8</v>
      </c>
      <c r="F3139" s="6">
        <v>7.25</v>
      </c>
      <c r="G3139" s="7">
        <f t="shared" si="418"/>
        <v>0.517241379310345</v>
      </c>
    </row>
    <row r="3140" ht="62" spans="1:7">
      <c r="A3140" s="14" t="s">
        <v>4297</v>
      </c>
      <c r="B3140" s="15" t="s">
        <v>4298</v>
      </c>
      <c r="C3140" s="13" t="s">
        <v>4296</v>
      </c>
      <c r="D3140" s="17">
        <v>11</v>
      </c>
      <c r="E3140" s="5" t="s">
        <v>8</v>
      </c>
      <c r="F3140" s="6">
        <v>7.25</v>
      </c>
      <c r="G3140" s="7">
        <f t="shared" si="418"/>
        <v>0.517241379310345</v>
      </c>
    </row>
    <row r="3141" spans="1:7">
      <c r="A3141" s="14"/>
      <c r="B3141" s="15" t="s">
        <v>4299</v>
      </c>
      <c r="C3141" s="13"/>
      <c r="D3141" s="16"/>
      <c r="E3141" s="5" t="s">
        <v>8</v>
      </c>
    </row>
    <row r="3142" spans="1:7">
      <c r="A3142" s="18">
        <v>18.49</v>
      </c>
      <c r="B3142" s="15" t="s">
        <v>4300</v>
      </c>
      <c r="C3142" s="13"/>
      <c r="D3142" s="16"/>
      <c r="E3142" s="5" t="s">
        <v>8</v>
      </c>
    </row>
    <row r="3143" spans="1:7">
      <c r="A3143" s="14" t="s">
        <v>4301</v>
      </c>
      <c r="B3143" s="12" t="s">
        <v>4057</v>
      </c>
      <c r="C3143" s="13" t="s">
        <v>126</v>
      </c>
      <c r="D3143" s="17">
        <v>506.8</v>
      </c>
      <c r="E3143" s="5" t="s">
        <v>8</v>
      </c>
      <c r="F3143" s="6">
        <v>371.7</v>
      </c>
      <c r="G3143" s="7">
        <f t="shared" ref="G3143:G3147" si="419">(D3143-F3143)/F3143</f>
        <v>0.36346516007533</v>
      </c>
    </row>
    <row r="3144" ht="31" spans="1:7">
      <c r="A3144" s="18">
        <v>18.5</v>
      </c>
      <c r="B3144" s="15" t="s">
        <v>4302</v>
      </c>
      <c r="C3144" s="13"/>
      <c r="D3144" s="16"/>
      <c r="E3144" s="5" t="s">
        <v>8</v>
      </c>
    </row>
    <row r="3145" spans="1:7">
      <c r="A3145" s="14" t="s">
        <v>4303</v>
      </c>
      <c r="B3145" s="12" t="s">
        <v>4057</v>
      </c>
      <c r="C3145" s="13" t="s">
        <v>126</v>
      </c>
      <c r="D3145" s="17">
        <v>820.7</v>
      </c>
      <c r="E3145" s="5" t="s">
        <v>8</v>
      </c>
      <c r="F3145" s="6">
        <v>555.3</v>
      </c>
      <c r="G3145" s="7">
        <f t="shared" si="419"/>
        <v>0.477939852332073</v>
      </c>
    </row>
    <row r="3146" ht="31" spans="1:7">
      <c r="A3146" s="18">
        <v>18.51</v>
      </c>
      <c r="B3146" s="15" t="s">
        <v>4304</v>
      </c>
      <c r="C3146" s="13"/>
      <c r="D3146" s="16"/>
      <c r="E3146" s="5" t="s">
        <v>8</v>
      </c>
    </row>
    <row r="3147" spans="1:7">
      <c r="A3147" s="14" t="s">
        <v>4305</v>
      </c>
      <c r="B3147" s="12" t="s">
        <v>4057</v>
      </c>
      <c r="C3147" s="13" t="s">
        <v>126</v>
      </c>
      <c r="D3147" s="17">
        <v>798.95</v>
      </c>
      <c r="E3147" s="5" t="s">
        <v>8</v>
      </c>
      <c r="F3147" s="6">
        <v>492.55</v>
      </c>
      <c r="G3147" s="7">
        <f t="shared" si="419"/>
        <v>0.622068825499949</v>
      </c>
    </row>
    <row r="3148" ht="31" spans="1:7">
      <c r="A3148" s="18">
        <v>18.52</v>
      </c>
      <c r="B3148" s="15" t="s">
        <v>4306</v>
      </c>
      <c r="C3148" s="13"/>
      <c r="D3148" s="16"/>
      <c r="E3148" s="5" t="s">
        <v>8</v>
      </c>
    </row>
    <row r="3149" spans="1:7">
      <c r="A3149" s="14" t="s">
        <v>4307</v>
      </c>
      <c r="B3149" s="12" t="s">
        <v>4057</v>
      </c>
      <c r="C3149" s="13" t="s">
        <v>126</v>
      </c>
      <c r="D3149" s="17">
        <v>670.45</v>
      </c>
      <c r="E3149" s="5" t="s">
        <v>8</v>
      </c>
      <c r="F3149" s="6">
        <v>545.95</v>
      </c>
      <c r="G3149" s="7">
        <f t="shared" ref="G3149:G3152" si="420">(D3149-F3149)/F3149</f>
        <v>0.228042861067863</v>
      </c>
    </row>
    <row r="3150" ht="31" spans="1:7">
      <c r="A3150" s="18">
        <v>18.53</v>
      </c>
      <c r="B3150" s="15" t="s">
        <v>4308</v>
      </c>
      <c r="C3150" s="13"/>
      <c r="D3150" s="16"/>
      <c r="E3150" s="5" t="s">
        <v>8</v>
      </c>
    </row>
    <row r="3151" spans="1:7">
      <c r="A3151" s="14" t="s">
        <v>4309</v>
      </c>
      <c r="B3151" s="12" t="s">
        <v>4310</v>
      </c>
      <c r="C3151" s="13" t="s">
        <v>126</v>
      </c>
      <c r="D3151" s="17">
        <v>574.3</v>
      </c>
      <c r="E3151" s="5" t="s">
        <v>8</v>
      </c>
      <c r="F3151" s="6">
        <v>475.7</v>
      </c>
      <c r="G3151" s="7">
        <f t="shared" si="420"/>
        <v>0.207273491696447</v>
      </c>
    </row>
    <row r="3152" ht="31" spans="1:7">
      <c r="A3152" s="14" t="s">
        <v>4311</v>
      </c>
      <c r="B3152" s="15" t="s">
        <v>4312</v>
      </c>
      <c r="C3152" s="13" t="s">
        <v>126</v>
      </c>
      <c r="D3152" s="17">
        <v>74.8</v>
      </c>
      <c r="E3152" s="5" t="s">
        <v>8</v>
      </c>
      <c r="F3152" s="6">
        <v>58.1</v>
      </c>
      <c r="G3152" s="7">
        <f t="shared" si="420"/>
        <v>0.287435456110155</v>
      </c>
    </row>
    <row r="3153" spans="1:7">
      <c r="A3153" s="14"/>
      <c r="B3153" s="15" t="s">
        <v>4313</v>
      </c>
      <c r="C3153" s="13"/>
      <c r="D3153" s="17"/>
      <c r="E3153" s="5" t="s">
        <v>8</v>
      </c>
    </row>
    <row r="3154" spans="1:7">
      <c r="A3154" s="18">
        <v>18.54</v>
      </c>
      <c r="B3154" s="15" t="s">
        <v>4314</v>
      </c>
      <c r="C3154" s="13"/>
      <c r="D3154" s="16"/>
      <c r="E3154" s="5" t="s">
        <v>8</v>
      </c>
    </row>
    <row r="3155" spans="1:7">
      <c r="A3155" s="14" t="s">
        <v>4315</v>
      </c>
      <c r="B3155" s="12" t="s">
        <v>4316</v>
      </c>
      <c r="C3155" s="13" t="s">
        <v>126</v>
      </c>
      <c r="D3155" s="17">
        <v>125.6</v>
      </c>
      <c r="E3155" s="5" t="s">
        <v>8</v>
      </c>
      <c r="F3155" s="6">
        <v>103.3</v>
      </c>
      <c r="G3155" s="7">
        <f t="shared" ref="G3155:G3158" si="421">(D3155-F3155)/F3155</f>
        <v>0.215876089060987</v>
      </c>
    </row>
    <row r="3156" spans="1:7">
      <c r="A3156" s="14" t="s">
        <v>4317</v>
      </c>
      <c r="B3156" s="12" t="s">
        <v>4318</v>
      </c>
      <c r="C3156" s="13" t="s">
        <v>126</v>
      </c>
      <c r="D3156" s="17">
        <v>161.2</v>
      </c>
      <c r="E3156" s="5" t="s">
        <v>8</v>
      </c>
      <c r="F3156" s="6">
        <v>143.95</v>
      </c>
      <c r="G3156" s="7">
        <f t="shared" si="421"/>
        <v>0.119833275442862</v>
      </c>
    </row>
    <row r="3157" spans="1:7">
      <c r="A3157" s="14" t="s">
        <v>4319</v>
      </c>
      <c r="B3157" s="12" t="s">
        <v>4320</v>
      </c>
      <c r="C3157" s="13" t="s">
        <v>126</v>
      </c>
      <c r="D3157" s="17">
        <v>176.85</v>
      </c>
      <c r="E3157" s="5" t="s">
        <v>8</v>
      </c>
      <c r="F3157" s="6">
        <v>157.9</v>
      </c>
      <c r="G3157" s="7">
        <f t="shared" si="421"/>
        <v>0.120012666244458</v>
      </c>
    </row>
    <row r="3158" spans="1:7">
      <c r="A3158" s="14" t="s">
        <v>4321</v>
      </c>
      <c r="B3158" s="12" t="s">
        <v>4322</v>
      </c>
      <c r="C3158" s="13" t="s">
        <v>126</v>
      </c>
      <c r="D3158" s="17">
        <v>196.75</v>
      </c>
      <c r="E3158" s="5" t="s">
        <v>8</v>
      </c>
      <c r="F3158" s="6">
        <v>113.75</v>
      </c>
      <c r="G3158" s="7">
        <f t="shared" si="421"/>
        <v>0.72967032967033</v>
      </c>
    </row>
    <row r="3159" spans="1:7">
      <c r="A3159" s="18">
        <v>18.55</v>
      </c>
      <c r="B3159" s="15" t="s">
        <v>4323</v>
      </c>
      <c r="C3159" s="13"/>
      <c r="D3159" s="16"/>
      <c r="E3159" s="5" t="s">
        <v>8</v>
      </c>
    </row>
    <row r="3160" spans="1:7">
      <c r="A3160" s="14" t="s">
        <v>4324</v>
      </c>
      <c r="B3160" s="12" t="s">
        <v>4325</v>
      </c>
      <c r="C3160" s="13" t="s">
        <v>126</v>
      </c>
      <c r="D3160" s="17">
        <v>118.5</v>
      </c>
      <c r="E3160" s="5" t="s">
        <v>8</v>
      </c>
      <c r="F3160" s="6">
        <v>103.3</v>
      </c>
      <c r="G3160" s="7">
        <f t="shared" ref="G3160:G3162" si="422">(D3160-F3160)/F3160</f>
        <v>0.147144240077444</v>
      </c>
    </row>
    <row r="3161" spans="1:7">
      <c r="A3161" s="14" t="s">
        <v>4326</v>
      </c>
      <c r="B3161" s="12" t="s">
        <v>4327</v>
      </c>
      <c r="C3161" s="13" t="s">
        <v>126</v>
      </c>
      <c r="D3161" s="17">
        <v>129.9</v>
      </c>
      <c r="E3161" s="5" t="s">
        <v>8</v>
      </c>
      <c r="F3161" s="6">
        <v>134.65</v>
      </c>
      <c r="G3161" s="7">
        <f t="shared" si="422"/>
        <v>-0.0352766431489046</v>
      </c>
    </row>
    <row r="3162" spans="1:7">
      <c r="A3162" s="14" t="s">
        <v>4328</v>
      </c>
      <c r="B3162" s="12" t="s">
        <v>4329</v>
      </c>
      <c r="C3162" s="13" t="s">
        <v>126</v>
      </c>
      <c r="D3162" s="17">
        <v>218.1</v>
      </c>
      <c r="E3162" s="5" t="s">
        <v>8</v>
      </c>
      <c r="F3162" s="6">
        <v>161.4</v>
      </c>
      <c r="G3162" s="7">
        <f t="shared" si="422"/>
        <v>0.351301115241636</v>
      </c>
    </row>
    <row r="3163" spans="1:7">
      <c r="A3163" s="18">
        <v>18.56</v>
      </c>
      <c r="B3163" s="15" t="s">
        <v>4330</v>
      </c>
      <c r="C3163" s="13"/>
      <c r="D3163" s="16"/>
      <c r="E3163" s="5" t="s">
        <v>8</v>
      </c>
    </row>
    <row r="3164" spans="1:7">
      <c r="A3164" s="14" t="s">
        <v>4331</v>
      </c>
      <c r="B3164" s="12" t="s">
        <v>4332</v>
      </c>
      <c r="C3164" s="13" t="s">
        <v>126</v>
      </c>
      <c r="D3164" s="17">
        <v>208.45</v>
      </c>
      <c r="E3164" s="5" t="s">
        <v>8</v>
      </c>
      <c r="F3164" s="6">
        <v>168.9</v>
      </c>
      <c r="G3164" s="7">
        <f t="shared" ref="G3164:G3168" si="423">(D3164-F3164)/F3164</f>
        <v>0.234162226169331</v>
      </c>
    </row>
    <row r="3165" spans="1:7">
      <c r="A3165" s="14" t="s">
        <v>4333</v>
      </c>
      <c r="B3165" s="12" t="s">
        <v>4334</v>
      </c>
      <c r="C3165" s="13" t="s">
        <v>126</v>
      </c>
      <c r="D3165" s="17">
        <v>224.1</v>
      </c>
      <c r="E3165" s="5" t="s">
        <v>8</v>
      </c>
      <c r="F3165" s="6">
        <v>186.3</v>
      </c>
      <c r="G3165" s="7">
        <f t="shared" si="423"/>
        <v>0.202898550724638</v>
      </c>
    </row>
    <row r="3166" spans="1:7">
      <c r="A3166" s="18">
        <v>18.57</v>
      </c>
      <c r="B3166" s="15" t="s">
        <v>4335</v>
      </c>
      <c r="C3166" s="13"/>
      <c r="D3166" s="16"/>
      <c r="E3166" s="5" t="s">
        <v>8</v>
      </c>
    </row>
    <row r="3167" spans="1:7">
      <c r="A3167" s="14" t="s">
        <v>4336</v>
      </c>
      <c r="B3167" s="12" t="s">
        <v>4337</v>
      </c>
      <c r="C3167" s="13" t="s">
        <v>126</v>
      </c>
      <c r="D3167" s="17">
        <v>112.8</v>
      </c>
      <c r="E3167" s="5" t="s">
        <v>8</v>
      </c>
      <c r="F3167" s="6">
        <v>91.7</v>
      </c>
      <c r="G3167" s="7">
        <f t="shared" si="423"/>
        <v>0.23009814612868</v>
      </c>
    </row>
    <row r="3168" spans="1:7">
      <c r="A3168" s="14" t="s">
        <v>4338</v>
      </c>
      <c r="B3168" s="12" t="s">
        <v>4339</v>
      </c>
      <c r="C3168" s="13" t="s">
        <v>126</v>
      </c>
      <c r="D3168" s="17">
        <v>95.75</v>
      </c>
      <c r="E3168" s="5" t="s">
        <v>8</v>
      </c>
      <c r="F3168" s="6">
        <v>85.9</v>
      </c>
      <c r="G3168" s="7">
        <f t="shared" si="423"/>
        <v>0.114668218859138</v>
      </c>
    </row>
    <row r="3169" spans="1:7">
      <c r="A3169" s="18">
        <v>18.58</v>
      </c>
      <c r="B3169" s="15" t="s">
        <v>4340</v>
      </c>
      <c r="C3169" s="13"/>
      <c r="D3169" s="16"/>
      <c r="E3169" s="5" t="s">
        <v>8</v>
      </c>
    </row>
    <row r="3170" spans="1:7">
      <c r="A3170" s="14" t="s">
        <v>4341</v>
      </c>
      <c r="B3170" s="12" t="s">
        <v>4342</v>
      </c>
      <c r="C3170" s="13"/>
      <c r="D3170" s="16"/>
      <c r="E3170" s="5" t="s">
        <v>8</v>
      </c>
    </row>
    <row r="3171" spans="1:7">
      <c r="A3171" s="14" t="s">
        <v>4343</v>
      </c>
      <c r="B3171" s="12" t="s">
        <v>4344</v>
      </c>
      <c r="C3171" s="13" t="s">
        <v>126</v>
      </c>
      <c r="D3171" s="17">
        <v>37.6</v>
      </c>
      <c r="E3171" s="5" t="s">
        <v>8</v>
      </c>
      <c r="F3171" s="6">
        <v>32.75</v>
      </c>
      <c r="G3171" s="7">
        <f t="shared" ref="G3171:G3174" si="424">(D3171-F3171)/F3171</f>
        <v>0.148091603053435</v>
      </c>
    </row>
    <row r="3172" spans="1:7">
      <c r="A3172" s="14" t="s">
        <v>4345</v>
      </c>
      <c r="B3172" s="12" t="s">
        <v>4346</v>
      </c>
      <c r="C3172" s="13" t="s">
        <v>126</v>
      </c>
      <c r="D3172" s="17">
        <v>51.85</v>
      </c>
      <c r="E3172" s="5" t="s">
        <v>8</v>
      </c>
      <c r="F3172" s="6">
        <v>45.55</v>
      </c>
      <c r="G3172" s="7">
        <f t="shared" si="424"/>
        <v>0.138309549945115</v>
      </c>
    </row>
    <row r="3173" spans="1:7">
      <c r="A3173" s="14" t="s">
        <v>4347</v>
      </c>
      <c r="B3173" s="12" t="s">
        <v>4348</v>
      </c>
      <c r="C3173" s="13"/>
      <c r="D3173" s="16"/>
      <c r="E3173" s="5" t="s">
        <v>8</v>
      </c>
    </row>
    <row r="3174" spans="1:7">
      <c r="A3174" s="14" t="s">
        <v>4349</v>
      </c>
      <c r="B3174" s="12" t="s">
        <v>4350</v>
      </c>
      <c r="C3174" s="13" t="s">
        <v>126</v>
      </c>
      <c r="D3174" s="17">
        <v>196.95</v>
      </c>
      <c r="E3174" s="5" t="s">
        <v>8</v>
      </c>
      <c r="F3174" s="6">
        <v>150.05</v>
      </c>
      <c r="G3174" s="7">
        <f t="shared" si="424"/>
        <v>0.312562479173609</v>
      </c>
    </row>
    <row r="3175" spans="1:7">
      <c r="A3175" s="14"/>
      <c r="B3175" s="15" t="s">
        <v>4351</v>
      </c>
      <c r="C3175" s="13"/>
      <c r="D3175" s="16"/>
      <c r="E3175" s="5" t="s">
        <v>8</v>
      </c>
    </row>
    <row r="3176" ht="31" spans="1:7">
      <c r="A3176" s="18">
        <v>18.59</v>
      </c>
      <c r="B3176" s="15" t="s">
        <v>4352</v>
      </c>
      <c r="C3176" s="13"/>
      <c r="D3176" s="16"/>
      <c r="E3176" s="5" t="s">
        <v>8</v>
      </c>
    </row>
    <row r="3177" spans="1:7">
      <c r="A3177" s="14" t="s">
        <v>4353</v>
      </c>
      <c r="B3177" s="12" t="s">
        <v>3848</v>
      </c>
      <c r="C3177" s="13" t="s">
        <v>126</v>
      </c>
      <c r="D3177" s="17">
        <v>5748.8</v>
      </c>
      <c r="E3177" s="5" t="s">
        <v>8</v>
      </c>
      <c r="F3177" s="6">
        <v>4662.45</v>
      </c>
      <c r="G3177" s="7">
        <f t="shared" ref="G3177:G3179" si="425">(D3177-F3177)/F3177</f>
        <v>0.232999817692415</v>
      </c>
    </row>
    <row r="3178" spans="1:7">
      <c r="A3178" s="14" t="s">
        <v>4354</v>
      </c>
      <c r="B3178" s="12" t="s">
        <v>4355</v>
      </c>
      <c r="C3178" s="13" t="s">
        <v>126</v>
      </c>
      <c r="D3178" s="17">
        <v>6993.6</v>
      </c>
      <c r="E3178" s="5" t="s">
        <v>8</v>
      </c>
      <c r="F3178" s="6">
        <v>5649.75</v>
      </c>
      <c r="G3178" s="7">
        <f t="shared" si="425"/>
        <v>0.237860082304527</v>
      </c>
    </row>
    <row r="3179" spans="1:7">
      <c r="A3179" s="14" t="s">
        <v>4356</v>
      </c>
      <c r="B3179" s="12" t="s">
        <v>3618</v>
      </c>
      <c r="C3179" s="13" t="s">
        <v>126</v>
      </c>
      <c r="D3179" s="17">
        <v>8893</v>
      </c>
      <c r="E3179" s="5" t="s">
        <v>8</v>
      </c>
      <c r="F3179" s="6">
        <v>7410.8</v>
      </c>
      <c r="G3179" s="7">
        <f t="shared" si="425"/>
        <v>0.200005397527932</v>
      </c>
    </row>
    <row r="3180" ht="46.5" spans="1:7">
      <c r="A3180" s="18">
        <v>18.6</v>
      </c>
      <c r="B3180" s="15" t="s">
        <v>4357</v>
      </c>
      <c r="C3180" s="13"/>
      <c r="D3180" s="16"/>
      <c r="E3180" s="5" t="s">
        <v>8</v>
      </c>
    </row>
    <row r="3181" spans="1:7">
      <c r="A3181" s="14" t="s">
        <v>4358</v>
      </c>
      <c r="B3181" s="12" t="s">
        <v>4048</v>
      </c>
      <c r="C3181" s="13" t="s">
        <v>126</v>
      </c>
      <c r="D3181" s="17">
        <v>3627.65</v>
      </c>
      <c r="E3181" s="5" t="s">
        <v>8</v>
      </c>
      <c r="F3181" s="6">
        <v>3104.9</v>
      </c>
      <c r="G3181" s="7">
        <f t="shared" ref="G3181:G3184" si="426">(D3181-F3181)/F3181</f>
        <v>0.168362910238655</v>
      </c>
    </row>
    <row r="3182" spans="1:7">
      <c r="A3182" s="14" t="s">
        <v>4359</v>
      </c>
      <c r="B3182" s="12" t="s">
        <v>4360</v>
      </c>
      <c r="C3182" s="13" t="s">
        <v>126</v>
      </c>
      <c r="D3182" s="17">
        <v>5468.35</v>
      </c>
      <c r="E3182" s="5" t="s">
        <v>8</v>
      </c>
      <c r="F3182" s="6">
        <v>4638.6</v>
      </c>
      <c r="G3182" s="7">
        <f t="shared" si="426"/>
        <v>0.178879403268227</v>
      </c>
    </row>
    <row r="3183" spans="1:7">
      <c r="A3183" s="14" t="s">
        <v>4361</v>
      </c>
      <c r="B3183" s="12" t="s">
        <v>4362</v>
      </c>
      <c r="C3183" s="13" t="s">
        <v>126</v>
      </c>
      <c r="D3183" s="17">
        <v>8408.8</v>
      </c>
      <c r="E3183" s="5" t="s">
        <v>8</v>
      </c>
      <c r="F3183" s="6">
        <v>6816.05</v>
      </c>
      <c r="G3183" s="7">
        <f t="shared" si="426"/>
        <v>0.233676396153197</v>
      </c>
    </row>
    <row r="3184" spans="1:7">
      <c r="A3184" s="14" t="s">
        <v>4363</v>
      </c>
      <c r="B3184" s="12" t="s">
        <v>4364</v>
      </c>
      <c r="C3184" s="13" t="s">
        <v>126</v>
      </c>
      <c r="D3184" s="17">
        <v>9043.3</v>
      </c>
      <c r="E3184" s="5" t="s">
        <v>8</v>
      </c>
      <c r="F3184" s="6">
        <v>7433.95</v>
      </c>
      <c r="G3184" s="7">
        <f t="shared" si="426"/>
        <v>0.21648652466051</v>
      </c>
    </row>
    <row r="3185" ht="31" spans="1:7">
      <c r="A3185" s="18">
        <v>18.61</v>
      </c>
      <c r="B3185" s="15" t="s">
        <v>4365</v>
      </c>
      <c r="C3185" s="13"/>
      <c r="D3185" s="16"/>
      <c r="E3185" s="5" t="s">
        <v>8</v>
      </c>
    </row>
    <row r="3186" spans="1:7">
      <c r="A3186" s="14" t="s">
        <v>4366</v>
      </c>
      <c r="B3186" s="12" t="s">
        <v>4355</v>
      </c>
      <c r="C3186" s="13" t="s">
        <v>126</v>
      </c>
      <c r="D3186" s="17">
        <v>4623.5</v>
      </c>
      <c r="E3186" s="5" t="s">
        <v>8</v>
      </c>
      <c r="F3186" s="6">
        <v>3633.5</v>
      </c>
      <c r="G3186" s="7">
        <f t="shared" ref="G3186:G3189" si="427">(D3186-F3186)/F3186</f>
        <v>0.272464565845603</v>
      </c>
    </row>
    <row r="3187" spans="1:7">
      <c r="A3187" s="14" t="s">
        <v>4367</v>
      </c>
      <c r="B3187" s="12" t="s">
        <v>3618</v>
      </c>
      <c r="C3187" s="13" t="s">
        <v>126</v>
      </c>
      <c r="D3187" s="17">
        <v>7460</v>
      </c>
      <c r="E3187" s="5" t="s">
        <v>8</v>
      </c>
      <c r="F3187" s="6">
        <v>5864.1</v>
      </c>
      <c r="G3187" s="7">
        <f t="shared" si="427"/>
        <v>0.272147473610614</v>
      </c>
    </row>
    <row r="3188" spans="1:7">
      <c r="A3188" s="14" t="s">
        <v>4368</v>
      </c>
      <c r="B3188" s="12" t="s">
        <v>4369</v>
      </c>
      <c r="C3188" s="13" t="s">
        <v>126</v>
      </c>
      <c r="D3188" s="17">
        <v>9433.1</v>
      </c>
      <c r="E3188" s="5" t="s">
        <v>8</v>
      </c>
      <c r="F3188" s="6">
        <v>7443.4</v>
      </c>
      <c r="G3188" s="7">
        <f t="shared" si="427"/>
        <v>0.267310637611844</v>
      </c>
    </row>
    <row r="3189" spans="1:7">
      <c r="A3189" s="14" t="s">
        <v>4370</v>
      </c>
      <c r="B3189" s="12" t="s">
        <v>4371</v>
      </c>
      <c r="C3189" s="13" t="s">
        <v>126</v>
      </c>
      <c r="D3189" s="17">
        <v>12927.1</v>
      </c>
      <c r="E3189" s="5" t="s">
        <v>8</v>
      </c>
      <c r="F3189" s="6">
        <v>10430.75</v>
      </c>
      <c r="G3189" s="7">
        <f t="shared" si="427"/>
        <v>0.23932603120581</v>
      </c>
    </row>
    <row r="3190" ht="31" spans="1:7">
      <c r="A3190" s="18">
        <v>18.62</v>
      </c>
      <c r="B3190" s="15" t="s">
        <v>4372</v>
      </c>
      <c r="C3190" s="13"/>
      <c r="D3190" s="16"/>
      <c r="E3190" s="5" t="s">
        <v>8</v>
      </c>
    </row>
    <row r="3191" spans="1:7">
      <c r="A3191" s="14" t="s">
        <v>4373</v>
      </c>
      <c r="B3191" s="12" t="s">
        <v>4374</v>
      </c>
      <c r="C3191" s="13" t="s">
        <v>126</v>
      </c>
      <c r="D3191" s="17">
        <v>182.1</v>
      </c>
      <c r="E3191" s="5" t="s">
        <v>8</v>
      </c>
      <c r="F3191" s="6">
        <v>165.3</v>
      </c>
      <c r="G3191" s="7">
        <f t="shared" ref="G3191:G3198" si="428">(D3191-F3191)/F3191</f>
        <v>0.101633393829401</v>
      </c>
    </row>
    <row r="3192" spans="1:7">
      <c r="A3192" s="14" t="s">
        <v>4375</v>
      </c>
      <c r="B3192" s="12" t="s">
        <v>4376</v>
      </c>
      <c r="C3192" s="13" t="s">
        <v>126</v>
      </c>
      <c r="D3192" s="17">
        <v>257.6</v>
      </c>
      <c r="E3192" s="5" t="s">
        <v>8</v>
      </c>
      <c r="F3192" s="6">
        <v>216.7</v>
      </c>
      <c r="G3192" s="7">
        <f t="shared" si="428"/>
        <v>0.188740193816336</v>
      </c>
    </row>
    <row r="3193" spans="1:7">
      <c r="A3193" s="14" t="s">
        <v>4377</v>
      </c>
      <c r="B3193" s="12" t="s">
        <v>4378</v>
      </c>
      <c r="C3193" s="13" t="s">
        <v>126</v>
      </c>
      <c r="D3193" s="17">
        <v>523.8</v>
      </c>
      <c r="E3193" s="5" t="s">
        <v>8</v>
      </c>
      <c r="F3193" s="6">
        <v>413.25</v>
      </c>
      <c r="G3193" s="7">
        <f t="shared" si="428"/>
        <v>0.267513611615245</v>
      </c>
    </row>
    <row r="3194" spans="1:7">
      <c r="A3194" s="14" t="s">
        <v>4379</v>
      </c>
      <c r="B3194" s="12" t="s">
        <v>4380</v>
      </c>
      <c r="C3194" s="13" t="s">
        <v>126</v>
      </c>
      <c r="D3194" s="17">
        <v>737.2</v>
      </c>
      <c r="E3194" s="5" t="s">
        <v>8</v>
      </c>
      <c r="F3194" s="6">
        <v>646.7</v>
      </c>
      <c r="G3194" s="7">
        <f t="shared" si="428"/>
        <v>0.139941240142261</v>
      </c>
    </row>
    <row r="3195" spans="1:7">
      <c r="A3195" s="14" t="s">
        <v>4381</v>
      </c>
      <c r="B3195" s="12" t="s">
        <v>4382</v>
      </c>
      <c r="C3195" s="13" t="s">
        <v>126</v>
      </c>
      <c r="D3195" s="17">
        <v>1375.95</v>
      </c>
      <c r="E3195" s="5" t="s">
        <v>8</v>
      </c>
      <c r="F3195" s="6">
        <v>1125.25</v>
      </c>
      <c r="G3195" s="7">
        <f t="shared" si="428"/>
        <v>0.222794934459009</v>
      </c>
    </row>
    <row r="3196" ht="31" spans="1:7">
      <c r="A3196" s="18">
        <v>18.63</v>
      </c>
      <c r="B3196" s="15" t="s">
        <v>4383</v>
      </c>
      <c r="C3196" s="13" t="s">
        <v>126</v>
      </c>
      <c r="D3196" s="17">
        <v>156.9</v>
      </c>
      <c r="E3196" s="5" t="s">
        <v>8</v>
      </c>
      <c r="F3196" s="6">
        <v>134.65</v>
      </c>
      <c r="G3196" s="7">
        <f t="shared" si="428"/>
        <v>0.165243223171185</v>
      </c>
    </row>
    <row r="3197" ht="31" spans="1:7">
      <c r="A3197" s="18">
        <v>18.64</v>
      </c>
      <c r="B3197" s="15" t="s">
        <v>4384</v>
      </c>
      <c r="C3197" s="13" t="s">
        <v>126</v>
      </c>
      <c r="D3197" s="17">
        <v>121.4</v>
      </c>
      <c r="E3197" s="5" t="s">
        <v>8</v>
      </c>
      <c r="F3197" s="6">
        <v>100.7</v>
      </c>
      <c r="G3197" s="7">
        <f t="shared" si="428"/>
        <v>0.205561072492552</v>
      </c>
    </row>
    <row r="3198" ht="31" spans="1:7">
      <c r="A3198" s="18">
        <v>18.65</v>
      </c>
      <c r="B3198" s="15" t="s">
        <v>4385</v>
      </c>
      <c r="C3198" s="13" t="s">
        <v>126</v>
      </c>
      <c r="D3198" s="17">
        <v>111.45</v>
      </c>
      <c r="E3198" s="5" t="s">
        <v>8</v>
      </c>
      <c r="F3198" s="6">
        <v>112.3</v>
      </c>
      <c r="G3198" s="7">
        <f t="shared" si="428"/>
        <v>-0.0075690115761353</v>
      </c>
    </row>
    <row r="3199" ht="31" spans="1:7">
      <c r="A3199" s="18">
        <v>18.66</v>
      </c>
      <c r="B3199" s="15" t="s">
        <v>4386</v>
      </c>
      <c r="C3199" s="13"/>
      <c r="D3199" s="16"/>
      <c r="E3199" s="5" t="s">
        <v>8</v>
      </c>
    </row>
    <row r="3200" spans="1:7">
      <c r="A3200" s="14" t="s">
        <v>4387</v>
      </c>
      <c r="B3200" s="12" t="s">
        <v>4124</v>
      </c>
      <c r="C3200" s="13" t="s">
        <v>566</v>
      </c>
      <c r="D3200" s="17">
        <v>8628.6</v>
      </c>
      <c r="E3200" s="5" t="s">
        <v>8</v>
      </c>
      <c r="F3200" s="6">
        <v>6625.1</v>
      </c>
      <c r="G3200" s="7">
        <f t="shared" ref="G3200:G3204" si="429">(D3200-F3200)/F3200</f>
        <v>0.302410529652383</v>
      </c>
    </row>
    <row r="3201" spans="1:7">
      <c r="A3201" s="14" t="s">
        <v>4388</v>
      </c>
      <c r="B3201" s="12" t="s">
        <v>4389</v>
      </c>
      <c r="C3201" s="13" t="s">
        <v>566</v>
      </c>
      <c r="D3201" s="17">
        <v>10157.95</v>
      </c>
      <c r="E3201" s="5" t="s">
        <v>8</v>
      </c>
      <c r="F3201" s="6">
        <v>7856.25</v>
      </c>
      <c r="G3201" s="7">
        <f t="shared" si="429"/>
        <v>0.2929769291965</v>
      </c>
    </row>
    <row r="3202" ht="31" spans="1:7">
      <c r="A3202" s="18">
        <v>18.67</v>
      </c>
      <c r="B3202" s="15" t="s">
        <v>4390</v>
      </c>
      <c r="C3202" s="13"/>
      <c r="D3202" s="16"/>
      <c r="E3202" s="5" t="s">
        <v>8</v>
      </c>
    </row>
    <row r="3203" spans="1:7">
      <c r="A3203" s="14" t="s">
        <v>4391</v>
      </c>
      <c r="B3203" s="12" t="s">
        <v>4124</v>
      </c>
      <c r="C3203" s="13" t="s">
        <v>566</v>
      </c>
      <c r="D3203" s="17">
        <v>13764.35</v>
      </c>
      <c r="E3203" s="5" t="s">
        <v>8</v>
      </c>
      <c r="F3203" s="6">
        <v>10748.4</v>
      </c>
      <c r="G3203" s="7">
        <f t="shared" si="429"/>
        <v>0.280595251386253</v>
      </c>
    </row>
    <row r="3204" spans="1:7">
      <c r="A3204" s="14" t="s">
        <v>4392</v>
      </c>
      <c r="B3204" s="12" t="s">
        <v>4389</v>
      </c>
      <c r="C3204" s="13" t="s">
        <v>566</v>
      </c>
      <c r="D3204" s="17">
        <v>14532.55</v>
      </c>
      <c r="E3204" s="5" t="s">
        <v>8</v>
      </c>
      <c r="F3204" s="6">
        <v>11329.15</v>
      </c>
      <c r="G3204" s="7">
        <f t="shared" si="429"/>
        <v>0.282757311890124</v>
      </c>
    </row>
    <row r="3205" ht="31" spans="1:7">
      <c r="A3205" s="18">
        <v>18.68</v>
      </c>
      <c r="B3205" s="15" t="s">
        <v>4393</v>
      </c>
      <c r="C3205" s="13"/>
      <c r="D3205" s="16"/>
      <c r="E3205" s="5" t="s">
        <v>8</v>
      </c>
    </row>
    <row r="3206" spans="1:7">
      <c r="A3206" s="14" t="s">
        <v>4394</v>
      </c>
      <c r="B3206" s="12" t="s">
        <v>4395</v>
      </c>
      <c r="C3206" s="13" t="s">
        <v>566</v>
      </c>
      <c r="D3206" s="17">
        <v>20009.7</v>
      </c>
      <c r="E3206" s="5" t="s">
        <v>8</v>
      </c>
      <c r="F3206" s="6">
        <v>15394.4</v>
      </c>
      <c r="G3206" s="7">
        <f>(D3206-F3206)/F3206</f>
        <v>0.299803824767448</v>
      </c>
    </row>
    <row r="3207" spans="1:7">
      <c r="A3207" s="14" t="s">
        <v>4396</v>
      </c>
      <c r="B3207" s="12" t="s">
        <v>4397</v>
      </c>
      <c r="C3207" s="13" t="s">
        <v>566</v>
      </c>
      <c r="D3207" s="17">
        <v>26696.1</v>
      </c>
      <c r="E3207" s="5" t="s">
        <v>8</v>
      </c>
      <c r="F3207" s="6">
        <v>21201.9</v>
      </c>
      <c r="G3207" s="7">
        <f>(D3207-F3207)/F3207</f>
        <v>0.259137152802343</v>
      </c>
    </row>
    <row r="3208" ht="46.5" spans="1:7">
      <c r="A3208" s="14" t="s">
        <v>4398</v>
      </c>
      <c r="B3208" s="15" t="s">
        <v>4399</v>
      </c>
      <c r="C3208" s="13"/>
      <c r="D3208" s="17"/>
    </row>
    <row r="3209" spans="1:7">
      <c r="A3209" s="14" t="s">
        <v>4400</v>
      </c>
      <c r="B3209" s="12" t="s">
        <v>4401</v>
      </c>
      <c r="C3209" s="13" t="s">
        <v>566</v>
      </c>
      <c r="D3209" s="17">
        <v>30394.95</v>
      </c>
    </row>
    <row r="3210" spans="1:7">
      <c r="A3210" s="14" t="s">
        <v>4402</v>
      </c>
      <c r="B3210" s="12" t="s">
        <v>4403</v>
      </c>
      <c r="C3210" s="13" t="s">
        <v>566</v>
      </c>
      <c r="D3210" s="17">
        <v>39073.05</v>
      </c>
    </row>
    <row r="3211" ht="31" spans="1:7">
      <c r="A3211" s="18">
        <v>18.69</v>
      </c>
      <c r="B3211" s="15" t="s">
        <v>4404</v>
      </c>
      <c r="C3211" s="13"/>
      <c r="D3211" s="16"/>
      <c r="E3211" s="5" t="s">
        <v>8</v>
      </c>
    </row>
    <row r="3212" spans="1:7">
      <c r="A3212" s="14" t="s">
        <v>4405</v>
      </c>
      <c r="B3212" s="12" t="s">
        <v>4395</v>
      </c>
      <c r="C3212" s="13" t="s">
        <v>566</v>
      </c>
      <c r="D3212" s="17">
        <v>21290.1</v>
      </c>
      <c r="E3212" s="5" t="s">
        <v>8</v>
      </c>
      <c r="F3212" s="6">
        <v>16207.45</v>
      </c>
      <c r="G3212" s="7">
        <f t="shared" ref="G3212:G3229" si="430">(D3212-F3212)/F3212</f>
        <v>0.313599610055869</v>
      </c>
    </row>
    <row r="3213" spans="1:7">
      <c r="A3213" s="14" t="s">
        <v>4406</v>
      </c>
      <c r="B3213" s="12" t="s">
        <v>4397</v>
      </c>
      <c r="C3213" s="13" t="s">
        <v>566</v>
      </c>
      <c r="D3213" s="17">
        <v>28403.25</v>
      </c>
      <c r="E3213" s="5" t="s">
        <v>8</v>
      </c>
      <c r="F3213" s="6">
        <v>23118.4</v>
      </c>
      <c r="G3213" s="7">
        <f t="shared" si="430"/>
        <v>0.228599297529241</v>
      </c>
    </row>
    <row r="3214" ht="31" spans="1:7">
      <c r="A3214" s="18">
        <v>18.7</v>
      </c>
      <c r="B3214" s="15" t="s">
        <v>4407</v>
      </c>
      <c r="C3214" s="13"/>
      <c r="D3214" s="16"/>
      <c r="E3214" s="5" t="s">
        <v>8</v>
      </c>
    </row>
    <row r="3215" spans="1:7">
      <c r="A3215" s="14" t="s">
        <v>4408</v>
      </c>
      <c r="B3215" s="12" t="s">
        <v>4409</v>
      </c>
      <c r="C3215" s="13" t="s">
        <v>4410</v>
      </c>
      <c r="D3215" s="17">
        <v>119.45</v>
      </c>
      <c r="E3215" s="5" t="s">
        <v>8</v>
      </c>
      <c r="F3215" s="6">
        <v>65.1</v>
      </c>
      <c r="G3215" s="7">
        <f t="shared" si="430"/>
        <v>0.834869431643625</v>
      </c>
    </row>
    <row r="3216" spans="1:7">
      <c r="A3216" s="14" t="s">
        <v>4411</v>
      </c>
      <c r="B3216" s="12" t="s">
        <v>4412</v>
      </c>
      <c r="C3216" s="13" t="s">
        <v>4410</v>
      </c>
      <c r="D3216" s="17">
        <v>192.85</v>
      </c>
      <c r="E3216" s="5" t="s">
        <v>8</v>
      </c>
      <c r="F3216" s="6">
        <v>102.35</v>
      </c>
      <c r="G3216" s="7">
        <f t="shared" si="430"/>
        <v>0.884220810942843</v>
      </c>
    </row>
    <row r="3217" spans="1:7">
      <c r="A3217" s="14" t="s">
        <v>4413</v>
      </c>
      <c r="B3217" s="12" t="s">
        <v>4414</v>
      </c>
      <c r="C3217" s="13" t="s">
        <v>4410</v>
      </c>
      <c r="D3217" s="17">
        <v>280.85</v>
      </c>
      <c r="E3217" s="5" t="s">
        <v>8</v>
      </c>
      <c r="F3217" s="6">
        <v>154.3</v>
      </c>
      <c r="G3217" s="7">
        <f t="shared" si="430"/>
        <v>0.820155541153597</v>
      </c>
    </row>
    <row r="3218" spans="1:7">
      <c r="A3218" s="14" t="s">
        <v>4415</v>
      </c>
      <c r="B3218" s="12" t="s">
        <v>4416</v>
      </c>
      <c r="C3218" s="13" t="s">
        <v>4410</v>
      </c>
      <c r="D3218" s="17">
        <v>340.35</v>
      </c>
      <c r="E3218" s="5" t="s">
        <v>8</v>
      </c>
      <c r="F3218" s="6">
        <v>187.65</v>
      </c>
      <c r="G3218" s="7">
        <f t="shared" si="430"/>
        <v>0.813749000799361</v>
      </c>
    </row>
    <row r="3219" spans="1:7">
      <c r="A3219" s="14" t="s">
        <v>4417</v>
      </c>
      <c r="B3219" s="12" t="s">
        <v>4418</v>
      </c>
      <c r="C3219" s="13" t="s">
        <v>4410</v>
      </c>
      <c r="D3219" s="17">
        <v>435.45</v>
      </c>
      <c r="E3219" s="5" t="s">
        <v>8</v>
      </c>
      <c r="F3219" s="6">
        <v>250</v>
      </c>
      <c r="G3219" s="7">
        <f t="shared" si="430"/>
        <v>0.7418</v>
      </c>
    </row>
    <row r="3220" spans="1:7">
      <c r="A3220" s="14" t="s">
        <v>4419</v>
      </c>
      <c r="B3220" s="12" t="s">
        <v>4420</v>
      </c>
      <c r="C3220" s="13" t="s">
        <v>4410</v>
      </c>
      <c r="D3220" s="17">
        <v>495</v>
      </c>
      <c r="E3220" s="5" t="s">
        <v>8</v>
      </c>
      <c r="F3220" s="6">
        <v>269.75</v>
      </c>
      <c r="G3220" s="7">
        <f t="shared" si="430"/>
        <v>0.835032437442076</v>
      </c>
    </row>
    <row r="3221" spans="1:7">
      <c r="A3221" s="14" t="s">
        <v>4421</v>
      </c>
      <c r="B3221" s="12" t="s">
        <v>4422</v>
      </c>
      <c r="C3221" s="13" t="s">
        <v>4410</v>
      </c>
      <c r="D3221" s="17">
        <v>696.8</v>
      </c>
      <c r="E3221" s="5" t="s">
        <v>8</v>
      </c>
      <c r="F3221" s="6">
        <v>434</v>
      </c>
      <c r="G3221" s="7">
        <f t="shared" si="430"/>
        <v>0.605529953917051</v>
      </c>
    </row>
    <row r="3222" spans="1:7">
      <c r="A3222" s="14" t="s">
        <v>4423</v>
      </c>
      <c r="B3222" s="12" t="s">
        <v>4424</v>
      </c>
      <c r="C3222" s="13" t="s">
        <v>4410</v>
      </c>
      <c r="D3222" s="17">
        <v>820.35</v>
      </c>
      <c r="E3222" s="5" t="s">
        <v>8</v>
      </c>
      <c r="F3222" s="6">
        <v>499.9</v>
      </c>
      <c r="G3222" s="7">
        <f t="shared" si="430"/>
        <v>0.641028205641128</v>
      </c>
    </row>
    <row r="3223" spans="1:7">
      <c r="A3223" s="14" t="s">
        <v>4425</v>
      </c>
      <c r="B3223" s="12" t="s">
        <v>4426</v>
      </c>
      <c r="C3223" s="13" t="s">
        <v>4410</v>
      </c>
      <c r="D3223" s="17">
        <v>871.45</v>
      </c>
      <c r="E3223" s="5" t="s">
        <v>8</v>
      </c>
      <c r="F3223" s="6">
        <v>538.65</v>
      </c>
      <c r="G3223" s="7">
        <f t="shared" si="430"/>
        <v>0.617840898542653</v>
      </c>
    </row>
    <row r="3224" spans="1:7">
      <c r="A3224" s="14" t="s">
        <v>4427</v>
      </c>
      <c r="B3224" s="12" t="s">
        <v>4428</v>
      </c>
      <c r="C3224" s="13" t="s">
        <v>4410</v>
      </c>
      <c r="D3224" s="17">
        <v>1207.9</v>
      </c>
      <c r="E3224" s="5" t="s">
        <v>8</v>
      </c>
      <c r="F3224" s="6">
        <v>693.7</v>
      </c>
      <c r="G3224" s="7">
        <f t="shared" si="430"/>
        <v>0.74124261208015</v>
      </c>
    </row>
    <row r="3225" spans="1:7">
      <c r="A3225" s="14" t="s">
        <v>4429</v>
      </c>
      <c r="B3225" s="12" t="s">
        <v>4430</v>
      </c>
      <c r="C3225" s="13" t="s">
        <v>4410</v>
      </c>
      <c r="D3225" s="17">
        <v>1572.7</v>
      </c>
      <c r="E3225" s="5" t="s">
        <v>8</v>
      </c>
      <c r="F3225" s="6">
        <v>966.75</v>
      </c>
      <c r="G3225" s="7">
        <f t="shared" si="430"/>
        <v>0.626790793897078</v>
      </c>
    </row>
    <row r="3226" spans="1:7">
      <c r="A3226" s="14" t="s">
        <v>4431</v>
      </c>
      <c r="B3226" s="12" t="s">
        <v>4432</v>
      </c>
      <c r="C3226" s="13" t="s">
        <v>4410</v>
      </c>
      <c r="D3226" s="17">
        <v>1693.65</v>
      </c>
      <c r="E3226" s="5" t="s">
        <v>8</v>
      </c>
      <c r="F3226" s="6">
        <v>1100.3</v>
      </c>
      <c r="G3226" s="7">
        <f t="shared" si="430"/>
        <v>0.539262019449241</v>
      </c>
    </row>
    <row r="3227" spans="1:7">
      <c r="A3227" s="14" t="s">
        <v>4433</v>
      </c>
      <c r="B3227" s="12" t="s">
        <v>4434</v>
      </c>
      <c r="C3227" s="13" t="s">
        <v>4410</v>
      </c>
      <c r="D3227" s="17">
        <v>1844.4</v>
      </c>
      <c r="E3227" s="5" t="s">
        <v>8</v>
      </c>
      <c r="F3227" s="6">
        <v>1212.7</v>
      </c>
      <c r="G3227" s="7">
        <f t="shared" si="430"/>
        <v>0.520903768450565</v>
      </c>
    </row>
    <row r="3228" spans="1:7">
      <c r="A3228" s="14" t="s">
        <v>4435</v>
      </c>
      <c r="B3228" s="12" t="s">
        <v>4436</v>
      </c>
      <c r="C3228" s="13" t="s">
        <v>4410</v>
      </c>
      <c r="D3228" s="17">
        <v>2314.65</v>
      </c>
      <c r="E3228" s="5" t="s">
        <v>8</v>
      </c>
      <c r="F3228" s="6">
        <v>1549.65</v>
      </c>
      <c r="G3228" s="7">
        <f t="shared" si="430"/>
        <v>0.493659858677766</v>
      </c>
    </row>
    <row r="3229" spans="1:7">
      <c r="A3229" s="14" t="s">
        <v>4437</v>
      </c>
      <c r="B3229" s="12" t="s">
        <v>4438</v>
      </c>
      <c r="C3229" s="13" t="s">
        <v>4410</v>
      </c>
      <c r="D3229" s="17">
        <v>2604.4</v>
      </c>
      <c r="E3229" s="5" t="s">
        <v>8</v>
      </c>
      <c r="F3229" s="6">
        <v>1820.8</v>
      </c>
      <c r="G3229" s="7">
        <f t="shared" si="430"/>
        <v>0.430360281195079</v>
      </c>
    </row>
    <row r="3230" ht="31" spans="1:7">
      <c r="A3230" s="18">
        <v>18.71</v>
      </c>
      <c r="B3230" s="15" t="s">
        <v>4439</v>
      </c>
      <c r="C3230" s="13"/>
      <c r="D3230" s="16"/>
      <c r="E3230" s="5" t="s">
        <v>8</v>
      </c>
    </row>
    <row r="3231" spans="1:7">
      <c r="A3231" s="14" t="s">
        <v>4440</v>
      </c>
      <c r="B3231" s="12" t="s">
        <v>4441</v>
      </c>
      <c r="C3231" s="13" t="s">
        <v>39</v>
      </c>
      <c r="D3231" s="17">
        <v>2089.35</v>
      </c>
      <c r="E3231" s="5" t="s">
        <v>8</v>
      </c>
      <c r="F3231" s="6">
        <v>1640.95</v>
      </c>
      <c r="G3231" s="7">
        <f t="shared" ref="G3231:G3240" si="431">(D3231-F3231)/F3231</f>
        <v>0.273256345409671</v>
      </c>
    </row>
    <row r="3232" spans="1:7">
      <c r="A3232" s="14" t="s">
        <v>4442</v>
      </c>
      <c r="B3232" s="12" t="s">
        <v>4443</v>
      </c>
      <c r="C3232" s="13" t="s">
        <v>39</v>
      </c>
      <c r="D3232" s="17">
        <v>3218.5</v>
      </c>
      <c r="E3232" s="5" t="s">
        <v>8</v>
      </c>
      <c r="F3232" s="6">
        <v>2569.15</v>
      </c>
      <c r="G3232" s="7">
        <f t="shared" si="431"/>
        <v>0.252748963665025</v>
      </c>
    </row>
    <row r="3233" spans="1:7">
      <c r="A3233" s="14" t="s">
        <v>4444</v>
      </c>
      <c r="B3233" s="12" t="s">
        <v>4445</v>
      </c>
      <c r="C3233" s="13" t="s">
        <v>39</v>
      </c>
      <c r="D3233" s="17">
        <v>4995.85</v>
      </c>
      <c r="E3233" s="5" t="s">
        <v>8</v>
      </c>
      <c r="F3233" s="6">
        <v>4053.4</v>
      </c>
      <c r="G3233" s="7">
        <f t="shared" si="431"/>
        <v>0.232508511373168</v>
      </c>
    </row>
    <row r="3234" spans="1:7">
      <c r="A3234" s="14" t="s">
        <v>4446</v>
      </c>
      <c r="B3234" s="12" t="s">
        <v>4447</v>
      </c>
      <c r="C3234" s="13" t="s">
        <v>39</v>
      </c>
      <c r="D3234" s="17">
        <v>6227</v>
      </c>
      <c r="E3234" s="5" t="s">
        <v>8</v>
      </c>
      <c r="F3234" s="6">
        <v>4902.8</v>
      </c>
      <c r="G3234" s="7">
        <f t="shared" si="431"/>
        <v>0.270090560496043</v>
      </c>
    </row>
    <row r="3235" spans="1:7">
      <c r="A3235" s="14" t="s">
        <v>4448</v>
      </c>
      <c r="B3235" s="12" t="s">
        <v>4449</v>
      </c>
      <c r="C3235" s="13" t="s">
        <v>39</v>
      </c>
      <c r="D3235" s="17">
        <v>8094.3</v>
      </c>
      <c r="E3235" s="5" t="s">
        <v>8</v>
      </c>
      <c r="F3235" s="6">
        <v>6266.9</v>
      </c>
      <c r="G3235" s="7">
        <f t="shared" si="431"/>
        <v>0.291595525698511</v>
      </c>
    </row>
    <row r="3236" spans="1:7">
      <c r="A3236" s="14" t="s">
        <v>4450</v>
      </c>
      <c r="B3236" s="12" t="s">
        <v>4451</v>
      </c>
      <c r="C3236" s="13" t="s">
        <v>39</v>
      </c>
      <c r="D3236" s="17">
        <v>10093.9</v>
      </c>
      <c r="E3236" s="5" t="s">
        <v>8</v>
      </c>
      <c r="F3236" s="6">
        <v>7890.95</v>
      </c>
      <c r="G3236" s="7">
        <f t="shared" si="431"/>
        <v>0.27917424391233</v>
      </c>
    </row>
    <row r="3237" spans="1:7">
      <c r="A3237" s="14" t="s">
        <v>4452</v>
      </c>
      <c r="B3237" s="12" t="s">
        <v>4453</v>
      </c>
      <c r="C3237" s="13" t="s">
        <v>39</v>
      </c>
      <c r="D3237" s="17">
        <v>13136.65</v>
      </c>
      <c r="E3237" s="5" t="s">
        <v>8</v>
      </c>
      <c r="F3237" s="6">
        <v>10209.65</v>
      </c>
      <c r="G3237" s="7">
        <f t="shared" si="431"/>
        <v>0.286689553510649</v>
      </c>
    </row>
    <row r="3238" spans="1:7">
      <c r="A3238" s="14" t="s">
        <v>4454</v>
      </c>
      <c r="B3238" s="12" t="s">
        <v>4455</v>
      </c>
      <c r="C3238" s="13" t="s">
        <v>39</v>
      </c>
      <c r="D3238" s="17">
        <v>16769.3</v>
      </c>
      <c r="E3238" s="5" t="s">
        <v>8</v>
      </c>
      <c r="F3238" s="6">
        <v>12997.65</v>
      </c>
      <c r="G3238" s="7">
        <f t="shared" si="431"/>
        <v>0.290179378579974</v>
      </c>
    </row>
    <row r="3239" spans="1:7">
      <c r="A3239" s="14" t="s">
        <v>4456</v>
      </c>
      <c r="B3239" s="12" t="s">
        <v>4457</v>
      </c>
      <c r="C3239" s="13" t="s">
        <v>39</v>
      </c>
      <c r="D3239" s="17">
        <v>21619.65</v>
      </c>
      <c r="E3239" s="5" t="s">
        <v>8</v>
      </c>
      <c r="F3239" s="6">
        <v>16138</v>
      </c>
      <c r="G3239" s="7">
        <f t="shared" si="431"/>
        <v>0.339673441566489</v>
      </c>
    </row>
    <row r="3240" spans="1:7">
      <c r="A3240" s="14" t="s">
        <v>4458</v>
      </c>
      <c r="B3240" s="12" t="s">
        <v>4459</v>
      </c>
      <c r="C3240" s="13" t="s">
        <v>39</v>
      </c>
      <c r="D3240" s="17">
        <v>27459.4</v>
      </c>
      <c r="E3240" s="5" t="s">
        <v>8</v>
      </c>
      <c r="F3240" s="6">
        <v>22362.05</v>
      </c>
      <c r="G3240" s="7">
        <f t="shared" si="431"/>
        <v>0.227946453925289</v>
      </c>
    </row>
    <row r="3241" ht="31" spans="1:7">
      <c r="A3241" s="18">
        <v>18.72</v>
      </c>
      <c r="B3241" s="15" t="s">
        <v>4460</v>
      </c>
      <c r="C3241" s="13"/>
      <c r="D3241" s="16"/>
      <c r="E3241" s="5" t="s">
        <v>8</v>
      </c>
    </row>
    <row r="3242" spans="1:7">
      <c r="A3242" s="14" t="s">
        <v>4461</v>
      </c>
      <c r="B3242" s="12" t="s">
        <v>4462</v>
      </c>
      <c r="C3242" s="13" t="s">
        <v>39</v>
      </c>
      <c r="D3242" s="17">
        <v>1257.8</v>
      </c>
      <c r="E3242" s="5" t="s">
        <v>8</v>
      </c>
      <c r="F3242" s="6">
        <v>926.3</v>
      </c>
      <c r="G3242" s="7">
        <f t="shared" ref="G3242:G3270" si="432">(D3242-F3242)/F3242</f>
        <v>0.357875418330994</v>
      </c>
    </row>
    <row r="3243" spans="1:7">
      <c r="A3243" s="14" t="s">
        <v>4463</v>
      </c>
      <c r="B3243" s="12" t="s">
        <v>4464</v>
      </c>
      <c r="C3243" s="13" t="s">
        <v>39</v>
      </c>
      <c r="D3243" s="17">
        <v>1789.6</v>
      </c>
      <c r="E3243" s="5" t="s">
        <v>8</v>
      </c>
      <c r="F3243" s="6">
        <v>1340.1</v>
      </c>
      <c r="G3243" s="7">
        <f t="shared" si="432"/>
        <v>0.335422729647041</v>
      </c>
    </row>
    <row r="3244" spans="1:7">
      <c r="A3244" s="14" t="s">
        <v>4465</v>
      </c>
      <c r="B3244" s="12" t="s">
        <v>4466</v>
      </c>
      <c r="C3244" s="13" t="s">
        <v>39</v>
      </c>
      <c r="D3244" s="17">
        <v>2328.15</v>
      </c>
      <c r="E3244" s="5" t="s">
        <v>8</v>
      </c>
      <c r="F3244" s="6">
        <v>1853.45</v>
      </c>
      <c r="G3244" s="7">
        <f t="shared" si="432"/>
        <v>0.25611697105398</v>
      </c>
    </row>
    <row r="3245" spans="1:7">
      <c r="A3245" s="14" t="s">
        <v>4467</v>
      </c>
      <c r="B3245" s="12" t="s">
        <v>4468</v>
      </c>
      <c r="C3245" s="13" t="s">
        <v>39</v>
      </c>
      <c r="D3245" s="17">
        <v>2880.7</v>
      </c>
      <c r="E3245" s="5" t="s">
        <v>8</v>
      </c>
      <c r="F3245" s="6">
        <v>2509.35</v>
      </c>
      <c r="G3245" s="7">
        <f t="shared" si="432"/>
        <v>0.147986530376392</v>
      </c>
    </row>
    <row r="3246" spans="1:7">
      <c r="A3246" s="14" t="s">
        <v>4469</v>
      </c>
      <c r="B3246" s="12" t="s">
        <v>4470</v>
      </c>
      <c r="C3246" s="13" t="s">
        <v>39</v>
      </c>
      <c r="D3246" s="17">
        <v>3518.25</v>
      </c>
      <c r="E3246" s="5" t="s">
        <v>8</v>
      </c>
      <c r="F3246" s="6">
        <v>3305</v>
      </c>
      <c r="G3246" s="7">
        <f t="shared" si="432"/>
        <v>0.0645234493192133</v>
      </c>
    </row>
    <row r="3247" spans="1:7">
      <c r="A3247" s="14" t="s">
        <v>4471</v>
      </c>
      <c r="B3247" s="12" t="s">
        <v>4472</v>
      </c>
      <c r="C3247" s="13" t="s">
        <v>39</v>
      </c>
      <c r="D3247" s="17">
        <v>4186.5</v>
      </c>
      <c r="E3247" s="5" t="s">
        <v>8</v>
      </c>
      <c r="F3247" s="6">
        <v>4015.1</v>
      </c>
      <c r="G3247" s="7">
        <f t="shared" si="432"/>
        <v>0.0426888495927873</v>
      </c>
    </row>
    <row r="3248" spans="1:7">
      <c r="A3248" s="14" t="s">
        <v>4473</v>
      </c>
      <c r="B3248" s="12" t="s">
        <v>4474</v>
      </c>
      <c r="C3248" s="13" t="s">
        <v>39</v>
      </c>
      <c r="D3248" s="17">
        <v>5084.55</v>
      </c>
      <c r="E3248" s="5" t="s">
        <v>8</v>
      </c>
      <c r="F3248" s="6">
        <v>4807</v>
      </c>
      <c r="G3248" s="7">
        <f t="shared" si="432"/>
        <v>0.05773871437487</v>
      </c>
    </row>
    <row r="3249" spans="1:7">
      <c r="A3249" s="14" t="s">
        <v>4475</v>
      </c>
      <c r="B3249" s="12" t="s">
        <v>4476</v>
      </c>
      <c r="C3249" s="13" t="s">
        <v>39</v>
      </c>
      <c r="D3249" s="17">
        <v>6163.35</v>
      </c>
      <c r="E3249" s="5" t="s">
        <v>8</v>
      </c>
      <c r="F3249" s="6">
        <v>5804.5</v>
      </c>
      <c r="G3249" s="7">
        <f t="shared" si="432"/>
        <v>0.0618227237488156</v>
      </c>
    </row>
    <row r="3250" spans="1:7">
      <c r="A3250" s="14" t="s">
        <v>4477</v>
      </c>
      <c r="B3250" s="12" t="s">
        <v>4478</v>
      </c>
      <c r="C3250" s="13" t="s">
        <v>39</v>
      </c>
      <c r="D3250" s="17">
        <v>6787.4</v>
      </c>
      <c r="E3250" s="5" t="s">
        <v>8</v>
      </c>
      <c r="F3250" s="6">
        <v>6853.35</v>
      </c>
      <c r="G3250" s="7">
        <f t="shared" si="432"/>
        <v>-0.00962303107239536</v>
      </c>
    </row>
    <row r="3251" spans="1:7">
      <c r="A3251" s="14" t="s">
        <v>4479</v>
      </c>
      <c r="B3251" s="12" t="s">
        <v>4480</v>
      </c>
      <c r="C3251" s="13" t="s">
        <v>39</v>
      </c>
      <c r="D3251" s="17">
        <v>8965.95</v>
      </c>
      <c r="E3251" s="5" t="s">
        <v>8</v>
      </c>
      <c r="F3251" s="6">
        <v>8853.1</v>
      </c>
      <c r="G3251" s="7">
        <f t="shared" si="432"/>
        <v>0.012746947396957</v>
      </c>
    </row>
    <row r="3252" spans="1:7">
      <c r="A3252" s="14" t="s">
        <v>4481</v>
      </c>
      <c r="B3252" s="12" t="s">
        <v>4482</v>
      </c>
      <c r="C3252" s="13" t="s">
        <v>39</v>
      </c>
      <c r="D3252" s="17">
        <v>11566.35</v>
      </c>
      <c r="E3252" s="5" t="s">
        <v>8</v>
      </c>
      <c r="F3252" s="6">
        <v>11498.05</v>
      </c>
      <c r="G3252" s="7">
        <f t="shared" si="432"/>
        <v>0.00594013767551899</v>
      </c>
    </row>
    <row r="3253" spans="1:7">
      <c r="A3253" s="14" t="s">
        <v>4483</v>
      </c>
      <c r="B3253" s="12" t="s">
        <v>4484</v>
      </c>
      <c r="C3253" s="13" t="s">
        <v>39</v>
      </c>
      <c r="D3253" s="17">
        <v>14609.05</v>
      </c>
      <c r="E3253" s="5" t="s">
        <v>8</v>
      </c>
      <c r="F3253" s="6">
        <v>14470.1</v>
      </c>
      <c r="G3253" s="7">
        <f t="shared" si="432"/>
        <v>0.0096025597611626</v>
      </c>
    </row>
    <row r="3254" spans="1:7">
      <c r="A3254" s="14" t="s">
        <v>4485</v>
      </c>
      <c r="B3254" s="12" t="s">
        <v>4486</v>
      </c>
      <c r="C3254" s="13" t="s">
        <v>39</v>
      </c>
      <c r="D3254" s="17">
        <v>18734.2</v>
      </c>
      <c r="E3254" s="5" t="s">
        <v>8</v>
      </c>
      <c r="F3254" s="6">
        <v>18620.7</v>
      </c>
      <c r="G3254" s="7">
        <f t="shared" si="432"/>
        <v>0.00609536698405538</v>
      </c>
    </row>
    <row r="3255" spans="1:7">
      <c r="A3255" s="14" t="s">
        <v>4487</v>
      </c>
      <c r="B3255" s="12" t="s">
        <v>4488</v>
      </c>
      <c r="C3255" s="13" t="s">
        <v>39</v>
      </c>
      <c r="D3255" s="17">
        <v>19895.8</v>
      </c>
      <c r="E3255" s="5" t="s">
        <v>8</v>
      </c>
      <c r="F3255" s="6">
        <v>20402.55</v>
      </c>
      <c r="G3255" s="7">
        <f t="shared" si="432"/>
        <v>-0.0248375815768127</v>
      </c>
    </row>
    <row r="3256" spans="1:7">
      <c r="A3256" s="14" t="s">
        <v>4489</v>
      </c>
      <c r="B3256" s="12" t="s">
        <v>4490</v>
      </c>
      <c r="C3256" s="13" t="s">
        <v>39</v>
      </c>
      <c r="D3256" s="17">
        <v>1344.6</v>
      </c>
      <c r="E3256" s="5" t="s">
        <v>8</v>
      </c>
      <c r="F3256" s="6">
        <v>958.95</v>
      </c>
      <c r="G3256" s="7">
        <f t="shared" si="432"/>
        <v>0.40215861098076</v>
      </c>
    </row>
    <row r="3257" spans="1:7">
      <c r="A3257" s="14" t="s">
        <v>4491</v>
      </c>
      <c r="B3257" s="12" t="s">
        <v>4492</v>
      </c>
      <c r="C3257" s="13" t="s">
        <v>39</v>
      </c>
      <c r="D3257" s="17">
        <v>1837.75</v>
      </c>
      <c r="E3257" s="5" t="s">
        <v>8</v>
      </c>
      <c r="F3257" s="6">
        <v>1438.35</v>
      </c>
      <c r="G3257" s="7">
        <f t="shared" si="432"/>
        <v>0.277679285292175</v>
      </c>
    </row>
    <row r="3258" spans="1:7">
      <c r="A3258" s="14" t="s">
        <v>4493</v>
      </c>
      <c r="B3258" s="12" t="s">
        <v>4494</v>
      </c>
      <c r="C3258" s="13" t="s">
        <v>39</v>
      </c>
      <c r="D3258" s="17">
        <v>2478.1</v>
      </c>
      <c r="E3258" s="5" t="s">
        <v>8</v>
      </c>
      <c r="F3258" s="6">
        <v>1978.85</v>
      </c>
      <c r="G3258" s="7">
        <f t="shared" si="432"/>
        <v>0.252292998458701</v>
      </c>
    </row>
    <row r="3259" spans="1:7">
      <c r="A3259" s="14" t="s">
        <v>4495</v>
      </c>
      <c r="B3259" s="12" t="s">
        <v>4496</v>
      </c>
      <c r="C3259" s="13" t="s">
        <v>39</v>
      </c>
      <c r="D3259" s="17">
        <v>3516.8</v>
      </c>
      <c r="E3259" s="5" t="s">
        <v>8</v>
      </c>
      <c r="F3259" s="6">
        <v>2754.95</v>
      </c>
      <c r="G3259" s="7">
        <f t="shared" si="432"/>
        <v>0.276538594166863</v>
      </c>
    </row>
    <row r="3260" spans="1:7">
      <c r="A3260" s="14" t="s">
        <v>4497</v>
      </c>
      <c r="B3260" s="12" t="s">
        <v>4498</v>
      </c>
      <c r="C3260" s="13" t="s">
        <v>39</v>
      </c>
      <c r="D3260" s="17">
        <v>4344.4</v>
      </c>
      <c r="E3260" s="5" t="s">
        <v>8</v>
      </c>
      <c r="F3260" s="6">
        <v>3426.85</v>
      </c>
      <c r="G3260" s="7">
        <f t="shared" si="432"/>
        <v>0.26775318441134</v>
      </c>
    </row>
    <row r="3261" spans="1:7">
      <c r="A3261" s="14" t="s">
        <v>4499</v>
      </c>
      <c r="B3261" s="12" t="s">
        <v>4500</v>
      </c>
      <c r="C3261" s="13" t="s">
        <v>39</v>
      </c>
      <c r="D3261" s="17">
        <v>5409.85</v>
      </c>
      <c r="E3261" s="5" t="s">
        <v>8</v>
      </c>
      <c r="F3261" s="6">
        <v>4216.25</v>
      </c>
      <c r="G3261" s="7">
        <f t="shared" si="432"/>
        <v>0.283095167506671</v>
      </c>
    </row>
    <row r="3262" spans="1:7">
      <c r="A3262" s="14" t="s">
        <v>4501</v>
      </c>
      <c r="B3262" s="12" t="s">
        <v>4502</v>
      </c>
      <c r="C3262" s="13" t="s">
        <v>39</v>
      </c>
      <c r="D3262" s="17">
        <v>6844.3</v>
      </c>
      <c r="E3262" s="5" t="s">
        <v>8</v>
      </c>
      <c r="F3262" s="6">
        <v>5395.55</v>
      </c>
      <c r="G3262" s="7">
        <f t="shared" si="432"/>
        <v>0.268508307772146</v>
      </c>
    </row>
    <row r="3263" spans="1:7">
      <c r="A3263" s="14" t="s">
        <v>4503</v>
      </c>
      <c r="B3263" s="12" t="s">
        <v>4504</v>
      </c>
      <c r="C3263" s="13" t="s">
        <v>39</v>
      </c>
      <c r="D3263" s="17">
        <v>7976.85</v>
      </c>
      <c r="E3263" s="5" t="s">
        <v>8</v>
      </c>
      <c r="F3263" s="6">
        <v>6238.65</v>
      </c>
      <c r="G3263" s="7">
        <f t="shared" si="432"/>
        <v>0.278617970233945</v>
      </c>
    </row>
    <row r="3264" spans="1:7">
      <c r="A3264" s="14" t="s">
        <v>4505</v>
      </c>
      <c r="B3264" s="12" t="s">
        <v>4506</v>
      </c>
      <c r="C3264" s="13" t="s">
        <v>39</v>
      </c>
      <c r="D3264" s="17">
        <v>9679.85</v>
      </c>
      <c r="E3264" s="5" t="s">
        <v>8</v>
      </c>
      <c r="F3264" s="6">
        <v>7869.8</v>
      </c>
      <c r="G3264" s="7">
        <f t="shared" si="432"/>
        <v>0.229999491727871</v>
      </c>
    </row>
    <row r="3265" spans="1:7">
      <c r="A3265" s="14" t="s">
        <v>4507</v>
      </c>
      <c r="B3265" s="12" t="s">
        <v>4508</v>
      </c>
      <c r="C3265" s="13" t="s">
        <v>39</v>
      </c>
      <c r="D3265" s="17">
        <v>12986.95</v>
      </c>
      <c r="E3265" s="5" t="s">
        <v>8</v>
      </c>
      <c r="F3265" s="6">
        <v>9512.35</v>
      </c>
      <c r="G3265" s="7">
        <f t="shared" si="432"/>
        <v>0.365272514152654</v>
      </c>
    </row>
    <row r="3266" spans="1:7">
      <c r="A3266" s="14" t="s">
        <v>4509</v>
      </c>
      <c r="B3266" s="12" t="s">
        <v>4510</v>
      </c>
      <c r="C3266" s="13" t="s">
        <v>39</v>
      </c>
      <c r="D3266" s="17">
        <v>17431.6</v>
      </c>
      <c r="E3266" s="5" t="s">
        <v>8</v>
      </c>
      <c r="F3266" s="6">
        <v>13138.15</v>
      </c>
      <c r="G3266" s="7">
        <f t="shared" si="432"/>
        <v>0.32679258495298</v>
      </c>
    </row>
    <row r="3267" spans="1:7">
      <c r="A3267" s="14" t="s">
        <v>4511</v>
      </c>
      <c r="B3267" s="12" t="s">
        <v>4512</v>
      </c>
      <c r="C3267" s="13" t="s">
        <v>39</v>
      </c>
      <c r="D3267" s="17">
        <v>18567.85</v>
      </c>
      <c r="E3267" s="5" t="s">
        <v>8</v>
      </c>
      <c r="F3267" s="6">
        <v>14258.4</v>
      </c>
      <c r="G3267" s="7">
        <f t="shared" si="432"/>
        <v>0.302239381697806</v>
      </c>
    </row>
    <row r="3268" spans="1:7">
      <c r="A3268" s="14" t="s">
        <v>4513</v>
      </c>
      <c r="B3268" s="12" t="s">
        <v>4514</v>
      </c>
      <c r="C3268" s="13" t="s">
        <v>39</v>
      </c>
      <c r="D3268" s="17">
        <v>18891.2</v>
      </c>
      <c r="E3268" s="5" t="s">
        <v>8</v>
      </c>
      <c r="F3268" s="6">
        <v>14433.95</v>
      </c>
      <c r="G3268" s="7">
        <f t="shared" si="432"/>
        <v>0.308803203558278</v>
      </c>
    </row>
    <row r="3269" spans="1:7">
      <c r="A3269" s="14" t="s">
        <v>4515</v>
      </c>
      <c r="B3269" s="12" t="s">
        <v>4516</v>
      </c>
      <c r="C3269" s="13" t="s">
        <v>39</v>
      </c>
      <c r="D3269" s="17">
        <v>23163</v>
      </c>
      <c r="E3269" s="5" t="s">
        <v>8</v>
      </c>
      <c r="F3269" s="6">
        <v>17420.5</v>
      </c>
      <c r="G3269" s="7">
        <f t="shared" si="432"/>
        <v>0.329640366235183</v>
      </c>
    </row>
    <row r="3270" spans="1:7">
      <c r="A3270" s="14" t="s">
        <v>4517</v>
      </c>
      <c r="B3270" s="12" t="s">
        <v>4518</v>
      </c>
      <c r="C3270" s="13" t="s">
        <v>39</v>
      </c>
      <c r="D3270" s="17">
        <v>25133</v>
      </c>
      <c r="E3270" s="5" t="s">
        <v>8</v>
      </c>
      <c r="F3270" s="6">
        <v>19601.2</v>
      </c>
      <c r="G3270" s="7">
        <f t="shared" si="432"/>
        <v>0.28221741526029</v>
      </c>
    </row>
    <row r="3271" ht="46.5" spans="1:7">
      <c r="A3271" s="14" t="s">
        <v>4519</v>
      </c>
      <c r="B3271" s="15" t="s">
        <v>4520</v>
      </c>
      <c r="C3271" s="13"/>
      <c r="D3271" s="17"/>
    </row>
    <row r="3272" spans="1:7">
      <c r="A3272" s="14" t="s">
        <v>4521</v>
      </c>
      <c r="B3272" s="12" t="s">
        <v>4522</v>
      </c>
      <c r="C3272" s="13" t="s">
        <v>39</v>
      </c>
      <c r="D3272" s="17">
        <v>1870.75</v>
      </c>
    </row>
    <row r="3273" spans="1:7">
      <c r="A3273" s="14" t="s">
        <v>4523</v>
      </c>
      <c r="B3273" s="12" t="s">
        <v>4524</v>
      </c>
      <c r="C3273" s="13" t="s">
        <v>39</v>
      </c>
      <c r="D3273" s="17">
        <v>2590.9</v>
      </c>
    </row>
    <row r="3274" spans="1:7">
      <c r="A3274" s="14" t="s">
        <v>4525</v>
      </c>
      <c r="B3274" s="12" t="s">
        <v>4526</v>
      </c>
      <c r="C3274" s="13" t="s">
        <v>39</v>
      </c>
      <c r="D3274" s="17">
        <v>3260.55</v>
      </c>
    </row>
    <row r="3275" spans="1:7">
      <c r="A3275" s="14" t="s">
        <v>4527</v>
      </c>
      <c r="B3275" s="12" t="s">
        <v>4528</v>
      </c>
      <c r="C3275" s="13" t="s">
        <v>39</v>
      </c>
      <c r="D3275" s="17">
        <v>4357.6</v>
      </c>
    </row>
    <row r="3276" spans="1:7">
      <c r="A3276" s="14" t="s">
        <v>4529</v>
      </c>
      <c r="B3276" s="12" t="s">
        <v>4530</v>
      </c>
      <c r="C3276" s="13" t="s">
        <v>39</v>
      </c>
      <c r="D3276" s="17">
        <v>5452.95</v>
      </c>
    </row>
    <row r="3277" spans="1:7">
      <c r="A3277" s="14" t="s">
        <v>4531</v>
      </c>
      <c r="B3277" s="12" t="s">
        <v>4532</v>
      </c>
      <c r="C3277" s="13" t="s">
        <v>39</v>
      </c>
      <c r="D3277" s="17">
        <v>6636.8</v>
      </c>
    </row>
    <row r="3278" spans="1:7">
      <c r="A3278" s="14" t="s">
        <v>4533</v>
      </c>
      <c r="B3278" s="12" t="s">
        <v>4534</v>
      </c>
      <c r="C3278" s="13" t="s">
        <v>39</v>
      </c>
      <c r="D3278" s="17">
        <v>8279.45</v>
      </c>
    </row>
    <row r="3279" spans="1:7">
      <c r="A3279" s="14" t="s">
        <v>4535</v>
      </c>
      <c r="B3279" s="12" t="s">
        <v>4536</v>
      </c>
      <c r="C3279" s="13" t="s">
        <v>39</v>
      </c>
      <c r="D3279" s="17">
        <v>9861.2</v>
      </c>
    </row>
    <row r="3280" spans="1:7">
      <c r="A3280" s="14" t="s">
        <v>4537</v>
      </c>
      <c r="B3280" s="12" t="s">
        <v>4538</v>
      </c>
      <c r="C3280" s="13" t="s">
        <v>39</v>
      </c>
      <c r="D3280" s="17">
        <v>11628.3</v>
      </c>
    </row>
    <row r="3281" spans="1:7">
      <c r="A3281" s="14" t="s">
        <v>4539</v>
      </c>
      <c r="B3281" s="12" t="s">
        <v>4540</v>
      </c>
      <c r="C3281" s="13" t="s">
        <v>39</v>
      </c>
      <c r="D3281" s="17">
        <v>15202.6</v>
      </c>
    </row>
    <row r="3282" spans="1:7">
      <c r="A3282" s="14" t="s">
        <v>4541</v>
      </c>
      <c r="B3282" s="12" t="s">
        <v>4542</v>
      </c>
      <c r="C3282" s="13" t="s">
        <v>39</v>
      </c>
      <c r="D3282" s="17">
        <v>19217.15</v>
      </c>
    </row>
    <row r="3283" spans="1:7">
      <c r="A3283" s="14" t="s">
        <v>4543</v>
      </c>
      <c r="B3283" s="12" t="s">
        <v>4544</v>
      </c>
      <c r="C3283" s="13" t="s">
        <v>39</v>
      </c>
      <c r="D3283" s="17">
        <v>21627.85</v>
      </c>
    </row>
    <row r="3284" spans="1:7">
      <c r="A3284" s="14" t="s">
        <v>4545</v>
      </c>
      <c r="B3284" s="12" t="s">
        <v>4546</v>
      </c>
      <c r="C3284" s="13" t="s">
        <v>39</v>
      </c>
      <c r="D3284" s="17">
        <v>23932.65</v>
      </c>
    </row>
    <row r="3285" spans="1:7">
      <c r="A3285" s="14" t="s">
        <v>4547</v>
      </c>
      <c r="B3285" s="12" t="s">
        <v>4548</v>
      </c>
      <c r="C3285" s="13" t="s">
        <v>39</v>
      </c>
      <c r="D3285" s="17">
        <v>29836.95</v>
      </c>
    </row>
    <row r="3286" spans="1:7">
      <c r="A3286" s="14" t="s">
        <v>4549</v>
      </c>
      <c r="B3286" s="12" t="s">
        <v>4550</v>
      </c>
      <c r="C3286" s="13" t="s">
        <v>39</v>
      </c>
      <c r="D3286" s="17">
        <v>36164.1</v>
      </c>
    </row>
    <row r="3287" ht="31" spans="1:7">
      <c r="A3287" s="18">
        <v>18.73</v>
      </c>
      <c r="B3287" s="15" t="s">
        <v>4551</v>
      </c>
      <c r="C3287" s="13"/>
      <c r="D3287" s="16"/>
      <c r="E3287" s="5" t="s">
        <v>8</v>
      </c>
    </row>
    <row r="3288" spans="1:7">
      <c r="A3288" s="14" t="s">
        <v>4552</v>
      </c>
      <c r="B3288" s="12" t="s">
        <v>4553</v>
      </c>
      <c r="C3288" s="13" t="s">
        <v>39</v>
      </c>
      <c r="D3288" s="17">
        <v>1821.55</v>
      </c>
      <c r="E3288" s="5" t="s">
        <v>8</v>
      </c>
      <c r="F3288" s="6">
        <v>1377.45</v>
      </c>
      <c r="G3288" s="7">
        <f t="shared" ref="G3288:G3298" si="433">(D3288-F3288)/F3288</f>
        <v>0.322407346909144</v>
      </c>
    </row>
    <row r="3289" spans="1:7">
      <c r="A3289" s="14" t="s">
        <v>4554</v>
      </c>
      <c r="B3289" s="12" t="s">
        <v>4555</v>
      </c>
      <c r="C3289" s="13" t="s">
        <v>39</v>
      </c>
      <c r="D3289" s="17">
        <v>2607.5</v>
      </c>
      <c r="E3289" s="5" t="s">
        <v>8</v>
      </c>
      <c r="F3289" s="6">
        <v>2067.1</v>
      </c>
      <c r="G3289" s="7">
        <f t="shared" si="433"/>
        <v>0.261429055198104</v>
      </c>
    </row>
    <row r="3290" spans="1:7">
      <c r="A3290" s="14" t="s">
        <v>4556</v>
      </c>
      <c r="B3290" s="12" t="s">
        <v>4557</v>
      </c>
      <c r="C3290" s="13" t="s">
        <v>39</v>
      </c>
      <c r="D3290" s="17">
        <v>3360.8</v>
      </c>
      <c r="E3290" s="5" t="s">
        <v>8</v>
      </c>
      <c r="F3290" s="6">
        <v>2605.6</v>
      </c>
      <c r="G3290" s="7">
        <f t="shared" si="433"/>
        <v>0.28983727356463</v>
      </c>
    </row>
    <row r="3291" spans="1:7">
      <c r="A3291" s="14" t="s">
        <v>4558</v>
      </c>
      <c r="B3291" s="12" t="s">
        <v>4559</v>
      </c>
      <c r="C3291" s="13" t="s">
        <v>39</v>
      </c>
      <c r="D3291" s="17">
        <v>4696.15</v>
      </c>
      <c r="E3291" s="5" t="s">
        <v>8</v>
      </c>
      <c r="F3291" s="6">
        <v>3699.25</v>
      </c>
      <c r="G3291" s="7">
        <f t="shared" si="433"/>
        <v>0.26948705818747</v>
      </c>
    </row>
    <row r="3292" spans="1:7">
      <c r="A3292" s="14" t="s">
        <v>4560</v>
      </c>
      <c r="B3292" s="12" t="s">
        <v>4561</v>
      </c>
      <c r="C3292" s="13" t="s">
        <v>39</v>
      </c>
      <c r="D3292" s="17">
        <v>5895.7</v>
      </c>
      <c r="E3292" s="5" t="s">
        <v>8</v>
      </c>
      <c r="F3292" s="6">
        <v>4752.05</v>
      </c>
      <c r="G3292" s="7">
        <f t="shared" si="433"/>
        <v>0.240664555297187</v>
      </c>
    </row>
    <row r="3293" spans="1:7">
      <c r="A3293" s="14" t="s">
        <v>4562</v>
      </c>
      <c r="B3293" s="12" t="s">
        <v>4563</v>
      </c>
      <c r="C3293" s="13" t="s">
        <v>39</v>
      </c>
      <c r="D3293" s="17">
        <v>7550.45</v>
      </c>
      <c r="E3293" s="5" t="s">
        <v>8</v>
      </c>
      <c r="F3293" s="6">
        <v>5986.8</v>
      </c>
      <c r="G3293" s="7">
        <f t="shared" si="433"/>
        <v>0.261182935792076</v>
      </c>
    </row>
    <row r="3294" spans="1:7">
      <c r="A3294" s="14" t="s">
        <v>4564</v>
      </c>
      <c r="B3294" s="12" t="s">
        <v>4565</v>
      </c>
      <c r="C3294" s="13" t="s">
        <v>39</v>
      </c>
      <c r="D3294" s="17">
        <v>9744.4</v>
      </c>
      <c r="E3294" s="5" t="s">
        <v>8</v>
      </c>
      <c r="F3294" s="6">
        <v>7689.95</v>
      </c>
      <c r="G3294" s="7">
        <f t="shared" si="433"/>
        <v>0.267160384657898</v>
      </c>
    </row>
    <row r="3295" spans="1:7">
      <c r="A3295" s="14" t="s">
        <v>4566</v>
      </c>
      <c r="B3295" s="12" t="s">
        <v>4567</v>
      </c>
      <c r="C3295" s="13" t="s">
        <v>39</v>
      </c>
      <c r="D3295" s="17">
        <v>10136.1</v>
      </c>
      <c r="E3295" s="5" t="s">
        <v>8</v>
      </c>
      <c r="F3295" s="6">
        <v>8094.85</v>
      </c>
      <c r="G3295" s="7">
        <f t="shared" si="433"/>
        <v>0.252166500923427</v>
      </c>
    </row>
    <row r="3296" spans="1:7">
      <c r="A3296" s="14" t="s">
        <v>4568</v>
      </c>
      <c r="B3296" s="12" t="s">
        <v>4569</v>
      </c>
      <c r="C3296" s="13" t="s">
        <v>39</v>
      </c>
      <c r="D3296" s="17">
        <v>15472.95</v>
      </c>
      <c r="E3296" s="5" t="s">
        <v>8</v>
      </c>
      <c r="F3296" s="6">
        <v>11451.1</v>
      </c>
      <c r="G3296" s="7">
        <f t="shared" si="433"/>
        <v>0.351219533494599</v>
      </c>
    </row>
    <row r="3297" spans="1:7">
      <c r="A3297" s="14" t="s">
        <v>4570</v>
      </c>
      <c r="B3297" s="12" t="s">
        <v>4571</v>
      </c>
      <c r="C3297" s="13" t="s">
        <v>39</v>
      </c>
      <c r="D3297" s="17">
        <v>19925.3</v>
      </c>
      <c r="E3297" s="5" t="s">
        <v>8</v>
      </c>
      <c r="F3297" s="6">
        <v>15166.4</v>
      </c>
      <c r="G3297" s="7">
        <f t="shared" si="433"/>
        <v>0.313779143369554</v>
      </c>
    </row>
    <row r="3298" spans="1:7">
      <c r="A3298" s="14" t="s">
        <v>4572</v>
      </c>
      <c r="B3298" s="12" t="s">
        <v>4573</v>
      </c>
      <c r="C3298" s="13" t="s">
        <v>39</v>
      </c>
      <c r="D3298" s="17">
        <v>22830.8</v>
      </c>
      <c r="E3298" s="5" t="s">
        <v>8</v>
      </c>
      <c r="F3298" s="6">
        <v>17944.8</v>
      </c>
      <c r="G3298" s="7">
        <f t="shared" si="433"/>
        <v>0.272279434710891</v>
      </c>
    </row>
    <row r="3299" ht="31" spans="1:7">
      <c r="A3299" s="18">
        <v>18.74</v>
      </c>
      <c r="B3299" s="15" t="s">
        <v>4574</v>
      </c>
      <c r="C3299" s="13"/>
      <c r="D3299" s="16"/>
      <c r="E3299" s="5" t="s">
        <v>8</v>
      </c>
    </row>
    <row r="3300" spans="1:7">
      <c r="A3300" s="14" t="s">
        <v>4575</v>
      </c>
      <c r="B3300" s="12" t="s">
        <v>4576</v>
      </c>
      <c r="C3300" s="13" t="s">
        <v>126</v>
      </c>
      <c r="D3300" s="17">
        <v>96.35</v>
      </c>
      <c r="E3300" s="5" t="s">
        <v>8</v>
      </c>
      <c r="F3300" s="6">
        <v>61.7</v>
      </c>
      <c r="G3300" s="7">
        <f t="shared" ref="G3300:G3305" si="434">(D3300-F3300)/F3300</f>
        <v>0.561588330632091</v>
      </c>
    </row>
    <row r="3301" spans="1:7">
      <c r="A3301" s="14" t="s">
        <v>4577</v>
      </c>
      <c r="B3301" s="12" t="s">
        <v>4578</v>
      </c>
      <c r="C3301" s="13" t="s">
        <v>126</v>
      </c>
      <c r="D3301" s="17">
        <v>121.9</v>
      </c>
      <c r="E3301" s="5" t="s">
        <v>8</v>
      </c>
      <c r="F3301" s="6">
        <v>66.65</v>
      </c>
      <c r="G3301" s="7">
        <f t="shared" si="434"/>
        <v>0.828957239309827</v>
      </c>
    </row>
    <row r="3302" ht="31" spans="1:7">
      <c r="A3302" s="18">
        <v>18.75</v>
      </c>
      <c r="B3302" s="15" t="s">
        <v>4579</v>
      </c>
      <c r="C3302" s="13"/>
      <c r="D3302" s="16"/>
      <c r="E3302" s="5" t="s">
        <v>8</v>
      </c>
    </row>
    <row r="3303" spans="1:7">
      <c r="A3303" s="14" t="s">
        <v>4580</v>
      </c>
      <c r="B3303" s="12" t="s">
        <v>4581</v>
      </c>
      <c r="C3303" s="13" t="s">
        <v>126</v>
      </c>
      <c r="D3303" s="17">
        <v>53.6</v>
      </c>
      <c r="E3303" s="5" t="s">
        <v>8</v>
      </c>
      <c r="F3303" s="6">
        <v>28.85</v>
      </c>
      <c r="G3303" s="7">
        <f t="shared" si="434"/>
        <v>0.8578856152513</v>
      </c>
    </row>
    <row r="3304" spans="1:7">
      <c r="A3304" s="14" t="s">
        <v>4582</v>
      </c>
      <c r="B3304" s="12" t="s">
        <v>4583</v>
      </c>
      <c r="C3304" s="13" t="s">
        <v>126</v>
      </c>
      <c r="D3304" s="17">
        <v>93.45</v>
      </c>
      <c r="E3304" s="5" t="s">
        <v>8</v>
      </c>
      <c r="F3304" s="6">
        <v>39.3</v>
      </c>
      <c r="G3304" s="7">
        <f t="shared" si="434"/>
        <v>1.37786259541985</v>
      </c>
    </row>
    <row r="3305" spans="1:7">
      <c r="A3305" s="14" t="s">
        <v>4584</v>
      </c>
      <c r="B3305" s="12" t="s">
        <v>4585</v>
      </c>
      <c r="C3305" s="13" t="s">
        <v>126</v>
      </c>
      <c r="D3305" s="17">
        <v>113.35</v>
      </c>
      <c r="E3305" s="5" t="s">
        <v>8</v>
      </c>
      <c r="F3305" s="6">
        <v>53.25</v>
      </c>
      <c r="G3305" s="7">
        <f t="shared" si="434"/>
        <v>1.12863849765258</v>
      </c>
    </row>
    <row r="3306" spans="1:7">
      <c r="A3306" s="18">
        <v>18.76</v>
      </c>
      <c r="B3306" s="15" t="s">
        <v>4586</v>
      </c>
      <c r="C3306" s="13"/>
      <c r="D3306" s="16"/>
      <c r="E3306" s="5" t="s">
        <v>8</v>
      </c>
    </row>
    <row r="3307" spans="1:7">
      <c r="A3307" s="14" t="s">
        <v>4587</v>
      </c>
      <c r="B3307" s="12" t="s">
        <v>4588</v>
      </c>
      <c r="C3307" s="13" t="s">
        <v>126</v>
      </c>
      <c r="D3307" s="17">
        <v>416.8</v>
      </c>
      <c r="E3307" s="5" t="s">
        <v>8</v>
      </c>
      <c r="F3307" s="6">
        <v>219.2</v>
      </c>
      <c r="G3307" s="7">
        <f t="shared" ref="G3307:G3310" si="435">(D3307-F3307)/F3307</f>
        <v>0.901459854014599</v>
      </c>
    </row>
    <row r="3308" ht="62" spans="1:7">
      <c r="A3308" s="18">
        <v>18.77</v>
      </c>
      <c r="B3308" s="15" t="s">
        <v>4589</v>
      </c>
      <c r="C3308" s="13" t="s">
        <v>126</v>
      </c>
      <c r="D3308" s="17">
        <v>452</v>
      </c>
      <c r="E3308" s="5" t="s">
        <v>8</v>
      </c>
      <c r="F3308" s="6">
        <v>209.25</v>
      </c>
      <c r="G3308" s="7">
        <f t="shared" si="435"/>
        <v>1.16009557945042</v>
      </c>
    </row>
    <row r="3309" ht="31" spans="1:7">
      <c r="A3309" s="18">
        <v>18.78</v>
      </c>
      <c r="B3309" s="15" t="s">
        <v>4590</v>
      </c>
      <c r="C3309" s="13" t="s">
        <v>39</v>
      </c>
      <c r="D3309" s="17">
        <v>202.9</v>
      </c>
      <c r="E3309" s="5" t="s">
        <v>8</v>
      </c>
      <c r="F3309" s="6">
        <v>93.85</v>
      </c>
      <c r="G3309" s="7">
        <f t="shared" si="435"/>
        <v>1.16196057538625</v>
      </c>
    </row>
    <row r="3310" ht="46.5" spans="1:7">
      <c r="A3310" s="18">
        <v>18.79</v>
      </c>
      <c r="B3310" s="15" t="s">
        <v>4591</v>
      </c>
      <c r="C3310" s="13" t="s">
        <v>39</v>
      </c>
      <c r="D3310" s="17">
        <v>209.2</v>
      </c>
      <c r="E3310" s="5" t="s">
        <v>8</v>
      </c>
      <c r="F3310" s="6">
        <v>134.55</v>
      </c>
      <c r="G3310" s="7">
        <f t="shared" si="435"/>
        <v>0.554812337421033</v>
      </c>
    </row>
    <row r="3311" ht="62" spans="1:7">
      <c r="A3311" s="18">
        <v>18.8</v>
      </c>
      <c r="B3311" s="15" t="s">
        <v>4592</v>
      </c>
      <c r="C3311" s="13"/>
      <c r="D3311" s="16"/>
      <c r="E3311" s="5" t="s">
        <v>8</v>
      </c>
    </row>
    <row r="3312" spans="1:7">
      <c r="A3312" s="14" t="s">
        <v>4593</v>
      </c>
      <c r="B3312" s="12" t="s">
        <v>4594</v>
      </c>
      <c r="C3312" s="13" t="s">
        <v>4595</v>
      </c>
      <c r="D3312" s="17">
        <v>1844</v>
      </c>
      <c r="E3312" s="5" t="s">
        <v>8</v>
      </c>
      <c r="F3312" s="6">
        <v>782.7</v>
      </c>
      <c r="G3312" s="7">
        <f t="shared" ref="G3312:G3323" si="436">(D3312-F3312)/F3312</f>
        <v>1.35594736169669</v>
      </c>
    </row>
    <row r="3313" spans="1:7">
      <c r="A3313" s="14" t="s">
        <v>4596</v>
      </c>
      <c r="B3313" s="12" t="s">
        <v>4597</v>
      </c>
      <c r="C3313" s="13" t="s">
        <v>4595</v>
      </c>
      <c r="D3313" s="17">
        <v>2415.15</v>
      </c>
      <c r="E3313" s="5" t="s">
        <v>8</v>
      </c>
      <c r="F3313" s="6">
        <v>1029.7</v>
      </c>
      <c r="G3313" s="7">
        <f t="shared" si="436"/>
        <v>1.34548897737205</v>
      </c>
    </row>
    <row r="3314" spans="1:7">
      <c r="A3314" s="14" t="s">
        <v>4598</v>
      </c>
      <c r="B3314" s="12" t="s">
        <v>4599</v>
      </c>
      <c r="C3314" s="13" t="s">
        <v>4595</v>
      </c>
      <c r="D3314" s="17">
        <v>3006.4</v>
      </c>
      <c r="E3314" s="5" t="s">
        <v>8</v>
      </c>
      <c r="F3314" s="6">
        <v>1288</v>
      </c>
      <c r="G3314" s="7">
        <f t="shared" si="436"/>
        <v>1.33416149068323</v>
      </c>
    </row>
    <row r="3315" spans="1:7">
      <c r="A3315" s="14" t="s">
        <v>4600</v>
      </c>
      <c r="B3315" s="12" t="s">
        <v>4601</v>
      </c>
      <c r="C3315" s="13" t="s">
        <v>4595</v>
      </c>
      <c r="D3315" s="17">
        <v>3593.85</v>
      </c>
      <c r="E3315" s="5" t="s">
        <v>8</v>
      </c>
      <c r="F3315" s="6">
        <v>1547.8</v>
      </c>
      <c r="G3315" s="7">
        <f t="shared" si="436"/>
        <v>1.32190851531206</v>
      </c>
    </row>
    <row r="3316" spans="1:7">
      <c r="A3316" s="14" t="s">
        <v>4602</v>
      </c>
      <c r="B3316" s="12" t="s">
        <v>4603</v>
      </c>
      <c r="C3316" s="13" t="s">
        <v>4595</v>
      </c>
      <c r="D3316" s="17">
        <v>4771.6</v>
      </c>
      <c r="E3316" s="5" t="s">
        <v>8</v>
      </c>
      <c r="F3316" s="6">
        <v>2070.15</v>
      </c>
      <c r="G3316" s="7">
        <f t="shared" si="436"/>
        <v>1.304953747313</v>
      </c>
    </row>
    <row r="3317" spans="1:7">
      <c r="A3317" s="14" t="s">
        <v>4604</v>
      </c>
      <c r="B3317" s="12" t="s">
        <v>4605</v>
      </c>
      <c r="C3317" s="13" t="s">
        <v>4595</v>
      </c>
      <c r="D3317" s="17">
        <v>5977.65</v>
      </c>
      <c r="E3317" s="5" t="s">
        <v>8</v>
      </c>
      <c r="F3317" s="6">
        <v>2611.6</v>
      </c>
      <c r="G3317" s="7">
        <f t="shared" si="436"/>
        <v>1.28888420891408</v>
      </c>
    </row>
    <row r="3318" spans="1:7">
      <c r="A3318" s="14" t="s">
        <v>4606</v>
      </c>
      <c r="B3318" s="12" t="s">
        <v>4607</v>
      </c>
      <c r="C3318" s="13" t="s">
        <v>4595</v>
      </c>
      <c r="D3318" s="17">
        <v>6618.15</v>
      </c>
      <c r="E3318" s="5" t="s">
        <v>8</v>
      </c>
      <c r="F3318" s="6">
        <v>2916.55</v>
      </c>
      <c r="G3318" s="7">
        <f t="shared" si="436"/>
        <v>1.26917076683067</v>
      </c>
    </row>
    <row r="3319" spans="1:7">
      <c r="A3319" s="14" t="s">
        <v>4608</v>
      </c>
      <c r="B3319" s="12" t="s">
        <v>4609</v>
      </c>
      <c r="C3319" s="13" t="s">
        <v>4595</v>
      </c>
      <c r="D3319" s="17">
        <v>7272.35</v>
      </c>
      <c r="E3319" s="5" t="s">
        <v>8</v>
      </c>
      <c r="F3319" s="6">
        <v>3233.2</v>
      </c>
      <c r="G3319" s="7">
        <f t="shared" si="436"/>
        <v>1.24927316590375</v>
      </c>
    </row>
    <row r="3320" spans="1:7">
      <c r="A3320" s="14" t="s">
        <v>4610</v>
      </c>
      <c r="B3320" s="12" t="s">
        <v>4611</v>
      </c>
      <c r="C3320" s="13" t="s">
        <v>4595</v>
      </c>
      <c r="D3320" s="17">
        <v>7950.85</v>
      </c>
      <c r="E3320" s="5" t="s">
        <v>8</v>
      </c>
      <c r="F3320" s="6">
        <v>3568.55</v>
      </c>
      <c r="G3320" s="7">
        <f t="shared" si="436"/>
        <v>1.22803379523896</v>
      </c>
    </row>
    <row r="3321" spans="1:7">
      <c r="A3321" s="14" t="s">
        <v>4612</v>
      </c>
      <c r="B3321" s="12" t="s">
        <v>4613</v>
      </c>
      <c r="C3321" s="13" t="s">
        <v>4595</v>
      </c>
      <c r="D3321" s="17">
        <v>8635.75</v>
      </c>
      <c r="E3321" s="5" t="s">
        <v>8</v>
      </c>
      <c r="F3321" s="6">
        <v>3910.65</v>
      </c>
      <c r="G3321" s="7">
        <f t="shared" si="436"/>
        <v>1.20826461074246</v>
      </c>
    </row>
    <row r="3322" spans="1:7">
      <c r="A3322" s="14" t="s">
        <v>4614</v>
      </c>
      <c r="B3322" s="12" t="s">
        <v>4615</v>
      </c>
      <c r="C3322" s="13" t="s">
        <v>4595</v>
      </c>
      <c r="D3322" s="17">
        <v>9351.25</v>
      </c>
      <c r="E3322" s="5" t="s">
        <v>8</v>
      </c>
      <c r="F3322" s="6">
        <v>4272.65</v>
      </c>
      <c r="G3322" s="7">
        <f t="shared" si="436"/>
        <v>1.18863000713843</v>
      </c>
    </row>
    <row r="3323" spans="1:7">
      <c r="A3323" s="14" t="s">
        <v>4616</v>
      </c>
      <c r="B3323" s="12" t="s">
        <v>4617</v>
      </c>
      <c r="C3323" s="13" t="s">
        <v>4595</v>
      </c>
      <c r="D3323" s="17">
        <v>10787.45</v>
      </c>
      <c r="E3323" s="5" t="s">
        <v>8</v>
      </c>
      <c r="F3323" s="6">
        <v>5013.35</v>
      </c>
      <c r="G3323" s="7">
        <f t="shared" si="436"/>
        <v>1.1517448412738</v>
      </c>
    </row>
    <row r="3324" ht="46.5" spans="1:7">
      <c r="A3324" s="18">
        <v>18.81</v>
      </c>
      <c r="B3324" s="15" t="s">
        <v>4618</v>
      </c>
      <c r="C3324" s="13"/>
      <c r="D3324" s="16"/>
      <c r="E3324" s="5" t="s">
        <v>8</v>
      </c>
    </row>
    <row r="3325" spans="1:7">
      <c r="A3325" s="14" t="s">
        <v>4619</v>
      </c>
      <c r="B3325" s="12" t="s">
        <v>4594</v>
      </c>
      <c r="C3325" s="13" t="s">
        <v>4595</v>
      </c>
      <c r="D3325" s="17">
        <v>674.95</v>
      </c>
      <c r="E3325" s="5" t="s">
        <v>8</v>
      </c>
      <c r="F3325" s="6">
        <v>286.65</v>
      </c>
      <c r="G3325" s="7">
        <f t="shared" ref="G3325:G3336" si="437">(D3325-F3325)/F3325</f>
        <v>1.35461364032793</v>
      </c>
    </row>
    <row r="3326" spans="1:7">
      <c r="A3326" s="14" t="s">
        <v>4620</v>
      </c>
      <c r="B3326" s="12" t="s">
        <v>4597</v>
      </c>
      <c r="C3326" s="13" t="s">
        <v>4595</v>
      </c>
      <c r="D3326" s="17">
        <v>824.95</v>
      </c>
      <c r="E3326" s="5" t="s">
        <v>8</v>
      </c>
      <c r="F3326" s="6">
        <v>351.15</v>
      </c>
      <c r="G3326" s="7">
        <f t="shared" si="437"/>
        <v>1.34928093407376</v>
      </c>
    </row>
    <row r="3327" spans="1:7">
      <c r="A3327" s="14" t="s">
        <v>4621</v>
      </c>
      <c r="B3327" s="12" t="s">
        <v>4599</v>
      </c>
      <c r="C3327" s="13" t="s">
        <v>4595</v>
      </c>
      <c r="D3327" s="17">
        <v>1003.95</v>
      </c>
      <c r="E3327" s="5" t="s">
        <v>8</v>
      </c>
      <c r="F3327" s="6">
        <v>429.7</v>
      </c>
      <c r="G3327" s="7">
        <f t="shared" si="437"/>
        <v>1.33639748661857</v>
      </c>
    </row>
    <row r="3328" spans="1:7">
      <c r="A3328" s="14" t="s">
        <v>4622</v>
      </c>
      <c r="B3328" s="12" t="s">
        <v>4601</v>
      </c>
      <c r="C3328" s="13" t="s">
        <v>4595</v>
      </c>
      <c r="D3328" s="17">
        <v>1164.25</v>
      </c>
      <c r="E3328" s="5" t="s">
        <v>8</v>
      </c>
      <c r="F3328" s="6">
        <v>501.7</v>
      </c>
      <c r="G3328" s="7">
        <f t="shared" si="437"/>
        <v>1.32060992625075</v>
      </c>
    </row>
    <row r="3329" spans="1:7">
      <c r="A3329" s="14" t="s">
        <v>4623</v>
      </c>
      <c r="B3329" s="12" t="s">
        <v>4603</v>
      </c>
      <c r="C3329" s="13" t="s">
        <v>4595</v>
      </c>
      <c r="D3329" s="17">
        <v>1753.1</v>
      </c>
      <c r="E3329" s="5" t="s">
        <v>8</v>
      </c>
      <c r="F3329" s="6">
        <v>765.15</v>
      </c>
      <c r="G3329" s="7">
        <f t="shared" si="437"/>
        <v>1.29118473501928</v>
      </c>
    </row>
    <row r="3330" spans="1:7">
      <c r="A3330" s="14" t="s">
        <v>4624</v>
      </c>
      <c r="B3330" s="12" t="s">
        <v>4605</v>
      </c>
      <c r="C3330" s="13" t="s">
        <v>4595</v>
      </c>
      <c r="D3330" s="17">
        <v>2012.75</v>
      </c>
      <c r="E3330" s="5" t="s">
        <v>8</v>
      </c>
      <c r="F3330" s="6">
        <v>882.05</v>
      </c>
      <c r="G3330" s="7">
        <f t="shared" si="437"/>
        <v>1.28190011904087</v>
      </c>
    </row>
    <row r="3331" spans="1:7">
      <c r="A3331" s="14" t="s">
        <v>4625</v>
      </c>
      <c r="B3331" s="12" t="s">
        <v>4607</v>
      </c>
      <c r="C3331" s="13" t="s">
        <v>4595</v>
      </c>
      <c r="D3331" s="17">
        <v>2255.15</v>
      </c>
      <c r="E3331" s="5" t="s">
        <v>8</v>
      </c>
      <c r="F3331" s="6">
        <v>993.35</v>
      </c>
      <c r="G3331" s="7">
        <f t="shared" si="437"/>
        <v>1.2702471435043</v>
      </c>
    </row>
    <row r="3332" spans="1:7">
      <c r="A3332" s="14" t="s">
        <v>4626</v>
      </c>
      <c r="B3332" s="12" t="s">
        <v>4609</v>
      </c>
      <c r="C3332" s="13" t="s">
        <v>4595</v>
      </c>
      <c r="D3332" s="17">
        <v>2632</v>
      </c>
      <c r="E3332" s="5" t="s">
        <v>8</v>
      </c>
      <c r="F3332" s="6">
        <v>1167.05</v>
      </c>
      <c r="G3332" s="7">
        <f t="shared" si="437"/>
        <v>1.25525898633306</v>
      </c>
    </row>
    <row r="3333" spans="1:7">
      <c r="A3333" s="14" t="s">
        <v>4627</v>
      </c>
      <c r="B3333" s="12" t="s">
        <v>4611</v>
      </c>
      <c r="C3333" s="13" t="s">
        <v>4595</v>
      </c>
      <c r="D3333" s="17">
        <v>3011.2</v>
      </c>
      <c r="E3333" s="5" t="s">
        <v>8</v>
      </c>
      <c r="F3333" s="6">
        <v>1343.25</v>
      </c>
      <c r="G3333" s="7">
        <f t="shared" si="437"/>
        <v>1.24172715428997</v>
      </c>
    </row>
    <row r="3334" spans="1:7">
      <c r="A3334" s="14" t="s">
        <v>4628</v>
      </c>
      <c r="B3334" s="12" t="s">
        <v>4613</v>
      </c>
      <c r="C3334" s="13" t="s">
        <v>4595</v>
      </c>
      <c r="D3334" s="17">
        <v>3398.15</v>
      </c>
      <c r="E3334" s="5" t="s">
        <v>8</v>
      </c>
      <c r="F3334" s="6">
        <v>1525.35</v>
      </c>
      <c r="G3334" s="7">
        <f t="shared" si="437"/>
        <v>1.2277837873275</v>
      </c>
    </row>
    <row r="3335" spans="1:7">
      <c r="A3335" s="14" t="s">
        <v>4629</v>
      </c>
      <c r="B3335" s="12" t="s">
        <v>4615</v>
      </c>
      <c r="C3335" s="13" t="s">
        <v>4595</v>
      </c>
      <c r="D3335" s="17">
        <v>3787.1</v>
      </c>
      <c r="E3335" s="5" t="s">
        <v>8</v>
      </c>
      <c r="F3335" s="6">
        <v>1709.2</v>
      </c>
      <c r="G3335" s="7">
        <f t="shared" si="437"/>
        <v>1.21571495436461</v>
      </c>
    </row>
    <row r="3336" spans="1:7">
      <c r="A3336" s="14" t="s">
        <v>4630</v>
      </c>
      <c r="B3336" s="12" t="s">
        <v>4617</v>
      </c>
      <c r="C3336" s="13" t="s">
        <v>4595</v>
      </c>
      <c r="D3336" s="17">
        <v>4573.95</v>
      </c>
      <c r="E3336" s="5" t="s">
        <v>8</v>
      </c>
      <c r="F3336" s="6">
        <v>2086.2</v>
      </c>
      <c r="G3336" s="7">
        <f t="shared" si="437"/>
        <v>1.1924791486914</v>
      </c>
    </row>
    <row r="3337" ht="46.5" spans="1:7">
      <c r="A3337" s="18">
        <v>18.82</v>
      </c>
      <c r="B3337" s="15" t="s">
        <v>4631</v>
      </c>
      <c r="C3337" s="13"/>
      <c r="D3337" s="16"/>
      <c r="E3337" s="5" t="s">
        <v>8</v>
      </c>
    </row>
    <row r="3338" spans="1:7">
      <c r="A3338" s="14" t="s">
        <v>4632</v>
      </c>
      <c r="B3338" s="12" t="s">
        <v>4594</v>
      </c>
      <c r="C3338" s="13" t="s">
        <v>39</v>
      </c>
      <c r="D3338" s="17">
        <v>315.55</v>
      </c>
      <c r="E3338" s="5" t="s">
        <v>8</v>
      </c>
      <c r="F3338" s="6">
        <v>175.85</v>
      </c>
      <c r="G3338" s="7">
        <f t="shared" ref="G3338:G3349" si="438">(D3338-F3338)/F3338</f>
        <v>0.794427068524311</v>
      </c>
    </row>
    <row r="3339" spans="1:7">
      <c r="A3339" s="14" t="s">
        <v>4633</v>
      </c>
      <c r="B3339" s="12" t="s">
        <v>4597</v>
      </c>
      <c r="C3339" s="13" t="s">
        <v>39</v>
      </c>
      <c r="D3339" s="17">
        <v>332.5</v>
      </c>
      <c r="E3339" s="5" t="s">
        <v>8</v>
      </c>
      <c r="F3339" s="6">
        <v>183.15</v>
      </c>
      <c r="G3339" s="7">
        <f t="shared" si="438"/>
        <v>0.815451815451815</v>
      </c>
    </row>
    <row r="3340" spans="1:7">
      <c r="A3340" s="14" t="s">
        <v>4634</v>
      </c>
      <c r="B3340" s="12" t="s">
        <v>4599</v>
      </c>
      <c r="C3340" s="13" t="s">
        <v>39</v>
      </c>
      <c r="D3340" s="17">
        <v>348.75</v>
      </c>
      <c r="E3340" s="5" t="s">
        <v>8</v>
      </c>
      <c r="F3340" s="6">
        <v>190.05</v>
      </c>
      <c r="G3340" s="7">
        <f t="shared" si="438"/>
        <v>0.835043409629045</v>
      </c>
    </row>
    <row r="3341" spans="1:7">
      <c r="A3341" s="14" t="s">
        <v>4635</v>
      </c>
      <c r="B3341" s="12" t="s">
        <v>4601</v>
      </c>
      <c r="C3341" s="13" t="s">
        <v>39</v>
      </c>
      <c r="D3341" s="17">
        <v>365.45</v>
      </c>
      <c r="E3341" s="5" t="s">
        <v>8</v>
      </c>
      <c r="F3341" s="6">
        <v>197.2</v>
      </c>
      <c r="G3341" s="7">
        <f t="shared" si="438"/>
        <v>0.853194726166329</v>
      </c>
    </row>
    <row r="3342" spans="1:7">
      <c r="A3342" s="14" t="s">
        <v>4636</v>
      </c>
      <c r="B3342" s="12" t="s">
        <v>4603</v>
      </c>
      <c r="C3342" s="13" t="s">
        <v>39</v>
      </c>
      <c r="D3342" s="17">
        <v>411.5</v>
      </c>
      <c r="E3342" s="5" t="s">
        <v>8</v>
      </c>
      <c r="F3342" s="6">
        <v>219.85</v>
      </c>
      <c r="G3342" s="7">
        <f t="shared" si="438"/>
        <v>0.871730725494655</v>
      </c>
    </row>
    <row r="3343" spans="1:7">
      <c r="A3343" s="14" t="s">
        <v>4637</v>
      </c>
      <c r="B3343" s="12" t="s">
        <v>4605</v>
      </c>
      <c r="C3343" s="13" t="s">
        <v>39</v>
      </c>
      <c r="D3343" s="17">
        <v>456.6</v>
      </c>
      <c r="E3343" s="5" t="s">
        <v>8</v>
      </c>
      <c r="F3343" s="6">
        <v>242</v>
      </c>
      <c r="G3343" s="7">
        <f t="shared" si="438"/>
        <v>0.886776859504132</v>
      </c>
    </row>
    <row r="3344" spans="1:7">
      <c r="A3344" s="14" t="s">
        <v>4638</v>
      </c>
      <c r="B3344" s="12" t="s">
        <v>4607</v>
      </c>
      <c r="C3344" s="13" t="s">
        <v>39</v>
      </c>
      <c r="D3344" s="17">
        <v>497.8</v>
      </c>
      <c r="E3344" s="5" t="s">
        <v>8</v>
      </c>
      <c r="F3344" s="6">
        <v>261.55</v>
      </c>
      <c r="G3344" s="7">
        <f t="shared" si="438"/>
        <v>0.903268973427643</v>
      </c>
    </row>
    <row r="3345" spans="1:7">
      <c r="A3345" s="14" t="s">
        <v>4639</v>
      </c>
      <c r="B3345" s="12" t="s">
        <v>4609</v>
      </c>
      <c r="C3345" s="13" t="s">
        <v>39</v>
      </c>
      <c r="D3345" s="17">
        <v>538</v>
      </c>
      <c r="E3345" s="5" t="s">
        <v>8</v>
      </c>
      <c r="F3345" s="6">
        <v>279.95</v>
      </c>
      <c r="G3345" s="7">
        <f t="shared" si="438"/>
        <v>0.921771744954456</v>
      </c>
    </row>
    <row r="3346" spans="1:7">
      <c r="A3346" s="14" t="s">
        <v>4640</v>
      </c>
      <c r="B3346" s="12" t="s">
        <v>4611</v>
      </c>
      <c r="C3346" s="13" t="s">
        <v>39</v>
      </c>
      <c r="D3346" s="17">
        <v>575.8</v>
      </c>
      <c r="E3346" s="5" t="s">
        <v>8</v>
      </c>
      <c r="F3346" s="6">
        <v>296.95</v>
      </c>
      <c r="G3346" s="7">
        <f t="shared" si="438"/>
        <v>0.939046977605657</v>
      </c>
    </row>
    <row r="3347" spans="1:7">
      <c r="A3347" s="14" t="s">
        <v>4641</v>
      </c>
      <c r="B3347" s="12" t="s">
        <v>4613</v>
      </c>
      <c r="C3347" s="13" t="s">
        <v>39</v>
      </c>
      <c r="D3347" s="17">
        <v>614.3</v>
      </c>
      <c r="E3347" s="5" t="s">
        <v>8</v>
      </c>
      <c r="F3347" s="6">
        <v>314.4</v>
      </c>
      <c r="G3347" s="7">
        <f t="shared" si="438"/>
        <v>0.953880407124682</v>
      </c>
    </row>
    <row r="3348" spans="1:7">
      <c r="A3348" s="14" t="s">
        <v>4642</v>
      </c>
      <c r="B3348" s="12" t="s">
        <v>4615</v>
      </c>
      <c r="C3348" s="13" t="s">
        <v>39</v>
      </c>
      <c r="D3348" s="17">
        <v>649.45</v>
      </c>
      <c r="E3348" s="5" t="s">
        <v>8</v>
      </c>
      <c r="F3348" s="6">
        <v>329.75</v>
      </c>
      <c r="G3348" s="7">
        <f t="shared" si="438"/>
        <v>0.969522365428355</v>
      </c>
    </row>
    <row r="3349" spans="1:7">
      <c r="A3349" s="14" t="s">
        <v>4643</v>
      </c>
      <c r="B3349" s="12" t="s">
        <v>4617</v>
      </c>
      <c r="C3349" s="13" t="s">
        <v>39</v>
      </c>
      <c r="D3349" s="17">
        <v>713.95</v>
      </c>
      <c r="E3349" s="5" t="s">
        <v>8</v>
      </c>
      <c r="F3349" s="6">
        <v>356.65</v>
      </c>
      <c r="G3349" s="7">
        <f t="shared" si="438"/>
        <v>1.0018225150708</v>
      </c>
    </row>
    <row r="3350" spans="1:7">
      <c r="A3350" s="18">
        <v>18.83</v>
      </c>
      <c r="B3350" s="15" t="s">
        <v>4644</v>
      </c>
      <c r="C3350" s="13"/>
      <c r="D3350" s="16"/>
      <c r="E3350" s="5" t="s">
        <v>8</v>
      </c>
    </row>
    <row r="3351" spans="1:7">
      <c r="A3351" s="14" t="s">
        <v>4645</v>
      </c>
      <c r="B3351" s="12" t="s">
        <v>4594</v>
      </c>
      <c r="C3351" s="13" t="s">
        <v>4646</v>
      </c>
      <c r="D3351" s="17">
        <v>145.25</v>
      </c>
      <c r="E3351" s="5" t="s">
        <v>8</v>
      </c>
      <c r="F3351" s="6">
        <v>63.25</v>
      </c>
      <c r="G3351" s="7">
        <f t="shared" ref="G3351:G3362" si="439">(D3351-F3351)/F3351</f>
        <v>1.29644268774704</v>
      </c>
    </row>
    <row r="3352" spans="1:7">
      <c r="A3352" s="14" t="s">
        <v>4647</v>
      </c>
      <c r="B3352" s="12" t="s">
        <v>4597</v>
      </c>
      <c r="C3352" s="13" t="s">
        <v>4646</v>
      </c>
      <c r="D3352" s="17">
        <v>194.7</v>
      </c>
      <c r="E3352" s="5" t="s">
        <v>8</v>
      </c>
      <c r="F3352" s="6">
        <v>84.95</v>
      </c>
      <c r="G3352" s="7">
        <f t="shared" si="439"/>
        <v>1.291936433196</v>
      </c>
    </row>
    <row r="3353" spans="1:7">
      <c r="A3353" s="14" t="s">
        <v>4648</v>
      </c>
      <c r="B3353" s="12" t="s">
        <v>4599</v>
      </c>
      <c r="C3353" s="13" t="s">
        <v>4646</v>
      </c>
      <c r="D3353" s="17">
        <v>269.8</v>
      </c>
      <c r="E3353" s="5" t="s">
        <v>8</v>
      </c>
      <c r="F3353" s="6">
        <v>118.15</v>
      </c>
      <c r="G3353" s="7">
        <f t="shared" si="439"/>
        <v>1.28353787558189</v>
      </c>
    </row>
    <row r="3354" spans="1:7">
      <c r="A3354" s="14" t="s">
        <v>4649</v>
      </c>
      <c r="B3354" s="12" t="s">
        <v>4601</v>
      </c>
      <c r="C3354" s="13" t="s">
        <v>4646</v>
      </c>
      <c r="D3354" s="17">
        <v>365.7</v>
      </c>
      <c r="E3354" s="5" t="s">
        <v>8</v>
      </c>
      <c r="F3354" s="6">
        <v>159.65</v>
      </c>
      <c r="G3354" s="7">
        <f t="shared" si="439"/>
        <v>1.29063576573755</v>
      </c>
    </row>
    <row r="3355" spans="1:7">
      <c r="A3355" s="14" t="s">
        <v>4650</v>
      </c>
      <c r="B3355" s="12" t="s">
        <v>4603</v>
      </c>
      <c r="C3355" s="13" t="s">
        <v>4646</v>
      </c>
      <c r="D3355" s="17">
        <v>487.75</v>
      </c>
      <c r="E3355" s="5" t="s">
        <v>8</v>
      </c>
      <c r="F3355" s="6">
        <v>213</v>
      </c>
      <c r="G3355" s="7">
        <f t="shared" si="439"/>
        <v>1.28990610328638</v>
      </c>
    </row>
    <row r="3356" spans="1:7">
      <c r="A3356" s="14" t="s">
        <v>4651</v>
      </c>
      <c r="B3356" s="12" t="s">
        <v>4605</v>
      </c>
      <c r="C3356" s="13" t="s">
        <v>4646</v>
      </c>
      <c r="D3356" s="17">
        <v>606.85</v>
      </c>
      <c r="E3356" s="5" t="s">
        <v>8</v>
      </c>
      <c r="F3356" s="6">
        <v>264.45</v>
      </c>
      <c r="G3356" s="7">
        <f t="shared" si="439"/>
        <v>1.29476271506901</v>
      </c>
    </row>
    <row r="3357" spans="1:7">
      <c r="A3357" s="14" t="s">
        <v>4652</v>
      </c>
      <c r="B3357" s="12" t="s">
        <v>4607</v>
      </c>
      <c r="C3357" s="13" t="s">
        <v>4646</v>
      </c>
      <c r="D3357" s="17">
        <v>728.85</v>
      </c>
      <c r="E3357" s="5" t="s">
        <v>8</v>
      </c>
      <c r="F3357" s="6">
        <v>317.8</v>
      </c>
      <c r="G3357" s="7">
        <f t="shared" si="439"/>
        <v>1.29342353681561</v>
      </c>
    </row>
    <row r="3358" spans="1:7">
      <c r="A3358" s="14" t="s">
        <v>4653</v>
      </c>
      <c r="B3358" s="12" t="s">
        <v>4609</v>
      </c>
      <c r="C3358" s="13" t="s">
        <v>4646</v>
      </c>
      <c r="D3358" s="17">
        <v>847.95</v>
      </c>
      <c r="E3358" s="5" t="s">
        <v>8</v>
      </c>
      <c r="F3358" s="6">
        <v>369.25</v>
      </c>
      <c r="G3358" s="7">
        <f t="shared" si="439"/>
        <v>1.29641164522681</v>
      </c>
    </row>
    <row r="3359" spans="1:7">
      <c r="A3359" s="14" t="s">
        <v>4654</v>
      </c>
      <c r="B3359" s="12" t="s">
        <v>4611</v>
      </c>
      <c r="C3359" s="13" t="s">
        <v>4646</v>
      </c>
      <c r="D3359" s="17">
        <v>969.55</v>
      </c>
      <c r="E3359" s="5" t="s">
        <v>8</v>
      </c>
      <c r="F3359" s="6">
        <v>422.3</v>
      </c>
      <c r="G3359" s="7">
        <f t="shared" si="439"/>
        <v>1.29587970636988</v>
      </c>
    </row>
    <row r="3360" spans="1:7">
      <c r="A3360" s="14" t="s">
        <v>4655</v>
      </c>
      <c r="B3360" s="12" t="s">
        <v>4613</v>
      </c>
      <c r="C3360" s="13" t="s">
        <v>4646</v>
      </c>
      <c r="D3360" s="17">
        <v>1089.1</v>
      </c>
      <c r="E3360" s="5" t="s">
        <v>8</v>
      </c>
      <c r="F3360" s="6">
        <v>474.05</v>
      </c>
      <c r="G3360" s="7">
        <f t="shared" si="439"/>
        <v>1.2974369792216</v>
      </c>
    </row>
    <row r="3361" spans="1:7">
      <c r="A3361" s="14" t="s">
        <v>4656</v>
      </c>
      <c r="B3361" s="12" t="s">
        <v>4615</v>
      </c>
      <c r="C3361" s="13" t="s">
        <v>4646</v>
      </c>
      <c r="D3361" s="17">
        <v>1210.7</v>
      </c>
      <c r="E3361" s="5" t="s">
        <v>8</v>
      </c>
      <c r="F3361" s="6">
        <v>527.1</v>
      </c>
      <c r="G3361" s="7">
        <f t="shared" si="439"/>
        <v>1.29690760766458</v>
      </c>
    </row>
    <row r="3362" spans="1:7">
      <c r="A3362" s="14" t="s">
        <v>4657</v>
      </c>
      <c r="B3362" s="12" t="s">
        <v>4617</v>
      </c>
      <c r="C3362" s="13" t="s">
        <v>4646</v>
      </c>
      <c r="D3362" s="17">
        <v>1445.95</v>
      </c>
      <c r="E3362" s="5" t="s">
        <v>8</v>
      </c>
      <c r="F3362" s="6">
        <v>628.25</v>
      </c>
      <c r="G3362" s="7">
        <f t="shared" si="439"/>
        <v>1.30155192996419</v>
      </c>
    </row>
    <row r="3363" ht="31" spans="1:7">
      <c r="A3363" s="18">
        <v>18.84</v>
      </c>
      <c r="B3363" s="15" t="s">
        <v>4658</v>
      </c>
      <c r="C3363" s="13"/>
      <c r="D3363" s="16"/>
      <c r="E3363" s="5" t="s">
        <v>8</v>
      </c>
    </row>
    <row r="3364" spans="1:7">
      <c r="A3364" s="14" t="s">
        <v>4659</v>
      </c>
      <c r="B3364" s="12" t="s">
        <v>4057</v>
      </c>
      <c r="C3364" s="13" t="s">
        <v>126</v>
      </c>
      <c r="D3364" s="17">
        <v>8803.7</v>
      </c>
      <c r="E3364" s="5" t="s">
        <v>8</v>
      </c>
      <c r="F3364" s="6">
        <v>6752.9</v>
      </c>
      <c r="G3364" s="7">
        <f t="shared" ref="G3364:G3372" si="440">(D3364-F3364)/F3364</f>
        <v>0.30369174724933</v>
      </c>
    </row>
    <row r="3365" ht="77.5" spans="1:7">
      <c r="A3365" s="18">
        <v>18.85</v>
      </c>
      <c r="B3365" s="15" t="s">
        <v>4660</v>
      </c>
      <c r="C3365" s="13"/>
      <c r="D3365" s="16"/>
      <c r="E3365" s="5" t="s">
        <v>8</v>
      </c>
    </row>
    <row r="3366" spans="1:7">
      <c r="A3366" s="14"/>
      <c r="B3366" s="15" t="s">
        <v>3988</v>
      </c>
      <c r="C3366" s="13"/>
      <c r="D3366" s="16"/>
      <c r="E3366" s="5" t="s">
        <v>8</v>
      </c>
    </row>
    <row r="3367" spans="1:7">
      <c r="A3367" s="14" t="s">
        <v>4661</v>
      </c>
      <c r="B3367" s="12" t="s">
        <v>4662</v>
      </c>
      <c r="C3367" s="13" t="s">
        <v>39</v>
      </c>
      <c r="D3367" s="17">
        <v>420.25</v>
      </c>
      <c r="E3367" s="5" t="s">
        <v>8</v>
      </c>
      <c r="F3367" s="6">
        <v>255</v>
      </c>
      <c r="G3367" s="7">
        <f t="shared" si="440"/>
        <v>0.648039215686275</v>
      </c>
    </row>
    <row r="3368" spans="1:7">
      <c r="A3368" s="14" t="s">
        <v>4663</v>
      </c>
      <c r="B3368" s="12" t="s">
        <v>4664</v>
      </c>
      <c r="C3368" s="13" t="s">
        <v>39</v>
      </c>
      <c r="D3368" s="17">
        <v>599.5</v>
      </c>
      <c r="E3368" s="5" t="s">
        <v>8</v>
      </c>
      <c r="F3368" s="6">
        <v>391.6</v>
      </c>
      <c r="G3368" s="7">
        <f t="shared" si="440"/>
        <v>0.530898876404494</v>
      </c>
    </row>
    <row r="3369" spans="1:7">
      <c r="A3369" s="14" t="s">
        <v>4665</v>
      </c>
      <c r="B3369" s="12" t="s">
        <v>4666</v>
      </c>
      <c r="C3369" s="13" t="s">
        <v>39</v>
      </c>
      <c r="D3369" s="17">
        <v>704.55</v>
      </c>
      <c r="E3369" s="5" t="s">
        <v>8</v>
      </c>
      <c r="F3369" s="6">
        <v>477.25</v>
      </c>
      <c r="G3369" s="7">
        <f t="shared" si="440"/>
        <v>0.476270298585647</v>
      </c>
    </row>
    <row r="3370" spans="1:7">
      <c r="A3370" s="14" t="s">
        <v>4667</v>
      </c>
      <c r="B3370" s="12" t="s">
        <v>4668</v>
      </c>
      <c r="C3370" s="13" t="s">
        <v>39</v>
      </c>
      <c r="D3370" s="17">
        <v>913.65</v>
      </c>
      <c r="E3370" s="5" t="s">
        <v>8</v>
      </c>
      <c r="F3370" s="6">
        <v>645.6</v>
      </c>
      <c r="G3370" s="7">
        <f t="shared" si="440"/>
        <v>0.415195167286245</v>
      </c>
    </row>
    <row r="3371" spans="1:7">
      <c r="A3371" s="14" t="s">
        <v>4669</v>
      </c>
      <c r="B3371" s="12" t="s">
        <v>4670</v>
      </c>
      <c r="C3371" s="13" t="s">
        <v>39</v>
      </c>
      <c r="D3371" s="17">
        <v>943.9</v>
      </c>
      <c r="E3371" s="5" t="s">
        <v>8</v>
      </c>
      <c r="F3371" s="6">
        <v>666.6</v>
      </c>
      <c r="G3371" s="7">
        <f t="shared" si="440"/>
        <v>0.415991599159916</v>
      </c>
    </row>
    <row r="3372" spans="1:7">
      <c r="A3372" s="14" t="s">
        <v>4671</v>
      </c>
      <c r="B3372" s="12" t="s">
        <v>4672</v>
      </c>
      <c r="C3372" s="13" t="s">
        <v>39</v>
      </c>
      <c r="D3372" s="17">
        <v>1202.35</v>
      </c>
      <c r="E3372" s="5" t="s">
        <v>8</v>
      </c>
      <c r="F3372" s="6">
        <v>794.65</v>
      </c>
      <c r="G3372" s="7">
        <f t="shared" si="440"/>
        <v>0.513056062417416</v>
      </c>
    </row>
    <row r="3373" ht="77.5" spans="1:7">
      <c r="A3373" s="18" t="s">
        <v>4673</v>
      </c>
      <c r="B3373" s="15" t="s">
        <v>4674</v>
      </c>
      <c r="C3373" s="13"/>
      <c r="D3373" s="16"/>
    </row>
    <row r="3374" spans="1:7">
      <c r="A3374" s="14"/>
      <c r="B3374" s="15" t="s">
        <v>3988</v>
      </c>
      <c r="C3374" s="13"/>
      <c r="D3374" s="16"/>
    </row>
    <row r="3375" spans="1:7">
      <c r="A3375" s="14" t="s">
        <v>4675</v>
      </c>
      <c r="B3375" s="12" t="s">
        <v>4676</v>
      </c>
      <c r="C3375" s="13" t="s">
        <v>39</v>
      </c>
      <c r="D3375" s="17">
        <v>704.05</v>
      </c>
    </row>
    <row r="3376" spans="1:7">
      <c r="A3376" s="14" t="s">
        <v>4677</v>
      </c>
      <c r="B3376" s="12" t="s">
        <v>4678</v>
      </c>
      <c r="C3376" s="13" t="s">
        <v>39</v>
      </c>
      <c r="D3376" s="17">
        <v>1025.25</v>
      </c>
    </row>
    <row r="3377" spans="1:7">
      <c r="A3377" s="14" t="s">
        <v>4679</v>
      </c>
      <c r="B3377" s="12" t="s">
        <v>4680</v>
      </c>
      <c r="C3377" s="13" t="s">
        <v>39</v>
      </c>
      <c r="D3377" s="17">
        <v>1272.15</v>
      </c>
    </row>
    <row r="3378" spans="1:7">
      <c r="A3378" s="14" t="s">
        <v>4681</v>
      </c>
      <c r="B3378" s="12" t="s">
        <v>4682</v>
      </c>
      <c r="C3378" s="13" t="s">
        <v>39</v>
      </c>
      <c r="D3378" s="17">
        <v>1765.1</v>
      </c>
    </row>
    <row r="3379" spans="1:7">
      <c r="A3379" s="14" t="s">
        <v>4683</v>
      </c>
      <c r="B3379" s="12" t="s">
        <v>4684</v>
      </c>
      <c r="C3379" s="13" t="s">
        <v>39</v>
      </c>
      <c r="D3379" s="17">
        <v>2124</v>
      </c>
    </row>
    <row r="3380" spans="1:7">
      <c r="A3380" s="14" t="s">
        <v>4685</v>
      </c>
      <c r="B3380" s="12" t="s">
        <v>4686</v>
      </c>
      <c r="C3380" s="13" t="s">
        <v>39</v>
      </c>
      <c r="D3380" s="17">
        <v>2699.1</v>
      </c>
    </row>
    <row r="3381" ht="77.5" spans="1:7">
      <c r="A3381" s="18">
        <v>18.86</v>
      </c>
      <c r="B3381" s="15" t="s">
        <v>4687</v>
      </c>
      <c r="C3381" s="13"/>
      <c r="D3381" s="16"/>
      <c r="E3381" s="5" t="s">
        <v>8</v>
      </c>
    </row>
    <row r="3382" spans="1:7">
      <c r="A3382" s="14"/>
      <c r="B3382" s="15" t="s">
        <v>4688</v>
      </c>
      <c r="C3382" s="13"/>
      <c r="D3382" s="16"/>
      <c r="E3382" s="5" t="s">
        <v>8</v>
      </c>
    </row>
    <row r="3383" spans="1:7">
      <c r="A3383" s="14" t="s">
        <v>4689</v>
      </c>
      <c r="B3383" s="12" t="s">
        <v>4690</v>
      </c>
      <c r="C3383" s="13" t="s">
        <v>39</v>
      </c>
      <c r="D3383" s="17">
        <v>622.25</v>
      </c>
      <c r="E3383" s="5" t="s">
        <v>8</v>
      </c>
      <c r="F3383" s="6">
        <v>348.3</v>
      </c>
      <c r="G3383" s="7">
        <f>(D3383-F3383)/F3383</f>
        <v>0.786534596612116</v>
      </c>
    </row>
    <row r="3384" spans="1:7">
      <c r="A3384" s="14" t="s">
        <v>4691</v>
      </c>
      <c r="B3384" s="12" t="s">
        <v>4692</v>
      </c>
      <c r="C3384" s="13" t="s">
        <v>39</v>
      </c>
      <c r="D3384" s="17">
        <v>801.5</v>
      </c>
      <c r="E3384" s="5" t="s">
        <v>8</v>
      </c>
      <c r="F3384" s="6">
        <v>484.9</v>
      </c>
      <c r="G3384" s="7">
        <f>(D3384-F3384)/F3384</f>
        <v>0.652918127448959</v>
      </c>
    </row>
    <row r="3385" ht="93" spans="1:7">
      <c r="A3385" s="18" t="s">
        <v>4693</v>
      </c>
      <c r="B3385" s="15" t="s">
        <v>4694</v>
      </c>
      <c r="C3385" s="13"/>
      <c r="D3385" s="16"/>
    </row>
    <row r="3386" spans="1:7">
      <c r="A3386" s="14"/>
      <c r="B3386" s="15" t="s">
        <v>4688</v>
      </c>
      <c r="C3386" s="13"/>
      <c r="D3386" s="16"/>
    </row>
    <row r="3387" spans="1:7">
      <c r="A3387" s="14" t="s">
        <v>4695</v>
      </c>
      <c r="B3387" s="12" t="s">
        <v>4696</v>
      </c>
      <c r="C3387" s="13" t="s">
        <v>39</v>
      </c>
      <c r="D3387" s="17">
        <v>906.1</v>
      </c>
    </row>
    <row r="3388" spans="1:7">
      <c r="A3388" s="14" t="s">
        <v>4697</v>
      </c>
      <c r="B3388" s="12" t="s">
        <v>4698</v>
      </c>
      <c r="C3388" s="13" t="s">
        <v>39</v>
      </c>
      <c r="D3388" s="17">
        <v>1227.25</v>
      </c>
    </row>
    <row r="3389" ht="46.5" spans="1:7">
      <c r="A3389" s="18">
        <v>18.87</v>
      </c>
      <c r="B3389" s="15" t="s">
        <v>4699</v>
      </c>
      <c r="C3389" s="13"/>
      <c r="D3389" s="16"/>
      <c r="E3389" s="5" t="s">
        <v>8</v>
      </c>
    </row>
    <row r="3390" spans="1:7">
      <c r="A3390" s="14"/>
      <c r="B3390" s="15" t="s">
        <v>4700</v>
      </c>
      <c r="C3390" s="13"/>
      <c r="D3390" s="16"/>
      <c r="E3390" s="5" t="s">
        <v>8</v>
      </c>
    </row>
    <row r="3391" spans="1:7">
      <c r="A3391" s="14" t="s">
        <v>4701</v>
      </c>
      <c r="B3391" s="12" t="s">
        <v>4702</v>
      </c>
      <c r="C3391" s="13" t="s">
        <v>126</v>
      </c>
      <c r="D3391" s="17">
        <v>93.9</v>
      </c>
      <c r="E3391" s="5" t="s">
        <v>8</v>
      </c>
      <c r="F3391" s="6">
        <v>48.8</v>
      </c>
      <c r="G3391" s="7">
        <f t="shared" ref="G3391:G3396" si="441">(D3391-F3391)/F3391</f>
        <v>0.924180327868853</v>
      </c>
    </row>
    <row r="3392" spans="1:7">
      <c r="A3392" s="14" t="s">
        <v>4703</v>
      </c>
      <c r="B3392" s="12" t="s">
        <v>4704</v>
      </c>
      <c r="C3392" s="13" t="s">
        <v>126</v>
      </c>
      <c r="D3392" s="17">
        <v>113.8</v>
      </c>
      <c r="E3392" s="5" t="s">
        <v>8</v>
      </c>
      <c r="F3392" s="6">
        <v>73.15</v>
      </c>
      <c r="G3392" s="7">
        <f t="shared" si="441"/>
        <v>0.555707450444292</v>
      </c>
    </row>
    <row r="3393" spans="1:7">
      <c r="A3393" s="14" t="s">
        <v>4705</v>
      </c>
      <c r="B3393" s="12" t="s">
        <v>4706</v>
      </c>
      <c r="C3393" s="13" t="s">
        <v>126</v>
      </c>
      <c r="D3393" s="17">
        <v>156.5</v>
      </c>
      <c r="E3393" s="5" t="s">
        <v>8</v>
      </c>
      <c r="F3393" s="6">
        <v>103.35</v>
      </c>
      <c r="G3393" s="7">
        <f t="shared" si="441"/>
        <v>0.514271891630382</v>
      </c>
    </row>
    <row r="3394" spans="1:7">
      <c r="A3394" s="14" t="s">
        <v>4707</v>
      </c>
      <c r="B3394" s="12" t="s">
        <v>4708</v>
      </c>
      <c r="C3394" s="13" t="s">
        <v>126</v>
      </c>
      <c r="D3394" s="17">
        <v>213.4</v>
      </c>
      <c r="E3394" s="5" t="s">
        <v>8</v>
      </c>
      <c r="F3394" s="6">
        <v>152.15</v>
      </c>
      <c r="G3394" s="7">
        <f t="shared" si="441"/>
        <v>0.402563259940848</v>
      </c>
    </row>
    <row r="3395" spans="1:7">
      <c r="A3395" s="14" t="s">
        <v>4709</v>
      </c>
      <c r="B3395" s="12" t="s">
        <v>4710</v>
      </c>
      <c r="C3395" s="13" t="s">
        <v>126</v>
      </c>
      <c r="D3395" s="17">
        <v>256.1</v>
      </c>
      <c r="E3395" s="5" t="s">
        <v>8</v>
      </c>
      <c r="F3395" s="6">
        <v>183.5</v>
      </c>
      <c r="G3395" s="7">
        <f t="shared" si="441"/>
        <v>0.395640326975477</v>
      </c>
    </row>
    <row r="3396" spans="1:7">
      <c r="A3396" s="14" t="s">
        <v>4711</v>
      </c>
      <c r="B3396" s="12" t="s">
        <v>4712</v>
      </c>
      <c r="C3396" s="13" t="s">
        <v>126</v>
      </c>
      <c r="D3396" s="17">
        <v>291.65</v>
      </c>
      <c r="E3396" s="5" t="s">
        <v>8</v>
      </c>
      <c r="F3396" s="6">
        <v>209.05</v>
      </c>
      <c r="G3396" s="7">
        <f t="shared" si="441"/>
        <v>0.395120784501315</v>
      </c>
    </row>
    <row r="3397" ht="46.5" spans="1:7">
      <c r="A3397" s="18" t="s">
        <v>4713</v>
      </c>
      <c r="B3397" s="15" t="s">
        <v>4714</v>
      </c>
      <c r="C3397" s="13"/>
      <c r="D3397" s="16"/>
    </row>
    <row r="3398" spans="1:7">
      <c r="A3398" s="14"/>
      <c r="B3398" s="15" t="s">
        <v>4700</v>
      </c>
      <c r="C3398" s="13"/>
      <c r="D3398" s="16"/>
    </row>
    <row r="3399" spans="1:7">
      <c r="A3399" s="14" t="s">
        <v>4715</v>
      </c>
      <c r="B3399" s="12" t="s">
        <v>4716</v>
      </c>
      <c r="C3399" s="13" t="s">
        <v>126</v>
      </c>
      <c r="D3399" s="17">
        <v>341.45</v>
      </c>
    </row>
    <row r="3400" spans="1:7">
      <c r="A3400" s="14" t="s">
        <v>4717</v>
      </c>
      <c r="B3400" s="12" t="s">
        <v>4718</v>
      </c>
      <c r="C3400" s="13" t="s">
        <v>126</v>
      </c>
      <c r="D3400" s="17">
        <v>426.8</v>
      </c>
    </row>
    <row r="3401" spans="1:7">
      <c r="A3401" s="14" t="s">
        <v>4719</v>
      </c>
      <c r="B3401" s="12" t="s">
        <v>4720</v>
      </c>
      <c r="C3401" s="13" t="s">
        <v>126</v>
      </c>
      <c r="D3401" s="17">
        <v>497.9</v>
      </c>
    </row>
    <row r="3402" spans="1:7">
      <c r="A3402" s="14" t="s">
        <v>4721</v>
      </c>
      <c r="B3402" s="12" t="s">
        <v>4722</v>
      </c>
      <c r="C3402" s="13" t="s">
        <v>126</v>
      </c>
      <c r="D3402" s="17">
        <v>625.95</v>
      </c>
    </row>
    <row r="3403" spans="1:7">
      <c r="A3403" s="14" t="s">
        <v>4723</v>
      </c>
      <c r="B3403" s="12" t="s">
        <v>4724</v>
      </c>
      <c r="C3403" s="13" t="s">
        <v>126</v>
      </c>
      <c r="D3403" s="17">
        <v>846.45</v>
      </c>
    </row>
    <row r="3404" spans="1:7">
      <c r="A3404" s="14" t="s">
        <v>4725</v>
      </c>
      <c r="B3404" s="12" t="s">
        <v>4726</v>
      </c>
      <c r="C3404" s="13" t="s">
        <v>126</v>
      </c>
      <c r="D3404" s="17">
        <v>1017.2</v>
      </c>
    </row>
    <row r="3405" ht="93" spans="1:7">
      <c r="A3405" s="18">
        <v>18.88</v>
      </c>
      <c r="B3405" s="15" t="s">
        <v>4727</v>
      </c>
      <c r="C3405" s="13"/>
      <c r="D3405" s="16"/>
      <c r="E3405" s="5" t="s">
        <v>8</v>
      </c>
    </row>
    <row r="3406" spans="1:7">
      <c r="A3406" s="14"/>
      <c r="B3406" s="15" t="s">
        <v>4728</v>
      </c>
      <c r="C3406" s="13"/>
      <c r="D3406" s="16"/>
      <c r="E3406" s="5" t="s">
        <v>8</v>
      </c>
    </row>
    <row r="3407" spans="1:7">
      <c r="A3407" s="14" t="s">
        <v>4729</v>
      </c>
      <c r="B3407" s="12" t="s">
        <v>4730</v>
      </c>
      <c r="C3407" s="13" t="s">
        <v>126</v>
      </c>
      <c r="D3407" s="17">
        <v>139.4</v>
      </c>
      <c r="E3407" s="5" t="s">
        <v>8</v>
      </c>
      <c r="F3407" s="6">
        <v>119.65</v>
      </c>
      <c r="G3407" s="7">
        <f t="shared" ref="G3407:G3421" si="442">(D3407-F3407)/F3407</f>
        <v>0.165064772252403</v>
      </c>
    </row>
    <row r="3408" spans="1:7">
      <c r="A3408" s="14" t="s">
        <v>4731</v>
      </c>
      <c r="B3408" s="12" t="s">
        <v>4732</v>
      </c>
      <c r="C3408" s="13" t="s">
        <v>126</v>
      </c>
      <c r="D3408" s="17">
        <v>186.35</v>
      </c>
      <c r="E3408" s="5" t="s">
        <v>8</v>
      </c>
      <c r="F3408" s="6">
        <v>163.75</v>
      </c>
      <c r="G3408" s="7">
        <f t="shared" si="442"/>
        <v>0.138015267175572</v>
      </c>
    </row>
    <row r="3409" spans="1:7">
      <c r="A3409" s="14" t="s">
        <v>4733</v>
      </c>
      <c r="B3409" s="12" t="s">
        <v>4734</v>
      </c>
      <c r="C3409" s="13" t="s">
        <v>126</v>
      </c>
      <c r="D3409" s="17">
        <v>189.2</v>
      </c>
      <c r="E3409" s="5" t="s">
        <v>8</v>
      </c>
      <c r="F3409" s="6">
        <v>168.4</v>
      </c>
      <c r="G3409" s="7">
        <f t="shared" si="442"/>
        <v>0.123515439429929</v>
      </c>
    </row>
    <row r="3410" spans="1:7">
      <c r="A3410" s="14" t="s">
        <v>4735</v>
      </c>
      <c r="B3410" s="12" t="s">
        <v>4736</v>
      </c>
      <c r="C3410" s="13" t="s">
        <v>126</v>
      </c>
      <c r="D3410" s="17">
        <v>313</v>
      </c>
      <c r="E3410" s="5" t="s">
        <v>8</v>
      </c>
      <c r="F3410" s="6">
        <v>213.7</v>
      </c>
      <c r="G3410" s="7">
        <f t="shared" si="442"/>
        <v>0.464670098268601</v>
      </c>
    </row>
    <row r="3411" spans="1:7">
      <c r="A3411" s="14" t="s">
        <v>4737</v>
      </c>
      <c r="B3411" s="12" t="s">
        <v>4738</v>
      </c>
      <c r="C3411" s="13" t="s">
        <v>126</v>
      </c>
      <c r="D3411" s="17">
        <v>327.2</v>
      </c>
      <c r="E3411" s="5" t="s">
        <v>8</v>
      </c>
      <c r="F3411" s="6">
        <v>217.2</v>
      </c>
      <c r="G3411" s="7">
        <f t="shared" si="442"/>
        <v>0.506445672191529</v>
      </c>
    </row>
    <row r="3412" spans="1:7">
      <c r="A3412" s="14" t="s">
        <v>4739</v>
      </c>
      <c r="B3412" s="12" t="s">
        <v>4740</v>
      </c>
      <c r="C3412" s="13" t="s">
        <v>126</v>
      </c>
      <c r="D3412" s="17">
        <v>327.2</v>
      </c>
      <c r="E3412" s="5" t="s">
        <v>8</v>
      </c>
      <c r="F3412" s="6">
        <v>220.7</v>
      </c>
      <c r="G3412" s="7">
        <f t="shared" si="442"/>
        <v>0.482555505210693</v>
      </c>
    </row>
    <row r="3413" spans="1:7">
      <c r="A3413" s="14" t="s">
        <v>4741</v>
      </c>
      <c r="B3413" s="12" t="s">
        <v>4742</v>
      </c>
      <c r="C3413" s="13" t="s">
        <v>126</v>
      </c>
      <c r="D3413" s="17">
        <v>517.85</v>
      </c>
      <c r="E3413" s="5" t="s">
        <v>8</v>
      </c>
      <c r="F3413" s="6">
        <v>417</v>
      </c>
      <c r="G3413" s="7">
        <f t="shared" si="442"/>
        <v>0.241846522781775</v>
      </c>
    </row>
    <row r="3414" spans="1:7">
      <c r="A3414" s="14" t="s">
        <v>4743</v>
      </c>
      <c r="B3414" s="12" t="s">
        <v>4744</v>
      </c>
      <c r="C3414" s="13" t="s">
        <v>126</v>
      </c>
      <c r="D3414" s="17">
        <v>529.25</v>
      </c>
      <c r="E3414" s="5" t="s">
        <v>8</v>
      </c>
      <c r="F3414" s="6">
        <v>420.45</v>
      </c>
      <c r="G3414" s="7">
        <f t="shared" si="442"/>
        <v>0.258770365085028</v>
      </c>
    </row>
    <row r="3415" spans="1:7">
      <c r="A3415" s="14" t="s">
        <v>4745</v>
      </c>
      <c r="B3415" s="12" t="s">
        <v>4746</v>
      </c>
      <c r="C3415" s="13" t="s">
        <v>126</v>
      </c>
      <c r="D3415" s="17">
        <v>606.05</v>
      </c>
      <c r="E3415" s="5" t="s">
        <v>8</v>
      </c>
      <c r="F3415" s="6">
        <v>420.45</v>
      </c>
      <c r="G3415" s="7">
        <f t="shared" si="442"/>
        <v>0.441431799262695</v>
      </c>
    </row>
    <row r="3416" spans="1:7">
      <c r="A3416" s="14" t="s">
        <v>4747</v>
      </c>
      <c r="B3416" s="12" t="s">
        <v>4748</v>
      </c>
      <c r="C3416" s="13" t="s">
        <v>126</v>
      </c>
      <c r="D3416" s="17">
        <v>643.05</v>
      </c>
      <c r="E3416" s="5" t="s">
        <v>8</v>
      </c>
      <c r="F3416" s="6">
        <v>449.5</v>
      </c>
      <c r="G3416" s="7">
        <f t="shared" si="442"/>
        <v>0.430589543937708</v>
      </c>
    </row>
    <row r="3417" spans="1:7">
      <c r="A3417" s="14" t="s">
        <v>4749</v>
      </c>
      <c r="B3417" s="12" t="s">
        <v>4750</v>
      </c>
      <c r="C3417" s="13" t="s">
        <v>126</v>
      </c>
      <c r="D3417" s="17">
        <v>643.05</v>
      </c>
      <c r="E3417" s="5" t="s">
        <v>8</v>
      </c>
      <c r="F3417" s="6">
        <v>476.2</v>
      </c>
      <c r="G3417" s="7">
        <f t="shared" si="442"/>
        <v>0.350377992440151</v>
      </c>
    </row>
    <row r="3418" spans="1:7">
      <c r="A3418" s="14" t="s">
        <v>4751</v>
      </c>
      <c r="B3418" s="12" t="s">
        <v>4752</v>
      </c>
      <c r="C3418" s="13" t="s">
        <v>126</v>
      </c>
      <c r="D3418" s="17">
        <v>643.05</v>
      </c>
      <c r="E3418" s="5" t="s">
        <v>8</v>
      </c>
      <c r="F3418" s="6">
        <v>476.2</v>
      </c>
      <c r="G3418" s="7">
        <f t="shared" si="442"/>
        <v>0.350377992440151</v>
      </c>
    </row>
    <row r="3419" spans="1:7">
      <c r="A3419" s="14" t="s">
        <v>4753</v>
      </c>
      <c r="B3419" s="12" t="s">
        <v>4754</v>
      </c>
      <c r="C3419" s="13" t="s">
        <v>126</v>
      </c>
      <c r="D3419" s="17">
        <v>643.05</v>
      </c>
      <c r="E3419" s="5" t="s">
        <v>8</v>
      </c>
      <c r="F3419" s="6">
        <v>476.2</v>
      </c>
      <c r="G3419" s="7">
        <f t="shared" si="442"/>
        <v>0.350377992440151</v>
      </c>
    </row>
    <row r="3420" spans="1:7">
      <c r="A3420" s="14" t="s">
        <v>4755</v>
      </c>
      <c r="B3420" s="12" t="s">
        <v>4756</v>
      </c>
      <c r="C3420" s="13" t="s">
        <v>126</v>
      </c>
      <c r="D3420" s="17">
        <v>664.35</v>
      </c>
      <c r="E3420" s="5" t="s">
        <v>8</v>
      </c>
      <c r="F3420" s="6">
        <v>476.2</v>
      </c>
      <c r="G3420" s="7">
        <f t="shared" si="442"/>
        <v>0.395107097858043</v>
      </c>
    </row>
    <row r="3421" spans="1:7">
      <c r="A3421" s="14" t="s">
        <v>4757</v>
      </c>
      <c r="B3421" s="12" t="s">
        <v>4758</v>
      </c>
      <c r="C3421" s="13" t="s">
        <v>126</v>
      </c>
      <c r="D3421" s="17">
        <v>667.2</v>
      </c>
      <c r="E3421" s="5" t="s">
        <v>8</v>
      </c>
      <c r="F3421" s="6">
        <v>476.2</v>
      </c>
      <c r="G3421" s="7">
        <f t="shared" si="442"/>
        <v>0.401091978160437</v>
      </c>
    </row>
    <row r="3422" ht="46.5" spans="1:7">
      <c r="A3422" s="18" t="s">
        <v>4759</v>
      </c>
      <c r="B3422" s="15" t="s">
        <v>4760</v>
      </c>
      <c r="C3422" s="13"/>
      <c r="D3422" s="16"/>
    </row>
    <row r="3423" spans="1:7">
      <c r="A3423" s="14"/>
      <c r="B3423" s="15" t="s">
        <v>4728</v>
      </c>
      <c r="C3423" s="13"/>
      <c r="D3423" s="16"/>
    </row>
    <row r="3424" spans="1:7">
      <c r="A3424" s="14" t="s">
        <v>4761</v>
      </c>
      <c r="B3424" s="12" t="s">
        <v>4762</v>
      </c>
      <c r="C3424" s="13" t="s">
        <v>126</v>
      </c>
      <c r="D3424" s="17">
        <v>405.45</v>
      </c>
    </row>
    <row r="3425" spans="1:7">
      <c r="A3425" s="14" t="s">
        <v>4763</v>
      </c>
      <c r="B3425" s="12" t="s">
        <v>4764</v>
      </c>
      <c r="C3425" s="13" t="s">
        <v>126</v>
      </c>
      <c r="D3425" s="17">
        <v>490.8</v>
      </c>
    </row>
    <row r="3426" spans="1:7">
      <c r="A3426" s="14" t="s">
        <v>4765</v>
      </c>
      <c r="B3426" s="12" t="s">
        <v>4766</v>
      </c>
      <c r="C3426" s="13" t="s">
        <v>126</v>
      </c>
      <c r="D3426" s="17">
        <v>597.5</v>
      </c>
    </row>
    <row r="3427" spans="1:7">
      <c r="A3427" s="14" t="s">
        <v>4767</v>
      </c>
      <c r="B3427" s="12" t="s">
        <v>4768</v>
      </c>
      <c r="C3427" s="13" t="s">
        <v>126</v>
      </c>
      <c r="D3427" s="17">
        <v>604.6</v>
      </c>
    </row>
    <row r="3428" spans="1:7">
      <c r="A3428" s="14" t="s">
        <v>4769</v>
      </c>
      <c r="B3428" s="12" t="s">
        <v>4770</v>
      </c>
      <c r="C3428" s="13" t="s">
        <v>126</v>
      </c>
      <c r="D3428" s="17">
        <v>746.85</v>
      </c>
    </row>
    <row r="3429" spans="1:7">
      <c r="A3429" s="14" t="s">
        <v>4771</v>
      </c>
      <c r="B3429" s="12" t="s">
        <v>4772</v>
      </c>
      <c r="C3429" s="13" t="s">
        <v>126</v>
      </c>
      <c r="D3429" s="17">
        <v>960.3</v>
      </c>
    </row>
    <row r="3430" spans="1:7">
      <c r="A3430" s="14" t="s">
        <v>4773</v>
      </c>
      <c r="B3430" s="12" t="s">
        <v>4774</v>
      </c>
      <c r="C3430" s="13" t="s">
        <v>126</v>
      </c>
      <c r="D3430" s="17">
        <v>1095.45</v>
      </c>
    </row>
    <row r="3431" spans="1:7">
      <c r="A3431" s="14" t="s">
        <v>4775</v>
      </c>
      <c r="B3431" s="12" t="s">
        <v>4776</v>
      </c>
      <c r="C3431" s="13" t="s">
        <v>126</v>
      </c>
      <c r="D3431" s="17">
        <v>1145.25</v>
      </c>
    </row>
    <row r="3432" spans="1:7">
      <c r="A3432" s="14" t="s">
        <v>4777</v>
      </c>
      <c r="B3432" s="12" t="s">
        <v>4778</v>
      </c>
      <c r="C3432" s="13" t="s">
        <v>126</v>
      </c>
      <c r="D3432" s="17">
        <v>1330.15</v>
      </c>
    </row>
    <row r="3433" spans="1:7">
      <c r="A3433" s="14" t="s">
        <v>4779</v>
      </c>
      <c r="B3433" s="12" t="s">
        <v>4780</v>
      </c>
      <c r="C3433" s="13" t="s">
        <v>126</v>
      </c>
      <c r="D3433" s="17">
        <v>1572</v>
      </c>
    </row>
    <row r="3434" spans="1:7">
      <c r="A3434" s="14" t="s">
        <v>4781</v>
      </c>
      <c r="B3434" s="12" t="s">
        <v>4782</v>
      </c>
      <c r="C3434" s="13" t="s">
        <v>126</v>
      </c>
      <c r="D3434" s="17">
        <v>1636.05</v>
      </c>
    </row>
    <row r="3435" ht="46.5" spans="1:7">
      <c r="A3435" s="18">
        <v>18.89</v>
      </c>
      <c r="B3435" s="15" t="s">
        <v>4699</v>
      </c>
      <c r="C3435" s="13"/>
      <c r="D3435" s="16"/>
      <c r="E3435" s="5" t="s">
        <v>8</v>
      </c>
    </row>
    <row r="3436" spans="1:7">
      <c r="A3436" s="14"/>
      <c r="B3436" s="15" t="s">
        <v>4783</v>
      </c>
      <c r="C3436" s="13"/>
      <c r="D3436" s="16"/>
      <c r="E3436" s="5" t="s">
        <v>8</v>
      </c>
    </row>
    <row r="3437" spans="1:7">
      <c r="A3437" s="14" t="s">
        <v>4784</v>
      </c>
      <c r="B3437" s="12" t="s">
        <v>4702</v>
      </c>
      <c r="C3437" s="13" t="s">
        <v>126</v>
      </c>
      <c r="D3437" s="17">
        <v>92.45</v>
      </c>
      <c r="E3437" s="5" t="s">
        <v>8</v>
      </c>
      <c r="F3437" s="6">
        <v>54.6</v>
      </c>
      <c r="G3437" s="7">
        <f t="shared" ref="G3437:G3442" si="443">(D3437-F3437)/F3437</f>
        <v>0.693223443223443</v>
      </c>
    </row>
    <row r="3438" spans="1:7">
      <c r="A3438" s="14" t="s">
        <v>4785</v>
      </c>
      <c r="B3438" s="12" t="s">
        <v>4704</v>
      </c>
      <c r="C3438" s="13" t="s">
        <v>126</v>
      </c>
      <c r="D3438" s="17">
        <v>113.8</v>
      </c>
      <c r="E3438" s="5" t="s">
        <v>8</v>
      </c>
      <c r="F3438" s="6">
        <v>73.15</v>
      </c>
      <c r="G3438" s="7">
        <f t="shared" si="443"/>
        <v>0.555707450444292</v>
      </c>
    </row>
    <row r="3439" spans="1:7">
      <c r="A3439" s="14" t="s">
        <v>4786</v>
      </c>
      <c r="B3439" s="12" t="s">
        <v>4706</v>
      </c>
      <c r="C3439" s="13" t="s">
        <v>126</v>
      </c>
      <c r="D3439" s="17">
        <v>156.5</v>
      </c>
      <c r="E3439" s="5" t="s">
        <v>8</v>
      </c>
      <c r="F3439" s="6">
        <v>103.35</v>
      </c>
      <c r="G3439" s="7">
        <f t="shared" si="443"/>
        <v>0.514271891630382</v>
      </c>
    </row>
    <row r="3440" spans="1:7">
      <c r="A3440" s="14" t="s">
        <v>4787</v>
      </c>
      <c r="B3440" s="12" t="s">
        <v>4708</v>
      </c>
      <c r="C3440" s="13" t="s">
        <v>126</v>
      </c>
      <c r="D3440" s="17">
        <v>220.5</v>
      </c>
      <c r="E3440" s="5" t="s">
        <v>8</v>
      </c>
      <c r="F3440" s="6">
        <v>152.15</v>
      </c>
      <c r="G3440" s="7">
        <f t="shared" si="443"/>
        <v>0.449227735787052</v>
      </c>
    </row>
    <row r="3441" spans="1:7">
      <c r="A3441" s="14" t="s">
        <v>4788</v>
      </c>
      <c r="B3441" s="12" t="s">
        <v>4710</v>
      </c>
      <c r="C3441" s="13" t="s">
        <v>126</v>
      </c>
      <c r="D3441" s="17">
        <v>256.1</v>
      </c>
      <c r="E3441" s="5" t="s">
        <v>8</v>
      </c>
      <c r="F3441" s="6">
        <v>183.5</v>
      </c>
      <c r="G3441" s="7">
        <f t="shared" si="443"/>
        <v>0.395640326975477</v>
      </c>
    </row>
    <row r="3442" spans="1:7">
      <c r="A3442" s="14" t="s">
        <v>4789</v>
      </c>
      <c r="B3442" s="12" t="s">
        <v>4712</v>
      </c>
      <c r="C3442" s="13" t="s">
        <v>126</v>
      </c>
      <c r="D3442" s="17">
        <v>277.4</v>
      </c>
      <c r="E3442" s="5" t="s">
        <v>8</v>
      </c>
      <c r="F3442" s="6">
        <v>197.45</v>
      </c>
      <c r="G3442" s="7">
        <f t="shared" si="443"/>
        <v>0.404912636110408</v>
      </c>
    </row>
    <row r="3443" ht="46.5" spans="1:7">
      <c r="A3443" s="18" t="s">
        <v>4790</v>
      </c>
      <c r="B3443" s="15" t="s">
        <v>4714</v>
      </c>
      <c r="C3443" s="13"/>
      <c r="D3443" s="16"/>
    </row>
    <row r="3444" spans="1:7">
      <c r="A3444" s="14"/>
      <c r="B3444" s="15" t="s">
        <v>4791</v>
      </c>
      <c r="C3444" s="13"/>
      <c r="D3444" s="16"/>
    </row>
    <row r="3445" spans="1:7">
      <c r="A3445" s="14" t="s">
        <v>4792</v>
      </c>
      <c r="B3445" s="12" t="s">
        <v>4716</v>
      </c>
      <c r="C3445" s="13" t="s">
        <v>126</v>
      </c>
      <c r="D3445" s="17">
        <v>597.5</v>
      </c>
    </row>
    <row r="3446" spans="1:7">
      <c r="A3446" s="14" t="s">
        <v>4793</v>
      </c>
      <c r="B3446" s="12" t="s">
        <v>4718</v>
      </c>
      <c r="C3446" s="13" t="s">
        <v>126</v>
      </c>
      <c r="D3446" s="17">
        <v>711.3</v>
      </c>
    </row>
    <row r="3447" spans="1:7">
      <c r="A3447" s="14" t="s">
        <v>4794</v>
      </c>
      <c r="B3447" s="12" t="s">
        <v>4720</v>
      </c>
      <c r="C3447" s="13" t="s">
        <v>126</v>
      </c>
      <c r="D3447" s="17">
        <v>825.15</v>
      </c>
    </row>
    <row r="3448" spans="1:7">
      <c r="A3448" s="14" t="s">
        <v>4795</v>
      </c>
      <c r="B3448" s="12" t="s">
        <v>4722</v>
      </c>
      <c r="C3448" s="13" t="s">
        <v>126</v>
      </c>
      <c r="D3448" s="17">
        <v>917.6</v>
      </c>
    </row>
    <row r="3449" spans="1:7">
      <c r="A3449" s="14" t="s">
        <v>4796</v>
      </c>
      <c r="B3449" s="12" t="s">
        <v>4724</v>
      </c>
      <c r="C3449" s="13" t="s">
        <v>126</v>
      </c>
      <c r="D3449" s="17">
        <v>1066.95</v>
      </c>
    </row>
    <row r="3450" spans="1:7">
      <c r="A3450" s="14" t="s">
        <v>4797</v>
      </c>
      <c r="B3450" s="12" t="s">
        <v>4726</v>
      </c>
      <c r="C3450" s="13" t="s">
        <v>126</v>
      </c>
      <c r="D3450" s="17">
        <v>1515.1</v>
      </c>
    </row>
    <row r="3451" ht="46.5" spans="1:7">
      <c r="A3451" s="18">
        <v>18.9</v>
      </c>
      <c r="B3451" s="15" t="s">
        <v>4699</v>
      </c>
      <c r="C3451" s="13"/>
      <c r="D3451" s="16"/>
      <c r="E3451" s="5" t="s">
        <v>8</v>
      </c>
    </row>
    <row r="3452" spans="1:7">
      <c r="A3452" s="14"/>
      <c r="B3452" s="15" t="s">
        <v>4798</v>
      </c>
      <c r="C3452" s="13"/>
      <c r="D3452" s="16"/>
      <c r="E3452" s="5" t="s">
        <v>8</v>
      </c>
    </row>
    <row r="3453" spans="1:7">
      <c r="A3453" s="14" t="s">
        <v>4799</v>
      </c>
      <c r="B3453" s="12" t="s">
        <v>4800</v>
      </c>
      <c r="C3453" s="13" t="s">
        <v>126</v>
      </c>
      <c r="D3453" s="17">
        <v>99.6</v>
      </c>
      <c r="E3453" s="5" t="s">
        <v>8</v>
      </c>
      <c r="F3453" s="6">
        <v>67.35</v>
      </c>
      <c r="G3453" s="7">
        <f t="shared" ref="G3453:G3458" si="444">(D3453-F3453)/F3453</f>
        <v>0.478841870824053</v>
      </c>
    </row>
    <row r="3454" spans="1:7">
      <c r="A3454" s="14" t="s">
        <v>4801</v>
      </c>
      <c r="B3454" s="12" t="s">
        <v>4704</v>
      </c>
      <c r="C3454" s="13" t="s">
        <v>126</v>
      </c>
      <c r="D3454" s="17">
        <v>113.8</v>
      </c>
      <c r="E3454" s="5" t="s">
        <v>8</v>
      </c>
      <c r="F3454" s="6">
        <v>73.15</v>
      </c>
      <c r="G3454" s="7">
        <f t="shared" si="444"/>
        <v>0.555707450444292</v>
      </c>
    </row>
    <row r="3455" spans="1:7">
      <c r="A3455" s="14" t="s">
        <v>4802</v>
      </c>
      <c r="B3455" s="12" t="s">
        <v>4706</v>
      </c>
      <c r="C3455" s="13" t="s">
        <v>126</v>
      </c>
      <c r="D3455" s="17">
        <v>163.6</v>
      </c>
      <c r="E3455" s="5" t="s">
        <v>8</v>
      </c>
      <c r="F3455" s="6">
        <v>111.5</v>
      </c>
      <c r="G3455" s="7">
        <f t="shared" si="444"/>
        <v>0.467264573991031</v>
      </c>
    </row>
    <row r="3456" spans="1:7">
      <c r="A3456" s="14" t="s">
        <v>4803</v>
      </c>
      <c r="B3456" s="12" t="s">
        <v>4708</v>
      </c>
      <c r="C3456" s="13" t="s">
        <v>126</v>
      </c>
      <c r="D3456" s="17">
        <v>204.85</v>
      </c>
      <c r="E3456" s="5" t="s">
        <v>8</v>
      </c>
      <c r="F3456" s="6">
        <v>126.6</v>
      </c>
      <c r="G3456" s="7">
        <f t="shared" si="444"/>
        <v>0.618088467614534</v>
      </c>
    </row>
    <row r="3457" spans="1:7">
      <c r="A3457" s="14" t="s">
        <v>4804</v>
      </c>
      <c r="B3457" s="12" t="s">
        <v>4710</v>
      </c>
      <c r="C3457" s="13" t="s">
        <v>126</v>
      </c>
      <c r="D3457" s="17">
        <v>221.95</v>
      </c>
      <c r="E3457" s="5" t="s">
        <v>8</v>
      </c>
      <c r="F3457" s="6">
        <v>134.75</v>
      </c>
      <c r="G3457" s="7">
        <f t="shared" si="444"/>
        <v>0.647124304267161</v>
      </c>
    </row>
    <row r="3458" spans="1:7">
      <c r="A3458" s="14" t="s">
        <v>4805</v>
      </c>
      <c r="B3458" s="12" t="s">
        <v>4712</v>
      </c>
      <c r="C3458" s="13" t="s">
        <v>126</v>
      </c>
      <c r="D3458" s="17">
        <v>273.15</v>
      </c>
      <c r="E3458" s="5" t="s">
        <v>8</v>
      </c>
      <c r="F3458" s="6">
        <v>174.25</v>
      </c>
      <c r="G3458" s="7">
        <f t="shared" si="444"/>
        <v>0.567575322812051</v>
      </c>
    </row>
    <row r="3459" ht="46.5" spans="1:7">
      <c r="A3459" s="18" t="s">
        <v>4806</v>
      </c>
      <c r="B3459" s="15" t="s">
        <v>4714</v>
      </c>
      <c r="C3459" s="13"/>
      <c r="D3459" s="16"/>
    </row>
    <row r="3460" spans="1:7">
      <c r="A3460" s="14"/>
      <c r="B3460" s="15" t="s">
        <v>4798</v>
      </c>
      <c r="C3460" s="13"/>
      <c r="D3460" s="16"/>
    </row>
    <row r="3461" spans="1:7">
      <c r="A3461" s="14" t="s">
        <v>4807</v>
      </c>
      <c r="B3461" s="12" t="s">
        <v>4716</v>
      </c>
      <c r="C3461" s="13" t="s">
        <v>126</v>
      </c>
      <c r="D3461" s="17">
        <v>483.7</v>
      </c>
    </row>
    <row r="3462" spans="1:7">
      <c r="A3462" s="14" t="s">
        <v>4808</v>
      </c>
      <c r="B3462" s="12" t="s">
        <v>4718</v>
      </c>
      <c r="C3462" s="13" t="s">
        <v>126</v>
      </c>
      <c r="D3462" s="17">
        <v>682.85</v>
      </c>
    </row>
    <row r="3463" spans="1:7">
      <c r="A3463" s="14" t="s">
        <v>4809</v>
      </c>
      <c r="B3463" s="12" t="s">
        <v>4720</v>
      </c>
      <c r="C3463" s="13" t="s">
        <v>126</v>
      </c>
      <c r="D3463" s="17">
        <v>910.5</v>
      </c>
    </row>
    <row r="3464" spans="1:7">
      <c r="A3464" s="14" t="s">
        <v>4810</v>
      </c>
      <c r="B3464" s="12" t="s">
        <v>4722</v>
      </c>
      <c r="C3464" s="13" t="s">
        <v>126</v>
      </c>
      <c r="D3464" s="17">
        <v>1493.75</v>
      </c>
    </row>
    <row r="3465" spans="1:7">
      <c r="A3465" s="14" t="s">
        <v>4811</v>
      </c>
      <c r="B3465" s="12" t="s">
        <v>4724</v>
      </c>
      <c r="C3465" s="13" t="s">
        <v>126</v>
      </c>
      <c r="D3465" s="17">
        <v>2418.5</v>
      </c>
    </row>
    <row r="3466" spans="1:7">
      <c r="A3466" s="14" t="s">
        <v>4812</v>
      </c>
      <c r="B3466" s="12" t="s">
        <v>4726</v>
      </c>
      <c r="C3466" s="13" t="s">
        <v>126</v>
      </c>
      <c r="D3466" s="17">
        <v>3200.95</v>
      </c>
    </row>
    <row r="3467" ht="46.5" spans="1:7">
      <c r="A3467" s="18">
        <v>18.91</v>
      </c>
      <c r="B3467" s="15" t="s">
        <v>4699</v>
      </c>
      <c r="C3467" s="13"/>
      <c r="D3467" s="16"/>
      <c r="E3467" s="5" t="s">
        <v>8</v>
      </c>
    </row>
    <row r="3468" spans="1:7">
      <c r="A3468" s="14"/>
      <c r="B3468" s="15" t="s">
        <v>4813</v>
      </c>
      <c r="C3468" s="13"/>
      <c r="D3468" s="16"/>
      <c r="E3468" s="5" t="s">
        <v>8</v>
      </c>
    </row>
    <row r="3469" spans="1:7">
      <c r="A3469" s="14" t="s">
        <v>4814</v>
      </c>
      <c r="B3469" s="12" t="s">
        <v>4815</v>
      </c>
      <c r="C3469" s="13" t="s">
        <v>126</v>
      </c>
      <c r="D3469" s="17">
        <v>223.35</v>
      </c>
      <c r="E3469" s="5" t="s">
        <v>8</v>
      </c>
      <c r="F3469" s="6">
        <v>171.9</v>
      </c>
      <c r="G3469" s="7">
        <f t="shared" ref="G3469:G3474" si="445">(D3469-F3469)/F3469</f>
        <v>0.299301919720768</v>
      </c>
    </row>
    <row r="3470" spans="1:7">
      <c r="A3470" s="14" t="s">
        <v>4816</v>
      </c>
      <c r="B3470" s="12" t="s">
        <v>4732</v>
      </c>
      <c r="C3470" s="13" t="s">
        <v>126</v>
      </c>
      <c r="D3470" s="17">
        <v>304.45</v>
      </c>
      <c r="E3470" s="5" t="s">
        <v>8</v>
      </c>
      <c r="F3470" s="6">
        <v>221.85</v>
      </c>
      <c r="G3470" s="7">
        <f t="shared" si="445"/>
        <v>0.372323642100518</v>
      </c>
    </row>
    <row r="3471" spans="1:7">
      <c r="A3471" s="14" t="s">
        <v>4817</v>
      </c>
      <c r="B3471" s="12" t="s">
        <v>4734</v>
      </c>
      <c r="C3471" s="13" t="s">
        <v>126</v>
      </c>
      <c r="D3471" s="17">
        <v>318.65</v>
      </c>
      <c r="E3471" s="5" t="s">
        <v>8</v>
      </c>
      <c r="F3471" s="6">
        <v>256.7</v>
      </c>
      <c r="G3471" s="7">
        <f t="shared" si="445"/>
        <v>0.241332294507207</v>
      </c>
    </row>
    <row r="3472" spans="1:7">
      <c r="A3472" s="14" t="s">
        <v>4818</v>
      </c>
      <c r="B3472" s="12" t="s">
        <v>4738</v>
      </c>
      <c r="C3472" s="13" t="s">
        <v>126</v>
      </c>
      <c r="D3472" s="17">
        <v>426.8</v>
      </c>
      <c r="E3472" s="5" t="s">
        <v>8</v>
      </c>
      <c r="F3472" s="6">
        <v>333.35</v>
      </c>
      <c r="G3472" s="7">
        <f t="shared" si="445"/>
        <v>0.28033598320084</v>
      </c>
    </row>
    <row r="3473" spans="1:7">
      <c r="A3473" s="14" t="s">
        <v>4819</v>
      </c>
      <c r="B3473" s="12" t="s">
        <v>4740</v>
      </c>
      <c r="C3473" s="13" t="s">
        <v>126</v>
      </c>
      <c r="D3473" s="17">
        <v>512.15</v>
      </c>
      <c r="E3473" s="5" t="s">
        <v>8</v>
      </c>
      <c r="F3473" s="6">
        <v>459.95</v>
      </c>
      <c r="G3473" s="7">
        <f t="shared" si="445"/>
        <v>0.113490596804</v>
      </c>
    </row>
    <row r="3474" spans="1:7">
      <c r="A3474" s="14" t="s">
        <v>4820</v>
      </c>
      <c r="B3474" s="12" t="s">
        <v>4748</v>
      </c>
      <c r="C3474" s="13" t="s">
        <v>126</v>
      </c>
      <c r="D3474" s="17">
        <v>554.8</v>
      </c>
      <c r="E3474" s="5" t="s">
        <v>8</v>
      </c>
      <c r="F3474" s="6">
        <v>207.9</v>
      </c>
      <c r="G3474" s="7">
        <f t="shared" si="445"/>
        <v>1.66859066859067</v>
      </c>
    </row>
    <row r="3475" ht="46.5" spans="1:7">
      <c r="A3475" s="18">
        <v>18.92</v>
      </c>
      <c r="B3475" s="15" t="s">
        <v>4699</v>
      </c>
      <c r="C3475" s="13"/>
      <c r="D3475" s="16"/>
      <c r="E3475" s="5" t="s">
        <v>8</v>
      </c>
    </row>
    <row r="3476" spans="1:7">
      <c r="A3476" s="14"/>
      <c r="B3476" s="15" t="s">
        <v>4821</v>
      </c>
      <c r="C3476" s="13"/>
      <c r="D3476" s="16"/>
      <c r="E3476" s="5" t="s">
        <v>8</v>
      </c>
    </row>
    <row r="3477" spans="1:7">
      <c r="A3477" s="14" t="s">
        <v>4822</v>
      </c>
      <c r="B3477" s="12" t="s">
        <v>4702</v>
      </c>
      <c r="C3477" s="13" t="s">
        <v>126</v>
      </c>
      <c r="D3477" s="17">
        <v>197.75</v>
      </c>
      <c r="E3477" s="5" t="s">
        <v>8</v>
      </c>
      <c r="F3477" s="6">
        <v>184.7</v>
      </c>
      <c r="G3477" s="7">
        <f t="shared" ref="G3477:G3482" si="446">(D3477-F3477)/F3477</f>
        <v>0.0706551164049811</v>
      </c>
    </row>
    <row r="3478" spans="1:7">
      <c r="A3478" s="14" t="s">
        <v>4823</v>
      </c>
      <c r="B3478" s="12" t="s">
        <v>4704</v>
      </c>
      <c r="C3478" s="13" t="s">
        <v>126</v>
      </c>
      <c r="D3478" s="17">
        <v>300.2</v>
      </c>
      <c r="E3478" s="5" t="s">
        <v>8</v>
      </c>
      <c r="F3478" s="6">
        <v>268.3</v>
      </c>
      <c r="G3478" s="7">
        <f t="shared" si="446"/>
        <v>0.118896757361163</v>
      </c>
    </row>
    <row r="3479" spans="1:7">
      <c r="A3479" s="14" t="s">
        <v>4824</v>
      </c>
      <c r="B3479" s="12" t="s">
        <v>4706</v>
      </c>
      <c r="C3479" s="13" t="s">
        <v>126</v>
      </c>
      <c r="D3479" s="17">
        <v>466.6</v>
      </c>
      <c r="E3479" s="5" t="s">
        <v>8</v>
      </c>
      <c r="F3479" s="6">
        <v>317.1</v>
      </c>
      <c r="G3479" s="7">
        <f t="shared" si="446"/>
        <v>0.471460107221697</v>
      </c>
    </row>
    <row r="3480" spans="1:7">
      <c r="A3480" s="14" t="s">
        <v>4825</v>
      </c>
      <c r="B3480" s="12" t="s">
        <v>4708</v>
      </c>
      <c r="C3480" s="13" t="s">
        <v>126</v>
      </c>
      <c r="D3480" s="17">
        <v>688.55</v>
      </c>
      <c r="E3480" s="5" t="s">
        <v>8</v>
      </c>
      <c r="F3480" s="6">
        <v>507.6</v>
      </c>
      <c r="G3480" s="7">
        <f t="shared" si="446"/>
        <v>0.356481481481481</v>
      </c>
    </row>
    <row r="3481" spans="1:7">
      <c r="A3481" s="14" t="s">
        <v>4826</v>
      </c>
      <c r="B3481" s="12" t="s">
        <v>4710</v>
      </c>
      <c r="C3481" s="13" t="s">
        <v>126</v>
      </c>
      <c r="D3481" s="17">
        <v>1088.3</v>
      </c>
      <c r="E3481" s="5" t="s">
        <v>8</v>
      </c>
      <c r="F3481" s="6">
        <v>793.3</v>
      </c>
      <c r="G3481" s="7">
        <f t="shared" si="446"/>
        <v>0.37186436404891</v>
      </c>
    </row>
    <row r="3482" spans="1:7">
      <c r="A3482" s="14" t="s">
        <v>4827</v>
      </c>
      <c r="B3482" s="12" t="s">
        <v>4712</v>
      </c>
      <c r="C3482" s="13" t="s">
        <v>126</v>
      </c>
      <c r="D3482" s="17">
        <v>1429.75</v>
      </c>
      <c r="E3482" s="5" t="s">
        <v>8</v>
      </c>
      <c r="F3482" s="6">
        <v>1030.25</v>
      </c>
      <c r="G3482" s="7">
        <f t="shared" si="446"/>
        <v>0.387769958747877</v>
      </c>
    </row>
    <row r="3483" ht="46.5" spans="1:7">
      <c r="A3483" s="18" t="s">
        <v>4828</v>
      </c>
      <c r="B3483" s="15" t="s">
        <v>4714</v>
      </c>
      <c r="C3483" s="13"/>
      <c r="D3483" s="16"/>
    </row>
    <row r="3484" spans="1:7">
      <c r="A3484" s="14"/>
      <c r="B3484" s="15" t="s">
        <v>4821</v>
      </c>
      <c r="C3484" s="13"/>
      <c r="D3484" s="16"/>
    </row>
    <row r="3485" spans="1:7">
      <c r="A3485" s="14" t="s">
        <v>4829</v>
      </c>
      <c r="B3485" s="12" t="s">
        <v>4716</v>
      </c>
      <c r="C3485" s="13" t="s">
        <v>126</v>
      </c>
      <c r="D3485" s="17">
        <v>796.7</v>
      </c>
    </row>
    <row r="3486" spans="1:7">
      <c r="A3486" s="14" t="s">
        <v>4830</v>
      </c>
      <c r="B3486" s="12" t="s">
        <v>4718</v>
      </c>
      <c r="C3486" s="13" t="s">
        <v>126</v>
      </c>
      <c r="D3486" s="17">
        <v>931.85</v>
      </c>
    </row>
    <row r="3487" spans="1:7">
      <c r="A3487" s="14" t="s">
        <v>4831</v>
      </c>
      <c r="B3487" s="12" t="s">
        <v>4720</v>
      </c>
      <c r="C3487" s="13" t="s">
        <v>126</v>
      </c>
      <c r="D3487" s="17">
        <v>1145.25</v>
      </c>
    </row>
    <row r="3488" spans="1:7">
      <c r="A3488" s="14" t="s">
        <v>4832</v>
      </c>
      <c r="B3488" s="12" t="s">
        <v>4722</v>
      </c>
      <c r="C3488" s="13" t="s">
        <v>126</v>
      </c>
      <c r="D3488" s="17">
        <v>1422.65</v>
      </c>
    </row>
    <row r="3489" spans="1:7">
      <c r="A3489" s="14" t="s">
        <v>4833</v>
      </c>
      <c r="B3489" s="12" t="s">
        <v>4724</v>
      </c>
      <c r="C3489" s="13" t="s">
        <v>126</v>
      </c>
      <c r="D3489" s="17">
        <v>1991.7</v>
      </c>
    </row>
    <row r="3490" spans="1:7">
      <c r="A3490" s="14" t="s">
        <v>4834</v>
      </c>
      <c r="B3490" s="12" t="s">
        <v>4726</v>
      </c>
      <c r="C3490" s="13" t="s">
        <v>126</v>
      </c>
      <c r="D3490" s="17">
        <v>2390.05</v>
      </c>
    </row>
    <row r="3491" ht="46.5" spans="1:7">
      <c r="A3491" s="18">
        <v>18.93</v>
      </c>
      <c r="B3491" s="15" t="s">
        <v>4699</v>
      </c>
      <c r="C3491" s="13"/>
      <c r="D3491" s="16"/>
      <c r="E3491" s="5" t="s">
        <v>8</v>
      </c>
    </row>
    <row r="3492" spans="1:7">
      <c r="A3492" s="14"/>
      <c r="B3492" s="15" t="s">
        <v>4835</v>
      </c>
      <c r="C3492" s="13"/>
      <c r="D3492" s="16"/>
      <c r="E3492" s="5" t="s">
        <v>8</v>
      </c>
    </row>
    <row r="3493" spans="1:7">
      <c r="A3493" s="14" t="s">
        <v>4836</v>
      </c>
      <c r="B3493" s="12" t="s">
        <v>4730</v>
      </c>
      <c r="C3493" s="13" t="s">
        <v>126</v>
      </c>
      <c r="D3493" s="17">
        <v>268.85</v>
      </c>
      <c r="E3493" s="5" t="s">
        <v>8</v>
      </c>
      <c r="F3493" s="6">
        <v>207.9</v>
      </c>
      <c r="G3493" s="7">
        <f t="shared" ref="G3493:G3507" si="447">(D3493-F3493)/F3493</f>
        <v>0.293169793169793</v>
      </c>
    </row>
    <row r="3494" spans="1:7">
      <c r="A3494" s="14" t="s">
        <v>4837</v>
      </c>
      <c r="B3494" s="12" t="s">
        <v>4732</v>
      </c>
      <c r="C3494" s="13" t="s">
        <v>126</v>
      </c>
      <c r="D3494" s="17">
        <v>357.1</v>
      </c>
      <c r="E3494" s="5" t="s">
        <v>8</v>
      </c>
      <c r="F3494" s="6">
        <v>317.1</v>
      </c>
      <c r="G3494" s="7">
        <f t="shared" si="447"/>
        <v>0.126143172500788</v>
      </c>
    </row>
    <row r="3495" spans="1:7">
      <c r="A3495" s="14" t="s">
        <v>4838</v>
      </c>
      <c r="B3495" s="12" t="s">
        <v>4734</v>
      </c>
      <c r="C3495" s="13" t="s">
        <v>126</v>
      </c>
      <c r="D3495" s="17">
        <v>362.75</v>
      </c>
      <c r="E3495" s="5" t="s">
        <v>8</v>
      </c>
      <c r="F3495" s="6">
        <v>317.1</v>
      </c>
      <c r="G3495" s="7">
        <f t="shared" si="447"/>
        <v>0.143960895616525</v>
      </c>
    </row>
    <row r="3496" spans="1:7">
      <c r="A3496" s="14" t="s">
        <v>4839</v>
      </c>
      <c r="B3496" s="12" t="s">
        <v>4736</v>
      </c>
      <c r="C3496" s="13" t="s">
        <v>126</v>
      </c>
      <c r="D3496" s="17">
        <v>633.1</v>
      </c>
      <c r="E3496" s="5" t="s">
        <v>8</v>
      </c>
      <c r="F3496" s="6">
        <v>507.6</v>
      </c>
      <c r="G3496" s="7">
        <f t="shared" si="447"/>
        <v>0.247241922773838</v>
      </c>
    </row>
    <row r="3497" spans="1:7">
      <c r="A3497" s="14" t="s">
        <v>4840</v>
      </c>
      <c r="B3497" s="12" t="s">
        <v>4738</v>
      </c>
      <c r="C3497" s="13" t="s">
        <v>126</v>
      </c>
      <c r="D3497" s="17">
        <v>654.4</v>
      </c>
      <c r="E3497" s="5" t="s">
        <v>8</v>
      </c>
      <c r="F3497" s="6">
        <v>507.6</v>
      </c>
      <c r="G3497" s="7">
        <f t="shared" si="447"/>
        <v>0.289204097714736</v>
      </c>
    </row>
    <row r="3498" spans="1:7">
      <c r="A3498" s="14" t="s">
        <v>4841</v>
      </c>
      <c r="B3498" s="12" t="s">
        <v>4740</v>
      </c>
      <c r="C3498" s="13" t="s">
        <v>126</v>
      </c>
      <c r="D3498" s="17">
        <v>675.75</v>
      </c>
      <c r="E3498" s="5" t="s">
        <v>8</v>
      </c>
      <c r="F3498" s="6">
        <v>507.6</v>
      </c>
      <c r="G3498" s="7">
        <f t="shared" si="447"/>
        <v>0.331264775413712</v>
      </c>
    </row>
    <row r="3499" spans="1:7">
      <c r="A3499" s="14" t="s">
        <v>4842</v>
      </c>
      <c r="B3499" s="12" t="s">
        <v>4742</v>
      </c>
      <c r="C3499" s="13" t="s">
        <v>126</v>
      </c>
      <c r="D3499" s="17">
        <v>1045.65</v>
      </c>
      <c r="E3499" s="5" t="s">
        <v>8</v>
      </c>
      <c r="F3499" s="6">
        <v>793</v>
      </c>
      <c r="G3499" s="7">
        <f t="shared" si="447"/>
        <v>0.31860025220681</v>
      </c>
    </row>
    <row r="3500" spans="1:7">
      <c r="A3500" s="14" t="s">
        <v>4843</v>
      </c>
      <c r="B3500" s="12" t="s">
        <v>4744</v>
      </c>
      <c r="C3500" s="13" t="s">
        <v>126</v>
      </c>
      <c r="D3500" s="17">
        <v>1066.95</v>
      </c>
      <c r="E3500" s="5" t="s">
        <v>8</v>
      </c>
      <c r="F3500" s="6">
        <v>793</v>
      </c>
      <c r="G3500" s="7">
        <f t="shared" si="447"/>
        <v>0.345460277427491</v>
      </c>
    </row>
    <row r="3501" spans="1:7">
      <c r="A3501" s="14" t="s">
        <v>4844</v>
      </c>
      <c r="B3501" s="12" t="s">
        <v>4746</v>
      </c>
      <c r="C3501" s="13" t="s">
        <v>126</v>
      </c>
      <c r="D3501" s="17">
        <v>1095.45</v>
      </c>
      <c r="E3501" s="5" t="s">
        <v>8</v>
      </c>
      <c r="F3501" s="6">
        <v>793</v>
      </c>
      <c r="G3501" s="7">
        <f t="shared" si="447"/>
        <v>0.38139974779319</v>
      </c>
    </row>
    <row r="3502" spans="1:7">
      <c r="A3502" s="14" t="s">
        <v>4845</v>
      </c>
      <c r="B3502" s="12" t="s">
        <v>4748</v>
      </c>
      <c r="C3502" s="13" t="s">
        <v>126</v>
      </c>
      <c r="D3502" s="17">
        <v>1123.9</v>
      </c>
      <c r="E3502" s="5" t="s">
        <v>8</v>
      </c>
      <c r="F3502" s="6">
        <v>793</v>
      </c>
      <c r="G3502" s="7">
        <f t="shared" si="447"/>
        <v>0.417276166456494</v>
      </c>
    </row>
    <row r="3503" spans="1:7">
      <c r="A3503" s="14" t="s">
        <v>4846</v>
      </c>
      <c r="B3503" s="12" t="s">
        <v>4750</v>
      </c>
      <c r="C3503" s="13" t="s">
        <v>126</v>
      </c>
      <c r="D3503" s="17">
        <v>1280.35</v>
      </c>
      <c r="E3503" s="5" t="s">
        <v>8</v>
      </c>
      <c r="F3503" s="6">
        <v>1030.25</v>
      </c>
      <c r="G3503" s="7">
        <f t="shared" si="447"/>
        <v>0.242756612472701</v>
      </c>
    </row>
    <row r="3504" spans="1:7">
      <c r="A3504" s="14" t="s">
        <v>4847</v>
      </c>
      <c r="B3504" s="12" t="s">
        <v>4752</v>
      </c>
      <c r="C3504" s="13" t="s">
        <v>126</v>
      </c>
      <c r="D3504" s="17">
        <v>1296</v>
      </c>
      <c r="E3504" s="5" t="s">
        <v>8</v>
      </c>
      <c r="F3504" s="6">
        <v>1030.25</v>
      </c>
      <c r="G3504" s="7">
        <f t="shared" si="447"/>
        <v>0.257947100218394</v>
      </c>
    </row>
    <row r="3505" spans="1:7">
      <c r="A3505" s="14" t="s">
        <v>4848</v>
      </c>
      <c r="B3505" s="12" t="s">
        <v>4754</v>
      </c>
      <c r="C3505" s="13" t="s">
        <v>126</v>
      </c>
      <c r="D3505" s="17">
        <v>1320.2</v>
      </c>
      <c r="E3505" s="5" t="s">
        <v>8</v>
      </c>
      <c r="F3505" s="6">
        <v>1030.25</v>
      </c>
      <c r="G3505" s="7">
        <f t="shared" si="447"/>
        <v>0.281436544528027</v>
      </c>
    </row>
    <row r="3506" spans="1:7">
      <c r="A3506" s="14" t="s">
        <v>4849</v>
      </c>
      <c r="B3506" s="12" t="s">
        <v>4756</v>
      </c>
      <c r="C3506" s="13" t="s">
        <v>126</v>
      </c>
      <c r="D3506" s="17">
        <v>1372.85</v>
      </c>
      <c r="E3506" s="5" t="s">
        <v>8</v>
      </c>
      <c r="F3506" s="6">
        <v>1030.25</v>
      </c>
      <c r="G3506" s="7">
        <f t="shared" si="447"/>
        <v>0.332540645474399</v>
      </c>
    </row>
    <row r="3507" spans="1:7">
      <c r="A3507" s="14" t="s">
        <v>4850</v>
      </c>
      <c r="B3507" s="12" t="s">
        <v>4758</v>
      </c>
      <c r="C3507" s="13" t="s">
        <v>126</v>
      </c>
      <c r="D3507" s="17">
        <v>1401.3</v>
      </c>
      <c r="E3507" s="5" t="s">
        <v>8</v>
      </c>
      <c r="F3507" s="6">
        <v>1030.25</v>
      </c>
      <c r="G3507" s="7">
        <f t="shared" si="447"/>
        <v>0.360155302111138</v>
      </c>
    </row>
    <row r="3508" ht="46.5" spans="1:7">
      <c r="A3508" s="18" t="s">
        <v>4851</v>
      </c>
      <c r="B3508" s="15" t="s">
        <v>4714</v>
      </c>
      <c r="C3508" s="13"/>
      <c r="D3508" s="16"/>
    </row>
    <row r="3509" spans="1:7">
      <c r="A3509" s="14"/>
      <c r="B3509" s="15" t="s">
        <v>4835</v>
      </c>
      <c r="C3509" s="13"/>
      <c r="D3509" s="16"/>
    </row>
    <row r="3510" spans="1:7">
      <c r="A3510" s="14" t="s">
        <v>4852</v>
      </c>
      <c r="B3510" s="12" t="s">
        <v>4853</v>
      </c>
      <c r="C3510" s="13" t="s">
        <v>126</v>
      </c>
      <c r="D3510" s="17">
        <v>910.5</v>
      </c>
    </row>
    <row r="3511" spans="1:7">
      <c r="A3511" s="14" t="s">
        <v>4854</v>
      </c>
      <c r="B3511" s="12" t="s">
        <v>4764</v>
      </c>
      <c r="C3511" s="13" t="s">
        <v>126</v>
      </c>
      <c r="D3511" s="17">
        <v>1131</v>
      </c>
    </row>
    <row r="3512" spans="1:7">
      <c r="A3512" s="14" t="s">
        <v>4855</v>
      </c>
      <c r="B3512" s="12" t="s">
        <v>4766</v>
      </c>
      <c r="C3512" s="13" t="s">
        <v>126</v>
      </c>
      <c r="D3512" s="17">
        <v>1138.1</v>
      </c>
    </row>
    <row r="3513" spans="1:7">
      <c r="A3513" s="14" t="s">
        <v>4856</v>
      </c>
      <c r="B3513" s="12" t="s">
        <v>4857</v>
      </c>
      <c r="C3513" s="13" t="s">
        <v>126</v>
      </c>
      <c r="D3513" s="17">
        <v>1429.75</v>
      </c>
    </row>
    <row r="3514" spans="1:7">
      <c r="A3514" s="14" t="s">
        <v>4858</v>
      </c>
      <c r="B3514" s="12" t="s">
        <v>4768</v>
      </c>
      <c r="C3514" s="13" t="s">
        <v>126</v>
      </c>
      <c r="D3514" s="17">
        <v>1436.85</v>
      </c>
    </row>
    <row r="3515" spans="1:7">
      <c r="A3515" s="14" t="s">
        <v>4859</v>
      </c>
      <c r="B3515" s="12" t="s">
        <v>4770</v>
      </c>
      <c r="C3515" s="13" t="s">
        <v>126</v>
      </c>
      <c r="D3515" s="17">
        <v>1451.1</v>
      </c>
    </row>
    <row r="3516" spans="1:7">
      <c r="A3516" s="14" t="s">
        <v>4860</v>
      </c>
      <c r="B3516" s="12" t="s">
        <v>4772</v>
      </c>
      <c r="C3516" s="13" t="s">
        <v>126</v>
      </c>
      <c r="D3516" s="17">
        <v>2013.05</v>
      </c>
    </row>
    <row r="3517" spans="1:7">
      <c r="A3517" s="14" t="s">
        <v>4861</v>
      </c>
      <c r="B3517" s="12" t="s">
        <v>4774</v>
      </c>
      <c r="C3517" s="13" t="s">
        <v>126</v>
      </c>
      <c r="D3517" s="17">
        <v>2034.35</v>
      </c>
    </row>
    <row r="3518" spans="1:7">
      <c r="A3518" s="14" t="s">
        <v>4862</v>
      </c>
      <c r="B3518" s="12" t="s">
        <v>4776</v>
      </c>
      <c r="C3518" s="13" t="s">
        <v>126</v>
      </c>
      <c r="D3518" s="17">
        <v>2048.6</v>
      </c>
    </row>
    <row r="3519" spans="1:7">
      <c r="A3519" s="14" t="s">
        <v>4863</v>
      </c>
      <c r="B3519" s="12" t="s">
        <v>4864</v>
      </c>
      <c r="C3519" s="13" t="s">
        <v>126</v>
      </c>
      <c r="D3519" s="17">
        <v>2390.05</v>
      </c>
    </row>
    <row r="3520" spans="1:7">
      <c r="A3520" s="14" t="s">
        <v>4865</v>
      </c>
      <c r="B3520" s="12" t="s">
        <v>4778</v>
      </c>
      <c r="C3520" s="13" t="s">
        <v>126</v>
      </c>
      <c r="D3520" s="17">
        <v>2446.95</v>
      </c>
    </row>
    <row r="3521" spans="1:7">
      <c r="A3521" s="14" t="s">
        <v>4866</v>
      </c>
      <c r="B3521" s="12" t="s">
        <v>4780</v>
      </c>
      <c r="C3521" s="13" t="s">
        <v>126</v>
      </c>
      <c r="D3521" s="17">
        <v>2468.25</v>
      </c>
    </row>
    <row r="3522" spans="1:7">
      <c r="A3522" s="14" t="s">
        <v>4867</v>
      </c>
      <c r="B3522" s="12" t="s">
        <v>4782</v>
      </c>
      <c r="C3522" s="13" t="s">
        <v>126</v>
      </c>
      <c r="D3522" s="17">
        <v>2496.75</v>
      </c>
    </row>
    <row r="3523" ht="46.5" spans="1:7">
      <c r="A3523" s="18">
        <v>18.94</v>
      </c>
      <c r="B3523" s="15" t="s">
        <v>4699</v>
      </c>
      <c r="C3523" s="13"/>
      <c r="D3523" s="16"/>
      <c r="E3523" s="5" t="s">
        <v>8</v>
      </c>
    </row>
    <row r="3524" spans="1:7">
      <c r="A3524" s="14"/>
      <c r="B3524" s="15" t="s">
        <v>4868</v>
      </c>
      <c r="C3524" s="13"/>
      <c r="D3524" s="16"/>
      <c r="E3524" s="5" t="s">
        <v>8</v>
      </c>
    </row>
    <row r="3525" spans="1:7">
      <c r="A3525" s="14" t="s">
        <v>4869</v>
      </c>
      <c r="B3525" s="12" t="s">
        <v>4870</v>
      </c>
      <c r="C3525" s="13" t="s">
        <v>126</v>
      </c>
      <c r="D3525" s="17">
        <v>291.65</v>
      </c>
      <c r="E3525" s="5" t="s">
        <v>8</v>
      </c>
      <c r="F3525" s="6">
        <v>207.9</v>
      </c>
      <c r="G3525" s="7">
        <f t="shared" ref="G3525:G3545" si="448">(D3525-F3525)/F3525</f>
        <v>0.402837902837903</v>
      </c>
    </row>
    <row r="3526" spans="1:7">
      <c r="A3526" s="14" t="s">
        <v>4871</v>
      </c>
      <c r="B3526" s="12" t="s">
        <v>4872</v>
      </c>
      <c r="C3526" s="13" t="s">
        <v>126</v>
      </c>
      <c r="D3526" s="17">
        <v>334.3</v>
      </c>
      <c r="E3526" s="5" t="s">
        <v>8</v>
      </c>
      <c r="F3526" s="6">
        <v>232.3</v>
      </c>
      <c r="G3526" s="7">
        <f t="shared" si="448"/>
        <v>0.43908738699957</v>
      </c>
    </row>
    <row r="3527" spans="1:7">
      <c r="A3527" s="14" t="s">
        <v>4873</v>
      </c>
      <c r="B3527" s="12" t="s">
        <v>4874</v>
      </c>
      <c r="C3527" s="13" t="s">
        <v>126</v>
      </c>
      <c r="D3527" s="17">
        <v>355.65</v>
      </c>
      <c r="E3527" s="5" t="s">
        <v>8</v>
      </c>
      <c r="F3527" s="6">
        <v>238.1</v>
      </c>
      <c r="G3527" s="7">
        <f t="shared" si="448"/>
        <v>0.49370012599748</v>
      </c>
    </row>
    <row r="3528" spans="1:7">
      <c r="A3528" s="14" t="s">
        <v>4875</v>
      </c>
      <c r="B3528" s="12" t="s">
        <v>4876</v>
      </c>
      <c r="C3528" s="13" t="s">
        <v>126</v>
      </c>
      <c r="D3528" s="17">
        <v>448.15</v>
      </c>
      <c r="E3528" s="5" t="s">
        <v>8</v>
      </c>
      <c r="F3528" s="6">
        <v>317.1</v>
      </c>
      <c r="G3528" s="7">
        <f t="shared" si="448"/>
        <v>0.413276568905708</v>
      </c>
    </row>
    <row r="3529" spans="1:7">
      <c r="A3529" s="14" t="s">
        <v>4877</v>
      </c>
      <c r="B3529" s="12" t="s">
        <v>4878</v>
      </c>
      <c r="C3529" s="13" t="s">
        <v>126</v>
      </c>
      <c r="D3529" s="17">
        <v>462.35</v>
      </c>
      <c r="E3529" s="5" t="s">
        <v>8</v>
      </c>
      <c r="F3529" s="6">
        <v>317.1</v>
      </c>
      <c r="G3529" s="7">
        <f t="shared" si="448"/>
        <v>0.458057395143488</v>
      </c>
    </row>
    <row r="3530" spans="1:7">
      <c r="A3530" s="14" t="s">
        <v>4879</v>
      </c>
      <c r="B3530" s="12" t="s">
        <v>4880</v>
      </c>
      <c r="C3530" s="13" t="s">
        <v>126</v>
      </c>
      <c r="D3530" s="17">
        <v>476.6</v>
      </c>
      <c r="E3530" s="5" t="s">
        <v>8</v>
      </c>
      <c r="F3530" s="6">
        <v>317.1</v>
      </c>
      <c r="G3530" s="7">
        <f t="shared" si="448"/>
        <v>0.502995900346894</v>
      </c>
    </row>
    <row r="3531" spans="1:7">
      <c r="A3531" s="14" t="s">
        <v>4881</v>
      </c>
      <c r="B3531" s="12" t="s">
        <v>4882</v>
      </c>
      <c r="C3531" s="13" t="s">
        <v>126</v>
      </c>
      <c r="D3531" s="17">
        <v>661.5</v>
      </c>
      <c r="E3531" s="5" t="s">
        <v>8</v>
      </c>
      <c r="F3531" s="6">
        <v>507.6</v>
      </c>
      <c r="G3531" s="7">
        <f t="shared" si="448"/>
        <v>0.303191489361702</v>
      </c>
    </row>
    <row r="3532" spans="1:7">
      <c r="A3532" s="14" t="s">
        <v>4883</v>
      </c>
      <c r="B3532" s="12" t="s">
        <v>4884</v>
      </c>
      <c r="C3532" s="13" t="s">
        <v>126</v>
      </c>
      <c r="D3532" s="17">
        <v>675.75</v>
      </c>
      <c r="E3532" s="5" t="s">
        <v>8</v>
      </c>
      <c r="F3532" s="6">
        <v>507.6</v>
      </c>
      <c r="G3532" s="7">
        <f t="shared" si="448"/>
        <v>0.331264775413712</v>
      </c>
    </row>
    <row r="3533" spans="1:7">
      <c r="A3533" s="14" t="s">
        <v>4885</v>
      </c>
      <c r="B3533" s="12" t="s">
        <v>4886</v>
      </c>
      <c r="C3533" s="13" t="s">
        <v>126</v>
      </c>
      <c r="D3533" s="17">
        <v>704.2</v>
      </c>
      <c r="E3533" s="5" t="s">
        <v>8</v>
      </c>
      <c r="F3533" s="6">
        <v>507.6</v>
      </c>
      <c r="G3533" s="7">
        <f t="shared" si="448"/>
        <v>0.387312844759653</v>
      </c>
    </row>
    <row r="3534" spans="1:7">
      <c r="A3534" s="14" t="s">
        <v>4887</v>
      </c>
      <c r="B3534" s="12" t="s">
        <v>4888</v>
      </c>
      <c r="C3534" s="13" t="s">
        <v>126</v>
      </c>
      <c r="D3534" s="17">
        <v>732.65</v>
      </c>
      <c r="E3534" s="5" t="s">
        <v>8</v>
      </c>
      <c r="F3534" s="6">
        <v>507.6</v>
      </c>
      <c r="G3534" s="7">
        <f t="shared" si="448"/>
        <v>0.443360914105595</v>
      </c>
    </row>
    <row r="3535" spans="1:7">
      <c r="A3535" s="14" t="s">
        <v>4889</v>
      </c>
      <c r="B3535" s="12" t="s">
        <v>4890</v>
      </c>
      <c r="C3535" s="13" t="s">
        <v>126</v>
      </c>
      <c r="D3535" s="17">
        <v>1010.05</v>
      </c>
      <c r="E3535" s="5" t="s">
        <v>8</v>
      </c>
      <c r="F3535" s="6">
        <v>793.3</v>
      </c>
      <c r="G3535" s="7">
        <f t="shared" si="448"/>
        <v>0.273225765788479</v>
      </c>
    </row>
    <row r="3536" spans="1:7">
      <c r="A3536" s="14" t="s">
        <v>4891</v>
      </c>
      <c r="B3536" s="12" t="s">
        <v>4892</v>
      </c>
      <c r="C3536" s="13" t="s">
        <v>126</v>
      </c>
      <c r="D3536" s="17">
        <v>1031.4</v>
      </c>
      <c r="E3536" s="5" t="s">
        <v>8</v>
      </c>
      <c r="F3536" s="6">
        <v>793.3</v>
      </c>
      <c r="G3536" s="7">
        <f t="shared" si="448"/>
        <v>0.30013866128829</v>
      </c>
    </row>
    <row r="3537" spans="1:7">
      <c r="A3537" s="14" t="s">
        <v>4893</v>
      </c>
      <c r="B3537" s="12" t="s">
        <v>4894</v>
      </c>
      <c r="C3537" s="13" t="s">
        <v>126</v>
      </c>
      <c r="D3537" s="17">
        <v>1088.3</v>
      </c>
      <c r="E3537" s="5" t="s">
        <v>8</v>
      </c>
      <c r="F3537" s="6">
        <v>793.3</v>
      </c>
      <c r="G3537" s="7">
        <f t="shared" si="448"/>
        <v>0.37186436404891</v>
      </c>
    </row>
    <row r="3538" spans="1:7">
      <c r="A3538" s="14" t="s">
        <v>4895</v>
      </c>
      <c r="B3538" s="12" t="s">
        <v>4896</v>
      </c>
      <c r="C3538" s="13" t="s">
        <v>126</v>
      </c>
      <c r="D3538" s="17">
        <v>1131</v>
      </c>
      <c r="E3538" s="5" t="s">
        <v>8</v>
      </c>
      <c r="F3538" s="6">
        <v>793.3</v>
      </c>
      <c r="G3538" s="7">
        <f t="shared" si="448"/>
        <v>0.425690155048532</v>
      </c>
    </row>
    <row r="3539" spans="1:7">
      <c r="A3539" s="14" t="s">
        <v>4897</v>
      </c>
      <c r="B3539" s="12" t="s">
        <v>4898</v>
      </c>
      <c r="C3539" s="13" t="s">
        <v>126</v>
      </c>
      <c r="D3539" s="17">
        <v>1173.65</v>
      </c>
      <c r="E3539" s="5" t="s">
        <v>8</v>
      </c>
      <c r="F3539" s="6">
        <v>793.3</v>
      </c>
      <c r="G3539" s="7">
        <f t="shared" si="448"/>
        <v>0.47945291818984</v>
      </c>
    </row>
    <row r="3540" spans="1:7">
      <c r="A3540" s="14" t="s">
        <v>4899</v>
      </c>
      <c r="B3540" s="12" t="s">
        <v>4900</v>
      </c>
      <c r="C3540" s="13" t="s">
        <v>126</v>
      </c>
      <c r="D3540" s="17">
        <v>1415.55</v>
      </c>
      <c r="E3540" s="5" t="s">
        <v>8</v>
      </c>
      <c r="F3540" s="6">
        <v>1030.25</v>
      </c>
      <c r="G3540" s="7">
        <f t="shared" si="448"/>
        <v>0.373986896384373</v>
      </c>
    </row>
    <row r="3541" spans="1:7">
      <c r="A3541" s="14" t="s">
        <v>4901</v>
      </c>
      <c r="B3541" s="12" t="s">
        <v>4902</v>
      </c>
      <c r="C3541" s="13" t="s">
        <v>126</v>
      </c>
      <c r="D3541" s="17">
        <v>1442.55</v>
      </c>
      <c r="E3541" s="5" t="s">
        <v>8</v>
      </c>
      <c r="F3541" s="6">
        <v>1030.25</v>
      </c>
      <c r="G3541" s="7">
        <f t="shared" si="448"/>
        <v>0.400194127638923</v>
      </c>
    </row>
    <row r="3542" spans="1:7">
      <c r="A3542" s="14" t="s">
        <v>4903</v>
      </c>
      <c r="B3542" s="12" t="s">
        <v>4904</v>
      </c>
      <c r="C3542" s="13" t="s">
        <v>126</v>
      </c>
      <c r="D3542" s="17">
        <v>1458.2</v>
      </c>
      <c r="E3542" s="5" t="s">
        <v>8</v>
      </c>
      <c r="F3542" s="6">
        <v>1030.25</v>
      </c>
      <c r="G3542" s="7">
        <f t="shared" si="448"/>
        <v>0.415384615384615</v>
      </c>
    </row>
    <row r="3543" spans="1:7">
      <c r="A3543" s="14" t="s">
        <v>4905</v>
      </c>
      <c r="B3543" s="12" t="s">
        <v>4906</v>
      </c>
      <c r="C3543" s="13" t="s">
        <v>126</v>
      </c>
      <c r="D3543" s="17">
        <v>1493.75</v>
      </c>
      <c r="E3543" s="5" t="s">
        <v>8</v>
      </c>
      <c r="F3543" s="6">
        <v>1030.25</v>
      </c>
      <c r="G3543" s="7">
        <f t="shared" si="448"/>
        <v>0.449890803203106</v>
      </c>
    </row>
    <row r="3544" spans="1:7">
      <c r="A3544" s="14" t="s">
        <v>4907</v>
      </c>
      <c r="B3544" s="12" t="s">
        <v>4908</v>
      </c>
      <c r="C3544" s="13" t="s">
        <v>126</v>
      </c>
      <c r="D3544" s="17">
        <v>1536.45</v>
      </c>
      <c r="E3544" s="5" t="s">
        <v>8</v>
      </c>
      <c r="F3544" s="6">
        <v>1030.25</v>
      </c>
      <c r="G3544" s="7">
        <f t="shared" si="448"/>
        <v>0.491337054113079</v>
      </c>
    </row>
    <row r="3545" spans="1:7">
      <c r="A3545" s="14" t="s">
        <v>4909</v>
      </c>
      <c r="B3545" s="12" t="s">
        <v>4910</v>
      </c>
      <c r="C3545" s="13" t="s">
        <v>126</v>
      </c>
      <c r="D3545" s="17">
        <v>1586.25</v>
      </c>
      <c r="E3545" s="5" t="s">
        <v>8</v>
      </c>
      <c r="F3545" s="6">
        <v>1030.25</v>
      </c>
      <c r="G3545" s="7">
        <f t="shared" si="448"/>
        <v>0.539674836204805</v>
      </c>
    </row>
    <row r="3546" ht="46.5" spans="1:7">
      <c r="A3546" s="18">
        <v>18.95</v>
      </c>
      <c r="B3546" s="15" t="s">
        <v>4699</v>
      </c>
      <c r="C3546" s="13"/>
      <c r="D3546" s="16"/>
      <c r="E3546" s="5" t="s">
        <v>8</v>
      </c>
    </row>
    <row r="3547" spans="1:7">
      <c r="A3547" s="14"/>
      <c r="B3547" s="15" t="s">
        <v>4911</v>
      </c>
      <c r="C3547" s="13"/>
      <c r="D3547" s="16"/>
      <c r="E3547" s="5" t="s">
        <v>8</v>
      </c>
    </row>
    <row r="3548" spans="1:7">
      <c r="A3548" s="14" t="s">
        <v>4912</v>
      </c>
      <c r="B3548" s="12" t="s">
        <v>4913</v>
      </c>
      <c r="C3548" s="13" t="s">
        <v>126</v>
      </c>
      <c r="D3548" s="17">
        <v>277.4</v>
      </c>
      <c r="E3548" s="5" t="s">
        <v>8</v>
      </c>
      <c r="F3548" s="6">
        <v>207.9</v>
      </c>
      <c r="G3548" s="7">
        <f t="shared" ref="G3548:G3568" si="449">(D3548-F3548)/F3548</f>
        <v>0.334295334295334</v>
      </c>
    </row>
    <row r="3549" spans="1:7">
      <c r="A3549" s="14" t="s">
        <v>4914</v>
      </c>
      <c r="B3549" s="12" t="s">
        <v>4872</v>
      </c>
      <c r="C3549" s="13" t="s">
        <v>126</v>
      </c>
      <c r="D3549" s="17">
        <v>305.85</v>
      </c>
      <c r="E3549" s="5" t="s">
        <v>8</v>
      </c>
      <c r="F3549" s="6">
        <v>232.3</v>
      </c>
      <c r="G3549" s="7">
        <f t="shared" si="449"/>
        <v>0.316616444253121</v>
      </c>
    </row>
    <row r="3550" spans="1:7">
      <c r="A3550" s="14" t="s">
        <v>4915</v>
      </c>
      <c r="B3550" s="12" t="s">
        <v>4874</v>
      </c>
      <c r="C3550" s="13" t="s">
        <v>126</v>
      </c>
      <c r="D3550" s="17">
        <v>320.1</v>
      </c>
      <c r="E3550" s="5" t="s">
        <v>8</v>
      </c>
      <c r="F3550" s="6">
        <v>232.3</v>
      </c>
      <c r="G3550" s="7">
        <f t="shared" si="449"/>
        <v>0.377959535083943</v>
      </c>
    </row>
    <row r="3551" spans="1:7">
      <c r="A3551" s="14" t="s">
        <v>4916</v>
      </c>
      <c r="B3551" s="12" t="s">
        <v>4876</v>
      </c>
      <c r="C3551" s="13" t="s">
        <v>126</v>
      </c>
      <c r="D3551" s="17">
        <v>405.45</v>
      </c>
      <c r="E3551" s="5" t="s">
        <v>8</v>
      </c>
      <c r="F3551" s="6">
        <v>317.1</v>
      </c>
      <c r="G3551" s="7">
        <f t="shared" si="449"/>
        <v>0.278618732261116</v>
      </c>
    </row>
    <row r="3552" spans="1:7">
      <c r="A3552" s="14" t="s">
        <v>4917</v>
      </c>
      <c r="B3552" s="12" t="s">
        <v>4878</v>
      </c>
      <c r="C3552" s="13" t="s">
        <v>126</v>
      </c>
      <c r="D3552" s="17">
        <v>419.7</v>
      </c>
      <c r="E3552" s="5" t="s">
        <v>8</v>
      </c>
      <c r="F3552" s="6">
        <v>317.1</v>
      </c>
      <c r="G3552" s="7">
        <f t="shared" si="449"/>
        <v>0.323557237464522</v>
      </c>
    </row>
    <row r="3553" spans="1:7">
      <c r="A3553" s="14" t="s">
        <v>4918</v>
      </c>
      <c r="B3553" s="12" t="s">
        <v>4880</v>
      </c>
      <c r="C3553" s="13" t="s">
        <v>126</v>
      </c>
      <c r="D3553" s="17">
        <v>433.9</v>
      </c>
      <c r="E3553" s="5" t="s">
        <v>8</v>
      </c>
      <c r="F3553" s="6">
        <v>317.1</v>
      </c>
      <c r="G3553" s="7">
        <f t="shared" si="449"/>
        <v>0.368338063702302</v>
      </c>
    </row>
    <row r="3554" spans="1:7">
      <c r="A3554" s="14" t="s">
        <v>4919</v>
      </c>
      <c r="B3554" s="12" t="s">
        <v>4882</v>
      </c>
      <c r="C3554" s="13" t="s">
        <v>126</v>
      </c>
      <c r="D3554" s="17">
        <v>647.3</v>
      </c>
      <c r="E3554" s="5" t="s">
        <v>8</v>
      </c>
      <c r="F3554" s="6">
        <v>507.6</v>
      </c>
      <c r="G3554" s="7">
        <f t="shared" si="449"/>
        <v>0.27521670606777</v>
      </c>
    </row>
    <row r="3555" spans="1:7">
      <c r="A3555" s="14" t="s">
        <v>4920</v>
      </c>
      <c r="B3555" s="12" t="s">
        <v>4884</v>
      </c>
      <c r="C3555" s="13" t="s">
        <v>126</v>
      </c>
      <c r="D3555" s="17">
        <v>690</v>
      </c>
      <c r="E3555" s="5" t="s">
        <v>8</v>
      </c>
      <c r="F3555" s="6">
        <v>507.6</v>
      </c>
      <c r="G3555" s="7">
        <f t="shared" si="449"/>
        <v>0.359338061465721</v>
      </c>
    </row>
    <row r="3556" spans="1:7">
      <c r="A3556" s="14" t="s">
        <v>4921</v>
      </c>
      <c r="B3556" s="12" t="s">
        <v>4886</v>
      </c>
      <c r="C3556" s="13" t="s">
        <v>126</v>
      </c>
      <c r="D3556" s="17">
        <v>732.65</v>
      </c>
      <c r="E3556" s="5" t="s">
        <v>8</v>
      </c>
      <c r="F3556" s="6">
        <v>507.6</v>
      </c>
      <c r="G3556" s="7">
        <f t="shared" si="449"/>
        <v>0.443360914105595</v>
      </c>
    </row>
    <row r="3557" spans="1:7">
      <c r="A3557" s="14" t="s">
        <v>4922</v>
      </c>
      <c r="B3557" s="12" t="s">
        <v>4888</v>
      </c>
      <c r="C3557" s="13" t="s">
        <v>126</v>
      </c>
      <c r="D3557" s="17">
        <v>775.35</v>
      </c>
      <c r="E3557" s="5" t="s">
        <v>8</v>
      </c>
      <c r="F3557" s="6">
        <v>507.6</v>
      </c>
      <c r="G3557" s="7">
        <f t="shared" si="449"/>
        <v>0.527482269503546</v>
      </c>
    </row>
    <row r="3558" spans="1:7">
      <c r="A3558" s="14" t="s">
        <v>4923</v>
      </c>
      <c r="B3558" s="12" t="s">
        <v>4890</v>
      </c>
      <c r="C3558" s="13" t="s">
        <v>126</v>
      </c>
      <c r="D3558" s="17">
        <v>995.85</v>
      </c>
      <c r="E3558" s="5" t="s">
        <v>8</v>
      </c>
      <c r="F3558" s="6">
        <v>793.3</v>
      </c>
      <c r="G3558" s="7">
        <f t="shared" si="449"/>
        <v>0.25532585402748</v>
      </c>
    </row>
    <row r="3559" spans="1:7">
      <c r="A3559" s="14" t="s">
        <v>4924</v>
      </c>
      <c r="B3559" s="12" t="s">
        <v>4892</v>
      </c>
      <c r="C3559" s="13" t="s">
        <v>126</v>
      </c>
      <c r="D3559" s="17">
        <v>1010.05</v>
      </c>
      <c r="E3559" s="5" t="s">
        <v>8</v>
      </c>
      <c r="F3559" s="6">
        <v>793.3</v>
      </c>
      <c r="G3559" s="7">
        <f t="shared" si="449"/>
        <v>0.273225765788479</v>
      </c>
    </row>
    <row r="3560" spans="1:7">
      <c r="A3560" s="14" t="s">
        <v>4925</v>
      </c>
      <c r="B3560" s="12" t="s">
        <v>4894</v>
      </c>
      <c r="C3560" s="13" t="s">
        <v>126</v>
      </c>
      <c r="D3560" s="17">
        <v>1038.5</v>
      </c>
      <c r="E3560" s="5" t="s">
        <v>8</v>
      </c>
      <c r="F3560" s="6">
        <v>793.3</v>
      </c>
      <c r="G3560" s="7">
        <f t="shared" si="449"/>
        <v>0.309088617168789</v>
      </c>
    </row>
    <row r="3561" spans="1:7">
      <c r="A3561" s="14" t="s">
        <v>4926</v>
      </c>
      <c r="B3561" s="12" t="s">
        <v>4896</v>
      </c>
      <c r="C3561" s="13" t="s">
        <v>126</v>
      </c>
      <c r="D3561" s="17">
        <v>1066.95</v>
      </c>
      <c r="E3561" s="5" t="s">
        <v>8</v>
      </c>
      <c r="F3561" s="6">
        <v>793.3</v>
      </c>
      <c r="G3561" s="7">
        <f t="shared" si="449"/>
        <v>0.344951468549099</v>
      </c>
    </row>
    <row r="3562" spans="1:7">
      <c r="A3562" s="14" t="s">
        <v>4927</v>
      </c>
      <c r="B3562" s="12" t="s">
        <v>4898</v>
      </c>
      <c r="C3562" s="13" t="s">
        <v>126</v>
      </c>
      <c r="D3562" s="17">
        <v>1145.25</v>
      </c>
      <c r="E3562" s="5" t="s">
        <v>8</v>
      </c>
      <c r="F3562" s="6">
        <v>793.3</v>
      </c>
      <c r="G3562" s="7">
        <f t="shared" si="449"/>
        <v>0.443653094667843</v>
      </c>
    </row>
    <row r="3563" spans="1:7">
      <c r="A3563" s="14" t="s">
        <v>4928</v>
      </c>
      <c r="B3563" s="12" t="s">
        <v>4900</v>
      </c>
      <c r="C3563" s="13" t="s">
        <v>126</v>
      </c>
      <c r="D3563" s="17">
        <v>1287.5</v>
      </c>
      <c r="E3563" s="5" t="s">
        <v>8</v>
      </c>
      <c r="F3563" s="6">
        <v>1030.25</v>
      </c>
      <c r="G3563" s="7">
        <f t="shared" si="449"/>
        <v>0.249696675564183</v>
      </c>
    </row>
    <row r="3564" spans="1:7">
      <c r="A3564" s="14" t="s">
        <v>4929</v>
      </c>
      <c r="B3564" s="12" t="s">
        <v>4902</v>
      </c>
      <c r="C3564" s="13" t="s">
        <v>126</v>
      </c>
      <c r="D3564" s="17">
        <v>1301.7</v>
      </c>
      <c r="E3564" s="5" t="s">
        <v>8</v>
      </c>
      <c r="F3564" s="6">
        <v>1030.25</v>
      </c>
      <c r="G3564" s="7">
        <f t="shared" si="449"/>
        <v>0.263479737927687</v>
      </c>
    </row>
    <row r="3565" spans="1:7">
      <c r="A3565" s="14" t="s">
        <v>4930</v>
      </c>
      <c r="B3565" s="12" t="s">
        <v>4904</v>
      </c>
      <c r="C3565" s="13" t="s">
        <v>126</v>
      </c>
      <c r="D3565" s="17">
        <v>1323.05</v>
      </c>
      <c r="E3565" s="5" t="s">
        <v>8</v>
      </c>
      <c r="F3565" s="6">
        <v>1030.25</v>
      </c>
      <c r="G3565" s="7">
        <f t="shared" si="449"/>
        <v>0.284202863382674</v>
      </c>
    </row>
    <row r="3566" spans="1:7">
      <c r="A3566" s="14" t="s">
        <v>4931</v>
      </c>
      <c r="B3566" s="12" t="s">
        <v>4906</v>
      </c>
      <c r="C3566" s="13" t="s">
        <v>126</v>
      </c>
      <c r="D3566" s="17">
        <v>1394.2</v>
      </c>
      <c r="E3566" s="5" t="s">
        <v>8</v>
      </c>
      <c r="F3566" s="6">
        <v>1030.25</v>
      </c>
      <c r="G3566" s="7">
        <f t="shared" si="449"/>
        <v>0.353263770929386</v>
      </c>
    </row>
    <row r="3567" spans="1:7">
      <c r="A3567" s="14" t="s">
        <v>4932</v>
      </c>
      <c r="B3567" s="12" t="s">
        <v>4908</v>
      </c>
      <c r="C3567" s="13" t="s">
        <v>126</v>
      </c>
      <c r="D3567" s="17">
        <v>1429.75</v>
      </c>
      <c r="E3567" s="5" t="s">
        <v>8</v>
      </c>
      <c r="F3567" s="6">
        <v>1030.25</v>
      </c>
      <c r="G3567" s="7">
        <f t="shared" si="449"/>
        <v>0.387769958747877</v>
      </c>
    </row>
    <row r="3568" spans="1:7">
      <c r="A3568" s="14" t="s">
        <v>4933</v>
      </c>
      <c r="B3568" s="12" t="s">
        <v>4910</v>
      </c>
      <c r="C3568" s="13" t="s">
        <v>126</v>
      </c>
      <c r="D3568" s="17">
        <v>1543.55</v>
      </c>
      <c r="E3568" s="5" t="s">
        <v>8</v>
      </c>
      <c r="F3568" s="6">
        <v>1030.25</v>
      </c>
      <c r="G3568" s="7">
        <f t="shared" si="449"/>
        <v>0.498228585294831</v>
      </c>
    </row>
    <row r="3569" ht="46.5" spans="1:7">
      <c r="A3569" s="18" t="s">
        <v>4934</v>
      </c>
      <c r="B3569" s="15" t="s">
        <v>4714</v>
      </c>
      <c r="C3569" s="13"/>
      <c r="D3569" s="16"/>
    </row>
    <row r="3570" spans="1:7">
      <c r="A3570" s="14"/>
      <c r="B3570" s="15" t="s">
        <v>4911</v>
      </c>
      <c r="C3570" s="13"/>
      <c r="D3570" s="16"/>
    </row>
    <row r="3571" spans="1:7">
      <c r="A3571" s="14" t="s">
        <v>4935</v>
      </c>
      <c r="B3571" s="12" t="s">
        <v>4936</v>
      </c>
      <c r="C3571" s="13" t="s">
        <v>126</v>
      </c>
      <c r="D3571" s="17">
        <v>889.15</v>
      </c>
    </row>
    <row r="3572" spans="1:7">
      <c r="A3572" s="14" t="s">
        <v>4937</v>
      </c>
      <c r="B3572" s="12" t="s">
        <v>4938</v>
      </c>
      <c r="C3572" s="13" t="s">
        <v>126</v>
      </c>
      <c r="D3572" s="17">
        <v>967.4</v>
      </c>
    </row>
    <row r="3573" spans="1:7">
      <c r="A3573" s="14" t="s">
        <v>4939</v>
      </c>
      <c r="B3573" s="12" t="s">
        <v>4940</v>
      </c>
      <c r="C3573" s="13" t="s">
        <v>126</v>
      </c>
      <c r="D3573" s="17">
        <v>1095.45</v>
      </c>
    </row>
    <row r="3574" spans="1:7">
      <c r="A3574" s="14" t="s">
        <v>4941</v>
      </c>
      <c r="B3574" s="12" t="s">
        <v>4942</v>
      </c>
      <c r="C3574" s="13" t="s">
        <v>126</v>
      </c>
      <c r="D3574" s="17">
        <v>1159.45</v>
      </c>
    </row>
    <row r="3575" spans="1:7">
      <c r="A3575" s="14" t="s">
        <v>4943</v>
      </c>
      <c r="B3575" s="12" t="s">
        <v>4944</v>
      </c>
      <c r="C3575" s="13" t="s">
        <v>126</v>
      </c>
      <c r="D3575" s="17">
        <v>1202.15</v>
      </c>
    </row>
    <row r="3576" spans="1:7">
      <c r="A3576" s="14" t="s">
        <v>4945</v>
      </c>
      <c r="B3576" s="12" t="s">
        <v>4946</v>
      </c>
      <c r="C3576" s="13" t="s">
        <v>126</v>
      </c>
      <c r="D3576" s="17">
        <v>1330.15</v>
      </c>
    </row>
    <row r="3577" spans="1:7">
      <c r="A3577" s="14" t="s">
        <v>4947</v>
      </c>
      <c r="B3577" s="12" t="s">
        <v>4948</v>
      </c>
      <c r="C3577" s="13" t="s">
        <v>126</v>
      </c>
      <c r="D3577" s="17">
        <v>1337.3</v>
      </c>
    </row>
    <row r="3578" spans="1:7">
      <c r="A3578" s="14" t="s">
        <v>4949</v>
      </c>
      <c r="B3578" s="12" t="s">
        <v>4950</v>
      </c>
      <c r="C3578" s="13" t="s">
        <v>126</v>
      </c>
      <c r="D3578" s="17">
        <v>1842.3</v>
      </c>
    </row>
    <row r="3579" spans="1:7">
      <c r="A3579" s="14" t="s">
        <v>4951</v>
      </c>
      <c r="B3579" s="12" t="s">
        <v>4952</v>
      </c>
      <c r="C3579" s="13" t="s">
        <v>126</v>
      </c>
      <c r="D3579" s="17">
        <v>2141.05</v>
      </c>
    </row>
    <row r="3580" spans="1:7">
      <c r="A3580" s="14" t="s">
        <v>4953</v>
      </c>
      <c r="B3580" s="12" t="s">
        <v>4954</v>
      </c>
      <c r="C3580" s="13" t="s">
        <v>126</v>
      </c>
      <c r="D3580" s="17">
        <v>3058.65</v>
      </c>
    </row>
    <row r="3581" spans="1:7">
      <c r="A3581" s="14" t="s">
        <v>4955</v>
      </c>
      <c r="B3581" s="12" t="s">
        <v>4956</v>
      </c>
      <c r="C3581" s="13" t="s">
        <v>126</v>
      </c>
      <c r="D3581" s="17">
        <v>3670.4</v>
      </c>
    </row>
    <row r="3582" ht="46.5" spans="1:7">
      <c r="A3582" s="18">
        <v>18.96</v>
      </c>
      <c r="B3582" s="15" t="s">
        <v>4699</v>
      </c>
      <c r="C3582" s="13"/>
      <c r="D3582" s="16"/>
      <c r="E3582" s="5" t="s">
        <v>8</v>
      </c>
    </row>
    <row r="3583" spans="1:7">
      <c r="A3583" s="14"/>
      <c r="B3583" s="15" t="s">
        <v>4957</v>
      </c>
      <c r="C3583" s="13"/>
      <c r="D3583" s="16"/>
      <c r="E3583" s="5" t="s">
        <v>8</v>
      </c>
    </row>
    <row r="3584" spans="1:7">
      <c r="A3584" s="14" t="s">
        <v>4958</v>
      </c>
      <c r="B3584" s="12" t="s">
        <v>4870</v>
      </c>
      <c r="C3584" s="13" t="s">
        <v>126</v>
      </c>
      <c r="D3584" s="17">
        <v>264.6</v>
      </c>
      <c r="E3584" s="5" t="s">
        <v>8</v>
      </c>
      <c r="F3584" s="6">
        <v>220.7</v>
      </c>
      <c r="G3584" s="7">
        <f t="shared" ref="G3584:G3595" si="450">(D3584-F3584)/F3584</f>
        <v>0.198912550974173</v>
      </c>
    </row>
    <row r="3585" spans="1:7">
      <c r="A3585" s="14" t="s">
        <v>4959</v>
      </c>
      <c r="B3585" s="12" t="s">
        <v>4960</v>
      </c>
      <c r="C3585" s="13" t="s">
        <v>126</v>
      </c>
      <c r="D3585" s="17">
        <v>291.65</v>
      </c>
      <c r="E3585" s="5" t="s">
        <v>8</v>
      </c>
      <c r="F3585" s="6">
        <v>267.15</v>
      </c>
      <c r="G3585" s="7">
        <f t="shared" si="450"/>
        <v>0.0917087778401647</v>
      </c>
    </row>
    <row r="3586" spans="1:7">
      <c r="A3586" s="14" t="s">
        <v>4961</v>
      </c>
      <c r="B3586" s="12" t="s">
        <v>4874</v>
      </c>
      <c r="C3586" s="13" t="s">
        <v>126</v>
      </c>
      <c r="D3586" s="17">
        <v>337.15</v>
      </c>
      <c r="E3586" s="5" t="s">
        <v>8</v>
      </c>
      <c r="F3586" s="6">
        <v>275.3</v>
      </c>
      <c r="G3586" s="7">
        <f t="shared" si="450"/>
        <v>0.224664002905921</v>
      </c>
    </row>
    <row r="3587" spans="1:7">
      <c r="A3587" s="14" t="s">
        <v>4962</v>
      </c>
      <c r="B3587" s="12" t="s">
        <v>4876</v>
      </c>
      <c r="C3587" s="13" t="s">
        <v>126</v>
      </c>
      <c r="D3587" s="17">
        <v>394.05</v>
      </c>
      <c r="E3587" s="5" t="s">
        <v>8</v>
      </c>
      <c r="F3587" s="6">
        <v>321.75</v>
      </c>
      <c r="G3587" s="7">
        <f t="shared" si="450"/>
        <v>0.224708624708625</v>
      </c>
    </row>
    <row r="3588" spans="1:7">
      <c r="A3588" s="14" t="s">
        <v>4963</v>
      </c>
      <c r="B3588" s="12" t="s">
        <v>4878</v>
      </c>
      <c r="C3588" s="13" t="s">
        <v>126</v>
      </c>
      <c r="D3588" s="17">
        <v>412.55</v>
      </c>
      <c r="E3588" s="5" t="s">
        <v>8</v>
      </c>
      <c r="F3588" s="6">
        <v>332.2</v>
      </c>
      <c r="G3588" s="7">
        <f t="shared" si="450"/>
        <v>0.241872366044552</v>
      </c>
    </row>
    <row r="3589" spans="1:7">
      <c r="A3589" s="14" t="s">
        <v>4964</v>
      </c>
      <c r="B3589" s="12" t="s">
        <v>4880</v>
      </c>
      <c r="C3589" s="13" t="s">
        <v>126</v>
      </c>
      <c r="D3589" s="17">
        <v>505.05</v>
      </c>
      <c r="E3589" s="5" t="s">
        <v>8</v>
      </c>
      <c r="F3589" s="6">
        <v>391.45</v>
      </c>
      <c r="G3589" s="7">
        <f t="shared" si="450"/>
        <v>0.290203091071657</v>
      </c>
    </row>
    <row r="3590" spans="1:7">
      <c r="A3590" s="14" t="s">
        <v>4965</v>
      </c>
      <c r="B3590" s="12" t="s">
        <v>4886</v>
      </c>
      <c r="C3590" s="13" t="s">
        <v>126</v>
      </c>
      <c r="D3590" s="17">
        <v>640.2</v>
      </c>
      <c r="E3590" s="5" t="s">
        <v>8</v>
      </c>
      <c r="F3590" s="6">
        <v>475.05</v>
      </c>
      <c r="G3590" s="7">
        <f t="shared" si="450"/>
        <v>0.347647616040417</v>
      </c>
    </row>
    <row r="3591" spans="1:7">
      <c r="A3591" s="14" t="s">
        <v>4966</v>
      </c>
      <c r="B3591" s="12" t="s">
        <v>4888</v>
      </c>
      <c r="C3591" s="13" t="s">
        <v>126</v>
      </c>
      <c r="D3591" s="17">
        <v>768.25</v>
      </c>
      <c r="E3591" s="5" t="s">
        <v>8</v>
      </c>
      <c r="F3591" s="6">
        <v>624.9</v>
      </c>
      <c r="G3591" s="7">
        <f t="shared" si="450"/>
        <v>0.229396703472556</v>
      </c>
    </row>
    <row r="3592" spans="1:7">
      <c r="A3592" s="14" t="s">
        <v>4967</v>
      </c>
      <c r="B3592" s="12" t="s">
        <v>4896</v>
      </c>
      <c r="C3592" s="13" t="s">
        <v>126</v>
      </c>
      <c r="D3592" s="17">
        <v>953.15</v>
      </c>
      <c r="E3592" s="5" t="s">
        <v>8</v>
      </c>
      <c r="F3592" s="6">
        <v>669</v>
      </c>
      <c r="G3592" s="7">
        <f t="shared" si="450"/>
        <v>0.42473841554559</v>
      </c>
    </row>
    <row r="3593" spans="1:7">
      <c r="A3593" s="14" t="s">
        <v>4968</v>
      </c>
      <c r="B3593" s="12" t="s">
        <v>4898</v>
      </c>
      <c r="C3593" s="13" t="s">
        <v>126</v>
      </c>
      <c r="D3593" s="17">
        <v>1002.95</v>
      </c>
      <c r="E3593" s="5" t="s">
        <v>8</v>
      </c>
      <c r="F3593" s="6">
        <v>791</v>
      </c>
      <c r="G3593" s="7">
        <f t="shared" si="450"/>
        <v>0.26795195954488</v>
      </c>
    </row>
    <row r="3594" spans="1:7">
      <c r="A3594" s="14" t="s">
        <v>4969</v>
      </c>
      <c r="B3594" s="12" t="s">
        <v>4908</v>
      </c>
      <c r="C3594" s="13" t="s">
        <v>126</v>
      </c>
      <c r="D3594" s="17">
        <v>1287.5</v>
      </c>
      <c r="E3594" s="5" t="s">
        <v>8</v>
      </c>
      <c r="F3594" s="6">
        <v>973.35</v>
      </c>
      <c r="G3594" s="7">
        <f t="shared" si="450"/>
        <v>0.322751322751323</v>
      </c>
    </row>
    <row r="3595" spans="1:7">
      <c r="A3595" s="14" t="s">
        <v>4970</v>
      </c>
      <c r="B3595" s="12" t="s">
        <v>4910</v>
      </c>
      <c r="C3595" s="13" t="s">
        <v>126</v>
      </c>
      <c r="D3595" s="17">
        <v>1387.05</v>
      </c>
      <c r="E3595" s="5" t="s">
        <v>8</v>
      </c>
      <c r="F3595" s="6">
        <v>1120.85</v>
      </c>
      <c r="G3595" s="7">
        <f t="shared" si="450"/>
        <v>0.237498327162421</v>
      </c>
    </row>
    <row r="3596" ht="46.5" spans="1:7">
      <c r="A3596" s="18" t="s">
        <v>4971</v>
      </c>
      <c r="B3596" s="15" t="s">
        <v>4714</v>
      </c>
      <c r="C3596" s="13"/>
      <c r="D3596" s="16"/>
    </row>
    <row r="3597" spans="1:7">
      <c r="A3597" s="14"/>
      <c r="B3597" s="15" t="s">
        <v>4957</v>
      </c>
      <c r="C3597" s="13"/>
      <c r="D3597" s="16"/>
    </row>
    <row r="3598" spans="1:7">
      <c r="A3598" s="14" t="s">
        <v>4972</v>
      </c>
      <c r="B3598" s="12" t="s">
        <v>4973</v>
      </c>
      <c r="C3598" s="13" t="s">
        <v>126</v>
      </c>
      <c r="D3598" s="17">
        <v>697.1</v>
      </c>
    </row>
    <row r="3599" spans="1:7">
      <c r="A3599" s="14" t="s">
        <v>4974</v>
      </c>
      <c r="B3599" s="12" t="s">
        <v>4975</v>
      </c>
      <c r="C3599" s="13" t="s">
        <v>126</v>
      </c>
      <c r="D3599" s="17">
        <v>782.45</v>
      </c>
    </row>
    <row r="3600" spans="1:7">
      <c r="A3600" s="14" t="s">
        <v>4976</v>
      </c>
      <c r="B3600" s="12" t="s">
        <v>4977</v>
      </c>
      <c r="C3600" s="13" t="s">
        <v>126</v>
      </c>
      <c r="D3600" s="17">
        <v>917.6</v>
      </c>
    </row>
    <row r="3601" spans="1:7">
      <c r="A3601" s="14" t="s">
        <v>4978</v>
      </c>
      <c r="B3601" s="12" t="s">
        <v>4979</v>
      </c>
      <c r="C3601" s="13" t="s">
        <v>126</v>
      </c>
      <c r="D3601" s="17">
        <v>1515.1</v>
      </c>
    </row>
    <row r="3602" spans="1:7">
      <c r="A3602" s="14" t="s">
        <v>4980</v>
      </c>
      <c r="B3602" s="12" t="s">
        <v>4981</v>
      </c>
      <c r="C3602" s="13" t="s">
        <v>126</v>
      </c>
      <c r="D3602" s="17">
        <v>1621.8</v>
      </c>
    </row>
    <row r="3603" spans="1:7">
      <c r="A3603" s="14" t="s">
        <v>4982</v>
      </c>
      <c r="B3603" s="12" t="s">
        <v>4983</v>
      </c>
      <c r="C3603" s="13" t="s">
        <v>126</v>
      </c>
      <c r="D3603" s="17">
        <v>2489.6</v>
      </c>
    </row>
    <row r="3604" spans="1:7">
      <c r="A3604" s="14" t="s">
        <v>4984</v>
      </c>
      <c r="B3604" s="12" t="s">
        <v>4985</v>
      </c>
      <c r="C3604" s="13" t="s">
        <v>126</v>
      </c>
      <c r="D3604" s="17">
        <v>3819.8</v>
      </c>
    </row>
    <row r="3605" ht="46.5" spans="1:7">
      <c r="A3605" s="18">
        <v>18.97</v>
      </c>
      <c r="B3605" s="15" t="s">
        <v>4699</v>
      </c>
      <c r="C3605" s="13"/>
      <c r="D3605" s="16"/>
      <c r="E3605" s="5" t="s">
        <v>8</v>
      </c>
    </row>
    <row r="3606" spans="1:7">
      <c r="A3606" s="14"/>
      <c r="B3606" s="15" t="s">
        <v>4986</v>
      </c>
      <c r="C3606" s="13"/>
      <c r="D3606" s="16"/>
      <c r="E3606" s="5" t="s">
        <v>8</v>
      </c>
    </row>
    <row r="3607" spans="1:7">
      <c r="A3607" s="14" t="s">
        <v>4987</v>
      </c>
      <c r="B3607" s="12" t="s">
        <v>4870</v>
      </c>
      <c r="C3607" s="13" t="s">
        <v>126</v>
      </c>
      <c r="D3607" s="17">
        <v>250.4</v>
      </c>
      <c r="E3607" s="5" t="s">
        <v>8</v>
      </c>
      <c r="F3607" s="6">
        <v>224.15</v>
      </c>
      <c r="G3607" s="7">
        <f t="shared" ref="G3607:G3617" si="451">(D3607-F3607)/F3607</f>
        <v>0.117109078741914</v>
      </c>
    </row>
    <row r="3608" spans="1:7">
      <c r="A3608" s="14" t="s">
        <v>4988</v>
      </c>
      <c r="B3608" s="12" t="s">
        <v>4872</v>
      </c>
      <c r="C3608" s="13" t="s">
        <v>126</v>
      </c>
      <c r="D3608" s="17">
        <v>268.85</v>
      </c>
      <c r="E3608" s="5" t="s">
        <v>8</v>
      </c>
      <c r="F3608" s="6">
        <v>263.65</v>
      </c>
      <c r="G3608" s="7">
        <f t="shared" si="451"/>
        <v>0.0197231177697707</v>
      </c>
    </row>
    <row r="3609" spans="1:7">
      <c r="A3609" s="14" t="s">
        <v>4989</v>
      </c>
      <c r="B3609" s="12" t="s">
        <v>4874</v>
      </c>
      <c r="C3609" s="13" t="s">
        <v>126</v>
      </c>
      <c r="D3609" s="17">
        <v>300.2</v>
      </c>
      <c r="E3609" s="5" t="s">
        <v>8</v>
      </c>
      <c r="F3609" s="6">
        <v>288.05</v>
      </c>
      <c r="G3609" s="7">
        <f t="shared" si="451"/>
        <v>0.042180177052595</v>
      </c>
    </row>
    <row r="3610" spans="1:7">
      <c r="A3610" s="14" t="s">
        <v>4990</v>
      </c>
      <c r="B3610" s="12" t="s">
        <v>4878</v>
      </c>
      <c r="C3610" s="13" t="s">
        <v>126</v>
      </c>
      <c r="D3610" s="17">
        <v>458.1</v>
      </c>
      <c r="E3610" s="5" t="s">
        <v>8</v>
      </c>
      <c r="F3610" s="6">
        <v>363.55</v>
      </c>
      <c r="G3610" s="7">
        <f t="shared" si="451"/>
        <v>0.260074267638564</v>
      </c>
    </row>
    <row r="3611" spans="1:7">
      <c r="A3611" s="14" t="s">
        <v>4991</v>
      </c>
      <c r="B3611" s="12" t="s">
        <v>4880</v>
      </c>
      <c r="C3611" s="13" t="s">
        <v>126</v>
      </c>
      <c r="D3611" s="17">
        <v>460.95</v>
      </c>
      <c r="E3611" s="5" t="s">
        <v>8</v>
      </c>
      <c r="F3611" s="6">
        <v>371.7</v>
      </c>
      <c r="G3611" s="7">
        <f t="shared" si="451"/>
        <v>0.240112994350282</v>
      </c>
    </row>
    <row r="3612" spans="1:7">
      <c r="A3612" s="14" t="s">
        <v>4992</v>
      </c>
      <c r="B3612" s="12" t="s">
        <v>4886</v>
      </c>
      <c r="C3612" s="13" t="s">
        <v>126</v>
      </c>
      <c r="D3612" s="17">
        <v>675.75</v>
      </c>
      <c r="E3612" s="5" t="s">
        <v>8</v>
      </c>
      <c r="F3612" s="6">
        <v>535.45</v>
      </c>
      <c r="G3612" s="7">
        <f t="shared" si="451"/>
        <v>0.262022597814922</v>
      </c>
    </row>
    <row r="3613" spans="1:7">
      <c r="A3613" s="14" t="s">
        <v>4993</v>
      </c>
      <c r="B3613" s="12" t="s">
        <v>4888</v>
      </c>
      <c r="C3613" s="13" t="s">
        <v>126</v>
      </c>
      <c r="D3613" s="17">
        <v>803.8</v>
      </c>
      <c r="E3613" s="5" t="s">
        <v>8</v>
      </c>
      <c r="F3613" s="6">
        <v>656.25</v>
      </c>
      <c r="G3613" s="7">
        <f t="shared" si="451"/>
        <v>0.224838095238095</v>
      </c>
    </row>
    <row r="3614" spans="1:7">
      <c r="A3614" s="14" t="s">
        <v>4994</v>
      </c>
      <c r="B3614" s="12" t="s">
        <v>4896</v>
      </c>
      <c r="C3614" s="13" t="s">
        <v>126</v>
      </c>
      <c r="D3614" s="17">
        <v>1017.2</v>
      </c>
      <c r="E3614" s="5" t="s">
        <v>8</v>
      </c>
      <c r="F3614" s="6">
        <v>753.8</v>
      </c>
      <c r="G3614" s="7">
        <f t="shared" si="451"/>
        <v>0.349429556911648</v>
      </c>
    </row>
    <row r="3615" spans="1:7">
      <c r="A3615" s="14" t="s">
        <v>4995</v>
      </c>
      <c r="B3615" s="12" t="s">
        <v>4898</v>
      </c>
      <c r="C3615" s="13" t="s">
        <v>126</v>
      </c>
      <c r="D3615" s="17">
        <v>1038.5</v>
      </c>
      <c r="E3615" s="5" t="s">
        <v>8</v>
      </c>
      <c r="F3615" s="6">
        <v>843.25</v>
      </c>
      <c r="G3615" s="7">
        <f t="shared" si="451"/>
        <v>0.231544619033501</v>
      </c>
    </row>
    <row r="3616" spans="1:7">
      <c r="A3616" s="14" t="s">
        <v>4996</v>
      </c>
      <c r="B3616" s="12" t="s">
        <v>4908</v>
      </c>
      <c r="C3616" s="13" t="s">
        <v>126</v>
      </c>
      <c r="D3616" s="17">
        <v>1330.15</v>
      </c>
      <c r="E3616" s="5" t="s">
        <v>8</v>
      </c>
      <c r="F3616" s="6">
        <v>975.65</v>
      </c>
      <c r="G3616" s="7">
        <f t="shared" si="451"/>
        <v>0.363347511915134</v>
      </c>
    </row>
    <row r="3617" spans="1:7">
      <c r="A3617" s="14" t="s">
        <v>4997</v>
      </c>
      <c r="B3617" s="12" t="s">
        <v>4910</v>
      </c>
      <c r="C3617" s="13" t="s">
        <v>126</v>
      </c>
      <c r="D3617" s="17">
        <v>1621.8</v>
      </c>
      <c r="E3617" s="5" t="s">
        <v>8</v>
      </c>
      <c r="F3617" s="6">
        <v>1321.8</v>
      </c>
      <c r="G3617" s="7">
        <f t="shared" si="451"/>
        <v>0.226963231956423</v>
      </c>
    </row>
    <row r="3618" ht="46.5" spans="1:7">
      <c r="A3618" s="18" t="s">
        <v>4998</v>
      </c>
      <c r="B3618" s="15" t="s">
        <v>4999</v>
      </c>
      <c r="C3618" s="13"/>
      <c r="D3618" s="16"/>
    </row>
    <row r="3619" spans="1:7">
      <c r="A3619" s="14"/>
      <c r="B3619" s="15" t="s">
        <v>4986</v>
      </c>
      <c r="C3619" s="13"/>
      <c r="D3619" s="16"/>
    </row>
    <row r="3620" spans="1:7">
      <c r="A3620" s="14" t="s">
        <v>5000</v>
      </c>
      <c r="B3620" s="12" t="s">
        <v>5001</v>
      </c>
      <c r="C3620" s="13" t="s">
        <v>126</v>
      </c>
      <c r="D3620" s="17">
        <v>640.2</v>
      </c>
    </row>
    <row r="3621" spans="1:7">
      <c r="A3621" s="14" t="s">
        <v>5002</v>
      </c>
      <c r="B3621" s="12" t="s">
        <v>5003</v>
      </c>
      <c r="C3621" s="13" t="s">
        <v>126</v>
      </c>
      <c r="D3621" s="17">
        <v>761.1</v>
      </c>
    </row>
    <row r="3622" spans="1:7">
      <c r="A3622" s="14" t="s">
        <v>5004</v>
      </c>
      <c r="B3622" s="12" t="s">
        <v>5005</v>
      </c>
      <c r="C3622" s="13" t="s">
        <v>126</v>
      </c>
      <c r="D3622" s="17">
        <v>803.8</v>
      </c>
    </row>
    <row r="3623" spans="1:7">
      <c r="A3623" s="14" t="s">
        <v>5006</v>
      </c>
      <c r="B3623" s="12" t="s">
        <v>4979</v>
      </c>
      <c r="C3623" s="13" t="s">
        <v>126</v>
      </c>
      <c r="D3623" s="17">
        <v>1052.75</v>
      </c>
    </row>
    <row r="3624" spans="1:7">
      <c r="A3624" s="14" t="s">
        <v>5007</v>
      </c>
      <c r="B3624" s="12" t="s">
        <v>4981</v>
      </c>
      <c r="C3624" s="13" t="s">
        <v>126</v>
      </c>
      <c r="D3624" s="17">
        <v>1543.55</v>
      </c>
    </row>
    <row r="3625" spans="1:7">
      <c r="A3625" s="14" t="s">
        <v>5008</v>
      </c>
      <c r="B3625" s="12" t="s">
        <v>5009</v>
      </c>
      <c r="C3625" s="13" t="s">
        <v>126</v>
      </c>
      <c r="D3625" s="17">
        <v>2247.75</v>
      </c>
    </row>
    <row r="3626" spans="1:7">
      <c r="A3626" s="14" t="s">
        <v>5010</v>
      </c>
      <c r="B3626" s="12" t="s">
        <v>4985</v>
      </c>
      <c r="C3626" s="13" t="s">
        <v>126</v>
      </c>
      <c r="D3626" s="17">
        <v>3016</v>
      </c>
    </row>
    <row r="3627" ht="46.5" spans="1:7">
      <c r="A3627" s="18">
        <v>18.98</v>
      </c>
      <c r="B3627" s="15" t="s">
        <v>4699</v>
      </c>
      <c r="C3627" s="13"/>
      <c r="D3627" s="16"/>
      <c r="E3627" s="5" t="s">
        <v>8</v>
      </c>
    </row>
    <row r="3628" spans="1:7">
      <c r="A3628" s="14"/>
      <c r="B3628" s="15" t="s">
        <v>5011</v>
      </c>
      <c r="C3628" s="13"/>
      <c r="D3628" s="16"/>
      <c r="E3628" s="5" t="s">
        <v>8</v>
      </c>
      <c r="F3628" s="8"/>
    </row>
    <row r="3629" spans="1:7">
      <c r="A3629" s="14" t="s">
        <v>5012</v>
      </c>
      <c r="B3629" s="12" t="s">
        <v>4870</v>
      </c>
      <c r="C3629" s="13" t="s">
        <v>126</v>
      </c>
      <c r="D3629" s="17">
        <v>317.25</v>
      </c>
      <c r="E3629" s="5" t="s">
        <v>8</v>
      </c>
      <c r="F3629" s="6">
        <v>271.8</v>
      </c>
      <c r="G3629" s="7">
        <f t="shared" ref="G3629:G3635" si="452">(D3629-F3629)/F3629</f>
        <v>0.167218543046358</v>
      </c>
    </row>
    <row r="3630" spans="1:7">
      <c r="A3630" s="14" t="s">
        <v>5013</v>
      </c>
      <c r="B3630" s="12" t="s">
        <v>4872</v>
      </c>
      <c r="C3630" s="13" t="s">
        <v>126</v>
      </c>
      <c r="D3630" s="17">
        <v>364.2</v>
      </c>
      <c r="E3630" s="5" t="s">
        <v>8</v>
      </c>
      <c r="F3630" s="6">
        <v>320.55</v>
      </c>
      <c r="G3630" s="7">
        <f t="shared" si="452"/>
        <v>0.136172204024333</v>
      </c>
    </row>
    <row r="3631" spans="1:7">
      <c r="A3631" s="14" t="s">
        <v>5014</v>
      </c>
      <c r="B3631" s="12" t="s">
        <v>4874</v>
      </c>
      <c r="C3631" s="13" t="s">
        <v>126</v>
      </c>
      <c r="D3631" s="17">
        <v>395.5</v>
      </c>
      <c r="E3631" s="5" t="s">
        <v>8</v>
      </c>
      <c r="F3631" s="6">
        <v>342.65</v>
      </c>
      <c r="G3631" s="7">
        <f t="shared" si="452"/>
        <v>0.154239019407559</v>
      </c>
    </row>
    <row r="3632" spans="1:7">
      <c r="A3632" s="14" t="s">
        <v>5015</v>
      </c>
      <c r="B3632" s="12" t="s">
        <v>4880</v>
      </c>
      <c r="C3632" s="13" t="s">
        <v>126</v>
      </c>
      <c r="D3632" s="17">
        <v>604.6</v>
      </c>
      <c r="E3632" s="5" t="s">
        <v>8</v>
      </c>
      <c r="F3632" s="6">
        <v>492.5</v>
      </c>
      <c r="G3632" s="7">
        <f t="shared" si="452"/>
        <v>0.22761421319797</v>
      </c>
    </row>
    <row r="3633" spans="1:7">
      <c r="A3633" s="14" t="s">
        <v>5016</v>
      </c>
      <c r="B3633" s="12" t="s">
        <v>4888</v>
      </c>
      <c r="C3633" s="13" t="s">
        <v>126</v>
      </c>
      <c r="D3633" s="17">
        <v>917.6</v>
      </c>
      <c r="E3633" s="5" t="s">
        <v>8</v>
      </c>
      <c r="F3633" s="6">
        <v>730.6</v>
      </c>
      <c r="G3633" s="7">
        <f t="shared" si="452"/>
        <v>0.255954010402409</v>
      </c>
    </row>
    <row r="3634" spans="1:7">
      <c r="A3634" s="14" t="s">
        <v>5017</v>
      </c>
      <c r="B3634" s="12" t="s">
        <v>4898</v>
      </c>
      <c r="C3634" s="13" t="s">
        <v>126</v>
      </c>
      <c r="D3634" s="17">
        <v>1298.85</v>
      </c>
      <c r="E3634" s="5" t="s">
        <v>8</v>
      </c>
      <c r="F3634" s="6">
        <v>1016.3</v>
      </c>
      <c r="G3634" s="7">
        <f t="shared" si="452"/>
        <v>0.278018301682574</v>
      </c>
    </row>
    <row r="3635" spans="1:7">
      <c r="A3635" s="14" t="s">
        <v>5018</v>
      </c>
      <c r="B3635" s="12" t="s">
        <v>4910</v>
      </c>
      <c r="C3635" s="13" t="s">
        <v>126</v>
      </c>
      <c r="D3635" s="17">
        <v>1756.95</v>
      </c>
      <c r="E3635" s="5" t="s">
        <v>8</v>
      </c>
      <c r="F3635" s="6">
        <v>1365.9</v>
      </c>
      <c r="G3635" s="7">
        <f t="shared" si="452"/>
        <v>0.286294750713815</v>
      </c>
    </row>
    <row r="3636" ht="46.5" spans="1:7">
      <c r="A3636" s="18">
        <v>18.99</v>
      </c>
      <c r="B3636" s="15" t="s">
        <v>4699</v>
      </c>
      <c r="C3636" s="13"/>
      <c r="D3636" s="16"/>
      <c r="E3636" s="5" t="s">
        <v>8</v>
      </c>
    </row>
    <row r="3637" spans="1:7">
      <c r="A3637" s="14"/>
      <c r="B3637" s="15" t="s">
        <v>5019</v>
      </c>
      <c r="C3637" s="13"/>
      <c r="D3637" s="16"/>
      <c r="E3637" s="5" t="s">
        <v>8</v>
      </c>
    </row>
    <row r="3638" spans="1:7">
      <c r="A3638" s="14" t="s">
        <v>5020</v>
      </c>
      <c r="B3638" s="12" t="s">
        <v>4870</v>
      </c>
      <c r="C3638" s="13" t="s">
        <v>126</v>
      </c>
      <c r="D3638" s="17">
        <v>270.3</v>
      </c>
      <c r="E3638" s="5" t="s">
        <v>8</v>
      </c>
      <c r="F3638" s="6">
        <v>174.25</v>
      </c>
      <c r="G3638" s="7">
        <f t="shared" ref="G3638:G3646" si="453">(D3638-F3638)/F3638</f>
        <v>0.551219512195122</v>
      </c>
    </row>
    <row r="3639" spans="1:7">
      <c r="A3639" s="14" t="s">
        <v>5021</v>
      </c>
      <c r="B3639" s="12" t="s">
        <v>4872</v>
      </c>
      <c r="C3639" s="13" t="s">
        <v>126</v>
      </c>
      <c r="D3639" s="17">
        <v>305.85</v>
      </c>
      <c r="E3639" s="5" t="s">
        <v>8</v>
      </c>
      <c r="F3639" s="6">
        <v>221.85</v>
      </c>
      <c r="G3639" s="7">
        <f t="shared" si="453"/>
        <v>0.378634212305612</v>
      </c>
    </row>
    <row r="3640" spans="1:7">
      <c r="A3640" s="14" t="s">
        <v>5022</v>
      </c>
      <c r="B3640" s="12" t="s">
        <v>4874</v>
      </c>
      <c r="C3640" s="13" t="s">
        <v>126</v>
      </c>
      <c r="D3640" s="17">
        <v>341.45</v>
      </c>
      <c r="E3640" s="5" t="s">
        <v>8</v>
      </c>
      <c r="F3640" s="6">
        <v>221.85</v>
      </c>
      <c r="G3640" s="7">
        <f t="shared" si="453"/>
        <v>0.539102997520847</v>
      </c>
    </row>
    <row r="3641" spans="1:7">
      <c r="A3641" s="14" t="s">
        <v>5023</v>
      </c>
      <c r="B3641" s="12" t="s">
        <v>5024</v>
      </c>
      <c r="C3641" s="13" t="s">
        <v>126</v>
      </c>
      <c r="D3641" s="17">
        <v>369.9</v>
      </c>
      <c r="E3641" s="5" t="s">
        <v>8</v>
      </c>
      <c r="F3641" s="6">
        <v>238.1</v>
      </c>
      <c r="G3641" s="7">
        <f t="shared" si="453"/>
        <v>0.553548929021419</v>
      </c>
    </row>
    <row r="3642" spans="1:7">
      <c r="A3642" s="14" t="s">
        <v>5025</v>
      </c>
      <c r="B3642" s="12" t="s">
        <v>4888</v>
      </c>
      <c r="C3642" s="13" t="s">
        <v>126</v>
      </c>
      <c r="D3642" s="17">
        <v>476.6</v>
      </c>
      <c r="E3642" s="5" t="s">
        <v>8</v>
      </c>
      <c r="F3642" s="6">
        <v>333.35</v>
      </c>
      <c r="G3642" s="7">
        <f t="shared" si="453"/>
        <v>0.429728513574321</v>
      </c>
    </row>
    <row r="3643" spans="1:7">
      <c r="A3643" s="14" t="s">
        <v>5026</v>
      </c>
      <c r="B3643" s="12" t="s">
        <v>4896</v>
      </c>
      <c r="C3643" s="13" t="s">
        <v>126</v>
      </c>
      <c r="D3643" s="17">
        <v>754</v>
      </c>
      <c r="E3643" s="5" t="s">
        <v>8</v>
      </c>
      <c r="F3643" s="6">
        <v>555.2</v>
      </c>
      <c r="G3643" s="7">
        <f t="shared" si="453"/>
        <v>0.35806916426513</v>
      </c>
    </row>
    <row r="3644" spans="1:7">
      <c r="A3644" s="14" t="s">
        <v>5027</v>
      </c>
      <c r="B3644" s="12" t="s">
        <v>4898</v>
      </c>
      <c r="C3644" s="13" t="s">
        <v>126</v>
      </c>
      <c r="D3644" s="17">
        <v>754</v>
      </c>
      <c r="E3644" s="5" t="s">
        <v>8</v>
      </c>
      <c r="F3644" s="6">
        <v>555.2</v>
      </c>
      <c r="G3644" s="7">
        <f t="shared" si="453"/>
        <v>0.35806916426513</v>
      </c>
    </row>
    <row r="3645" spans="1:7">
      <c r="A3645" s="14" t="s">
        <v>5028</v>
      </c>
      <c r="B3645" s="12" t="s">
        <v>4908</v>
      </c>
      <c r="C3645" s="13" t="s">
        <v>126</v>
      </c>
      <c r="D3645" s="17">
        <v>1123.9</v>
      </c>
      <c r="E3645" s="5" t="s">
        <v>8</v>
      </c>
      <c r="F3645" s="6">
        <v>793.3</v>
      </c>
      <c r="G3645" s="7">
        <f t="shared" si="453"/>
        <v>0.416740199168032</v>
      </c>
    </row>
    <row r="3646" spans="1:7">
      <c r="A3646" s="14" t="s">
        <v>5029</v>
      </c>
      <c r="B3646" s="12" t="s">
        <v>4910</v>
      </c>
      <c r="C3646" s="13" t="s">
        <v>126</v>
      </c>
      <c r="D3646" s="17">
        <v>1123.9</v>
      </c>
      <c r="E3646" s="5" t="s">
        <v>8</v>
      </c>
      <c r="F3646" s="6">
        <v>793.3</v>
      </c>
      <c r="G3646" s="7">
        <f t="shared" si="453"/>
        <v>0.416740199168032</v>
      </c>
    </row>
    <row r="3647" ht="46.5" spans="1:7">
      <c r="A3647" s="18" t="s">
        <v>5030</v>
      </c>
      <c r="B3647" s="15" t="s">
        <v>4999</v>
      </c>
      <c r="C3647" s="13"/>
      <c r="D3647" s="16"/>
    </row>
    <row r="3648" spans="1:7">
      <c r="A3648" s="14"/>
      <c r="B3648" s="15" t="s">
        <v>5019</v>
      </c>
      <c r="C3648" s="13"/>
      <c r="D3648" s="16"/>
    </row>
    <row r="3649" spans="1:7">
      <c r="A3649" s="14" t="s">
        <v>5031</v>
      </c>
      <c r="B3649" s="12" t="s">
        <v>5001</v>
      </c>
      <c r="C3649" s="13" t="s">
        <v>126</v>
      </c>
      <c r="D3649" s="17">
        <v>1017.2</v>
      </c>
    </row>
    <row r="3650" spans="1:7">
      <c r="A3650" s="14" t="s">
        <v>5032</v>
      </c>
      <c r="B3650" s="12" t="s">
        <v>5005</v>
      </c>
      <c r="C3650" s="13" t="s">
        <v>126</v>
      </c>
      <c r="D3650" s="17">
        <v>1365.7</v>
      </c>
    </row>
    <row r="3651" spans="1:7">
      <c r="A3651" s="14" t="s">
        <v>5033</v>
      </c>
      <c r="B3651" s="12" t="s">
        <v>5034</v>
      </c>
      <c r="C3651" s="13" t="s">
        <v>126</v>
      </c>
      <c r="D3651" s="17">
        <v>1877.9</v>
      </c>
    </row>
    <row r="3652" spans="1:7">
      <c r="A3652" s="14" t="s">
        <v>5035</v>
      </c>
      <c r="B3652" s="12" t="s">
        <v>5036</v>
      </c>
      <c r="C3652" s="13" t="s">
        <v>126</v>
      </c>
      <c r="D3652" s="17">
        <v>3051.55</v>
      </c>
    </row>
    <row r="3653" spans="1:7">
      <c r="A3653" s="14" t="s">
        <v>5037</v>
      </c>
      <c r="B3653" s="12" t="s">
        <v>5038</v>
      </c>
      <c r="C3653" s="13" t="s">
        <v>126</v>
      </c>
      <c r="D3653" s="17">
        <v>3321.85</v>
      </c>
    </row>
    <row r="3654" spans="1:7">
      <c r="A3654" s="14" t="s">
        <v>5039</v>
      </c>
      <c r="B3654" s="12" t="s">
        <v>5040</v>
      </c>
      <c r="C3654" s="13" t="s">
        <v>126</v>
      </c>
      <c r="D3654" s="17">
        <v>5135.7</v>
      </c>
    </row>
    <row r="3655" ht="46.5" spans="1:7">
      <c r="A3655" s="33">
        <v>18.1</v>
      </c>
      <c r="B3655" s="15" t="s">
        <v>4699</v>
      </c>
      <c r="C3655" s="13"/>
      <c r="D3655" s="16"/>
      <c r="E3655" s="5" t="s">
        <v>8</v>
      </c>
    </row>
    <row r="3656" spans="1:7">
      <c r="A3656" s="14"/>
      <c r="B3656" s="15" t="s">
        <v>5041</v>
      </c>
      <c r="C3656" s="13"/>
      <c r="D3656" s="16"/>
      <c r="E3656" s="5" t="s">
        <v>8</v>
      </c>
    </row>
    <row r="3657" spans="1:7">
      <c r="A3657" s="14" t="s">
        <v>5042</v>
      </c>
      <c r="B3657" s="12" t="s">
        <v>4870</v>
      </c>
      <c r="C3657" s="13" t="s">
        <v>126</v>
      </c>
      <c r="D3657" s="17">
        <v>325.8</v>
      </c>
      <c r="E3657" s="5" t="s">
        <v>8</v>
      </c>
      <c r="F3657" s="6">
        <v>221.85</v>
      </c>
      <c r="G3657" s="7">
        <f t="shared" ref="G3657:G3666" si="454">(D3657-F3657)/F3657</f>
        <v>0.468559837728195</v>
      </c>
    </row>
    <row r="3658" spans="1:7">
      <c r="A3658" s="14" t="s">
        <v>5043</v>
      </c>
      <c r="B3658" s="12" t="s">
        <v>4872</v>
      </c>
      <c r="C3658" s="13" t="s">
        <v>126</v>
      </c>
      <c r="D3658" s="17">
        <v>355.65</v>
      </c>
      <c r="E3658" s="5" t="s">
        <v>8</v>
      </c>
      <c r="F3658" s="6">
        <v>238.1</v>
      </c>
      <c r="G3658" s="7">
        <f t="shared" si="454"/>
        <v>0.49370012599748</v>
      </c>
    </row>
    <row r="3659" spans="1:7">
      <c r="A3659" s="14" t="s">
        <v>5044</v>
      </c>
      <c r="B3659" s="12" t="s">
        <v>4874</v>
      </c>
      <c r="C3659" s="13" t="s">
        <v>126</v>
      </c>
      <c r="D3659" s="17">
        <v>377</v>
      </c>
      <c r="E3659" s="5" t="s">
        <v>8</v>
      </c>
      <c r="F3659" s="6">
        <v>238.1</v>
      </c>
      <c r="G3659" s="7">
        <f t="shared" si="454"/>
        <v>0.583368332633347</v>
      </c>
    </row>
    <row r="3660" spans="1:7">
      <c r="A3660" s="14" t="s">
        <v>5045</v>
      </c>
      <c r="B3660" s="12" t="s">
        <v>4880</v>
      </c>
      <c r="C3660" s="13" t="s">
        <v>126</v>
      </c>
      <c r="D3660" s="17">
        <v>405.45</v>
      </c>
      <c r="E3660" s="5" t="s">
        <v>8</v>
      </c>
      <c r="F3660" s="6">
        <v>238.1</v>
      </c>
      <c r="G3660" s="7">
        <f t="shared" si="454"/>
        <v>0.702855942881142</v>
      </c>
    </row>
    <row r="3661" spans="1:7">
      <c r="A3661" s="14" t="s">
        <v>5046</v>
      </c>
      <c r="B3661" s="12" t="s">
        <v>4886</v>
      </c>
      <c r="C3661" s="13" t="s">
        <v>126</v>
      </c>
      <c r="D3661" s="17">
        <v>448.15</v>
      </c>
      <c r="E3661" s="5" t="s">
        <v>8</v>
      </c>
      <c r="F3661" s="6">
        <v>333.35</v>
      </c>
      <c r="G3661" s="7">
        <f t="shared" si="454"/>
        <v>0.344382780860957</v>
      </c>
    </row>
    <row r="3662" spans="1:7">
      <c r="A3662" s="14" t="s">
        <v>5047</v>
      </c>
      <c r="B3662" s="12" t="s">
        <v>4888</v>
      </c>
      <c r="C3662" s="13" t="s">
        <v>126</v>
      </c>
      <c r="D3662" s="17">
        <v>448.15</v>
      </c>
      <c r="E3662" s="5" t="s">
        <v>8</v>
      </c>
      <c r="F3662" s="6">
        <v>333.35</v>
      </c>
      <c r="G3662" s="7">
        <f t="shared" si="454"/>
        <v>0.344382780860957</v>
      </c>
    </row>
    <row r="3663" spans="1:7">
      <c r="A3663" s="14" t="s">
        <v>5048</v>
      </c>
      <c r="B3663" s="12" t="s">
        <v>4896</v>
      </c>
      <c r="C3663" s="13" t="s">
        <v>126</v>
      </c>
      <c r="D3663" s="17">
        <v>682.85</v>
      </c>
      <c r="E3663" s="5" t="s">
        <v>8</v>
      </c>
      <c r="F3663" s="6">
        <v>555.2</v>
      </c>
      <c r="G3663" s="7">
        <f t="shared" si="454"/>
        <v>0.229917146974063</v>
      </c>
    </row>
    <row r="3664" spans="1:7">
      <c r="A3664" s="14" t="s">
        <v>5049</v>
      </c>
      <c r="B3664" s="12" t="s">
        <v>4898</v>
      </c>
      <c r="C3664" s="13" t="s">
        <v>126</v>
      </c>
      <c r="D3664" s="17">
        <v>754</v>
      </c>
      <c r="E3664" s="5" t="s">
        <v>8</v>
      </c>
      <c r="F3664" s="6">
        <v>555.2</v>
      </c>
      <c r="G3664" s="7">
        <f t="shared" si="454"/>
        <v>0.35806916426513</v>
      </c>
    </row>
    <row r="3665" spans="1:7">
      <c r="A3665" s="14" t="s">
        <v>5050</v>
      </c>
      <c r="B3665" s="12" t="s">
        <v>4908</v>
      </c>
      <c r="C3665" s="13" t="s">
        <v>126</v>
      </c>
      <c r="D3665" s="17">
        <v>1088.3</v>
      </c>
      <c r="E3665" s="5" t="s">
        <v>8</v>
      </c>
      <c r="F3665" s="6">
        <v>793.3</v>
      </c>
      <c r="G3665" s="7">
        <f t="shared" si="454"/>
        <v>0.37186436404891</v>
      </c>
    </row>
    <row r="3666" spans="1:7">
      <c r="A3666" s="14" t="s">
        <v>5051</v>
      </c>
      <c r="B3666" s="12" t="s">
        <v>4910</v>
      </c>
      <c r="C3666" s="13" t="s">
        <v>126</v>
      </c>
      <c r="D3666" s="17">
        <v>1187.9</v>
      </c>
      <c r="E3666" s="5" t="s">
        <v>8</v>
      </c>
      <c r="F3666" s="6">
        <v>793.3</v>
      </c>
      <c r="G3666" s="7">
        <f t="shared" si="454"/>
        <v>0.497415857809152</v>
      </c>
    </row>
    <row r="3667" ht="46.5" spans="1:7">
      <c r="A3667" s="14" t="s">
        <v>5052</v>
      </c>
      <c r="B3667" s="15" t="s">
        <v>4999</v>
      </c>
      <c r="C3667" s="13"/>
      <c r="D3667" s="16"/>
    </row>
    <row r="3668" spans="1:7">
      <c r="A3668" s="14"/>
      <c r="B3668" s="15" t="s">
        <v>5041</v>
      </c>
      <c r="C3668" s="13"/>
      <c r="D3668" s="16"/>
    </row>
    <row r="3669" spans="1:7">
      <c r="A3669" s="14" t="s">
        <v>5053</v>
      </c>
      <c r="B3669" s="12" t="s">
        <v>5054</v>
      </c>
      <c r="C3669" s="13" t="s">
        <v>126</v>
      </c>
      <c r="D3669" s="17">
        <v>832.25</v>
      </c>
    </row>
    <row r="3670" spans="1:7">
      <c r="A3670" s="14" t="s">
        <v>5055</v>
      </c>
      <c r="B3670" s="12" t="s">
        <v>5056</v>
      </c>
      <c r="C3670" s="13" t="s">
        <v>126</v>
      </c>
      <c r="D3670" s="17">
        <v>1251.95</v>
      </c>
    </row>
    <row r="3671" spans="1:7">
      <c r="A3671" s="14" t="s">
        <v>5057</v>
      </c>
      <c r="B3671" s="12" t="s">
        <v>5034</v>
      </c>
      <c r="C3671" s="13" t="s">
        <v>126</v>
      </c>
      <c r="D3671" s="17">
        <v>1664.5</v>
      </c>
    </row>
    <row r="3672" spans="1:7">
      <c r="A3672" s="14" t="s">
        <v>5058</v>
      </c>
      <c r="B3672" s="12" t="s">
        <v>5036</v>
      </c>
      <c r="C3672" s="13" t="s">
        <v>126</v>
      </c>
      <c r="D3672" s="17">
        <v>2290.45</v>
      </c>
    </row>
    <row r="3673" spans="1:7">
      <c r="A3673" s="14" t="s">
        <v>5059</v>
      </c>
      <c r="B3673" s="12" t="s">
        <v>5038</v>
      </c>
      <c r="C3673" s="13" t="s">
        <v>126</v>
      </c>
      <c r="D3673" s="17">
        <v>4196.8</v>
      </c>
    </row>
    <row r="3674" spans="1:7">
      <c r="A3674" s="14" t="s">
        <v>5060</v>
      </c>
      <c r="B3674" s="12" t="s">
        <v>5061</v>
      </c>
      <c r="C3674" s="13" t="s">
        <v>126</v>
      </c>
      <c r="D3674" s="17">
        <v>4772.95</v>
      </c>
    </row>
    <row r="3675" ht="46.5" spans="1:7">
      <c r="A3675" s="14">
        <v>18.101</v>
      </c>
      <c r="B3675" s="15" t="s">
        <v>4699</v>
      </c>
      <c r="C3675" s="13"/>
      <c r="D3675" s="16"/>
      <c r="E3675" s="5" t="s">
        <v>8</v>
      </c>
    </row>
    <row r="3676" spans="1:7">
      <c r="A3676" s="14"/>
      <c r="B3676" s="15" t="s">
        <v>5062</v>
      </c>
      <c r="C3676" s="13"/>
      <c r="D3676" s="16"/>
      <c r="E3676" s="5" t="s">
        <v>8</v>
      </c>
    </row>
    <row r="3677" spans="1:7">
      <c r="A3677" s="14" t="s">
        <v>5063</v>
      </c>
      <c r="B3677" s="12" t="s">
        <v>4702</v>
      </c>
      <c r="C3677" s="13" t="s">
        <v>126</v>
      </c>
      <c r="D3677" s="17">
        <v>58.35</v>
      </c>
      <c r="E3677" s="5" t="s">
        <v>8</v>
      </c>
      <c r="F3677" s="6">
        <v>52.25</v>
      </c>
      <c r="G3677" s="7">
        <f t="shared" ref="G3677:G3682" si="455">(D3677-F3677)/F3677</f>
        <v>0.116746411483254</v>
      </c>
    </row>
    <row r="3678" spans="1:7">
      <c r="A3678" s="14" t="s">
        <v>5064</v>
      </c>
      <c r="B3678" s="12" t="s">
        <v>4704</v>
      </c>
      <c r="C3678" s="13" t="s">
        <v>126</v>
      </c>
      <c r="D3678" s="17">
        <v>85.35</v>
      </c>
      <c r="E3678" s="5" t="s">
        <v>8</v>
      </c>
      <c r="F3678" s="6">
        <v>74.35</v>
      </c>
      <c r="G3678" s="7">
        <f t="shared" si="455"/>
        <v>0.147948890383322</v>
      </c>
    </row>
    <row r="3679" spans="1:7">
      <c r="A3679" s="14" t="s">
        <v>5065</v>
      </c>
      <c r="B3679" s="12" t="s">
        <v>4706</v>
      </c>
      <c r="C3679" s="13" t="s">
        <v>126</v>
      </c>
      <c r="D3679" s="17">
        <v>122.35</v>
      </c>
      <c r="E3679" s="5" t="s">
        <v>8</v>
      </c>
      <c r="F3679" s="6">
        <v>97.55</v>
      </c>
      <c r="G3679" s="7">
        <f t="shared" si="455"/>
        <v>0.254228600717581</v>
      </c>
    </row>
    <row r="3680" spans="1:7">
      <c r="A3680" s="14" t="s">
        <v>5066</v>
      </c>
      <c r="B3680" s="12" t="s">
        <v>4708</v>
      </c>
      <c r="C3680" s="13" t="s">
        <v>126</v>
      </c>
      <c r="D3680" s="17">
        <v>234.75</v>
      </c>
      <c r="E3680" s="5" t="s">
        <v>8</v>
      </c>
      <c r="F3680" s="6">
        <v>200.95</v>
      </c>
      <c r="G3680" s="7">
        <f t="shared" si="455"/>
        <v>0.168201045036079</v>
      </c>
    </row>
    <row r="3681" spans="1:7">
      <c r="A3681" s="14" t="s">
        <v>5067</v>
      </c>
      <c r="B3681" s="12" t="s">
        <v>4710</v>
      </c>
      <c r="C3681" s="13" t="s">
        <v>126</v>
      </c>
      <c r="D3681" s="17">
        <v>342.85</v>
      </c>
      <c r="E3681" s="5" t="s">
        <v>8</v>
      </c>
      <c r="F3681" s="6">
        <v>293.85</v>
      </c>
      <c r="G3681" s="7">
        <f t="shared" si="455"/>
        <v>0.166751744087119</v>
      </c>
    </row>
    <row r="3682" spans="1:7">
      <c r="A3682" s="14" t="s">
        <v>5068</v>
      </c>
      <c r="B3682" s="12" t="s">
        <v>4712</v>
      </c>
      <c r="C3682" s="13" t="s">
        <v>126</v>
      </c>
      <c r="D3682" s="17">
        <v>426.8</v>
      </c>
      <c r="E3682" s="5" t="s">
        <v>8</v>
      </c>
      <c r="F3682" s="6">
        <v>383.3</v>
      </c>
      <c r="G3682" s="7">
        <f t="shared" si="455"/>
        <v>0.113488129402557</v>
      </c>
    </row>
    <row r="3683" ht="46.5" spans="1:7">
      <c r="A3683" s="14" t="s">
        <v>5069</v>
      </c>
      <c r="B3683" s="15" t="s">
        <v>4999</v>
      </c>
      <c r="C3683" s="13"/>
      <c r="D3683" s="16"/>
    </row>
    <row r="3684" spans="1:7">
      <c r="A3684" s="14"/>
      <c r="B3684" s="15" t="s">
        <v>5062</v>
      </c>
      <c r="C3684" s="13"/>
      <c r="D3684" s="16"/>
    </row>
    <row r="3685" spans="1:7">
      <c r="A3685" s="14" t="s">
        <v>5070</v>
      </c>
      <c r="B3685" s="12" t="s">
        <v>4716</v>
      </c>
      <c r="C3685" s="13" t="s">
        <v>126</v>
      </c>
      <c r="D3685" s="17">
        <v>505.05</v>
      </c>
    </row>
    <row r="3686" spans="1:7">
      <c r="A3686" s="14" t="s">
        <v>5071</v>
      </c>
      <c r="B3686" s="12" t="s">
        <v>4718</v>
      </c>
      <c r="C3686" s="13" t="s">
        <v>126</v>
      </c>
      <c r="D3686" s="17">
        <v>654.4</v>
      </c>
    </row>
    <row r="3687" spans="1:7">
      <c r="A3687" s="14" t="s">
        <v>5072</v>
      </c>
      <c r="B3687" s="12" t="s">
        <v>4720</v>
      </c>
      <c r="C3687" s="13" t="s">
        <v>126</v>
      </c>
      <c r="D3687" s="17">
        <v>818</v>
      </c>
    </row>
    <row r="3688" spans="1:7">
      <c r="A3688" s="14" t="s">
        <v>5073</v>
      </c>
      <c r="B3688" s="12" t="s">
        <v>4722</v>
      </c>
      <c r="C3688" s="13" t="s">
        <v>126</v>
      </c>
      <c r="D3688" s="17">
        <v>1145.25</v>
      </c>
    </row>
    <row r="3689" spans="1:7">
      <c r="A3689" s="14" t="s">
        <v>5074</v>
      </c>
      <c r="B3689" s="12" t="s">
        <v>4724</v>
      </c>
      <c r="C3689" s="13" t="s">
        <v>126</v>
      </c>
      <c r="D3689" s="17">
        <v>2489.6</v>
      </c>
    </row>
    <row r="3690" spans="1:7">
      <c r="A3690" s="14" t="s">
        <v>5075</v>
      </c>
      <c r="B3690" s="12" t="s">
        <v>4726</v>
      </c>
      <c r="C3690" s="13" t="s">
        <v>126</v>
      </c>
      <c r="D3690" s="17">
        <v>2738.55</v>
      </c>
    </row>
    <row r="3691" ht="46.5" spans="1:7">
      <c r="A3691" s="14">
        <v>18.102</v>
      </c>
      <c r="B3691" s="15" t="s">
        <v>4699</v>
      </c>
      <c r="C3691" s="13"/>
      <c r="D3691" s="16"/>
      <c r="E3691" s="5" t="s">
        <v>8</v>
      </c>
    </row>
    <row r="3692" spans="1:7">
      <c r="A3692" s="14"/>
      <c r="B3692" s="15" t="s">
        <v>5076</v>
      </c>
      <c r="C3692" s="13"/>
      <c r="D3692" s="16"/>
      <c r="E3692" s="5" t="s">
        <v>8</v>
      </c>
    </row>
    <row r="3693" spans="1:7">
      <c r="A3693" s="14" t="s">
        <v>5077</v>
      </c>
      <c r="B3693" s="12" t="s">
        <v>4702</v>
      </c>
      <c r="C3693" s="13" t="s">
        <v>126</v>
      </c>
      <c r="D3693" s="17">
        <v>136.55</v>
      </c>
      <c r="E3693" s="5" t="s">
        <v>8</v>
      </c>
      <c r="F3693" s="6">
        <v>248.55</v>
      </c>
      <c r="G3693" s="7">
        <f t="shared" ref="G3693:G3695" si="456">(D3693-F3693)/F3693</f>
        <v>-0.450613558640113</v>
      </c>
    </row>
    <row r="3694" spans="1:7">
      <c r="A3694" s="14" t="s">
        <v>5078</v>
      </c>
      <c r="B3694" s="12" t="s">
        <v>4704</v>
      </c>
      <c r="C3694" s="13" t="s">
        <v>126</v>
      </c>
      <c r="D3694" s="17">
        <v>240.45</v>
      </c>
      <c r="E3694" s="5" t="s">
        <v>8</v>
      </c>
      <c r="F3694" s="6">
        <v>314.75</v>
      </c>
      <c r="G3694" s="7">
        <f t="shared" si="456"/>
        <v>-0.236060365369341</v>
      </c>
    </row>
    <row r="3695" spans="1:7">
      <c r="A3695" s="14" t="s">
        <v>5079</v>
      </c>
      <c r="B3695" s="12" t="s">
        <v>4706</v>
      </c>
      <c r="C3695" s="13" t="s">
        <v>126</v>
      </c>
      <c r="D3695" s="17">
        <v>386.95</v>
      </c>
      <c r="E3695" s="5" t="s">
        <v>8</v>
      </c>
      <c r="F3695" s="6">
        <v>472.75</v>
      </c>
      <c r="G3695" s="7">
        <f t="shared" si="456"/>
        <v>-0.181491274457959</v>
      </c>
    </row>
    <row r="3696" ht="46.5" spans="1:7">
      <c r="A3696" s="14" t="s">
        <v>5080</v>
      </c>
      <c r="B3696" s="15" t="s">
        <v>4999</v>
      </c>
      <c r="C3696" s="13"/>
      <c r="D3696" s="16"/>
    </row>
    <row r="3697" spans="1:4">
      <c r="A3697" s="14"/>
      <c r="B3697" s="15" t="s">
        <v>5076</v>
      </c>
      <c r="C3697" s="13"/>
      <c r="D3697" s="16"/>
    </row>
    <row r="3698" spans="1:4">
      <c r="A3698" s="14" t="s">
        <v>5081</v>
      </c>
      <c r="B3698" s="12" t="s">
        <v>4716</v>
      </c>
      <c r="C3698" s="13" t="s">
        <v>126</v>
      </c>
      <c r="D3698" s="17">
        <v>654.4</v>
      </c>
    </row>
    <row r="3699" spans="1:4">
      <c r="A3699" s="14" t="s">
        <v>5082</v>
      </c>
      <c r="B3699" s="12" t="s">
        <v>4718</v>
      </c>
      <c r="C3699" s="13" t="s">
        <v>126</v>
      </c>
      <c r="D3699" s="17">
        <v>1764.1</v>
      </c>
    </row>
    <row r="3700" spans="1:4">
      <c r="A3700" s="14" t="s">
        <v>5083</v>
      </c>
      <c r="B3700" s="12" t="s">
        <v>4720</v>
      </c>
      <c r="C3700" s="13" t="s">
        <v>126</v>
      </c>
      <c r="D3700" s="17">
        <v>2425.6</v>
      </c>
    </row>
    <row r="3701" ht="46.5" spans="1:4">
      <c r="A3701" s="14">
        <v>18.103</v>
      </c>
      <c r="B3701" s="15" t="s">
        <v>4999</v>
      </c>
      <c r="C3701" s="13"/>
      <c r="D3701" s="16"/>
    </row>
    <row r="3702" spans="1:4">
      <c r="A3702" s="14"/>
      <c r="B3702" s="15" t="s">
        <v>5084</v>
      </c>
      <c r="C3702" s="13"/>
      <c r="D3702" s="16"/>
    </row>
    <row r="3703" spans="1:4">
      <c r="A3703" s="14" t="s">
        <v>5085</v>
      </c>
      <c r="B3703" s="12" t="s">
        <v>5054</v>
      </c>
      <c r="C3703" s="13" t="s">
        <v>126</v>
      </c>
      <c r="D3703" s="17">
        <v>1408.4</v>
      </c>
    </row>
    <row r="3704" spans="1:4">
      <c r="A3704" s="14" t="s">
        <v>5086</v>
      </c>
      <c r="B3704" s="12" t="s">
        <v>5087</v>
      </c>
      <c r="C3704" s="13" t="s">
        <v>126</v>
      </c>
      <c r="D3704" s="17">
        <v>1422.65</v>
      </c>
    </row>
    <row r="3705" spans="1:4">
      <c r="A3705" s="14" t="s">
        <v>5088</v>
      </c>
      <c r="B3705" s="12" t="s">
        <v>5056</v>
      </c>
      <c r="C3705" s="13" t="s">
        <v>126</v>
      </c>
      <c r="D3705" s="17">
        <v>1628.9</v>
      </c>
    </row>
    <row r="3706" spans="1:4">
      <c r="A3706" s="14" t="s">
        <v>5089</v>
      </c>
      <c r="B3706" s="12" t="s">
        <v>5034</v>
      </c>
      <c r="C3706" s="13" t="s">
        <v>126</v>
      </c>
      <c r="D3706" s="17">
        <v>2873.7</v>
      </c>
    </row>
    <row r="3707" spans="1:4">
      <c r="A3707" s="14" t="s">
        <v>5090</v>
      </c>
      <c r="B3707" s="12" t="s">
        <v>5036</v>
      </c>
      <c r="C3707" s="13" t="s">
        <v>126</v>
      </c>
      <c r="D3707" s="17">
        <v>3001.75</v>
      </c>
    </row>
    <row r="3708" spans="1:4">
      <c r="A3708" s="14" t="s">
        <v>5091</v>
      </c>
      <c r="B3708" s="12" t="s">
        <v>5038</v>
      </c>
      <c r="C3708" s="13" t="s">
        <v>126</v>
      </c>
      <c r="D3708" s="17">
        <v>3385.85</v>
      </c>
    </row>
    <row r="3709" spans="1:4">
      <c r="A3709" s="14" t="s">
        <v>5092</v>
      </c>
      <c r="B3709" s="12" t="s">
        <v>5040</v>
      </c>
      <c r="C3709" s="13" t="s">
        <v>126</v>
      </c>
      <c r="D3709" s="17">
        <v>5861.25</v>
      </c>
    </row>
    <row r="3710" ht="46.5" spans="1:4">
      <c r="A3710" s="14">
        <v>18.104</v>
      </c>
      <c r="B3710" s="15" t="s">
        <v>4999</v>
      </c>
      <c r="C3710" s="13"/>
      <c r="D3710" s="16"/>
    </row>
    <row r="3711" spans="1:4">
      <c r="A3711" s="14"/>
      <c r="B3711" s="15" t="s">
        <v>5093</v>
      </c>
      <c r="C3711" s="13"/>
      <c r="D3711" s="16"/>
    </row>
    <row r="3712" spans="1:4">
      <c r="A3712" s="14" t="s">
        <v>5094</v>
      </c>
      <c r="B3712" s="12" t="s">
        <v>5005</v>
      </c>
      <c r="C3712" s="13" t="s">
        <v>126</v>
      </c>
      <c r="D3712" s="17">
        <v>1508</v>
      </c>
    </row>
    <row r="3713" spans="1:4">
      <c r="A3713" s="14" t="s">
        <v>5095</v>
      </c>
      <c r="B3713" s="12" t="s">
        <v>5034</v>
      </c>
      <c r="C3713" s="13" t="s">
        <v>126</v>
      </c>
      <c r="D3713" s="17">
        <v>2034.35</v>
      </c>
    </row>
    <row r="3714" ht="46.5" spans="1:4">
      <c r="A3714" s="14">
        <v>18.105</v>
      </c>
      <c r="B3714" s="15" t="s">
        <v>4999</v>
      </c>
      <c r="C3714" s="13"/>
      <c r="D3714" s="16"/>
    </row>
    <row r="3715" spans="1:4">
      <c r="A3715" s="14"/>
      <c r="B3715" s="15" t="s">
        <v>5096</v>
      </c>
      <c r="C3715" s="13"/>
      <c r="D3715" s="16"/>
    </row>
    <row r="3716" spans="1:4">
      <c r="A3716" s="14" t="s">
        <v>5097</v>
      </c>
      <c r="B3716" s="12" t="s">
        <v>5054</v>
      </c>
      <c r="C3716" s="13" t="s">
        <v>126</v>
      </c>
      <c r="D3716" s="17">
        <v>1031.4</v>
      </c>
    </row>
    <row r="3717" spans="1:4">
      <c r="A3717" s="14" t="s">
        <v>5098</v>
      </c>
      <c r="B3717" s="12" t="s">
        <v>5087</v>
      </c>
      <c r="C3717" s="13" t="s">
        <v>126</v>
      </c>
      <c r="D3717" s="17">
        <v>1379.95</v>
      </c>
    </row>
    <row r="3718" spans="1:4">
      <c r="A3718" s="14" t="s">
        <v>5099</v>
      </c>
      <c r="B3718" s="12" t="s">
        <v>5056</v>
      </c>
      <c r="C3718" s="13" t="s">
        <v>126</v>
      </c>
      <c r="D3718" s="17">
        <v>1429.75</v>
      </c>
    </row>
    <row r="3719" spans="1:4">
      <c r="D3719" s="22"/>
    </row>
    <row r="3720" spans="1:4">
      <c r="D3720" s="22"/>
    </row>
    <row r="3729" spans="1:7">
      <c r="A3729" s="5" t="s">
        <v>5100</v>
      </c>
      <c r="C3729" s="5"/>
      <c r="D3729" s="5"/>
      <c r="E3729" s="5" t="s">
        <v>8</v>
      </c>
    </row>
    <row r="3730" spans="1:7">
      <c r="A3730" s="14" t="s">
        <v>166</v>
      </c>
      <c r="B3730" s="15" t="s">
        <v>2</v>
      </c>
      <c r="C3730" s="13" t="s">
        <v>167</v>
      </c>
      <c r="D3730" s="16" t="s">
        <v>4</v>
      </c>
      <c r="E3730" s="5" t="s">
        <v>8</v>
      </c>
    </row>
    <row r="3731" ht="46.5" spans="1:7">
      <c r="A3731" s="14"/>
      <c r="B3731" s="15" t="s">
        <v>5101</v>
      </c>
      <c r="C3731" s="13"/>
      <c r="D3731" s="16"/>
      <c r="E3731" s="5" t="s">
        <v>8</v>
      </c>
    </row>
    <row r="3732" spans="1:7">
      <c r="A3732" s="14"/>
      <c r="B3732" s="15" t="s">
        <v>5102</v>
      </c>
      <c r="C3732" s="13"/>
      <c r="D3732" s="16"/>
      <c r="E3732" s="5" t="s">
        <v>8</v>
      </c>
    </row>
    <row r="3733" ht="46.5" spans="1:7">
      <c r="A3733" s="14">
        <v>19.1</v>
      </c>
      <c r="B3733" s="15" t="s">
        <v>5103</v>
      </c>
      <c r="C3733" s="13"/>
      <c r="D3733" s="16"/>
      <c r="E3733" s="5" t="s">
        <v>8</v>
      </c>
    </row>
    <row r="3734" spans="1:7">
      <c r="A3734" s="14" t="s">
        <v>5104</v>
      </c>
      <c r="B3734" s="12" t="s">
        <v>2346</v>
      </c>
      <c r="C3734" s="13" t="s">
        <v>39</v>
      </c>
      <c r="D3734" s="17">
        <v>443.6</v>
      </c>
      <c r="E3734" s="5" t="s">
        <v>8</v>
      </c>
      <c r="F3734" s="6">
        <v>216.25</v>
      </c>
      <c r="G3734" s="7">
        <f t="shared" ref="G3734:G3738" si="457">(D3734-F3734)/F3734</f>
        <v>1.05132947976879</v>
      </c>
    </row>
    <row r="3735" spans="1:7">
      <c r="A3735" s="14" t="s">
        <v>5105</v>
      </c>
      <c r="B3735" s="12" t="s">
        <v>2348</v>
      </c>
      <c r="C3735" s="13" t="s">
        <v>39</v>
      </c>
      <c r="D3735" s="17">
        <v>695.8</v>
      </c>
      <c r="E3735" s="5" t="s">
        <v>8</v>
      </c>
      <c r="F3735" s="6">
        <v>327.05</v>
      </c>
      <c r="G3735" s="7">
        <f t="shared" si="457"/>
        <v>1.127503439841</v>
      </c>
    </row>
    <row r="3736" spans="1:7">
      <c r="A3736" s="14" t="s">
        <v>5106</v>
      </c>
      <c r="B3736" s="12" t="s">
        <v>4203</v>
      </c>
      <c r="C3736" s="13" t="s">
        <v>39</v>
      </c>
      <c r="D3736" s="17">
        <v>970.35</v>
      </c>
      <c r="E3736" s="5" t="s">
        <v>8</v>
      </c>
      <c r="F3736" s="6">
        <v>423.35</v>
      </c>
      <c r="G3736" s="7">
        <f t="shared" si="457"/>
        <v>1.29207511515295</v>
      </c>
    </row>
    <row r="3737" spans="1:7">
      <c r="A3737" s="14" t="s">
        <v>5107</v>
      </c>
      <c r="B3737" s="12" t="s">
        <v>4207</v>
      </c>
      <c r="C3737" s="13" t="s">
        <v>39</v>
      </c>
      <c r="D3737" s="17">
        <v>1505.6</v>
      </c>
      <c r="E3737" s="5" t="s">
        <v>8</v>
      </c>
      <c r="F3737" s="6">
        <v>692.5</v>
      </c>
      <c r="G3737" s="7">
        <f t="shared" si="457"/>
        <v>1.17415162454874</v>
      </c>
    </row>
    <row r="3738" spans="1:7">
      <c r="A3738" s="14" t="s">
        <v>5108</v>
      </c>
      <c r="B3738" s="12" t="s">
        <v>4211</v>
      </c>
      <c r="C3738" s="13" t="s">
        <v>39</v>
      </c>
      <c r="D3738" s="17">
        <v>2064.15</v>
      </c>
      <c r="E3738" s="5" t="s">
        <v>8</v>
      </c>
      <c r="F3738" s="6">
        <v>788.7</v>
      </c>
      <c r="G3738" s="7">
        <f t="shared" si="457"/>
        <v>1.61715481171548</v>
      </c>
    </row>
    <row r="3739" ht="46.5" spans="1:7">
      <c r="A3739" s="14">
        <v>19.2</v>
      </c>
      <c r="B3739" s="15" t="s">
        <v>5109</v>
      </c>
      <c r="C3739" s="13"/>
      <c r="D3739" s="16"/>
      <c r="E3739" s="5" t="s">
        <v>8</v>
      </c>
    </row>
    <row r="3740" spans="1:7">
      <c r="A3740" s="14" t="s">
        <v>5110</v>
      </c>
      <c r="B3740" s="12" t="s">
        <v>5111</v>
      </c>
      <c r="C3740" s="13" t="s">
        <v>39</v>
      </c>
      <c r="D3740" s="17">
        <v>964.75</v>
      </c>
      <c r="E3740" s="5" t="s">
        <v>8</v>
      </c>
      <c r="F3740" s="6">
        <v>622.95</v>
      </c>
      <c r="G3740" s="7">
        <f t="shared" ref="G3740:G3743" si="458">(D3740-F3740)/F3740</f>
        <v>0.548679669315354</v>
      </c>
    </row>
    <row r="3741" spans="1:7">
      <c r="A3741" s="14" t="s">
        <v>5112</v>
      </c>
      <c r="B3741" s="12" t="s">
        <v>5113</v>
      </c>
      <c r="C3741" s="13" t="s">
        <v>39</v>
      </c>
      <c r="D3741" s="17">
        <v>1179.85</v>
      </c>
      <c r="E3741" s="5" t="s">
        <v>8</v>
      </c>
      <c r="F3741" s="6">
        <v>761.85</v>
      </c>
      <c r="G3741" s="7">
        <f t="shared" si="458"/>
        <v>0.548664435256284</v>
      </c>
    </row>
    <row r="3742" spans="1:7">
      <c r="A3742" s="14" t="s">
        <v>5114</v>
      </c>
      <c r="B3742" s="12" t="s">
        <v>5115</v>
      </c>
      <c r="C3742" s="13" t="s">
        <v>39</v>
      </c>
      <c r="D3742" s="17">
        <v>1375.45</v>
      </c>
      <c r="E3742" s="5" t="s">
        <v>8</v>
      </c>
      <c r="F3742" s="6">
        <v>888.1</v>
      </c>
      <c r="G3742" s="7">
        <f t="shared" si="458"/>
        <v>0.548755770746538</v>
      </c>
    </row>
    <row r="3743" spans="1:7">
      <c r="A3743" s="14" t="s">
        <v>5116</v>
      </c>
      <c r="B3743" s="12" t="s">
        <v>5117</v>
      </c>
      <c r="C3743" s="13" t="s">
        <v>39</v>
      </c>
      <c r="D3743" s="17">
        <v>1590.55</v>
      </c>
      <c r="E3743" s="5" t="s">
        <v>8</v>
      </c>
      <c r="F3743" s="6">
        <v>1027</v>
      </c>
      <c r="G3743" s="7">
        <f t="shared" si="458"/>
        <v>0.54873417721519</v>
      </c>
    </row>
    <row r="3744" ht="46.5" spans="1:7">
      <c r="A3744" s="14">
        <v>19.3</v>
      </c>
      <c r="B3744" s="15" t="s">
        <v>5118</v>
      </c>
      <c r="C3744" s="13"/>
      <c r="D3744" s="16"/>
      <c r="E3744" s="5" t="s">
        <v>8</v>
      </c>
    </row>
    <row r="3745" spans="1:7">
      <c r="A3745" s="14" t="s">
        <v>5119</v>
      </c>
      <c r="B3745" s="12" t="s">
        <v>5111</v>
      </c>
      <c r="C3745" s="13" t="s">
        <v>39</v>
      </c>
      <c r="D3745" s="17">
        <v>458.5</v>
      </c>
      <c r="E3745" s="5" t="s">
        <v>8</v>
      </c>
      <c r="F3745" s="6">
        <v>296.05</v>
      </c>
      <c r="G3745" s="7">
        <f t="shared" ref="G3745:G3749" si="459">(D3745-F3745)/F3745</f>
        <v>0.548724877554467</v>
      </c>
    </row>
    <row r="3746" spans="1:7">
      <c r="A3746" s="14" t="s">
        <v>5120</v>
      </c>
      <c r="B3746" s="12" t="s">
        <v>5113</v>
      </c>
      <c r="C3746" s="13" t="s">
        <v>39</v>
      </c>
      <c r="D3746" s="17">
        <v>743.1</v>
      </c>
      <c r="E3746" s="5" t="s">
        <v>8</v>
      </c>
      <c r="F3746" s="6">
        <v>479.85</v>
      </c>
      <c r="G3746" s="7">
        <f t="shared" si="459"/>
        <v>0.548608940293842</v>
      </c>
    </row>
    <row r="3747" spans="1:7">
      <c r="A3747" s="14" t="s">
        <v>5121</v>
      </c>
      <c r="B3747" s="12" t="s">
        <v>5115</v>
      </c>
      <c r="C3747" s="13" t="s">
        <v>39</v>
      </c>
      <c r="D3747" s="17">
        <v>873.5</v>
      </c>
      <c r="E3747" s="5" t="s">
        <v>8</v>
      </c>
      <c r="F3747" s="6">
        <v>564</v>
      </c>
      <c r="G3747" s="7">
        <f t="shared" si="459"/>
        <v>0.548758865248227</v>
      </c>
    </row>
    <row r="3748" spans="1:7">
      <c r="A3748" s="14" t="s">
        <v>5122</v>
      </c>
      <c r="B3748" s="12" t="s">
        <v>5117</v>
      </c>
      <c r="C3748" s="13" t="s">
        <v>39</v>
      </c>
      <c r="D3748" s="17">
        <v>1016.9</v>
      </c>
      <c r="E3748" s="5" t="s">
        <v>8</v>
      </c>
      <c r="F3748" s="6">
        <v>656.6</v>
      </c>
      <c r="G3748" s="7">
        <f t="shared" si="459"/>
        <v>0.548735912275358</v>
      </c>
    </row>
    <row r="3749" spans="1:7">
      <c r="A3749" s="14" t="s">
        <v>5123</v>
      </c>
      <c r="B3749" s="12" t="s">
        <v>5124</v>
      </c>
      <c r="C3749" s="13" t="s">
        <v>39</v>
      </c>
      <c r="D3749" s="17">
        <v>1173.35</v>
      </c>
      <c r="E3749" s="5" t="s">
        <v>8</v>
      </c>
      <c r="F3749" s="6">
        <v>757.6</v>
      </c>
      <c r="G3749" s="7">
        <f t="shared" si="459"/>
        <v>0.548772439281943</v>
      </c>
    </row>
    <row r="3750" ht="62" spans="1:7">
      <c r="A3750" s="14">
        <v>19.4</v>
      </c>
      <c r="B3750" s="15" t="s">
        <v>5125</v>
      </c>
      <c r="C3750" s="13"/>
      <c r="D3750" s="16"/>
      <c r="E3750" s="5" t="s">
        <v>8</v>
      </c>
    </row>
    <row r="3751" spans="1:7">
      <c r="A3751" s="14" t="s">
        <v>5126</v>
      </c>
      <c r="B3751" s="12" t="s">
        <v>5127</v>
      </c>
      <c r="C3751" s="13"/>
      <c r="D3751" s="16"/>
      <c r="E3751" s="5" t="s">
        <v>8</v>
      </c>
    </row>
    <row r="3752" spans="1:7">
      <c r="A3752" s="14" t="s">
        <v>5128</v>
      </c>
      <c r="B3752" s="12" t="s">
        <v>3191</v>
      </c>
      <c r="C3752" s="13" t="s">
        <v>126</v>
      </c>
      <c r="D3752" s="17">
        <v>2707.65</v>
      </c>
      <c r="E3752" s="5" t="s">
        <v>8</v>
      </c>
      <c r="F3752" s="6">
        <v>1602.4</v>
      </c>
      <c r="G3752" s="7">
        <f t="shared" ref="G3752:G3756" si="460">(D3752-F3752)/F3752</f>
        <v>0.689746630054918</v>
      </c>
    </row>
    <row r="3753" spans="1:7">
      <c r="A3753" s="14" t="s">
        <v>5129</v>
      </c>
      <c r="B3753" s="12" t="s">
        <v>5130</v>
      </c>
      <c r="C3753" s="13" t="s">
        <v>126</v>
      </c>
      <c r="D3753" s="17">
        <v>2685.2</v>
      </c>
      <c r="E3753" s="5" t="s">
        <v>8</v>
      </c>
      <c r="F3753" s="6">
        <v>1619.55</v>
      </c>
      <c r="G3753" s="7">
        <f t="shared" si="460"/>
        <v>0.657991417369022</v>
      </c>
    </row>
    <row r="3754" spans="1:7">
      <c r="A3754" s="14" t="s">
        <v>5131</v>
      </c>
      <c r="B3754" s="12" t="s">
        <v>5132</v>
      </c>
      <c r="C3754" s="13"/>
      <c r="D3754" s="16"/>
      <c r="E3754" s="5" t="s">
        <v>8</v>
      </c>
    </row>
    <row r="3755" spans="1:7">
      <c r="A3755" s="14" t="s">
        <v>5133</v>
      </c>
      <c r="B3755" s="12" t="s">
        <v>3191</v>
      </c>
      <c r="C3755" s="13" t="s">
        <v>126</v>
      </c>
      <c r="D3755" s="17">
        <v>2734.2</v>
      </c>
      <c r="E3755" s="5" t="s">
        <v>8</v>
      </c>
      <c r="F3755" s="6">
        <v>1623.25</v>
      </c>
      <c r="G3755" s="7">
        <f t="shared" si="460"/>
        <v>0.684398583089481</v>
      </c>
    </row>
    <row r="3756" spans="1:7">
      <c r="A3756" s="14" t="s">
        <v>5134</v>
      </c>
      <c r="B3756" s="12" t="s">
        <v>5135</v>
      </c>
      <c r="C3756" s="13" t="s">
        <v>126</v>
      </c>
      <c r="D3756" s="17">
        <v>2711.7</v>
      </c>
      <c r="E3756" s="5" t="s">
        <v>8</v>
      </c>
      <c r="F3756" s="6">
        <v>1640.35</v>
      </c>
      <c r="G3756" s="7">
        <f t="shared" si="460"/>
        <v>0.653122809156582</v>
      </c>
    </row>
    <row r="3757" spans="1:7">
      <c r="A3757" s="14" t="s">
        <v>5136</v>
      </c>
      <c r="B3757" s="12" t="s">
        <v>5137</v>
      </c>
      <c r="C3757" s="13"/>
      <c r="D3757" s="16"/>
      <c r="E3757" s="5" t="s">
        <v>8</v>
      </c>
    </row>
    <row r="3758" spans="1:7">
      <c r="A3758" s="14" t="s">
        <v>5138</v>
      </c>
      <c r="B3758" s="12" t="s">
        <v>3191</v>
      </c>
      <c r="C3758" s="13" t="s">
        <v>126</v>
      </c>
      <c r="D3758" s="17">
        <v>2802.15</v>
      </c>
      <c r="E3758" s="5" t="s">
        <v>8</v>
      </c>
      <c r="F3758" s="6">
        <v>1706.55</v>
      </c>
      <c r="G3758" s="7">
        <f t="shared" ref="G3758:G3768" si="461">(D3758-F3758)/F3758</f>
        <v>0.641997011514459</v>
      </c>
    </row>
    <row r="3759" spans="1:7">
      <c r="A3759" s="14" t="s">
        <v>5139</v>
      </c>
      <c r="B3759" s="12" t="s">
        <v>5130</v>
      </c>
      <c r="C3759" s="13" t="s">
        <v>126</v>
      </c>
      <c r="D3759" s="17">
        <v>2779.65</v>
      </c>
      <c r="E3759" s="5" t="s">
        <v>8</v>
      </c>
      <c r="F3759" s="6">
        <v>1723.65</v>
      </c>
      <c r="G3759" s="7">
        <f t="shared" si="461"/>
        <v>0.612653380906797</v>
      </c>
    </row>
    <row r="3760" ht="46.5" spans="1:7">
      <c r="A3760" s="14">
        <v>19.5</v>
      </c>
      <c r="B3760" s="15" t="s">
        <v>5140</v>
      </c>
      <c r="C3760" s="13"/>
      <c r="D3760" s="16"/>
      <c r="E3760" s="5" t="s">
        <v>8</v>
      </c>
    </row>
    <row r="3761" spans="1:7">
      <c r="A3761" s="14" t="s">
        <v>5141</v>
      </c>
      <c r="B3761" s="12" t="s">
        <v>2346</v>
      </c>
      <c r="C3761" s="13" t="s">
        <v>39</v>
      </c>
      <c r="D3761" s="17">
        <v>89</v>
      </c>
      <c r="E3761" s="5" t="s">
        <v>8</v>
      </c>
      <c r="F3761" s="6">
        <v>36.35</v>
      </c>
      <c r="G3761" s="7">
        <f t="shared" si="461"/>
        <v>1.4484181568088</v>
      </c>
    </row>
    <row r="3762" spans="1:7">
      <c r="A3762" s="14" t="s">
        <v>5142</v>
      </c>
      <c r="B3762" s="12" t="s">
        <v>2348</v>
      </c>
      <c r="C3762" s="13" t="s">
        <v>39</v>
      </c>
      <c r="D3762" s="17">
        <v>98.45</v>
      </c>
      <c r="E3762" s="5" t="s">
        <v>8</v>
      </c>
      <c r="F3762" s="6">
        <v>40.15</v>
      </c>
      <c r="G3762" s="7">
        <f t="shared" si="461"/>
        <v>1.45205479452055</v>
      </c>
    </row>
    <row r="3763" spans="1:7">
      <c r="A3763" s="14" t="s">
        <v>5143</v>
      </c>
      <c r="B3763" s="12" t="s">
        <v>4203</v>
      </c>
      <c r="C3763" s="13" t="s">
        <v>39</v>
      </c>
      <c r="D3763" s="17">
        <v>104.7</v>
      </c>
      <c r="E3763" s="5" t="s">
        <v>8</v>
      </c>
      <c r="F3763" s="6">
        <v>42.75</v>
      </c>
      <c r="G3763" s="7">
        <f t="shared" si="461"/>
        <v>1.44912280701754</v>
      </c>
    </row>
    <row r="3764" spans="1:7">
      <c r="A3764" s="14" t="s">
        <v>5144</v>
      </c>
      <c r="B3764" s="12" t="s">
        <v>4207</v>
      </c>
      <c r="C3764" s="13" t="s">
        <v>39</v>
      </c>
      <c r="D3764" s="17">
        <v>111</v>
      </c>
      <c r="E3764" s="5" t="s">
        <v>8</v>
      </c>
      <c r="F3764" s="6">
        <v>45.3</v>
      </c>
      <c r="G3764" s="7">
        <f t="shared" si="461"/>
        <v>1.45033112582781</v>
      </c>
    </row>
    <row r="3765" spans="1:7">
      <c r="A3765" s="14" t="s">
        <v>5145</v>
      </c>
      <c r="B3765" s="12" t="s">
        <v>4211</v>
      </c>
      <c r="C3765" s="13" t="s">
        <v>39</v>
      </c>
      <c r="D3765" s="17">
        <v>117.25</v>
      </c>
      <c r="E3765" s="5" t="s">
        <v>8</v>
      </c>
      <c r="F3765" s="6">
        <v>47.85</v>
      </c>
      <c r="G3765" s="7">
        <f t="shared" si="461"/>
        <v>1.4503657262278</v>
      </c>
    </row>
    <row r="3766" spans="1:7">
      <c r="A3766" s="14" t="s">
        <v>5146</v>
      </c>
      <c r="B3766" s="12" t="s">
        <v>5147</v>
      </c>
      <c r="C3766" s="13" t="s">
        <v>39</v>
      </c>
      <c r="D3766" s="17">
        <v>135.05</v>
      </c>
      <c r="E3766" s="5" t="s">
        <v>8</v>
      </c>
      <c r="F3766" s="6">
        <v>55.15</v>
      </c>
      <c r="G3766" s="7">
        <f t="shared" si="461"/>
        <v>1.44877606527652</v>
      </c>
    </row>
    <row r="3767" spans="1:7">
      <c r="A3767" s="14" t="s">
        <v>5148</v>
      </c>
      <c r="B3767" s="12" t="s">
        <v>5149</v>
      </c>
      <c r="C3767" s="13" t="s">
        <v>39</v>
      </c>
      <c r="D3767" s="17">
        <v>147.65</v>
      </c>
      <c r="E3767" s="5" t="s">
        <v>8</v>
      </c>
      <c r="F3767" s="6">
        <v>60.25</v>
      </c>
      <c r="G3767" s="7">
        <f t="shared" si="461"/>
        <v>1.450622406639</v>
      </c>
    </row>
    <row r="3768" spans="1:7">
      <c r="A3768" s="14" t="s">
        <v>5150</v>
      </c>
      <c r="B3768" s="12" t="s">
        <v>5151</v>
      </c>
      <c r="C3768" s="13" t="s">
        <v>39</v>
      </c>
      <c r="D3768" s="17">
        <v>153.9</v>
      </c>
      <c r="E3768" s="5" t="s">
        <v>8</v>
      </c>
      <c r="F3768" s="6">
        <v>62.85</v>
      </c>
      <c r="G3768" s="7">
        <f t="shared" si="461"/>
        <v>1.44868735083532</v>
      </c>
    </row>
    <row r="3769" ht="46.5" spans="1:7">
      <c r="A3769" s="14">
        <v>19.6</v>
      </c>
      <c r="B3769" s="15" t="s">
        <v>5152</v>
      </c>
      <c r="C3769" s="13"/>
      <c r="D3769" s="16"/>
      <c r="E3769" s="5" t="s">
        <v>8</v>
      </c>
    </row>
    <row r="3770" spans="1:7">
      <c r="A3770" s="14" t="s">
        <v>5153</v>
      </c>
      <c r="B3770" s="12" t="s">
        <v>5154</v>
      </c>
      <c r="C3770" s="13" t="s">
        <v>39</v>
      </c>
      <c r="D3770" s="17">
        <v>507.05</v>
      </c>
      <c r="E3770" s="5" t="s">
        <v>8</v>
      </c>
      <c r="F3770" s="6">
        <v>325.55</v>
      </c>
      <c r="G3770" s="7">
        <f t="shared" ref="G3770:G3782" si="462">(D3770-F3770)/F3770</f>
        <v>0.557518046383044</v>
      </c>
    </row>
    <row r="3771" spans="1:7">
      <c r="A3771" s="14" t="s">
        <v>5155</v>
      </c>
      <c r="B3771" s="12" t="s">
        <v>5156</v>
      </c>
      <c r="C3771" s="13" t="s">
        <v>39</v>
      </c>
      <c r="D3771" s="17">
        <v>556.45</v>
      </c>
      <c r="E3771" s="5" t="s">
        <v>8</v>
      </c>
      <c r="F3771" s="6">
        <v>356.7</v>
      </c>
      <c r="G3771" s="7">
        <f t="shared" si="462"/>
        <v>0.559994393047379</v>
      </c>
    </row>
    <row r="3772" spans="1:7">
      <c r="A3772" s="14" t="s">
        <v>5157</v>
      </c>
      <c r="B3772" s="12" t="s">
        <v>5158</v>
      </c>
      <c r="C3772" s="13" t="s">
        <v>39</v>
      </c>
      <c r="D3772" s="17">
        <v>899.8</v>
      </c>
      <c r="E3772" s="5" t="s">
        <v>8</v>
      </c>
      <c r="F3772" s="6">
        <v>482.05</v>
      </c>
      <c r="G3772" s="7">
        <f t="shared" si="462"/>
        <v>0.866611347370605</v>
      </c>
    </row>
    <row r="3773" spans="1:7">
      <c r="A3773" s="14" t="s">
        <v>5159</v>
      </c>
      <c r="B3773" s="12" t="s">
        <v>5160</v>
      </c>
      <c r="C3773" s="13" t="s">
        <v>39</v>
      </c>
      <c r="D3773" s="17">
        <v>994.3</v>
      </c>
      <c r="E3773" s="5" t="s">
        <v>8</v>
      </c>
      <c r="F3773" s="6">
        <v>518.55</v>
      </c>
      <c r="G3773" s="7">
        <f t="shared" si="462"/>
        <v>0.917462154083502</v>
      </c>
    </row>
    <row r="3774" spans="1:7">
      <c r="A3774" s="14" t="s">
        <v>5161</v>
      </c>
      <c r="B3774" s="12" t="s">
        <v>5162</v>
      </c>
      <c r="C3774" s="13" t="s">
        <v>39</v>
      </c>
      <c r="D3774" s="17">
        <v>1620.95</v>
      </c>
      <c r="E3774" s="5" t="s">
        <v>8</v>
      </c>
      <c r="F3774" s="6">
        <v>720.95</v>
      </c>
      <c r="G3774" s="7">
        <f t="shared" si="462"/>
        <v>1.24835286774395</v>
      </c>
    </row>
    <row r="3775" spans="1:7">
      <c r="A3775" s="14" t="s">
        <v>5163</v>
      </c>
      <c r="B3775" s="12" t="s">
        <v>5164</v>
      </c>
      <c r="C3775" s="13" t="s">
        <v>39</v>
      </c>
      <c r="D3775" s="17">
        <v>1918.9</v>
      </c>
      <c r="E3775" s="5" t="s">
        <v>8</v>
      </c>
      <c r="F3775" s="6">
        <v>950.3</v>
      </c>
      <c r="G3775" s="7">
        <f t="shared" si="462"/>
        <v>1.01925707671262</v>
      </c>
    </row>
    <row r="3776" spans="1:7">
      <c r="A3776" s="14" t="s">
        <v>5165</v>
      </c>
      <c r="B3776" s="12" t="s">
        <v>5166</v>
      </c>
      <c r="C3776" s="13" t="s">
        <v>39</v>
      </c>
      <c r="D3776" s="17">
        <v>2243.4</v>
      </c>
      <c r="E3776" s="5" t="s">
        <v>8</v>
      </c>
      <c r="F3776" s="6">
        <v>1397.1</v>
      </c>
      <c r="G3776" s="7">
        <f t="shared" si="462"/>
        <v>0.605754777753919</v>
      </c>
    </row>
    <row r="3777" spans="1:7">
      <c r="A3777" s="14" t="s">
        <v>5167</v>
      </c>
      <c r="B3777" s="12" t="s">
        <v>5168</v>
      </c>
      <c r="C3777" s="13" t="s">
        <v>39</v>
      </c>
      <c r="D3777" s="17">
        <v>2932.5</v>
      </c>
      <c r="E3777" s="5" t="s">
        <v>8</v>
      </c>
      <c r="F3777" s="6">
        <v>1582.85</v>
      </c>
      <c r="G3777" s="7">
        <f t="shared" si="462"/>
        <v>0.852670815301513</v>
      </c>
    </row>
    <row r="3778" spans="1:7">
      <c r="A3778" s="14" t="s">
        <v>5169</v>
      </c>
      <c r="B3778" s="12" t="s">
        <v>5170</v>
      </c>
      <c r="C3778" s="13" t="s">
        <v>39</v>
      </c>
      <c r="D3778" s="17">
        <v>3511.95</v>
      </c>
      <c r="E3778" s="5" t="s">
        <v>8</v>
      </c>
      <c r="F3778" s="6">
        <v>1770.85</v>
      </c>
      <c r="G3778" s="7">
        <f t="shared" si="462"/>
        <v>0.983200158116159</v>
      </c>
    </row>
    <row r="3779" spans="1:7">
      <c r="A3779" s="14" t="s">
        <v>5171</v>
      </c>
      <c r="B3779" s="12" t="s">
        <v>5172</v>
      </c>
      <c r="C3779" s="13" t="s">
        <v>39</v>
      </c>
      <c r="D3779" s="17">
        <v>4750.85</v>
      </c>
      <c r="E3779" s="5" t="s">
        <v>8</v>
      </c>
      <c r="F3779" s="6">
        <v>1988.95</v>
      </c>
      <c r="G3779" s="7">
        <f t="shared" si="462"/>
        <v>1.38862213730863</v>
      </c>
    </row>
    <row r="3780" spans="1:7">
      <c r="A3780" s="14" t="s">
        <v>5173</v>
      </c>
      <c r="B3780" s="12" t="s">
        <v>5174</v>
      </c>
      <c r="C3780" s="13" t="s">
        <v>39</v>
      </c>
      <c r="D3780" s="17">
        <v>5562.6</v>
      </c>
      <c r="E3780" s="5" t="s">
        <v>8</v>
      </c>
      <c r="F3780" s="6">
        <v>2465.5</v>
      </c>
      <c r="G3780" s="7">
        <f t="shared" si="462"/>
        <v>1.25617521800852</v>
      </c>
    </row>
    <row r="3781" spans="1:7">
      <c r="A3781" s="14" t="s">
        <v>5175</v>
      </c>
      <c r="B3781" s="12" t="s">
        <v>5176</v>
      </c>
      <c r="C3781" s="13" t="s">
        <v>39</v>
      </c>
      <c r="D3781" s="17">
        <v>6276.6</v>
      </c>
      <c r="E3781" s="5" t="s">
        <v>8</v>
      </c>
      <c r="F3781" s="6">
        <v>2911.55</v>
      </c>
      <c r="G3781" s="7">
        <f t="shared" si="462"/>
        <v>1.15575896000412</v>
      </c>
    </row>
    <row r="3782" spans="1:7">
      <c r="A3782" s="14" t="s">
        <v>5177</v>
      </c>
      <c r="B3782" s="12" t="s">
        <v>5178</v>
      </c>
      <c r="C3782" s="13" t="s">
        <v>39</v>
      </c>
      <c r="D3782" s="17">
        <v>7102.15</v>
      </c>
      <c r="E3782" s="5" t="s">
        <v>8</v>
      </c>
      <c r="F3782" s="6">
        <v>2828.15</v>
      </c>
      <c r="G3782" s="7">
        <f t="shared" si="462"/>
        <v>1.51123525979881</v>
      </c>
    </row>
    <row r="3783" ht="124" spans="1:7">
      <c r="A3783" s="14">
        <v>19.7</v>
      </c>
      <c r="B3783" s="15" t="s">
        <v>5179</v>
      </c>
      <c r="C3783" s="13"/>
      <c r="D3783" s="16"/>
      <c r="E3783" s="5" t="s">
        <v>8</v>
      </c>
    </row>
    <row r="3784" ht="46.5" spans="1:7">
      <c r="A3784" s="14" t="s">
        <v>5180</v>
      </c>
      <c r="B3784" s="12" t="s">
        <v>5181</v>
      </c>
      <c r="C3784" s="13"/>
      <c r="D3784" s="16"/>
      <c r="E3784" s="5" t="s">
        <v>8</v>
      </c>
    </row>
    <row r="3785" spans="1:7">
      <c r="A3785" s="14" t="s">
        <v>5182</v>
      </c>
      <c r="B3785" s="12" t="s">
        <v>3191</v>
      </c>
      <c r="C3785" s="13" t="s">
        <v>126</v>
      </c>
      <c r="D3785" s="17">
        <v>12770.55</v>
      </c>
      <c r="E3785" s="5" t="s">
        <v>8</v>
      </c>
      <c r="F3785" s="6">
        <v>8634.1</v>
      </c>
      <c r="G3785" s="7">
        <f t="shared" ref="G3785:G3789" si="463">(D3785-F3785)/F3785</f>
        <v>0.479082938580744</v>
      </c>
    </row>
    <row r="3786" spans="1:7">
      <c r="A3786" s="14" t="s">
        <v>5183</v>
      </c>
      <c r="B3786" s="12" t="s">
        <v>5130</v>
      </c>
      <c r="C3786" s="13" t="s">
        <v>126</v>
      </c>
      <c r="D3786" s="17">
        <v>12711.8</v>
      </c>
      <c r="E3786" s="5" t="s">
        <v>8</v>
      </c>
      <c r="F3786" s="6">
        <v>8678.85</v>
      </c>
      <c r="G3786" s="7">
        <f t="shared" si="463"/>
        <v>0.464687141729607</v>
      </c>
    </row>
    <row r="3787" ht="46.5" spans="1:7">
      <c r="A3787" s="14" t="s">
        <v>5184</v>
      </c>
      <c r="B3787" s="12" t="s">
        <v>5185</v>
      </c>
      <c r="C3787" s="13"/>
      <c r="D3787" s="16"/>
      <c r="E3787" s="5" t="s">
        <v>8</v>
      </c>
    </row>
    <row r="3788" spans="1:7">
      <c r="A3788" s="14" t="s">
        <v>5186</v>
      </c>
      <c r="B3788" s="12" t="s">
        <v>3191</v>
      </c>
      <c r="C3788" s="13" t="s">
        <v>126</v>
      </c>
      <c r="D3788" s="17">
        <v>26405.5</v>
      </c>
      <c r="E3788" s="5" t="s">
        <v>8</v>
      </c>
      <c r="F3788" s="6">
        <v>18422.4</v>
      </c>
      <c r="G3788" s="7">
        <f t="shared" si="463"/>
        <v>0.433336590237971</v>
      </c>
    </row>
    <row r="3789" spans="1:7">
      <c r="A3789" s="14" t="s">
        <v>5187</v>
      </c>
      <c r="B3789" s="12" t="s">
        <v>5130</v>
      </c>
      <c r="C3789" s="13" t="s">
        <v>126</v>
      </c>
      <c r="D3789" s="17">
        <v>26244.7</v>
      </c>
      <c r="E3789" s="5" t="s">
        <v>8</v>
      </c>
      <c r="F3789" s="6">
        <v>18544.9</v>
      </c>
      <c r="G3789" s="7">
        <f t="shared" si="463"/>
        <v>0.415197709343269</v>
      </c>
    </row>
    <row r="3790" ht="46.5" spans="1:7">
      <c r="A3790" s="14" t="s">
        <v>5188</v>
      </c>
      <c r="B3790" s="12" t="s">
        <v>5189</v>
      </c>
      <c r="C3790" s="13"/>
      <c r="D3790" s="16"/>
      <c r="E3790" s="5" t="s">
        <v>8</v>
      </c>
    </row>
    <row r="3791" spans="1:7">
      <c r="A3791" s="14" t="s">
        <v>5190</v>
      </c>
      <c r="B3791" s="12" t="s">
        <v>3191</v>
      </c>
      <c r="C3791" s="13" t="s">
        <v>126</v>
      </c>
      <c r="D3791" s="17">
        <v>32857.85</v>
      </c>
      <c r="E3791" s="5" t="s">
        <v>8</v>
      </c>
      <c r="F3791" s="6">
        <v>22983.25</v>
      </c>
      <c r="G3791" s="7">
        <f t="shared" ref="G3791:G3796" si="464">(D3791-F3791)/F3791</f>
        <v>0.429643327205682</v>
      </c>
    </row>
    <row r="3792" spans="1:7">
      <c r="A3792" s="14" t="s">
        <v>5191</v>
      </c>
      <c r="B3792" s="12" t="s">
        <v>5130</v>
      </c>
      <c r="C3792" s="13" t="s">
        <v>126</v>
      </c>
      <c r="D3792" s="17">
        <v>32719.5</v>
      </c>
      <c r="E3792" s="5" t="s">
        <v>8</v>
      </c>
      <c r="F3792" s="6">
        <v>23088.6</v>
      </c>
      <c r="G3792" s="7">
        <f t="shared" si="464"/>
        <v>0.417127933265768</v>
      </c>
    </row>
    <row r="3793" spans="1:7">
      <c r="A3793" s="14">
        <v>19.8</v>
      </c>
      <c r="B3793" s="15" t="s">
        <v>5192</v>
      </c>
      <c r="C3793" s="13"/>
      <c r="D3793" s="16"/>
      <c r="E3793" s="5" t="s">
        <v>8</v>
      </c>
    </row>
    <row r="3794" spans="1:7">
      <c r="A3794" s="14" t="s">
        <v>5193</v>
      </c>
      <c r="B3794" s="12" t="s">
        <v>5194</v>
      </c>
      <c r="C3794" s="13"/>
      <c r="D3794" s="16"/>
      <c r="E3794" s="5" t="s">
        <v>8</v>
      </c>
    </row>
    <row r="3795" spans="1:7">
      <c r="A3795" s="14" t="s">
        <v>5195</v>
      </c>
      <c r="B3795" s="12" t="s">
        <v>3191</v>
      </c>
      <c r="C3795" s="13" t="s">
        <v>39</v>
      </c>
      <c r="D3795" s="17">
        <v>8825.4</v>
      </c>
      <c r="E3795" s="5" t="s">
        <v>8</v>
      </c>
      <c r="F3795" s="6">
        <v>5718.6</v>
      </c>
      <c r="G3795" s="7">
        <f t="shared" si="464"/>
        <v>0.543279823733081</v>
      </c>
    </row>
    <row r="3796" spans="1:7">
      <c r="A3796" s="14" t="s">
        <v>5196</v>
      </c>
      <c r="B3796" s="12" t="s">
        <v>5130</v>
      </c>
      <c r="C3796" s="13" t="s">
        <v>39</v>
      </c>
      <c r="D3796" s="17">
        <v>8654.25</v>
      </c>
      <c r="E3796" s="5" t="s">
        <v>8</v>
      </c>
      <c r="F3796" s="6">
        <v>5848.95</v>
      </c>
      <c r="G3796" s="7">
        <f t="shared" si="464"/>
        <v>0.479624547995794</v>
      </c>
    </row>
    <row r="3797" spans="1:7">
      <c r="A3797" s="14" t="s">
        <v>5197</v>
      </c>
      <c r="B3797" s="12" t="s">
        <v>5198</v>
      </c>
      <c r="C3797" s="13"/>
      <c r="D3797" s="16"/>
      <c r="E3797" s="5" t="s">
        <v>8</v>
      </c>
    </row>
    <row r="3798" spans="1:7">
      <c r="A3798" s="14" t="s">
        <v>5199</v>
      </c>
      <c r="B3798" s="12" t="s">
        <v>3191</v>
      </c>
      <c r="C3798" s="13" t="s">
        <v>39</v>
      </c>
      <c r="D3798" s="17">
        <v>10585.5</v>
      </c>
      <c r="E3798" s="5" t="s">
        <v>8</v>
      </c>
      <c r="F3798" s="6">
        <v>6850.7</v>
      </c>
      <c r="G3798" s="7">
        <f t="shared" ref="G3798:G3803" si="465">(D3798-F3798)/F3798</f>
        <v>0.545170566511451</v>
      </c>
    </row>
    <row r="3799" spans="1:7">
      <c r="A3799" s="14" t="s">
        <v>5200</v>
      </c>
      <c r="B3799" s="12" t="s">
        <v>5130</v>
      </c>
      <c r="C3799" s="13" t="s">
        <v>39</v>
      </c>
      <c r="D3799" s="17">
        <v>10381.45</v>
      </c>
      <c r="E3799" s="5" t="s">
        <v>8</v>
      </c>
      <c r="F3799" s="6">
        <v>7006.1</v>
      </c>
      <c r="G3799" s="7">
        <f t="shared" si="465"/>
        <v>0.481773026362741</v>
      </c>
    </row>
    <row r="3800" ht="108.5" spans="1:7">
      <c r="A3800" s="14">
        <v>19.9</v>
      </c>
      <c r="B3800" s="15" t="s">
        <v>5201</v>
      </c>
      <c r="C3800" s="13"/>
      <c r="D3800" s="16"/>
      <c r="E3800" s="5" t="s">
        <v>8</v>
      </c>
    </row>
    <row r="3801" ht="93" spans="1:7">
      <c r="A3801" s="14" t="s">
        <v>5202</v>
      </c>
      <c r="B3801" s="12" t="s">
        <v>5203</v>
      </c>
      <c r="C3801" s="13"/>
      <c r="D3801" s="16"/>
      <c r="E3801" s="5" t="s">
        <v>8</v>
      </c>
    </row>
    <row r="3802" spans="1:7">
      <c r="A3802" s="14" t="s">
        <v>5204</v>
      </c>
      <c r="B3802" s="12" t="s">
        <v>3191</v>
      </c>
      <c r="C3802" s="13" t="s">
        <v>126</v>
      </c>
      <c r="D3802" s="17">
        <v>12725</v>
      </c>
      <c r="E3802" s="5" t="s">
        <v>8</v>
      </c>
      <c r="F3802" s="6">
        <v>8683.75</v>
      </c>
      <c r="G3802" s="7">
        <f t="shared" si="465"/>
        <v>0.465380739887721</v>
      </c>
    </row>
    <row r="3803" spans="1:7">
      <c r="A3803" s="14" t="s">
        <v>5205</v>
      </c>
      <c r="B3803" s="12" t="s">
        <v>5130</v>
      </c>
      <c r="C3803" s="13" t="s">
        <v>126</v>
      </c>
      <c r="D3803" s="17">
        <v>12600.4</v>
      </c>
      <c r="E3803" s="5" t="s">
        <v>8</v>
      </c>
      <c r="F3803" s="6">
        <v>8743.7</v>
      </c>
      <c r="G3803" s="7">
        <f t="shared" si="465"/>
        <v>0.44108329425758</v>
      </c>
    </row>
    <row r="3804" ht="31" spans="1:7">
      <c r="A3804" s="18">
        <v>19.1</v>
      </c>
      <c r="B3804" s="15" t="s">
        <v>5206</v>
      </c>
      <c r="C3804" s="13"/>
      <c r="D3804" s="16"/>
      <c r="E3804" s="5" t="s">
        <v>8</v>
      </c>
    </row>
    <row r="3805" spans="1:7">
      <c r="A3805" s="14" t="s">
        <v>5207</v>
      </c>
      <c r="B3805" s="12" t="s">
        <v>3191</v>
      </c>
      <c r="C3805" s="13" t="s">
        <v>39</v>
      </c>
      <c r="D3805" s="17">
        <v>7591.8</v>
      </c>
      <c r="E3805" s="5" t="s">
        <v>8</v>
      </c>
      <c r="F3805" s="6">
        <v>4911.8</v>
      </c>
      <c r="G3805" s="7">
        <f t="shared" ref="G3805:G3810" si="466">(D3805-F3805)/F3805</f>
        <v>0.545624821857567</v>
      </c>
    </row>
    <row r="3806" spans="1:7">
      <c r="A3806" s="14" t="s">
        <v>5208</v>
      </c>
      <c r="B3806" s="12" t="s">
        <v>5209</v>
      </c>
      <c r="C3806" s="13" t="s">
        <v>39</v>
      </c>
      <c r="D3806" s="17">
        <v>7448.45</v>
      </c>
      <c r="E3806" s="5" t="s">
        <v>8</v>
      </c>
      <c r="F3806" s="6">
        <v>5020.95</v>
      </c>
      <c r="G3806" s="7">
        <f t="shared" si="466"/>
        <v>0.483474242922156</v>
      </c>
    </row>
    <row r="3807" ht="108.5" spans="1:7">
      <c r="A3807" s="18">
        <v>19.11</v>
      </c>
      <c r="B3807" s="15" t="s">
        <v>5210</v>
      </c>
      <c r="C3807" s="13"/>
      <c r="D3807" s="16"/>
      <c r="E3807" s="5" t="s">
        <v>8</v>
      </c>
    </row>
    <row r="3808" ht="93" spans="1:7">
      <c r="A3808" s="14" t="s">
        <v>5211</v>
      </c>
      <c r="B3808" s="12" t="s">
        <v>5212</v>
      </c>
      <c r="C3808" s="13"/>
      <c r="D3808" s="16"/>
      <c r="E3808" s="5" t="s">
        <v>8</v>
      </c>
    </row>
    <row r="3809" spans="1:7">
      <c r="A3809" s="14" t="s">
        <v>5213</v>
      </c>
      <c r="B3809" s="12" t="s">
        <v>3191</v>
      </c>
      <c r="C3809" s="13" t="s">
        <v>126</v>
      </c>
      <c r="D3809" s="17">
        <v>24702.75</v>
      </c>
      <c r="E3809" s="5" t="s">
        <v>8</v>
      </c>
      <c r="F3809" s="6">
        <v>16560.8</v>
      </c>
      <c r="G3809" s="7">
        <f t="shared" si="466"/>
        <v>0.491639896623352</v>
      </c>
    </row>
    <row r="3810" spans="1:7">
      <c r="A3810" s="14" t="s">
        <v>5214</v>
      </c>
      <c r="B3810" s="12" t="s">
        <v>5209</v>
      </c>
      <c r="C3810" s="13" t="s">
        <v>126</v>
      </c>
      <c r="D3810" s="17">
        <v>24446.7</v>
      </c>
      <c r="E3810" s="5" t="s">
        <v>8</v>
      </c>
      <c r="F3810" s="6">
        <v>16720.9</v>
      </c>
      <c r="G3810" s="7">
        <f t="shared" si="466"/>
        <v>0.462044507173657</v>
      </c>
    </row>
    <row r="3811" ht="31" spans="1:7">
      <c r="A3811" s="18">
        <v>19.12</v>
      </c>
      <c r="B3811" s="15" t="s">
        <v>5215</v>
      </c>
      <c r="C3811" s="13"/>
      <c r="D3811" s="16"/>
      <c r="E3811" s="5" t="s">
        <v>8</v>
      </c>
    </row>
    <row r="3812" spans="1:7">
      <c r="A3812" s="14" t="s">
        <v>5216</v>
      </c>
      <c r="B3812" s="12" t="s">
        <v>3191</v>
      </c>
      <c r="C3812" s="13" t="s">
        <v>39</v>
      </c>
      <c r="D3812" s="17">
        <v>9861.45</v>
      </c>
      <c r="E3812" s="5" t="s">
        <v>8</v>
      </c>
      <c r="F3812" s="6">
        <v>6362.65</v>
      </c>
      <c r="G3812" s="7">
        <f t="shared" ref="G3812:G3817" si="467">(D3812-F3812)/F3812</f>
        <v>0.549896662554125</v>
      </c>
    </row>
    <row r="3813" spans="1:7">
      <c r="A3813" s="14" t="s">
        <v>5217</v>
      </c>
      <c r="B3813" s="12" t="s">
        <v>5209</v>
      </c>
      <c r="C3813" s="13" t="s">
        <v>39</v>
      </c>
      <c r="D3813" s="17">
        <v>9674.4</v>
      </c>
      <c r="E3813" s="5" t="s">
        <v>8</v>
      </c>
      <c r="F3813" s="6">
        <v>6505.15</v>
      </c>
      <c r="G3813" s="7">
        <f t="shared" si="467"/>
        <v>0.487190917964997</v>
      </c>
    </row>
    <row r="3814" ht="108.5" spans="1:7">
      <c r="A3814" s="18">
        <v>19.13</v>
      </c>
      <c r="B3814" s="15" t="s">
        <v>5218</v>
      </c>
      <c r="C3814" s="13"/>
      <c r="D3814" s="16"/>
      <c r="E3814" s="5" t="s">
        <v>8</v>
      </c>
    </row>
    <row r="3815" ht="93" spans="1:7">
      <c r="A3815" s="14" t="s">
        <v>5219</v>
      </c>
      <c r="B3815" s="12" t="s">
        <v>5220</v>
      </c>
      <c r="C3815" s="13"/>
      <c r="D3815" s="16"/>
      <c r="E3815" s="5" t="s">
        <v>8</v>
      </c>
    </row>
    <row r="3816" spans="1:7">
      <c r="A3816" s="14" t="s">
        <v>5221</v>
      </c>
      <c r="B3816" s="12" t="s">
        <v>3191</v>
      </c>
      <c r="C3816" s="13" t="s">
        <v>126</v>
      </c>
      <c r="D3816" s="17">
        <v>52969.1</v>
      </c>
      <c r="E3816" s="5" t="s">
        <v>8</v>
      </c>
      <c r="F3816" s="6">
        <v>35380.05</v>
      </c>
      <c r="G3816" s="7">
        <f t="shared" si="467"/>
        <v>0.497145990466378</v>
      </c>
    </row>
    <row r="3817" spans="1:7">
      <c r="A3817" s="14" t="s">
        <v>5222</v>
      </c>
      <c r="B3817" s="12" t="s">
        <v>5209</v>
      </c>
      <c r="C3817" s="13" t="s">
        <v>126</v>
      </c>
      <c r="D3817" s="17">
        <v>52266.8</v>
      </c>
      <c r="E3817" s="5" t="s">
        <v>8</v>
      </c>
      <c r="F3817" s="6">
        <v>35845.05</v>
      </c>
      <c r="G3817" s="7">
        <f t="shared" si="467"/>
        <v>0.458131596970851</v>
      </c>
    </row>
    <row r="3818" spans="1:7">
      <c r="A3818" s="18">
        <v>19.14</v>
      </c>
      <c r="B3818" s="15" t="s">
        <v>5223</v>
      </c>
      <c r="C3818" s="13"/>
      <c r="D3818" s="16"/>
      <c r="E3818" s="5" t="s">
        <v>8</v>
      </c>
    </row>
    <row r="3819" spans="1:7">
      <c r="A3819" s="14" t="s">
        <v>5224</v>
      </c>
      <c r="B3819" s="12" t="s">
        <v>3191</v>
      </c>
      <c r="C3819" s="13" t="s">
        <v>39</v>
      </c>
      <c r="D3819" s="17">
        <v>22771.85</v>
      </c>
      <c r="E3819" s="5" t="s">
        <v>8</v>
      </c>
      <c r="F3819" s="6">
        <v>15028.55</v>
      </c>
      <c r="G3819" s="7">
        <f t="shared" ref="G3819:G3824" si="468">(D3819-F3819)/F3819</f>
        <v>0.51523932781273</v>
      </c>
    </row>
    <row r="3820" spans="1:7">
      <c r="A3820" s="14" t="s">
        <v>5225</v>
      </c>
      <c r="B3820" s="12" t="s">
        <v>5209</v>
      </c>
      <c r="C3820" s="13" t="s">
        <v>39</v>
      </c>
      <c r="D3820" s="17">
        <v>22288.1</v>
      </c>
      <c r="E3820" s="5" t="s">
        <v>8</v>
      </c>
      <c r="F3820" s="6">
        <v>15397.05</v>
      </c>
      <c r="G3820" s="7">
        <f t="shared" si="468"/>
        <v>0.447556512448813</v>
      </c>
    </row>
    <row r="3821" ht="46.5" spans="1:7">
      <c r="A3821" s="18">
        <v>19.15</v>
      </c>
      <c r="B3821" s="15" t="s">
        <v>5226</v>
      </c>
      <c r="C3821" s="13"/>
      <c r="D3821" s="16"/>
      <c r="E3821" s="5" t="s">
        <v>8</v>
      </c>
    </row>
    <row r="3822" spans="1:7">
      <c r="A3822" s="14" t="s">
        <v>5227</v>
      </c>
      <c r="B3822" s="12" t="s">
        <v>5228</v>
      </c>
      <c r="C3822" s="13" t="s">
        <v>126</v>
      </c>
      <c r="D3822" s="17">
        <v>544.7</v>
      </c>
      <c r="E3822" s="5" t="s">
        <v>8</v>
      </c>
      <c r="F3822" s="6">
        <v>267.95</v>
      </c>
      <c r="G3822" s="7">
        <f t="shared" si="468"/>
        <v>1.03284194812465</v>
      </c>
    </row>
    <row r="3823" spans="1:7">
      <c r="A3823" s="14" t="s">
        <v>5229</v>
      </c>
      <c r="B3823" s="12" t="s">
        <v>5230</v>
      </c>
      <c r="C3823" s="13" t="s">
        <v>126</v>
      </c>
      <c r="D3823" s="17">
        <v>496.5</v>
      </c>
      <c r="E3823" s="5" t="s">
        <v>8</v>
      </c>
      <c r="F3823" s="6">
        <v>240.25</v>
      </c>
      <c r="G3823" s="7">
        <f t="shared" si="468"/>
        <v>1.06659729448491</v>
      </c>
    </row>
    <row r="3824" ht="155" spans="1:7">
      <c r="A3824" s="18">
        <v>19.16</v>
      </c>
      <c r="B3824" s="15" t="s">
        <v>5231</v>
      </c>
      <c r="C3824" s="13" t="s">
        <v>126</v>
      </c>
      <c r="D3824" s="17">
        <v>553.7</v>
      </c>
      <c r="E3824" s="5" t="s">
        <v>8</v>
      </c>
      <c r="F3824" s="6">
        <v>327.9</v>
      </c>
      <c r="G3824" s="7">
        <f t="shared" si="468"/>
        <v>0.688624580664837</v>
      </c>
    </row>
    <row r="3825" ht="46.5" spans="1:7">
      <c r="A3825" s="18">
        <v>19.17</v>
      </c>
      <c r="B3825" s="15" t="s">
        <v>5232</v>
      </c>
      <c r="C3825" s="13"/>
      <c r="D3825" s="16"/>
      <c r="E3825" s="5" t="s">
        <v>8</v>
      </c>
    </row>
    <row r="3826" spans="1:7">
      <c r="A3826" s="14" t="s">
        <v>5233</v>
      </c>
      <c r="B3826" s="12" t="s">
        <v>5228</v>
      </c>
      <c r="C3826" s="13" t="s">
        <v>126</v>
      </c>
      <c r="D3826" s="17">
        <v>670.2</v>
      </c>
      <c r="E3826" s="5" t="s">
        <v>8</v>
      </c>
      <c r="F3826" s="6">
        <v>321.9</v>
      </c>
      <c r="G3826" s="7">
        <f t="shared" ref="G3826:G3831" si="469">(D3826-F3826)/F3826</f>
        <v>1.08201304753029</v>
      </c>
    </row>
    <row r="3827" spans="1:7">
      <c r="A3827" s="14" t="s">
        <v>5234</v>
      </c>
      <c r="B3827" s="12" t="s">
        <v>5230</v>
      </c>
      <c r="C3827" s="13" t="s">
        <v>126</v>
      </c>
      <c r="D3827" s="17">
        <v>621.95</v>
      </c>
      <c r="E3827" s="5" t="s">
        <v>8</v>
      </c>
      <c r="F3827" s="6">
        <v>294.2</v>
      </c>
      <c r="G3827" s="7">
        <f t="shared" si="469"/>
        <v>1.11403806934058</v>
      </c>
    </row>
    <row r="3828" spans="1:7">
      <c r="A3828" s="18">
        <v>19.18</v>
      </c>
      <c r="B3828" s="15" t="s">
        <v>5235</v>
      </c>
      <c r="C3828" s="13"/>
      <c r="D3828" s="16"/>
      <c r="E3828" s="5" t="s">
        <v>8</v>
      </c>
    </row>
    <row r="3829" ht="31" spans="1:7">
      <c r="A3829" s="14" t="s">
        <v>5236</v>
      </c>
      <c r="B3829" s="12" t="s">
        <v>5237</v>
      </c>
      <c r="C3829" s="13" t="s">
        <v>126</v>
      </c>
      <c r="D3829" s="17">
        <v>1358</v>
      </c>
      <c r="E3829" s="5" t="s">
        <v>8</v>
      </c>
      <c r="F3829" s="6">
        <v>1227.15</v>
      </c>
      <c r="G3829" s="7">
        <f t="shared" si="469"/>
        <v>0.106629181436662</v>
      </c>
    </row>
    <row r="3830" ht="31" spans="1:7">
      <c r="A3830" s="14" t="s">
        <v>5238</v>
      </c>
      <c r="B3830" s="12" t="s">
        <v>5239</v>
      </c>
      <c r="C3830" s="13" t="s">
        <v>126</v>
      </c>
      <c r="D3830" s="17">
        <v>3441.2</v>
      </c>
      <c r="E3830" s="5" t="s">
        <v>8</v>
      </c>
      <c r="F3830" s="6">
        <v>2749.8</v>
      </c>
      <c r="G3830" s="7">
        <f t="shared" si="469"/>
        <v>0.251436468106771</v>
      </c>
    </row>
    <row r="3831" spans="1:7">
      <c r="A3831" s="14" t="s">
        <v>5240</v>
      </c>
      <c r="B3831" s="12" t="s">
        <v>5241</v>
      </c>
      <c r="C3831" s="13" t="s">
        <v>126</v>
      </c>
      <c r="D3831" s="17">
        <v>7575.4</v>
      </c>
      <c r="E3831" s="5" t="s">
        <v>8</v>
      </c>
      <c r="F3831" s="6">
        <v>5891.2</v>
      </c>
      <c r="G3831" s="7">
        <f t="shared" si="469"/>
        <v>0.285884030418251</v>
      </c>
    </row>
    <row r="3832" ht="31" spans="1:7">
      <c r="A3832" s="18">
        <v>19.19</v>
      </c>
      <c r="B3832" s="15" t="s">
        <v>5242</v>
      </c>
      <c r="C3832" s="13"/>
      <c r="D3832" s="16"/>
      <c r="E3832" s="5" t="s">
        <v>8</v>
      </c>
    </row>
    <row r="3833" spans="1:7">
      <c r="A3833" s="14" t="s">
        <v>5243</v>
      </c>
      <c r="B3833" s="12" t="s">
        <v>5244</v>
      </c>
      <c r="C3833" s="13"/>
      <c r="D3833" s="16"/>
      <c r="E3833" s="5" t="s">
        <v>8</v>
      </c>
    </row>
    <row r="3834" spans="1:7">
      <c r="A3834" s="14" t="s">
        <v>5245</v>
      </c>
      <c r="B3834" s="12" t="s">
        <v>5246</v>
      </c>
      <c r="C3834" s="13" t="s">
        <v>126</v>
      </c>
      <c r="D3834" s="17">
        <v>1437.65</v>
      </c>
      <c r="E3834" s="5" t="s">
        <v>8</v>
      </c>
      <c r="F3834" s="6">
        <v>1073.05</v>
      </c>
      <c r="G3834" s="7">
        <f t="shared" ref="G3834:G3836" si="470">(D3834-F3834)/F3834</f>
        <v>0.339779134243512</v>
      </c>
    </row>
    <row r="3835" spans="1:7">
      <c r="A3835" s="14" t="s">
        <v>5247</v>
      </c>
      <c r="B3835" s="12" t="s">
        <v>5248</v>
      </c>
      <c r="C3835" s="13" t="s">
        <v>126</v>
      </c>
      <c r="D3835" s="17">
        <v>1155.45</v>
      </c>
      <c r="E3835" s="5" t="s">
        <v>8</v>
      </c>
      <c r="F3835" s="6">
        <v>902.1</v>
      </c>
      <c r="G3835" s="7">
        <f t="shared" si="470"/>
        <v>0.28084469571001</v>
      </c>
    </row>
    <row r="3836" spans="1:7">
      <c r="A3836" s="14" t="s">
        <v>5249</v>
      </c>
      <c r="B3836" s="12" t="s">
        <v>5250</v>
      </c>
      <c r="C3836" s="13" t="s">
        <v>126</v>
      </c>
      <c r="D3836" s="17">
        <v>1169.65</v>
      </c>
      <c r="E3836" s="5" t="s">
        <v>8</v>
      </c>
      <c r="F3836" s="6">
        <v>902.1</v>
      </c>
      <c r="G3836" s="7">
        <f t="shared" si="470"/>
        <v>0.296585744374238</v>
      </c>
    </row>
    <row r="3837" spans="1:7">
      <c r="A3837" s="14" t="s">
        <v>5251</v>
      </c>
      <c r="B3837" s="12" t="s">
        <v>5252</v>
      </c>
      <c r="C3837" s="13"/>
      <c r="D3837" s="16"/>
      <c r="E3837" s="5" t="s">
        <v>8</v>
      </c>
    </row>
    <row r="3838" spans="1:7">
      <c r="A3838" s="14" t="s">
        <v>5253</v>
      </c>
      <c r="B3838" s="12" t="s">
        <v>5254</v>
      </c>
      <c r="C3838" s="13" t="s">
        <v>126</v>
      </c>
      <c r="D3838" s="17">
        <v>1386.55</v>
      </c>
      <c r="E3838" s="5" t="s">
        <v>8</v>
      </c>
      <c r="F3838" s="6">
        <v>1079.35</v>
      </c>
      <c r="G3838" s="7">
        <f t="shared" ref="G3838:G3841" si="471">(D3838-F3838)/F3838</f>
        <v>0.284615740955205</v>
      </c>
    </row>
    <row r="3839" spans="1:7">
      <c r="A3839" s="14" t="s">
        <v>5255</v>
      </c>
      <c r="B3839" s="12" t="s">
        <v>5256</v>
      </c>
      <c r="C3839" s="13" t="s">
        <v>126</v>
      </c>
      <c r="D3839" s="17">
        <v>1172.6</v>
      </c>
      <c r="E3839" s="5" t="s">
        <v>8</v>
      </c>
      <c r="F3839" s="6">
        <v>908.35</v>
      </c>
      <c r="G3839" s="7">
        <f t="shared" si="471"/>
        <v>0.290912093356085</v>
      </c>
    </row>
    <row r="3840" spans="1:7">
      <c r="A3840" s="14" t="s">
        <v>5257</v>
      </c>
      <c r="B3840" s="12" t="s">
        <v>5258</v>
      </c>
      <c r="C3840" s="13"/>
      <c r="D3840" s="16"/>
      <c r="E3840" s="5" t="s">
        <v>8</v>
      </c>
    </row>
    <row r="3841" spans="1:7">
      <c r="A3841" s="14" t="s">
        <v>5259</v>
      </c>
      <c r="B3841" s="12" t="s">
        <v>5260</v>
      </c>
      <c r="C3841" s="13" t="s">
        <v>126</v>
      </c>
      <c r="D3841" s="17">
        <v>1675.7</v>
      </c>
      <c r="E3841" s="5" t="s">
        <v>8</v>
      </c>
      <c r="F3841" s="6">
        <v>1300.95</v>
      </c>
      <c r="G3841" s="7">
        <f t="shared" si="471"/>
        <v>0.288058726315385</v>
      </c>
    </row>
    <row r="3842" spans="1:7">
      <c r="A3842" s="14" t="s">
        <v>5261</v>
      </c>
      <c r="B3842" s="12" t="s">
        <v>5262</v>
      </c>
      <c r="C3842" s="13"/>
      <c r="D3842" s="16"/>
      <c r="E3842" s="5" t="s">
        <v>8</v>
      </c>
    </row>
    <row r="3843" spans="1:7">
      <c r="A3843" s="14" t="s">
        <v>5263</v>
      </c>
      <c r="B3843" s="12" t="s">
        <v>5264</v>
      </c>
      <c r="C3843" s="13" t="s">
        <v>126</v>
      </c>
      <c r="D3843" s="17">
        <v>2123.8</v>
      </c>
      <c r="E3843" s="5" t="s">
        <v>8</v>
      </c>
      <c r="F3843" s="6">
        <v>1655.2</v>
      </c>
      <c r="G3843" s="7">
        <f t="shared" ref="G3843:G3848" si="472">(D3843-F3843)/F3843</f>
        <v>0.283107781536974</v>
      </c>
    </row>
    <row r="3844" ht="31" spans="1:7">
      <c r="A3844" s="18">
        <v>19.2</v>
      </c>
      <c r="B3844" s="15" t="s">
        <v>5265</v>
      </c>
      <c r="C3844" s="13" t="s">
        <v>126</v>
      </c>
      <c r="D3844" s="17">
        <v>787</v>
      </c>
      <c r="E3844" s="5" t="s">
        <v>8</v>
      </c>
      <c r="F3844" s="6">
        <v>279.6</v>
      </c>
      <c r="G3844" s="7">
        <f t="shared" si="472"/>
        <v>1.81473533619456</v>
      </c>
    </row>
    <row r="3845" ht="77.5" spans="1:7">
      <c r="A3845" s="18">
        <v>19.21</v>
      </c>
      <c r="B3845" s="15" t="s">
        <v>5266</v>
      </c>
      <c r="C3845" s="13"/>
      <c r="D3845" s="16"/>
      <c r="E3845" s="5" t="s">
        <v>8</v>
      </c>
    </row>
    <row r="3846" spans="1:7">
      <c r="A3846" s="14" t="s">
        <v>5267</v>
      </c>
      <c r="B3846" s="12" t="s">
        <v>5268</v>
      </c>
      <c r="C3846" s="13" t="s">
        <v>126</v>
      </c>
      <c r="D3846" s="17">
        <v>810.45</v>
      </c>
      <c r="E3846" s="5" t="s">
        <v>8</v>
      </c>
      <c r="F3846" s="6">
        <v>391.15</v>
      </c>
      <c r="G3846" s="7">
        <f t="shared" si="472"/>
        <v>1.07196727598108</v>
      </c>
    </row>
    <row r="3847" spans="1:7">
      <c r="A3847" s="14" t="s">
        <v>5269</v>
      </c>
      <c r="B3847" s="12" t="s">
        <v>5270</v>
      </c>
      <c r="C3847" s="13" t="s">
        <v>126</v>
      </c>
      <c r="D3847" s="17">
        <v>922.4</v>
      </c>
      <c r="E3847" s="5" t="s">
        <v>8</v>
      </c>
      <c r="F3847" s="6">
        <v>463.45</v>
      </c>
      <c r="G3847" s="7">
        <f t="shared" si="472"/>
        <v>0.990290214694142</v>
      </c>
    </row>
    <row r="3848" spans="1:7">
      <c r="A3848" s="14" t="s">
        <v>5271</v>
      </c>
      <c r="B3848" s="12" t="s">
        <v>5272</v>
      </c>
      <c r="C3848" s="13" t="s">
        <v>126</v>
      </c>
      <c r="D3848" s="17">
        <v>1328.45</v>
      </c>
      <c r="E3848" s="5" t="s">
        <v>8</v>
      </c>
      <c r="F3848" s="6">
        <v>674.15</v>
      </c>
      <c r="G3848" s="7">
        <f t="shared" si="472"/>
        <v>0.970555514351406</v>
      </c>
    </row>
    <row r="3849" ht="155" spans="1:7">
      <c r="A3849" s="18">
        <v>19.22</v>
      </c>
      <c r="B3849" s="15" t="s">
        <v>5273</v>
      </c>
      <c r="C3849" s="13"/>
      <c r="D3849" s="16"/>
      <c r="E3849" s="5" t="s">
        <v>8</v>
      </c>
    </row>
    <row r="3850" spans="1:7">
      <c r="A3850" s="14" t="s">
        <v>5274</v>
      </c>
      <c r="B3850" s="12" t="s">
        <v>5275</v>
      </c>
      <c r="C3850" s="13" t="s">
        <v>126</v>
      </c>
      <c r="D3850" s="17">
        <v>12172.05</v>
      </c>
      <c r="E3850" s="5" t="s">
        <v>8</v>
      </c>
      <c r="F3850" s="6">
        <v>6637.6</v>
      </c>
      <c r="G3850" s="7">
        <f t="shared" ref="G3850:G3854" si="473">(D3850-F3850)/F3850</f>
        <v>0.833802880559238</v>
      </c>
    </row>
    <row r="3851" spans="1:7">
      <c r="A3851" s="14" t="s">
        <v>5276</v>
      </c>
      <c r="B3851" s="12" t="s">
        <v>5277</v>
      </c>
      <c r="C3851" s="13" t="s">
        <v>126</v>
      </c>
      <c r="D3851" s="17">
        <v>16577.8</v>
      </c>
      <c r="E3851" s="5" t="s">
        <v>8</v>
      </c>
      <c r="F3851" s="6">
        <v>8902.1</v>
      </c>
      <c r="G3851" s="7">
        <f t="shared" si="473"/>
        <v>0.862234753597466</v>
      </c>
    </row>
    <row r="3852" spans="1:7">
      <c r="A3852" s="18">
        <v>19.23</v>
      </c>
      <c r="B3852" s="15" t="s">
        <v>5278</v>
      </c>
      <c r="C3852" s="13"/>
      <c r="D3852" s="16"/>
      <c r="E3852" s="5" t="s">
        <v>8</v>
      </c>
    </row>
    <row r="3853" spans="1:7">
      <c r="A3853" s="14" t="s">
        <v>5279</v>
      </c>
      <c r="B3853" s="12" t="s">
        <v>5280</v>
      </c>
      <c r="C3853" s="13" t="s">
        <v>39</v>
      </c>
      <c r="D3853" s="17">
        <v>3240.45</v>
      </c>
      <c r="E3853" s="5" t="s">
        <v>8</v>
      </c>
      <c r="F3853" s="6">
        <v>1969.6</v>
      </c>
      <c r="G3853" s="7">
        <f t="shared" si="473"/>
        <v>0.645232534524777</v>
      </c>
    </row>
    <row r="3854" spans="1:7">
      <c r="A3854" s="14" t="s">
        <v>5281</v>
      </c>
      <c r="B3854" s="12" t="s">
        <v>5282</v>
      </c>
      <c r="C3854" s="13" t="s">
        <v>39</v>
      </c>
      <c r="D3854" s="17">
        <v>4126.9</v>
      </c>
      <c r="E3854" s="5" t="s">
        <v>8</v>
      </c>
      <c r="F3854" s="6">
        <v>2589</v>
      </c>
      <c r="G3854" s="7">
        <f t="shared" si="473"/>
        <v>0.594013132483584</v>
      </c>
    </row>
    <row r="3855" ht="46.5" spans="1:7">
      <c r="A3855" s="18">
        <v>19.24</v>
      </c>
      <c r="B3855" s="15" t="s">
        <v>5283</v>
      </c>
      <c r="C3855" s="13"/>
      <c r="D3855" s="16"/>
      <c r="E3855" s="5" t="s">
        <v>8</v>
      </c>
    </row>
    <row r="3856" spans="1:7">
      <c r="A3856" s="14" t="s">
        <v>5284</v>
      </c>
      <c r="B3856" s="12" t="s">
        <v>5285</v>
      </c>
      <c r="C3856" s="13" t="s">
        <v>126</v>
      </c>
      <c r="D3856" s="17">
        <v>2540.85</v>
      </c>
      <c r="E3856" s="5" t="s">
        <v>8</v>
      </c>
      <c r="F3856" s="6">
        <v>1044.95</v>
      </c>
      <c r="G3856" s="7">
        <f t="shared" ref="G3856:G3859" si="474">(D3856-F3856)/F3856</f>
        <v>1.43155174888751</v>
      </c>
    </row>
    <row r="3857" spans="1:7">
      <c r="A3857" s="14" t="s">
        <v>5286</v>
      </c>
      <c r="B3857" s="12" t="s">
        <v>5287</v>
      </c>
      <c r="C3857" s="13" t="s">
        <v>126</v>
      </c>
      <c r="D3857" s="17">
        <v>4475.5</v>
      </c>
      <c r="E3857" s="5" t="s">
        <v>8</v>
      </c>
      <c r="F3857" s="6">
        <v>1836.6</v>
      </c>
      <c r="G3857" s="7">
        <f t="shared" si="474"/>
        <v>1.43683981269738</v>
      </c>
    </row>
    <row r="3858" spans="1:7">
      <c r="A3858" s="14" t="s">
        <v>5288</v>
      </c>
      <c r="B3858" s="12" t="s">
        <v>5289</v>
      </c>
      <c r="C3858" s="13" t="s">
        <v>126</v>
      </c>
      <c r="D3858" s="17">
        <v>8466.35</v>
      </c>
      <c r="E3858" s="5" t="s">
        <v>8</v>
      </c>
      <c r="F3858" s="6">
        <v>3474.5</v>
      </c>
      <c r="G3858" s="7">
        <f t="shared" si="474"/>
        <v>1.43671031803137</v>
      </c>
    </row>
    <row r="3859" spans="1:7">
      <c r="A3859" s="14" t="s">
        <v>5290</v>
      </c>
      <c r="B3859" s="12" t="s">
        <v>5291</v>
      </c>
      <c r="C3859" s="13" t="s">
        <v>126</v>
      </c>
      <c r="D3859" s="17">
        <v>6472.4</v>
      </c>
      <c r="E3859" s="5" t="s">
        <v>8</v>
      </c>
      <c r="F3859" s="6">
        <v>2660.05</v>
      </c>
      <c r="G3859" s="7">
        <f t="shared" si="474"/>
        <v>1.43318734610252</v>
      </c>
    </row>
    <row r="3860" spans="1:7">
      <c r="A3860" s="18">
        <v>19.25</v>
      </c>
      <c r="B3860" s="15" t="s">
        <v>5292</v>
      </c>
      <c r="C3860" s="13"/>
      <c r="D3860" s="16"/>
      <c r="E3860" s="5" t="s">
        <v>8</v>
      </c>
    </row>
    <row r="3861" spans="1:7">
      <c r="A3861" s="14" t="s">
        <v>5293</v>
      </c>
      <c r="B3861" s="12" t="s">
        <v>5294</v>
      </c>
      <c r="C3861" s="13" t="s">
        <v>39</v>
      </c>
      <c r="D3861" s="17">
        <v>2045.5</v>
      </c>
      <c r="E3861" s="5" t="s">
        <v>8</v>
      </c>
      <c r="F3861" s="6">
        <v>838</v>
      </c>
      <c r="G3861" s="7">
        <f t="shared" ref="G3861:G3864" si="475">(D3861-F3861)/F3861</f>
        <v>1.4409307875895</v>
      </c>
    </row>
    <row r="3862" spans="1:7">
      <c r="A3862" s="14" t="s">
        <v>5295</v>
      </c>
      <c r="B3862" s="12" t="s">
        <v>5296</v>
      </c>
      <c r="C3862" s="13" t="s">
        <v>39</v>
      </c>
      <c r="D3862" s="17">
        <v>2436.9</v>
      </c>
      <c r="E3862" s="5" t="s">
        <v>8</v>
      </c>
      <c r="F3862" s="6">
        <v>998.1</v>
      </c>
      <c r="G3862" s="7">
        <f t="shared" si="475"/>
        <v>1.44153892395552</v>
      </c>
    </row>
    <row r="3863" spans="1:7">
      <c r="A3863" s="14" t="s">
        <v>5297</v>
      </c>
      <c r="B3863" s="12" t="s">
        <v>5298</v>
      </c>
      <c r="C3863" s="13" t="s">
        <v>39</v>
      </c>
      <c r="D3863" s="17">
        <v>1975.85</v>
      </c>
      <c r="E3863" s="5" t="s">
        <v>8</v>
      </c>
      <c r="F3863" s="6">
        <v>808.4</v>
      </c>
      <c r="G3863" s="7">
        <f t="shared" si="475"/>
        <v>1.44414893617021</v>
      </c>
    </row>
    <row r="3864" spans="1:7">
      <c r="A3864" s="14" t="s">
        <v>5299</v>
      </c>
      <c r="B3864" s="12" t="s">
        <v>5300</v>
      </c>
      <c r="C3864" s="13" t="s">
        <v>39</v>
      </c>
      <c r="D3864" s="17">
        <v>2229.2</v>
      </c>
      <c r="E3864" s="5" t="s">
        <v>8</v>
      </c>
      <c r="F3864" s="6">
        <v>911.95</v>
      </c>
      <c r="G3864" s="7">
        <f t="shared" si="475"/>
        <v>1.4444322605406</v>
      </c>
    </row>
    <row r="3865" ht="46.5" spans="1:7">
      <c r="A3865" s="18">
        <v>19.26</v>
      </c>
      <c r="B3865" s="15" t="s">
        <v>5301</v>
      </c>
      <c r="C3865" s="13"/>
      <c r="D3865" s="16"/>
      <c r="E3865" s="5" t="s">
        <v>8</v>
      </c>
    </row>
    <row r="3866" spans="1:7">
      <c r="A3866" s="14" t="s">
        <v>5302</v>
      </c>
      <c r="B3866" s="12" t="s">
        <v>5303</v>
      </c>
      <c r="C3866" s="13" t="s">
        <v>126</v>
      </c>
      <c r="D3866" s="17">
        <v>2625.5</v>
      </c>
      <c r="E3866" s="5" t="s">
        <v>8</v>
      </c>
      <c r="F3866" s="6">
        <v>1735.3</v>
      </c>
      <c r="G3866" s="7">
        <f t="shared" ref="G3866:G3869" si="476">(D3866-F3866)/F3866</f>
        <v>0.512994871203826</v>
      </c>
    </row>
    <row r="3867" spans="1:7">
      <c r="A3867" s="14" t="s">
        <v>5304</v>
      </c>
      <c r="B3867" s="12" t="s">
        <v>5305</v>
      </c>
      <c r="C3867" s="13" t="s">
        <v>126</v>
      </c>
      <c r="D3867" s="17">
        <v>4168.05</v>
      </c>
      <c r="E3867" s="5" t="s">
        <v>8</v>
      </c>
      <c r="F3867" s="6">
        <v>2719.2</v>
      </c>
      <c r="G3867" s="7">
        <f t="shared" si="476"/>
        <v>0.532822153574581</v>
      </c>
    </row>
    <row r="3868" spans="1:7">
      <c r="A3868" s="14" t="s">
        <v>5306</v>
      </c>
      <c r="B3868" s="12" t="s">
        <v>5307</v>
      </c>
      <c r="C3868" s="13" t="s">
        <v>126</v>
      </c>
      <c r="D3868" s="17">
        <v>3881.5</v>
      </c>
      <c r="E3868" s="5" t="s">
        <v>8</v>
      </c>
      <c r="F3868" s="6">
        <v>2528.5</v>
      </c>
      <c r="G3868" s="7">
        <f t="shared" si="476"/>
        <v>0.535099861578011</v>
      </c>
    </row>
    <row r="3869" spans="1:7">
      <c r="A3869" s="14" t="s">
        <v>5308</v>
      </c>
      <c r="B3869" s="12" t="s">
        <v>5309</v>
      </c>
      <c r="C3869" s="13" t="s">
        <v>126</v>
      </c>
      <c r="D3869" s="17">
        <v>320.15</v>
      </c>
      <c r="E3869" s="5" t="s">
        <v>8</v>
      </c>
      <c r="F3869" s="6">
        <v>217</v>
      </c>
      <c r="G3869" s="7">
        <f t="shared" si="476"/>
        <v>0.475345622119816</v>
      </c>
    </row>
    <row r="3870" ht="46.5" spans="1:7">
      <c r="A3870" s="18">
        <v>19.27</v>
      </c>
      <c r="B3870" s="15" t="s">
        <v>5310</v>
      </c>
      <c r="C3870" s="13"/>
      <c r="D3870" s="16"/>
      <c r="E3870" s="5" t="s">
        <v>8</v>
      </c>
    </row>
    <row r="3871" spans="1:7">
      <c r="A3871" s="14" t="s">
        <v>5311</v>
      </c>
      <c r="B3871" s="12" t="s">
        <v>3191</v>
      </c>
      <c r="C3871" s="13" t="s">
        <v>126</v>
      </c>
      <c r="D3871" s="17">
        <v>5957.9</v>
      </c>
      <c r="E3871" s="5" t="s">
        <v>8</v>
      </c>
      <c r="F3871" s="6">
        <v>4043.1</v>
      </c>
      <c r="G3871" s="7">
        <f t="shared" ref="G3871:G3875" si="477">(D3871-F3871)/F3871</f>
        <v>0.473596992406817</v>
      </c>
    </row>
    <row r="3872" ht="46.5" spans="1:7">
      <c r="A3872" s="18">
        <v>19.28</v>
      </c>
      <c r="B3872" s="15" t="s">
        <v>5312</v>
      </c>
      <c r="C3872" s="13"/>
      <c r="D3872" s="16"/>
      <c r="E3872" s="5" t="s">
        <v>8</v>
      </c>
    </row>
    <row r="3873" spans="1:7">
      <c r="A3873" s="14" t="s">
        <v>5313</v>
      </c>
      <c r="B3873" s="12" t="s">
        <v>3191</v>
      </c>
      <c r="C3873" s="13" t="s">
        <v>126</v>
      </c>
      <c r="D3873" s="17">
        <v>6889.8</v>
      </c>
      <c r="E3873" s="5" t="s">
        <v>8</v>
      </c>
      <c r="F3873" s="6">
        <v>4384.5</v>
      </c>
      <c r="G3873" s="7">
        <f t="shared" si="477"/>
        <v>0.571399247348614</v>
      </c>
    </row>
    <row r="3874" ht="46.5" spans="1:7">
      <c r="A3874" s="18">
        <v>19.29</v>
      </c>
      <c r="B3874" s="15" t="s">
        <v>5314</v>
      </c>
      <c r="C3874" s="13"/>
      <c r="D3874" s="16"/>
      <c r="E3874" s="5" t="s">
        <v>8</v>
      </c>
    </row>
    <row r="3875" spans="1:7">
      <c r="A3875" s="14" t="s">
        <v>5315</v>
      </c>
      <c r="B3875" s="12" t="s">
        <v>3191</v>
      </c>
      <c r="C3875" s="13" t="s">
        <v>126</v>
      </c>
      <c r="D3875" s="17">
        <v>11520.55</v>
      </c>
      <c r="E3875" s="5" t="s">
        <v>8</v>
      </c>
      <c r="F3875" s="6">
        <v>7522.15</v>
      </c>
      <c r="G3875" s="7">
        <f t="shared" si="477"/>
        <v>0.531550155208285</v>
      </c>
    </row>
    <row r="3876" ht="139.5" spans="1:7">
      <c r="A3876" s="18">
        <v>19.3</v>
      </c>
      <c r="B3876" s="15" t="s">
        <v>5316</v>
      </c>
      <c r="C3876" s="13"/>
      <c r="D3876" s="16"/>
      <c r="E3876" s="5" t="s">
        <v>8</v>
      </c>
    </row>
    <row r="3877" spans="1:7">
      <c r="A3877" s="14" t="s">
        <v>5317</v>
      </c>
      <c r="B3877" s="12" t="s">
        <v>5318</v>
      </c>
      <c r="C3877" s="13"/>
      <c r="D3877" s="16"/>
      <c r="E3877" s="5" t="s">
        <v>8</v>
      </c>
    </row>
    <row r="3878" spans="1:7">
      <c r="A3878" s="14" t="s">
        <v>5319</v>
      </c>
      <c r="B3878" s="12" t="s">
        <v>3191</v>
      </c>
      <c r="C3878" s="13" t="s">
        <v>126</v>
      </c>
      <c r="D3878" s="17">
        <v>6937.9</v>
      </c>
      <c r="E3878" s="5" t="s">
        <v>8</v>
      </c>
      <c r="F3878" s="6">
        <v>4777.35</v>
      </c>
      <c r="G3878" s="7">
        <f t="shared" ref="G3878:G3882" si="478">(D3878-F3878)/F3878</f>
        <v>0.452248631563524</v>
      </c>
    </row>
    <row r="3879" spans="1:7">
      <c r="A3879" s="14" t="s">
        <v>5320</v>
      </c>
      <c r="B3879" s="12" t="s">
        <v>5321</v>
      </c>
      <c r="C3879" s="13"/>
      <c r="D3879" s="16"/>
      <c r="E3879" s="5" t="s">
        <v>8</v>
      </c>
    </row>
    <row r="3880" spans="1:7">
      <c r="A3880" s="14" t="s">
        <v>5322</v>
      </c>
      <c r="B3880" s="12" t="s">
        <v>3191</v>
      </c>
      <c r="C3880" s="13" t="s">
        <v>126</v>
      </c>
      <c r="D3880" s="17">
        <v>8150.5</v>
      </c>
      <c r="E3880" s="5" t="s">
        <v>8</v>
      </c>
      <c r="F3880" s="6">
        <v>5466.7</v>
      </c>
      <c r="G3880" s="7">
        <f t="shared" si="478"/>
        <v>0.490936030877861</v>
      </c>
    </row>
    <row r="3881" spans="1:7">
      <c r="A3881" s="14" t="s">
        <v>5323</v>
      </c>
      <c r="B3881" s="12" t="s">
        <v>5324</v>
      </c>
      <c r="C3881" s="13"/>
      <c r="D3881" s="16"/>
      <c r="E3881" s="5" t="s">
        <v>8</v>
      </c>
    </row>
    <row r="3882" spans="1:7">
      <c r="A3882" s="14" t="s">
        <v>5325</v>
      </c>
      <c r="B3882" s="12" t="s">
        <v>3191</v>
      </c>
      <c r="C3882" s="13" t="s">
        <v>126</v>
      </c>
      <c r="D3882" s="17">
        <v>9594.35</v>
      </c>
      <c r="E3882" s="5" t="s">
        <v>8</v>
      </c>
      <c r="F3882" s="6">
        <v>6350.45</v>
      </c>
      <c r="G3882" s="7">
        <f t="shared" si="478"/>
        <v>0.510814194269698</v>
      </c>
    </row>
    <row r="3883" spans="1:7">
      <c r="A3883" s="18">
        <v>19.31</v>
      </c>
      <c r="B3883" s="15" t="s">
        <v>5326</v>
      </c>
      <c r="C3883" s="13"/>
      <c r="D3883" s="16"/>
      <c r="E3883" s="5" t="s">
        <v>8</v>
      </c>
    </row>
    <row r="3884" spans="1:7">
      <c r="A3884" s="14" t="s">
        <v>5327</v>
      </c>
      <c r="B3884" s="12" t="s">
        <v>5328</v>
      </c>
      <c r="C3884" s="13"/>
      <c r="D3884" s="16"/>
      <c r="E3884" s="5" t="s">
        <v>8</v>
      </c>
    </row>
    <row r="3885" spans="1:7">
      <c r="A3885" s="14" t="s">
        <v>5329</v>
      </c>
      <c r="B3885" s="12" t="s">
        <v>3191</v>
      </c>
      <c r="C3885" s="13" t="s">
        <v>39</v>
      </c>
      <c r="D3885" s="17">
        <v>6117</v>
      </c>
      <c r="E3885" s="5" t="s">
        <v>8</v>
      </c>
      <c r="F3885" s="6">
        <v>3979.1</v>
      </c>
      <c r="G3885" s="7">
        <f t="shared" ref="G3885:G3889" si="479">(D3885-F3885)/F3885</f>
        <v>0.537282300017592</v>
      </c>
    </row>
    <row r="3886" spans="1:7">
      <c r="A3886" s="14" t="s">
        <v>5330</v>
      </c>
      <c r="B3886" s="12" t="s">
        <v>5331</v>
      </c>
      <c r="C3886" s="13"/>
      <c r="D3886" s="16"/>
      <c r="E3886" s="5" t="s">
        <v>8</v>
      </c>
    </row>
    <row r="3887" spans="1:7">
      <c r="A3887" s="14" t="s">
        <v>5332</v>
      </c>
      <c r="B3887" s="12" t="s">
        <v>3191</v>
      </c>
      <c r="C3887" s="13" t="s">
        <v>39</v>
      </c>
      <c r="D3887" s="17">
        <v>6680.6</v>
      </c>
      <c r="E3887" s="5" t="s">
        <v>8</v>
      </c>
      <c r="F3887" s="6">
        <v>4340.7</v>
      </c>
      <c r="G3887" s="7">
        <f t="shared" si="479"/>
        <v>0.539060520192596</v>
      </c>
    </row>
    <row r="3888" spans="1:7">
      <c r="A3888" s="14" t="s">
        <v>5333</v>
      </c>
      <c r="B3888" s="12" t="s">
        <v>5334</v>
      </c>
      <c r="C3888" s="13"/>
      <c r="D3888" s="16"/>
      <c r="E3888" s="5" t="s">
        <v>8</v>
      </c>
    </row>
    <row r="3889" spans="1:7">
      <c r="A3889" s="14" t="s">
        <v>5335</v>
      </c>
      <c r="B3889" s="12" t="s">
        <v>3191</v>
      </c>
      <c r="C3889" s="13" t="s">
        <v>39</v>
      </c>
      <c r="D3889" s="17">
        <v>7789.85</v>
      </c>
      <c r="E3889" s="5" t="s">
        <v>8</v>
      </c>
      <c r="F3889" s="6">
        <v>5054.5</v>
      </c>
      <c r="G3889" s="7">
        <f t="shared" si="479"/>
        <v>0.541171233554259</v>
      </c>
    </row>
    <row r="3890" ht="46.5" spans="1:7">
      <c r="A3890" s="18">
        <v>19.32</v>
      </c>
      <c r="B3890" s="15" t="s">
        <v>5336</v>
      </c>
      <c r="C3890" s="13"/>
      <c r="D3890" s="16"/>
      <c r="E3890" s="5" t="s">
        <v>8</v>
      </c>
    </row>
    <row r="3891" spans="1:7">
      <c r="A3891" s="14" t="s">
        <v>5337</v>
      </c>
      <c r="B3891" s="12" t="s">
        <v>3191</v>
      </c>
      <c r="C3891" s="13" t="s">
        <v>126</v>
      </c>
      <c r="D3891" s="17">
        <v>26861.9</v>
      </c>
      <c r="E3891" s="5" t="s">
        <v>8</v>
      </c>
      <c r="F3891" s="6">
        <v>20681.55</v>
      </c>
      <c r="G3891" s="7">
        <f t="shared" ref="G3891:G3895" si="480">(D3891-F3891)/F3891</f>
        <v>0.298833984880244</v>
      </c>
    </row>
    <row r="3892" ht="31" spans="1:7">
      <c r="A3892" s="18">
        <v>19.33</v>
      </c>
      <c r="B3892" s="15" t="s">
        <v>5338</v>
      </c>
      <c r="C3892" s="13" t="s">
        <v>126</v>
      </c>
      <c r="D3892" s="17">
        <v>2890.1</v>
      </c>
      <c r="E3892" s="5" t="s">
        <v>8</v>
      </c>
      <c r="F3892" s="6">
        <v>2116.4</v>
      </c>
      <c r="G3892" s="7">
        <f t="shared" si="480"/>
        <v>0.365573615573615</v>
      </c>
    </row>
    <row r="3893" ht="31" spans="1:7">
      <c r="A3893" s="18">
        <v>19.34</v>
      </c>
      <c r="B3893" s="15" t="s">
        <v>5339</v>
      </c>
      <c r="C3893" s="13"/>
      <c r="D3893" s="16"/>
      <c r="E3893" s="5" t="s">
        <v>8</v>
      </c>
    </row>
    <row r="3894" spans="1:7">
      <c r="A3894" s="14" t="s">
        <v>5340</v>
      </c>
      <c r="B3894" s="12" t="s">
        <v>3618</v>
      </c>
      <c r="C3894" s="13" t="s">
        <v>126</v>
      </c>
      <c r="D3894" s="17">
        <v>441.4</v>
      </c>
      <c r="E3894" s="5" t="s">
        <v>8</v>
      </c>
      <c r="F3894" s="6">
        <v>294.55</v>
      </c>
      <c r="G3894" s="7">
        <f t="shared" si="480"/>
        <v>0.498557121032083</v>
      </c>
    </row>
    <row r="3895" spans="1:7">
      <c r="A3895" s="14" t="s">
        <v>5341</v>
      </c>
      <c r="B3895" s="12" t="s">
        <v>4369</v>
      </c>
      <c r="C3895" s="13" t="s">
        <v>126</v>
      </c>
      <c r="D3895" s="17">
        <v>602.66</v>
      </c>
      <c r="E3895" s="5" t="s">
        <v>8</v>
      </c>
      <c r="F3895" s="6">
        <v>400.15</v>
      </c>
      <c r="G3895" s="7">
        <f t="shared" si="480"/>
        <v>0.506085218043234</v>
      </c>
    </row>
    <row r="3896" ht="46.5" spans="1:7">
      <c r="A3896" s="18">
        <v>19.35</v>
      </c>
      <c r="B3896" s="15" t="s">
        <v>5342</v>
      </c>
      <c r="C3896" s="13"/>
      <c r="D3896" s="16"/>
      <c r="E3896" s="5" t="s">
        <v>8</v>
      </c>
    </row>
    <row r="3897" spans="1:7">
      <c r="A3897" s="14" t="s">
        <v>5343</v>
      </c>
      <c r="B3897" s="12" t="s">
        <v>5344</v>
      </c>
      <c r="C3897" s="13" t="s">
        <v>39</v>
      </c>
      <c r="D3897" s="17">
        <v>2676.55</v>
      </c>
      <c r="E3897" s="5" t="s">
        <v>8</v>
      </c>
      <c r="F3897" s="6">
        <v>1936</v>
      </c>
      <c r="G3897" s="7">
        <f t="shared" ref="G3897:G3902" si="481">(D3897-F3897)/F3897</f>
        <v>0.382515495867769</v>
      </c>
    </row>
    <row r="3898" spans="1:7">
      <c r="A3898" s="14" t="s">
        <v>5345</v>
      </c>
      <c r="B3898" s="12" t="s">
        <v>5346</v>
      </c>
      <c r="C3898" s="13" t="s">
        <v>39</v>
      </c>
      <c r="D3898" s="17">
        <v>3401.25</v>
      </c>
      <c r="E3898" s="5" t="s">
        <v>8</v>
      </c>
      <c r="F3898" s="6">
        <v>2517.85</v>
      </c>
      <c r="G3898" s="7">
        <f t="shared" si="481"/>
        <v>0.350854896042258</v>
      </c>
    </row>
    <row r="3899" spans="1:7">
      <c r="A3899" s="14" t="s">
        <v>5347</v>
      </c>
      <c r="B3899" s="12" t="s">
        <v>5348</v>
      </c>
      <c r="C3899" s="13" t="s">
        <v>39</v>
      </c>
      <c r="D3899" s="17">
        <v>5377.25</v>
      </c>
      <c r="E3899" s="5" t="s">
        <v>8</v>
      </c>
      <c r="F3899" s="6">
        <v>3964.45</v>
      </c>
      <c r="G3899" s="7">
        <f t="shared" si="481"/>
        <v>0.356367213610968</v>
      </c>
    </row>
    <row r="3900" spans="1:7">
      <c r="A3900" s="14" t="s">
        <v>5349</v>
      </c>
      <c r="B3900" s="12" t="s">
        <v>5350</v>
      </c>
      <c r="C3900" s="13" t="s">
        <v>39</v>
      </c>
      <c r="D3900" s="17">
        <v>6656.55</v>
      </c>
      <c r="E3900" s="5" t="s">
        <v>8</v>
      </c>
      <c r="F3900" s="6">
        <v>4905.35</v>
      </c>
      <c r="G3900" s="7">
        <f t="shared" si="481"/>
        <v>0.356997971602434</v>
      </c>
    </row>
    <row r="3901" spans="1:7">
      <c r="A3901" s="14" t="s">
        <v>5351</v>
      </c>
      <c r="B3901" s="12" t="s">
        <v>5352</v>
      </c>
      <c r="C3901" s="13" t="s">
        <v>39</v>
      </c>
      <c r="D3901" s="17">
        <v>9126.2</v>
      </c>
      <c r="E3901" s="5" t="s">
        <v>8</v>
      </c>
      <c r="F3901" s="6">
        <v>6457.85</v>
      </c>
      <c r="G3901" s="7">
        <f t="shared" si="481"/>
        <v>0.413194793932965</v>
      </c>
    </row>
    <row r="3902" spans="1:7">
      <c r="A3902" s="14" t="s">
        <v>5353</v>
      </c>
      <c r="B3902" s="12" t="s">
        <v>5354</v>
      </c>
      <c r="C3902" s="13" t="s">
        <v>39</v>
      </c>
      <c r="D3902" s="17">
        <v>16184</v>
      </c>
      <c r="E3902" s="5" t="s">
        <v>8</v>
      </c>
      <c r="F3902" s="6">
        <v>11830.3</v>
      </c>
      <c r="G3902" s="7">
        <f t="shared" si="481"/>
        <v>0.368012645495042</v>
      </c>
    </row>
    <row r="3903" ht="46.5" spans="1:7">
      <c r="A3903" s="18">
        <v>19.36</v>
      </c>
      <c r="B3903" s="15" t="s">
        <v>5355</v>
      </c>
      <c r="C3903" s="13"/>
      <c r="D3903" s="16"/>
      <c r="E3903" s="5" t="s">
        <v>8</v>
      </c>
    </row>
    <row r="3904" spans="1:7">
      <c r="A3904" s="14" t="s">
        <v>5356</v>
      </c>
      <c r="B3904" s="12" t="s">
        <v>5344</v>
      </c>
      <c r="C3904" s="13" t="s">
        <v>39</v>
      </c>
      <c r="D3904" s="17">
        <v>3053.55</v>
      </c>
      <c r="E3904" s="5" t="s">
        <v>8</v>
      </c>
      <c r="F3904" s="6">
        <v>2211.25</v>
      </c>
      <c r="G3904" s="7">
        <f t="shared" ref="G3904:G3909" si="482">(D3904-F3904)/F3904</f>
        <v>0.380915771622386</v>
      </c>
    </row>
    <row r="3905" spans="1:7">
      <c r="A3905" s="14" t="s">
        <v>5357</v>
      </c>
      <c r="B3905" s="12" t="s">
        <v>5346</v>
      </c>
      <c r="C3905" s="13" t="s">
        <v>39</v>
      </c>
      <c r="D3905" s="17">
        <v>3934.75</v>
      </c>
      <c r="E3905" s="5" t="s">
        <v>8</v>
      </c>
      <c r="F3905" s="6">
        <v>2883.7</v>
      </c>
      <c r="G3905" s="7">
        <f t="shared" si="482"/>
        <v>0.364479661545931</v>
      </c>
    </row>
    <row r="3906" spans="1:7">
      <c r="A3906" s="14" t="s">
        <v>5358</v>
      </c>
      <c r="B3906" s="12" t="s">
        <v>5348</v>
      </c>
      <c r="C3906" s="13" t="s">
        <v>39</v>
      </c>
      <c r="D3906" s="17">
        <v>7397.4</v>
      </c>
      <c r="E3906" s="5" t="s">
        <v>8</v>
      </c>
      <c r="F3906" s="6">
        <v>5525.5</v>
      </c>
      <c r="G3906" s="7">
        <f t="shared" si="482"/>
        <v>0.33877477151389</v>
      </c>
    </row>
    <row r="3907" spans="1:7">
      <c r="A3907" s="14" t="s">
        <v>5359</v>
      </c>
      <c r="B3907" s="12" t="s">
        <v>5350</v>
      </c>
      <c r="C3907" s="13" t="s">
        <v>39</v>
      </c>
      <c r="D3907" s="17">
        <v>9181.75</v>
      </c>
      <c r="E3907" s="5" t="s">
        <v>8</v>
      </c>
      <c r="F3907" s="6">
        <v>6856.65</v>
      </c>
      <c r="G3907" s="7">
        <f t="shared" si="482"/>
        <v>0.339101456250501</v>
      </c>
    </row>
    <row r="3908" spans="1:7">
      <c r="A3908" s="14" t="s">
        <v>5360</v>
      </c>
      <c r="B3908" s="12" t="s">
        <v>5352</v>
      </c>
      <c r="C3908" s="13" t="s">
        <v>39</v>
      </c>
      <c r="D3908" s="17">
        <v>11119.35</v>
      </c>
      <c r="E3908" s="5" t="s">
        <v>8</v>
      </c>
      <c r="F3908" s="6">
        <v>8165.25</v>
      </c>
      <c r="G3908" s="7">
        <f t="shared" si="482"/>
        <v>0.361789289978874</v>
      </c>
    </row>
    <row r="3909" spans="1:7">
      <c r="A3909" s="14" t="s">
        <v>5361</v>
      </c>
      <c r="B3909" s="12" t="s">
        <v>5362</v>
      </c>
      <c r="C3909" s="13" t="s">
        <v>39</v>
      </c>
      <c r="D3909" s="17">
        <v>22578.75</v>
      </c>
      <c r="E3909" s="5" t="s">
        <v>8</v>
      </c>
      <c r="F3909" s="6">
        <v>16648.75</v>
      </c>
      <c r="G3909" s="7">
        <f t="shared" si="482"/>
        <v>0.35618289661386</v>
      </c>
    </row>
    <row r="3910" spans="1:7">
      <c r="D3910" s="22"/>
    </row>
    <row r="3911" spans="1:7">
      <c r="D3911" s="22"/>
    </row>
    <row r="3912" spans="1:7">
      <c r="D3912" s="22"/>
    </row>
    <row r="3913" spans="1:7">
      <c r="D3913" s="22"/>
    </row>
    <row r="3914" spans="1:7">
      <c r="D3914" s="22"/>
    </row>
    <row r="3915" spans="1:7">
      <c r="D3915" s="22"/>
    </row>
    <row r="3916" spans="1:7">
      <c r="A3916" s="5" t="s">
        <v>5363</v>
      </c>
      <c r="C3916" s="5"/>
      <c r="D3916" s="5"/>
      <c r="E3916" s="5" t="s">
        <v>8</v>
      </c>
    </row>
    <row r="3917" spans="1:7">
      <c r="A3917" s="14" t="s">
        <v>166</v>
      </c>
      <c r="B3917" s="15" t="s">
        <v>2</v>
      </c>
      <c r="C3917" s="13" t="s">
        <v>167</v>
      </c>
      <c r="D3917" s="16" t="s">
        <v>4</v>
      </c>
      <c r="E3917" s="5" t="s">
        <v>8</v>
      </c>
    </row>
    <row r="3918" ht="93" spans="1:7">
      <c r="A3918" s="14">
        <v>20.1</v>
      </c>
      <c r="B3918" s="15" t="s">
        <v>5364</v>
      </c>
      <c r="C3918" s="13"/>
      <c r="D3918" s="16"/>
      <c r="E3918" s="5" t="s">
        <v>8</v>
      </c>
    </row>
    <row r="3919" spans="1:7">
      <c r="A3919" s="14" t="s">
        <v>5365</v>
      </c>
      <c r="B3919" s="15" t="s">
        <v>5366</v>
      </c>
      <c r="C3919" s="13" t="s">
        <v>39</v>
      </c>
      <c r="D3919" s="17">
        <v>2767</v>
      </c>
    </row>
    <row r="3920" spans="1:7">
      <c r="A3920" s="34" t="s">
        <v>5367</v>
      </c>
      <c r="B3920" s="15" t="s">
        <v>5368</v>
      </c>
      <c r="C3920" s="13" t="s">
        <v>39</v>
      </c>
      <c r="D3920" s="17">
        <v>3430.65</v>
      </c>
    </row>
    <row r="3921" spans="1:4">
      <c r="A3921" s="34" t="s">
        <v>5369</v>
      </c>
      <c r="B3921" s="15" t="s">
        <v>5370</v>
      </c>
      <c r="C3921" s="13" t="s">
        <v>39</v>
      </c>
      <c r="D3921" s="17">
        <v>4129.95</v>
      </c>
    </row>
    <row r="3922" spans="1:4">
      <c r="A3922" s="34" t="s">
        <v>5371</v>
      </c>
      <c r="B3922" s="15" t="s">
        <v>5372</v>
      </c>
      <c r="C3922" s="13" t="s">
        <v>39</v>
      </c>
      <c r="D3922" s="17">
        <v>4530.9</v>
      </c>
    </row>
    <row r="3923" spans="1:4">
      <c r="A3923" s="34" t="s">
        <v>5373</v>
      </c>
      <c r="B3923" s="15" t="s">
        <v>5374</v>
      </c>
      <c r="C3923" s="13" t="s">
        <v>39</v>
      </c>
      <c r="D3923" s="17">
        <v>7738.55</v>
      </c>
    </row>
    <row r="3924" spans="1:4">
      <c r="A3924" s="34" t="s">
        <v>5375</v>
      </c>
      <c r="B3924" s="15" t="s">
        <v>5376</v>
      </c>
      <c r="C3924" s="13" t="s">
        <v>39</v>
      </c>
      <c r="D3924" s="17">
        <v>12748.45</v>
      </c>
    </row>
    <row r="3925" spans="1:4">
      <c r="A3925" s="34" t="s">
        <v>5377</v>
      </c>
      <c r="B3925" s="15" t="s">
        <v>5378</v>
      </c>
      <c r="C3925" s="13" t="s">
        <v>39</v>
      </c>
      <c r="D3925" s="17">
        <v>16671.05</v>
      </c>
    </row>
    <row r="3926" spans="1:4">
      <c r="A3926" s="34" t="s">
        <v>5379</v>
      </c>
      <c r="B3926" s="15" t="s">
        <v>5380</v>
      </c>
      <c r="C3926" s="13" t="s">
        <v>39</v>
      </c>
      <c r="D3926" s="17">
        <v>23577.75</v>
      </c>
    </row>
    <row r="3927" ht="139.5" spans="1:4">
      <c r="A3927" s="34">
        <v>20.2</v>
      </c>
      <c r="B3927" s="15" t="s">
        <v>5381</v>
      </c>
      <c r="C3927" s="13"/>
      <c r="D3927" s="16"/>
    </row>
    <row r="3928" spans="1:4">
      <c r="A3928" s="34" t="s">
        <v>5382</v>
      </c>
      <c r="B3928" s="15" t="s">
        <v>5368</v>
      </c>
      <c r="C3928" s="13" t="s">
        <v>39</v>
      </c>
      <c r="D3928" s="17">
        <v>2278.3</v>
      </c>
    </row>
    <row r="3929" spans="1:4">
      <c r="A3929" s="34" t="s">
        <v>5383</v>
      </c>
      <c r="B3929" s="15" t="s">
        <v>5370</v>
      </c>
      <c r="C3929" s="13" t="s">
        <v>39</v>
      </c>
      <c r="D3929" s="17">
        <v>2703.25</v>
      </c>
    </row>
    <row r="3930" spans="1:4">
      <c r="A3930" s="34" t="s">
        <v>5384</v>
      </c>
      <c r="B3930" s="15" t="s">
        <v>5385</v>
      </c>
      <c r="C3930" s="13" t="s">
        <v>39</v>
      </c>
      <c r="D3930" s="17">
        <v>3637.2</v>
      </c>
    </row>
    <row r="3931" spans="1:4">
      <c r="A3931" s="34" t="s">
        <v>5386</v>
      </c>
      <c r="B3931" s="15" t="s">
        <v>5374</v>
      </c>
      <c r="C3931" s="13" t="s">
        <v>39</v>
      </c>
      <c r="D3931" s="17">
        <v>5581.2</v>
      </c>
    </row>
    <row r="3932" ht="124" spans="1:4">
      <c r="A3932" s="34" t="s">
        <v>5387</v>
      </c>
      <c r="B3932" s="15" t="s">
        <v>5388</v>
      </c>
      <c r="C3932" s="13" t="s">
        <v>39</v>
      </c>
      <c r="D3932" s="16"/>
    </row>
    <row r="3933" spans="1:4">
      <c r="A3933" s="14"/>
      <c r="B3933" s="15" t="s">
        <v>5389</v>
      </c>
      <c r="C3933" s="13"/>
      <c r="D3933" s="16"/>
    </row>
    <row r="3934" spans="1:4">
      <c r="A3934" s="34" t="s">
        <v>5390</v>
      </c>
      <c r="B3934" s="15" t="s">
        <v>5385</v>
      </c>
      <c r="C3934" s="13" t="s">
        <v>39</v>
      </c>
      <c r="D3934" s="17">
        <v>5386.25</v>
      </c>
    </row>
    <row r="3935" spans="1:4">
      <c r="A3935" s="34" t="s">
        <v>5391</v>
      </c>
      <c r="B3935" s="15" t="s">
        <v>5374</v>
      </c>
      <c r="C3935" s="13" t="s">
        <v>39</v>
      </c>
      <c r="D3935" s="17">
        <v>7758.75</v>
      </c>
    </row>
    <row r="3936" spans="1:4">
      <c r="A3936" s="34" t="s">
        <v>5392</v>
      </c>
      <c r="B3936" s="15" t="s">
        <v>5376</v>
      </c>
      <c r="C3936" s="13" t="s">
        <v>39</v>
      </c>
      <c r="D3936" s="17">
        <v>12990.8</v>
      </c>
    </row>
    <row r="3937" spans="1:4">
      <c r="A3937" s="34" t="s">
        <v>5393</v>
      </c>
      <c r="B3937" s="15" t="s">
        <v>5378</v>
      </c>
      <c r="C3937" s="13" t="s">
        <v>39</v>
      </c>
      <c r="D3937" s="17">
        <v>17025.75</v>
      </c>
    </row>
    <row r="3938" spans="1:4">
      <c r="A3938" s="34" t="s">
        <v>5394</v>
      </c>
      <c r="B3938" s="15" t="s">
        <v>5380</v>
      </c>
      <c r="C3938" s="13" t="s">
        <v>39</v>
      </c>
      <c r="D3938" s="17">
        <v>24408.8</v>
      </c>
    </row>
    <row r="3939" ht="93" spans="1:4">
      <c r="A3939" s="34">
        <v>20.3</v>
      </c>
      <c r="B3939" s="15" t="s">
        <v>5395</v>
      </c>
      <c r="C3939" s="13"/>
      <c r="D3939" s="8"/>
    </row>
    <row r="3940" spans="1:4">
      <c r="A3940" s="34" t="s">
        <v>5396</v>
      </c>
      <c r="B3940" s="15" t="s">
        <v>5397</v>
      </c>
      <c r="C3940" s="13" t="s">
        <v>39</v>
      </c>
      <c r="D3940" s="17">
        <v>3065.6</v>
      </c>
    </row>
    <row r="3941" spans="1:4">
      <c r="A3941" s="34" t="s">
        <v>5398</v>
      </c>
      <c r="B3941" s="15" t="s">
        <v>5366</v>
      </c>
      <c r="C3941" s="13" t="s">
        <v>39</v>
      </c>
      <c r="D3941" s="17">
        <v>3797.3</v>
      </c>
    </row>
    <row r="3942" spans="1:4">
      <c r="A3942" s="34" t="s">
        <v>5399</v>
      </c>
      <c r="B3942" s="15" t="s">
        <v>5368</v>
      </c>
      <c r="C3942" s="13" t="s">
        <v>39</v>
      </c>
      <c r="D3942" s="17">
        <v>4232.75</v>
      </c>
    </row>
    <row r="3943" spans="1:4">
      <c r="A3943" s="34" t="s">
        <v>5400</v>
      </c>
      <c r="B3943" s="15" t="s">
        <v>5372</v>
      </c>
      <c r="C3943" s="13" t="s">
        <v>39</v>
      </c>
      <c r="D3943" s="17">
        <v>4721.15</v>
      </c>
    </row>
    <row r="3944" ht="31" spans="1:4">
      <c r="A3944" s="34">
        <v>20.4</v>
      </c>
      <c r="B3944" s="15" t="s">
        <v>5401</v>
      </c>
      <c r="C3944" s="13"/>
      <c r="D3944" s="16"/>
    </row>
    <row r="3945" spans="1:4">
      <c r="A3945" s="34" t="s">
        <v>5402</v>
      </c>
      <c r="B3945" s="15" t="s">
        <v>5397</v>
      </c>
      <c r="C3945" s="13" t="s">
        <v>39</v>
      </c>
      <c r="D3945" s="17">
        <v>2626.3</v>
      </c>
    </row>
    <row r="3946" spans="1:4">
      <c r="A3946" s="34" t="s">
        <v>5403</v>
      </c>
      <c r="B3946" s="15" t="s">
        <v>5366</v>
      </c>
      <c r="C3946" s="13" t="s">
        <v>39</v>
      </c>
      <c r="D3946" s="17">
        <v>2924.45</v>
      </c>
    </row>
    <row r="3947" spans="1:4">
      <c r="A3947" s="34" t="s">
        <v>5404</v>
      </c>
      <c r="B3947" s="15" t="s">
        <v>5368</v>
      </c>
      <c r="C3947" s="13" t="s">
        <v>39</v>
      </c>
      <c r="D3947" s="17">
        <v>3104.2</v>
      </c>
    </row>
    <row r="3948" spans="1:4">
      <c r="A3948" s="34" t="s">
        <v>5405</v>
      </c>
      <c r="B3948" s="15" t="s">
        <v>5372</v>
      </c>
      <c r="C3948" s="13" t="s">
        <v>39</v>
      </c>
      <c r="D3948" s="17">
        <v>3360.15</v>
      </c>
    </row>
    <row r="3949" ht="139.5" spans="1:4">
      <c r="A3949" s="34">
        <v>20.5</v>
      </c>
      <c r="B3949" s="15" t="s">
        <v>5406</v>
      </c>
      <c r="C3949" s="13"/>
      <c r="D3949" s="16"/>
    </row>
    <row r="3950" spans="1:4">
      <c r="A3950" s="34" t="s">
        <v>5407</v>
      </c>
      <c r="B3950" s="15" t="s">
        <v>5366</v>
      </c>
      <c r="C3950" s="13" t="s">
        <v>39</v>
      </c>
      <c r="D3950" s="17">
        <v>3727.8</v>
      </c>
    </row>
    <row r="3951" spans="1:4">
      <c r="A3951" s="34" t="s">
        <v>5408</v>
      </c>
      <c r="B3951" s="15" t="s">
        <v>5368</v>
      </c>
      <c r="C3951" s="13" t="s">
        <v>39</v>
      </c>
      <c r="D3951" s="17">
        <v>4766.25</v>
      </c>
    </row>
    <row r="3952" spans="1:4">
      <c r="A3952" s="34" t="s">
        <v>5409</v>
      </c>
      <c r="B3952" s="15" t="s">
        <v>5370</v>
      </c>
      <c r="C3952" s="13" t="s">
        <v>39</v>
      </c>
      <c r="D3952" s="17">
        <v>4931.35</v>
      </c>
    </row>
    <row r="3953" spans="1:7">
      <c r="A3953" s="34" t="s">
        <v>5410</v>
      </c>
      <c r="B3953" s="15" t="s">
        <v>5372</v>
      </c>
      <c r="C3953" s="13" t="s">
        <v>39</v>
      </c>
      <c r="D3953" s="17">
        <v>5633</v>
      </c>
    </row>
    <row r="3954" spans="1:7">
      <c r="A3954" s="34" t="s">
        <v>5411</v>
      </c>
      <c r="B3954" s="15" t="s">
        <v>5374</v>
      </c>
      <c r="C3954" s="13" t="s">
        <v>39</v>
      </c>
      <c r="D3954" s="17">
        <v>10846.8</v>
      </c>
    </row>
    <row r="3955" spans="1:7">
      <c r="A3955" s="34" t="s">
        <v>5412</v>
      </c>
      <c r="B3955" s="15" t="s">
        <v>5376</v>
      </c>
      <c r="C3955" s="13" t="s">
        <v>39</v>
      </c>
      <c r="D3955" s="17">
        <v>14946.4</v>
      </c>
    </row>
    <row r="3956" ht="62" spans="1:7">
      <c r="A3956" s="14">
        <v>20.6</v>
      </c>
      <c r="B3956" s="15" t="s">
        <v>5413</v>
      </c>
      <c r="C3956" s="13"/>
      <c r="D3956" s="16"/>
      <c r="E3956" s="5" t="s">
        <v>8</v>
      </c>
    </row>
    <row r="3957" ht="31" spans="1:7">
      <c r="A3957" s="14"/>
      <c r="B3957" s="15" t="s">
        <v>5414</v>
      </c>
      <c r="C3957" s="13"/>
      <c r="D3957" s="16"/>
      <c r="E3957" s="5" t="s">
        <v>8</v>
      </c>
    </row>
    <row r="3958" ht="31" spans="1:7">
      <c r="A3958" s="14"/>
      <c r="B3958" s="15" t="s">
        <v>5415</v>
      </c>
      <c r="C3958" s="13"/>
      <c r="D3958" s="16"/>
      <c r="E3958" s="5" t="s">
        <v>8</v>
      </c>
    </row>
    <row r="3959" spans="1:7">
      <c r="A3959" s="14" t="s">
        <v>5416</v>
      </c>
      <c r="B3959" s="12" t="s">
        <v>5417</v>
      </c>
      <c r="C3959" s="13"/>
      <c r="D3959" s="16"/>
      <c r="E3959" s="5" t="s">
        <v>8</v>
      </c>
    </row>
    <row r="3960" spans="1:7">
      <c r="A3960" s="14" t="s">
        <v>5418</v>
      </c>
      <c r="B3960" s="12" t="s">
        <v>5419</v>
      </c>
      <c r="C3960" s="13" t="s">
        <v>5420</v>
      </c>
      <c r="D3960" s="17">
        <v>54771.5</v>
      </c>
      <c r="E3960" s="5" t="s">
        <v>8</v>
      </c>
      <c r="F3960" s="6">
        <v>38561.8</v>
      </c>
      <c r="G3960" s="7">
        <f t="shared" ref="G3960:G3964" si="483">(D3960-F3960)/F3960</f>
        <v>0.420356414897645</v>
      </c>
    </row>
    <row r="3961" spans="1:7">
      <c r="A3961" s="14" t="s">
        <v>5421</v>
      </c>
      <c r="B3961" s="12" t="s">
        <v>5422</v>
      </c>
      <c r="C3961" s="13" t="s">
        <v>5420</v>
      </c>
      <c r="D3961" s="17">
        <v>19632.4</v>
      </c>
      <c r="E3961" s="5" t="s">
        <v>8</v>
      </c>
      <c r="F3961" s="6">
        <v>17422.5</v>
      </c>
      <c r="G3961" s="7">
        <f t="shared" si="483"/>
        <v>0.126841727651026</v>
      </c>
    </row>
    <row r="3962" spans="1:7">
      <c r="A3962" s="14" t="s">
        <v>5423</v>
      </c>
      <c r="B3962" s="12" t="s">
        <v>5424</v>
      </c>
      <c r="C3962" s="13"/>
      <c r="D3962" s="16"/>
      <c r="E3962" s="5" t="s">
        <v>8</v>
      </c>
    </row>
    <row r="3963" spans="1:7">
      <c r="A3963" s="14" t="s">
        <v>5425</v>
      </c>
      <c r="B3963" s="12" t="s">
        <v>5419</v>
      </c>
      <c r="C3963" s="13" t="s">
        <v>5420</v>
      </c>
      <c r="D3963" s="17">
        <v>61173.35</v>
      </c>
      <c r="E3963" s="5" t="s">
        <v>8</v>
      </c>
      <c r="F3963" s="6">
        <v>46808.45</v>
      </c>
      <c r="G3963" s="7">
        <f t="shared" si="483"/>
        <v>0.306886897558026</v>
      </c>
    </row>
    <row r="3964" spans="1:7">
      <c r="A3964" s="14" t="s">
        <v>5426</v>
      </c>
      <c r="B3964" s="12" t="s">
        <v>5422</v>
      </c>
      <c r="C3964" s="13" t="s">
        <v>5420</v>
      </c>
      <c r="D3964" s="17">
        <v>32436.1</v>
      </c>
      <c r="E3964" s="5" t="s">
        <v>8</v>
      </c>
      <c r="F3964" s="6">
        <v>26714.5</v>
      </c>
      <c r="G3964" s="7">
        <f t="shared" si="483"/>
        <v>0.214175822119074</v>
      </c>
    </row>
    <row r="3965" spans="1:7">
      <c r="A3965" s="14" t="s">
        <v>5427</v>
      </c>
      <c r="B3965" s="12" t="s">
        <v>5428</v>
      </c>
      <c r="C3965" s="13"/>
      <c r="D3965" s="16"/>
      <c r="E3965" s="5" t="s">
        <v>8</v>
      </c>
    </row>
    <row r="3966" spans="1:7">
      <c r="A3966" s="14" t="s">
        <v>5429</v>
      </c>
      <c r="B3966" s="12" t="s">
        <v>5419</v>
      </c>
      <c r="C3966" s="13" t="s">
        <v>5420</v>
      </c>
      <c r="D3966" s="17">
        <v>70420.5</v>
      </c>
      <c r="E3966" s="5" t="s">
        <v>8</v>
      </c>
      <c r="F3966" s="6">
        <v>56332.75</v>
      </c>
      <c r="G3966" s="7">
        <f t="shared" ref="G3966:G3971" si="484">(D3966-F3966)/F3966</f>
        <v>0.250080991962935</v>
      </c>
    </row>
    <row r="3967" spans="1:7">
      <c r="A3967" s="14" t="s">
        <v>5430</v>
      </c>
      <c r="B3967" s="12" t="s">
        <v>5422</v>
      </c>
      <c r="C3967" s="13" t="s">
        <v>5420</v>
      </c>
      <c r="D3967" s="17">
        <v>40545.15</v>
      </c>
      <c r="E3967" s="5" t="s">
        <v>8</v>
      </c>
      <c r="F3967" s="6">
        <v>34264.25</v>
      </c>
      <c r="G3967" s="7">
        <f t="shared" si="484"/>
        <v>0.18330767490898</v>
      </c>
    </row>
    <row r="3968" ht="31" spans="1:7">
      <c r="A3968" s="14">
        <v>20.7</v>
      </c>
      <c r="B3968" s="15" t="s">
        <v>5431</v>
      </c>
      <c r="C3968" s="13"/>
      <c r="D3968" s="16"/>
      <c r="E3968" s="5" t="s">
        <v>8</v>
      </c>
    </row>
    <row r="3969" spans="1:7">
      <c r="A3969" s="14" t="s">
        <v>5432</v>
      </c>
      <c r="B3969" s="12" t="s">
        <v>5433</v>
      </c>
      <c r="C3969" s="13"/>
      <c r="D3969" s="16"/>
      <c r="E3969" s="5" t="s">
        <v>8</v>
      </c>
    </row>
    <row r="3970" spans="1:7">
      <c r="A3970" s="14" t="s">
        <v>5434</v>
      </c>
      <c r="B3970" s="12" t="s">
        <v>5435</v>
      </c>
      <c r="C3970" s="13" t="s">
        <v>5420</v>
      </c>
      <c r="D3970" s="17">
        <v>19632.4</v>
      </c>
      <c r="E3970" s="5" t="s">
        <v>8</v>
      </c>
      <c r="F3970" s="6">
        <v>17422.5</v>
      </c>
      <c r="G3970" s="7">
        <f t="shared" si="484"/>
        <v>0.126841727651026</v>
      </c>
    </row>
    <row r="3971" spans="1:7">
      <c r="A3971" s="14" t="s">
        <v>5436</v>
      </c>
      <c r="B3971" s="12" t="s">
        <v>5437</v>
      </c>
      <c r="C3971" s="13" t="s">
        <v>5420</v>
      </c>
      <c r="D3971" s="17">
        <v>32436.1</v>
      </c>
      <c r="E3971" s="5" t="s">
        <v>8</v>
      </c>
      <c r="F3971" s="6">
        <v>26714.5</v>
      </c>
      <c r="G3971" s="7">
        <f t="shared" si="484"/>
        <v>0.214175822119074</v>
      </c>
    </row>
    <row r="3972" spans="1:7">
      <c r="A3972" s="14" t="s">
        <v>5438</v>
      </c>
      <c r="B3972" s="12" t="s">
        <v>5439</v>
      </c>
      <c r="C3972" s="13"/>
      <c r="D3972" s="16"/>
      <c r="E3972" s="5" t="s">
        <v>8</v>
      </c>
    </row>
    <row r="3973" spans="1:7">
      <c r="A3973" s="14" t="s">
        <v>5440</v>
      </c>
      <c r="B3973" s="12" t="s">
        <v>5441</v>
      </c>
      <c r="C3973" s="13" t="s">
        <v>5420</v>
      </c>
      <c r="D3973" s="17">
        <v>40545.15</v>
      </c>
      <c r="E3973" s="5" t="s">
        <v>8</v>
      </c>
      <c r="F3973" s="6">
        <v>34264.25</v>
      </c>
      <c r="G3973" s="7">
        <f t="shared" ref="G3973:G3977" si="485">(D3973-F3973)/F3973</f>
        <v>0.18330767490898</v>
      </c>
    </row>
    <row r="3974" ht="31" spans="1:7">
      <c r="A3974" s="14">
        <v>20.8</v>
      </c>
      <c r="B3974" s="15" t="s">
        <v>5442</v>
      </c>
      <c r="C3974" s="13"/>
      <c r="D3974" s="16"/>
      <c r="E3974" s="5" t="s">
        <v>8</v>
      </c>
    </row>
    <row r="3975" spans="1:7">
      <c r="A3975" s="14" t="s">
        <v>5443</v>
      </c>
      <c r="B3975" s="12" t="s">
        <v>5444</v>
      </c>
      <c r="C3975" s="13" t="s">
        <v>5420</v>
      </c>
      <c r="D3975" s="17">
        <v>19632.4</v>
      </c>
      <c r="E3975" s="5" t="s">
        <v>8</v>
      </c>
      <c r="F3975" s="6">
        <v>17422.5</v>
      </c>
      <c r="G3975" s="7">
        <f t="shared" si="485"/>
        <v>0.126841727651026</v>
      </c>
    </row>
    <row r="3976" spans="1:7">
      <c r="A3976" s="14" t="s">
        <v>5445</v>
      </c>
      <c r="B3976" s="12" t="s">
        <v>5446</v>
      </c>
      <c r="C3976" s="13" t="s">
        <v>5420</v>
      </c>
      <c r="D3976" s="17">
        <v>32862.9</v>
      </c>
      <c r="E3976" s="5" t="s">
        <v>8</v>
      </c>
      <c r="F3976" s="6">
        <v>27411.4</v>
      </c>
      <c r="G3976" s="7">
        <f t="shared" si="485"/>
        <v>0.198877109523775</v>
      </c>
    </row>
    <row r="3977" ht="77.5" spans="1:7">
      <c r="A3977" s="14">
        <v>20.9</v>
      </c>
      <c r="B3977" s="15" t="s">
        <v>5447</v>
      </c>
      <c r="C3977" s="13" t="s">
        <v>5420</v>
      </c>
      <c r="D3977" s="17">
        <v>1153.2</v>
      </c>
      <c r="E3977" s="5" t="s">
        <v>8</v>
      </c>
      <c r="F3977" s="6">
        <v>750.95</v>
      </c>
      <c r="G3977" s="7">
        <f t="shared" si="485"/>
        <v>0.535654837206205</v>
      </c>
    </row>
    <row r="3978" ht="46.5" spans="1:7">
      <c r="A3978" s="14"/>
      <c r="B3978" s="15" t="s">
        <v>5448</v>
      </c>
      <c r="C3978" s="13"/>
      <c r="D3978" s="16"/>
      <c r="E3978" s="5" t="s">
        <v>8</v>
      </c>
    </row>
    <row r="3984" spans="1:7">
      <c r="A3984" s="5" t="s">
        <v>5449</v>
      </c>
      <c r="C3984" s="5"/>
      <c r="D3984" s="5"/>
      <c r="E3984" s="5" t="s">
        <v>8</v>
      </c>
    </row>
    <row r="3985" spans="1:12">
      <c r="A3985" s="14" t="s">
        <v>166</v>
      </c>
      <c r="B3985" s="15" t="s">
        <v>2</v>
      </c>
      <c r="C3985" s="13" t="s">
        <v>167</v>
      </c>
      <c r="D3985" s="16" t="s">
        <v>4</v>
      </c>
      <c r="E3985" s="5" t="s">
        <v>8</v>
      </c>
    </row>
    <row r="3986" ht="139.5" spans="1:12">
      <c r="A3986" s="14">
        <v>21.1</v>
      </c>
      <c r="B3986" s="15" t="s">
        <v>5450</v>
      </c>
      <c r="C3986" s="13"/>
      <c r="D3986" s="16"/>
      <c r="E3986" s="5" t="s">
        <v>8</v>
      </c>
    </row>
    <row r="3987" spans="1:12">
      <c r="A3987" s="14" t="s">
        <v>5451</v>
      </c>
      <c r="B3987" s="12" t="s">
        <v>5452</v>
      </c>
      <c r="C3987" s="13"/>
      <c r="D3987" s="16"/>
      <c r="E3987" s="5" t="s">
        <v>8</v>
      </c>
    </row>
    <row r="3988" ht="31" spans="1:12">
      <c r="A3988" s="14" t="s">
        <v>5453</v>
      </c>
      <c r="B3988" s="12" t="s">
        <v>5454</v>
      </c>
      <c r="C3988" s="13" t="s">
        <v>478</v>
      </c>
      <c r="D3988" s="17">
        <v>495.05</v>
      </c>
      <c r="E3988" s="5" t="s">
        <v>8</v>
      </c>
      <c r="F3988" s="6">
        <v>355.2</v>
      </c>
      <c r="G3988" s="7">
        <f t="shared" ref="G3988:G3990" si="486">(D3988-F3988)/F3988</f>
        <v>0.393721846846847</v>
      </c>
    </row>
    <row r="3989" spans="1:12">
      <c r="A3989" s="14" t="s">
        <v>5455</v>
      </c>
      <c r="B3989" s="12" t="s">
        <v>5456</v>
      </c>
      <c r="C3989" s="13" t="s">
        <v>478</v>
      </c>
      <c r="D3989" s="17">
        <v>530.9</v>
      </c>
      <c r="E3989" s="5" t="s">
        <v>8</v>
      </c>
      <c r="F3989" s="6">
        <v>384.5</v>
      </c>
      <c r="G3989" s="7">
        <f t="shared" si="486"/>
        <v>0.38075422626788</v>
      </c>
      <c r="L3989" s="8" t="s">
        <v>5457</v>
      </c>
    </row>
    <row r="3990" ht="31" spans="1:12">
      <c r="A3990" s="14" t="s">
        <v>5458</v>
      </c>
      <c r="B3990" s="12" t="s">
        <v>5459</v>
      </c>
      <c r="C3990" s="13" t="s">
        <v>478</v>
      </c>
      <c r="D3990" s="17">
        <v>539.85</v>
      </c>
      <c r="E3990" s="5" t="s">
        <v>8</v>
      </c>
      <c r="F3990" s="6">
        <v>391.8</v>
      </c>
      <c r="G3990" s="7">
        <f t="shared" si="486"/>
        <v>0.377871362940276</v>
      </c>
    </row>
    <row r="3991" ht="46.5" spans="1:12">
      <c r="A3991" s="14" t="s">
        <v>5460</v>
      </c>
      <c r="B3991" s="12" t="s">
        <v>5461</v>
      </c>
      <c r="C3991" s="13"/>
      <c r="D3991" s="16"/>
      <c r="E3991" s="5" t="s">
        <v>8</v>
      </c>
    </row>
    <row r="3992" ht="31" spans="1:12">
      <c r="A3992" s="14" t="s">
        <v>5462</v>
      </c>
      <c r="B3992" s="12" t="s">
        <v>5454</v>
      </c>
      <c r="C3992" s="13" t="s">
        <v>478</v>
      </c>
      <c r="D3992" s="17">
        <v>598.6</v>
      </c>
      <c r="E3992" s="5" t="s">
        <v>8</v>
      </c>
      <c r="F3992" s="6">
        <v>415.05</v>
      </c>
      <c r="G3992" s="7">
        <f t="shared" ref="G3992:G3994" si="487">(D3992-F3992)/F3992</f>
        <v>0.44223587519576</v>
      </c>
    </row>
    <row r="3993" spans="1:12">
      <c r="A3993" s="14" t="s">
        <v>5463</v>
      </c>
      <c r="B3993" s="12" t="s">
        <v>5456</v>
      </c>
      <c r="C3993" s="13" t="s">
        <v>478</v>
      </c>
      <c r="D3993" s="17">
        <v>634.45</v>
      </c>
      <c r="E3993" s="5" t="s">
        <v>8</v>
      </c>
      <c r="F3993" s="6">
        <v>444.9</v>
      </c>
      <c r="G3993" s="7">
        <f t="shared" si="487"/>
        <v>0.42605079793212</v>
      </c>
    </row>
    <row r="3994" ht="31" spans="1:12">
      <c r="A3994" s="14" t="s">
        <v>5464</v>
      </c>
      <c r="B3994" s="12" t="s">
        <v>5459</v>
      </c>
      <c r="C3994" s="13" t="s">
        <v>478</v>
      </c>
      <c r="D3994" s="17">
        <v>643.45</v>
      </c>
      <c r="E3994" s="5" t="s">
        <v>8</v>
      </c>
      <c r="F3994" s="6">
        <v>452.4</v>
      </c>
      <c r="G3994" s="7">
        <f t="shared" si="487"/>
        <v>0.422303271441203</v>
      </c>
    </row>
    <row r="3995" ht="62" spans="1:12">
      <c r="A3995" s="14">
        <v>21.2</v>
      </c>
      <c r="B3995" s="15" t="s">
        <v>5465</v>
      </c>
      <c r="C3995" s="13"/>
      <c r="D3995" s="16"/>
      <c r="E3995" s="5" t="s">
        <v>8</v>
      </c>
    </row>
    <row r="3996" ht="31" spans="1:12">
      <c r="A3996" s="14" t="s">
        <v>5466</v>
      </c>
      <c r="B3996" s="12" t="s">
        <v>5467</v>
      </c>
      <c r="C3996" s="13" t="s">
        <v>11</v>
      </c>
      <c r="D3996" s="17">
        <v>1139.3</v>
      </c>
      <c r="E3996" s="5" t="s">
        <v>8</v>
      </c>
      <c r="F3996" s="6">
        <v>826.35</v>
      </c>
      <c r="G3996" s="7">
        <f t="shared" ref="G3996:G4001" si="488">(D3996-F3996)/F3996</f>
        <v>0.378713620136746</v>
      </c>
    </row>
    <row r="3997" spans="1:12">
      <c r="A3997" s="14" t="s">
        <v>5468</v>
      </c>
      <c r="B3997" s="12" t="s">
        <v>5469</v>
      </c>
      <c r="C3997" s="13" t="s">
        <v>11</v>
      </c>
      <c r="D3997" s="17">
        <v>1115.4</v>
      </c>
      <c r="E3997" s="5" t="s">
        <v>8</v>
      </c>
      <c r="F3997" s="6">
        <v>866.6</v>
      </c>
      <c r="G3997" s="7">
        <f t="shared" si="488"/>
        <v>0.287099007615971</v>
      </c>
    </row>
    <row r="3998" ht="62" spans="1:12">
      <c r="A3998" s="14">
        <v>21.3</v>
      </c>
      <c r="B3998" s="15" t="s">
        <v>5470</v>
      </c>
      <c r="C3998" s="13"/>
      <c r="D3998" s="16"/>
      <c r="E3998" s="5" t="s">
        <v>8</v>
      </c>
    </row>
    <row r="3999" spans="1:12">
      <c r="A3999" s="14" t="s">
        <v>5471</v>
      </c>
      <c r="B3999" s="12" t="s">
        <v>5472</v>
      </c>
      <c r="C3999" s="13" t="s">
        <v>11</v>
      </c>
      <c r="D3999" s="17">
        <v>1176.8</v>
      </c>
      <c r="E3999" s="5" t="s">
        <v>8</v>
      </c>
      <c r="F3999" s="6">
        <v>741.5</v>
      </c>
      <c r="G3999" s="7">
        <f t="shared" si="488"/>
        <v>0.587053270397842</v>
      </c>
    </row>
    <row r="4000" spans="1:12">
      <c r="A4000" s="14" t="s">
        <v>5473</v>
      </c>
      <c r="B4000" s="12" t="s">
        <v>5474</v>
      </c>
      <c r="C4000" s="13" t="s">
        <v>11</v>
      </c>
      <c r="D4000" s="17">
        <v>1505.25</v>
      </c>
      <c r="E4000" s="5" t="s">
        <v>8</v>
      </c>
      <c r="F4000" s="6">
        <v>1003.95</v>
      </c>
      <c r="G4000" s="7">
        <f t="shared" si="488"/>
        <v>0.499327655759749</v>
      </c>
    </row>
    <row r="4001" spans="1:7">
      <c r="A4001" s="14" t="s">
        <v>5475</v>
      </c>
      <c r="B4001" s="12" t="s">
        <v>5476</v>
      </c>
      <c r="C4001" s="13" t="s">
        <v>11</v>
      </c>
      <c r="D4001" s="17">
        <v>1685.4</v>
      </c>
      <c r="E4001" s="5" t="s">
        <v>8</v>
      </c>
      <c r="F4001" s="6">
        <v>1153.9</v>
      </c>
      <c r="G4001" s="7">
        <f t="shared" si="488"/>
        <v>0.460611838114221</v>
      </c>
    </row>
    <row r="4002" ht="93" spans="1:7">
      <c r="A4002" s="14">
        <v>21.4</v>
      </c>
      <c r="B4002" s="15" t="s">
        <v>5477</v>
      </c>
      <c r="C4002" s="13"/>
      <c r="D4002" s="16"/>
      <c r="E4002" s="5" t="s">
        <v>8</v>
      </c>
    </row>
    <row r="4003" spans="1:7">
      <c r="A4003" s="14" t="s">
        <v>5478</v>
      </c>
      <c r="B4003" s="12" t="s">
        <v>5479</v>
      </c>
      <c r="C4003" s="13" t="s">
        <v>126</v>
      </c>
      <c r="D4003" s="17">
        <v>2823.85</v>
      </c>
      <c r="E4003" s="5" t="s">
        <v>8</v>
      </c>
      <c r="F4003" s="6">
        <v>2054.4</v>
      </c>
      <c r="G4003" s="7">
        <f t="shared" ref="G4003:G4006" si="489">(D4003-F4003)/F4003</f>
        <v>0.37453757788162</v>
      </c>
    </row>
    <row r="4004" spans="1:7">
      <c r="A4004" s="14" t="s">
        <v>5480</v>
      </c>
      <c r="B4004" s="12" t="s">
        <v>5481</v>
      </c>
      <c r="C4004" s="13" t="s">
        <v>126</v>
      </c>
      <c r="D4004" s="17">
        <v>2966.1</v>
      </c>
      <c r="E4004" s="5" t="s">
        <v>8</v>
      </c>
      <c r="F4004" s="6">
        <v>2228.6</v>
      </c>
      <c r="G4004" s="7">
        <f t="shared" si="489"/>
        <v>0.330925244548147</v>
      </c>
    </row>
    <row r="4005" ht="124" spans="1:7">
      <c r="A4005" s="14">
        <v>21.5</v>
      </c>
      <c r="B4005" s="15" t="s">
        <v>5482</v>
      </c>
      <c r="C4005" s="13" t="s">
        <v>478</v>
      </c>
      <c r="D4005" s="17">
        <v>817.15</v>
      </c>
      <c r="E4005" s="5" t="s">
        <v>8</v>
      </c>
      <c r="F4005" s="6">
        <v>478.85</v>
      </c>
      <c r="G4005" s="7">
        <f t="shared" si="489"/>
        <v>0.706484285266785</v>
      </c>
    </row>
    <row r="4006" ht="62" spans="1:7">
      <c r="A4006" s="14">
        <v>21.6</v>
      </c>
      <c r="B4006" s="15" t="s">
        <v>5483</v>
      </c>
      <c r="C4006" s="13" t="s">
        <v>126</v>
      </c>
      <c r="D4006" s="17">
        <v>82.45</v>
      </c>
      <c r="E4006" s="5" t="s">
        <v>8</v>
      </c>
      <c r="F4006" s="6">
        <v>55.2</v>
      </c>
      <c r="G4006" s="7">
        <f t="shared" si="489"/>
        <v>0.493659420289855</v>
      </c>
    </row>
    <row r="4007" ht="124" spans="1:7">
      <c r="A4007" s="14">
        <v>21.7</v>
      </c>
      <c r="B4007" s="15" t="s">
        <v>5484</v>
      </c>
      <c r="C4007" s="13"/>
      <c r="D4007" s="16"/>
      <c r="E4007" s="5" t="s">
        <v>8</v>
      </c>
    </row>
    <row r="4008" ht="31" spans="1:7">
      <c r="A4008" s="14" t="s">
        <v>5485</v>
      </c>
      <c r="B4008" s="12" t="s">
        <v>5486</v>
      </c>
      <c r="C4008" s="13" t="s">
        <v>478</v>
      </c>
      <c r="D4008" s="17">
        <v>680.55</v>
      </c>
      <c r="E4008" s="5" t="s">
        <v>8</v>
      </c>
      <c r="F4008" s="6">
        <v>455.85</v>
      </c>
      <c r="G4008" s="7">
        <f t="shared" ref="G4008:G4011" si="490">(D4008-F4008)/F4008</f>
        <v>0.492925304376439</v>
      </c>
    </row>
    <row r="4009" ht="31" spans="1:7">
      <c r="A4009" s="14" t="s">
        <v>5487</v>
      </c>
      <c r="B4009" s="12" t="s">
        <v>5488</v>
      </c>
      <c r="C4009" s="13" t="s">
        <v>478</v>
      </c>
      <c r="D4009" s="17">
        <v>716.4</v>
      </c>
      <c r="E4009" s="5" t="s">
        <v>8</v>
      </c>
      <c r="F4009" s="6">
        <v>485.15</v>
      </c>
      <c r="G4009" s="7">
        <f t="shared" si="490"/>
        <v>0.47665670411213</v>
      </c>
    </row>
    <row r="4010" ht="46.5" spans="1:7">
      <c r="A4010" s="14">
        <v>21.8</v>
      </c>
      <c r="B4010" s="15" t="s">
        <v>5489</v>
      </c>
      <c r="C4010" s="13"/>
      <c r="D4010" s="16"/>
      <c r="E4010" s="5" t="s">
        <v>8</v>
      </c>
    </row>
    <row r="4011" spans="1:7">
      <c r="A4011" s="14" t="s">
        <v>5490</v>
      </c>
      <c r="B4011" s="12" t="s">
        <v>5491</v>
      </c>
      <c r="C4011" s="13" t="s">
        <v>39</v>
      </c>
      <c r="D4011" s="17">
        <v>96.75</v>
      </c>
      <c r="E4011" s="5" t="s">
        <v>8</v>
      </c>
      <c r="F4011" s="6">
        <v>62.45</v>
      </c>
      <c r="G4011" s="7">
        <f t="shared" si="490"/>
        <v>0.549239391513211</v>
      </c>
    </row>
    <row r="4012" ht="31" spans="1:7">
      <c r="A4012" s="14">
        <v>21.9</v>
      </c>
      <c r="B4012" s="15" t="s">
        <v>5492</v>
      </c>
      <c r="C4012" s="13"/>
      <c r="D4012" s="16"/>
      <c r="E4012" s="5" t="s">
        <v>8</v>
      </c>
    </row>
    <row r="4013" spans="1:7">
      <c r="A4013" s="14" t="s">
        <v>5493</v>
      </c>
      <c r="B4013" s="12" t="s">
        <v>5452</v>
      </c>
      <c r="C4013" s="13" t="s">
        <v>478</v>
      </c>
      <c r="D4013" s="17">
        <v>12.8</v>
      </c>
      <c r="E4013" s="5" t="s">
        <v>8</v>
      </c>
      <c r="F4013" s="6">
        <v>11.6</v>
      </c>
      <c r="G4013" s="7">
        <f t="shared" ref="G4013:G4015" si="491">(D4013-F4013)/F4013</f>
        <v>0.103448275862069</v>
      </c>
    </row>
    <row r="4014" spans="1:7">
      <c r="A4014" s="14" t="s">
        <v>5494</v>
      </c>
      <c r="B4014" s="12" t="s">
        <v>5495</v>
      </c>
      <c r="C4014" s="13" t="s">
        <v>478</v>
      </c>
      <c r="D4014" s="17">
        <v>12.8</v>
      </c>
      <c r="E4014" s="5" t="s">
        <v>8</v>
      </c>
      <c r="F4014" s="6">
        <v>11.6</v>
      </c>
      <c r="G4014" s="7">
        <f t="shared" si="491"/>
        <v>0.103448275862069</v>
      </c>
    </row>
    <row r="4015" ht="77.5" spans="1:7">
      <c r="A4015" s="18">
        <v>21.1</v>
      </c>
      <c r="B4015" s="15" t="s">
        <v>5496</v>
      </c>
      <c r="C4015" s="13" t="s">
        <v>11</v>
      </c>
      <c r="D4015" s="17">
        <v>4997.7</v>
      </c>
      <c r="E4015" s="5" t="s">
        <v>8</v>
      </c>
      <c r="F4015" s="6">
        <v>3176.2</v>
      </c>
      <c r="G4015" s="7">
        <f t="shared" si="491"/>
        <v>0.573484037529123</v>
      </c>
    </row>
    <row r="4016" ht="46.5" spans="1:7">
      <c r="A4016" s="18">
        <v>21.11</v>
      </c>
      <c r="B4016" s="15" t="s">
        <v>5497</v>
      </c>
      <c r="C4016" s="13"/>
      <c r="D4016" s="16"/>
      <c r="E4016" s="5" t="s">
        <v>8</v>
      </c>
    </row>
    <row r="4017" spans="1:7">
      <c r="A4017" s="14" t="s">
        <v>5498</v>
      </c>
      <c r="B4017" s="12" t="s">
        <v>5499</v>
      </c>
      <c r="C4017" s="13" t="s">
        <v>126</v>
      </c>
      <c r="D4017" s="17">
        <v>344.3</v>
      </c>
      <c r="E4017" s="5" t="s">
        <v>8</v>
      </c>
      <c r="F4017" s="6">
        <v>211.6</v>
      </c>
      <c r="G4017" s="7">
        <f t="shared" ref="G4017:G4021" si="492">(D4017-F4017)/F4017</f>
        <v>0.627126654064272</v>
      </c>
    </row>
    <row r="4018" spans="1:7">
      <c r="A4018" s="14" t="s">
        <v>5500</v>
      </c>
      <c r="B4018" s="12" t="s">
        <v>5501</v>
      </c>
      <c r="C4018" s="13" t="s">
        <v>126</v>
      </c>
      <c r="D4018" s="17">
        <v>387</v>
      </c>
      <c r="E4018" s="5" t="s">
        <v>8</v>
      </c>
      <c r="F4018" s="6">
        <v>269.65</v>
      </c>
      <c r="G4018" s="7">
        <f t="shared" si="492"/>
        <v>0.435193769701465</v>
      </c>
    </row>
    <row r="4019" spans="1:7">
      <c r="A4019" s="14" t="s">
        <v>5502</v>
      </c>
      <c r="B4019" s="12" t="s">
        <v>5503</v>
      </c>
      <c r="C4019" s="13" t="s">
        <v>126</v>
      </c>
      <c r="D4019" s="17">
        <v>325.8</v>
      </c>
      <c r="E4019" s="5" t="s">
        <v>8</v>
      </c>
      <c r="F4019" s="6">
        <v>237.15</v>
      </c>
      <c r="G4019" s="7">
        <f t="shared" si="492"/>
        <v>0.373814041745731</v>
      </c>
    </row>
    <row r="4020" spans="1:7">
      <c r="A4020" s="14" t="s">
        <v>5504</v>
      </c>
      <c r="B4020" s="12" t="s">
        <v>5505</v>
      </c>
      <c r="C4020" s="13" t="s">
        <v>126</v>
      </c>
      <c r="D4020" s="17">
        <v>802.4</v>
      </c>
      <c r="E4020" s="5" t="s">
        <v>8</v>
      </c>
      <c r="F4020" s="6">
        <v>613.45</v>
      </c>
      <c r="G4020" s="7">
        <f t="shared" si="492"/>
        <v>0.308012062922813</v>
      </c>
    </row>
    <row r="4021" spans="1:7">
      <c r="A4021" s="14" t="s">
        <v>5506</v>
      </c>
      <c r="B4021" s="12" t="s">
        <v>5507</v>
      </c>
      <c r="C4021" s="13" t="s">
        <v>126</v>
      </c>
      <c r="D4021" s="17">
        <v>1478.15</v>
      </c>
      <c r="E4021" s="5" t="s">
        <v>8</v>
      </c>
      <c r="F4021" s="6">
        <v>1047.85</v>
      </c>
      <c r="G4021" s="7">
        <f t="shared" si="492"/>
        <v>0.410650379348189</v>
      </c>
    </row>
    <row r="4022" ht="31" spans="1:7">
      <c r="A4022" s="18">
        <v>21.12</v>
      </c>
      <c r="B4022" s="15" t="s">
        <v>5508</v>
      </c>
      <c r="C4022" s="13"/>
      <c r="D4022" s="16"/>
      <c r="E4022" s="5" t="s">
        <v>8</v>
      </c>
    </row>
    <row r="4023" spans="1:7">
      <c r="A4023" s="14" t="s">
        <v>5509</v>
      </c>
      <c r="B4023" s="12" t="s">
        <v>5510</v>
      </c>
      <c r="C4023" s="13" t="s">
        <v>126</v>
      </c>
      <c r="D4023" s="17">
        <v>575.75</v>
      </c>
      <c r="E4023" s="5" t="s">
        <v>8</v>
      </c>
      <c r="F4023" s="6">
        <v>463.75</v>
      </c>
      <c r="G4023" s="7">
        <f t="shared" ref="G4023:G4027" si="493">(D4023-F4023)/F4023</f>
        <v>0.241509433962264</v>
      </c>
    </row>
    <row r="4024" spans="1:7">
      <c r="A4024" s="14" t="s">
        <v>5511</v>
      </c>
      <c r="B4024" s="12" t="s">
        <v>5512</v>
      </c>
      <c r="C4024" s="13" t="s">
        <v>126</v>
      </c>
      <c r="D4024" s="17">
        <v>631.55</v>
      </c>
      <c r="E4024" s="5" t="s">
        <v>8</v>
      </c>
      <c r="F4024" s="6">
        <v>509.3</v>
      </c>
      <c r="G4024" s="7">
        <f t="shared" si="493"/>
        <v>0.240035342627135</v>
      </c>
    </row>
    <row r="4025" spans="1:7">
      <c r="A4025" s="14" t="s">
        <v>5513</v>
      </c>
      <c r="B4025" s="12" t="s">
        <v>5514</v>
      </c>
      <c r="C4025" s="13" t="s">
        <v>126</v>
      </c>
      <c r="D4025" s="17">
        <v>645.5</v>
      </c>
      <c r="E4025" s="5" t="s">
        <v>8</v>
      </c>
      <c r="F4025" s="6">
        <v>520.7</v>
      </c>
      <c r="G4025" s="7">
        <f t="shared" si="493"/>
        <v>0.239677357403495</v>
      </c>
    </row>
    <row r="4026" ht="46.5" spans="1:7">
      <c r="A4026" s="18">
        <v>21.13</v>
      </c>
      <c r="B4026" s="15" t="s">
        <v>5515</v>
      </c>
      <c r="C4026" s="13" t="s">
        <v>126</v>
      </c>
      <c r="D4026" s="17">
        <v>528.85</v>
      </c>
      <c r="E4026" s="5" t="s">
        <v>8</v>
      </c>
      <c r="F4026" s="6">
        <v>359</v>
      </c>
      <c r="G4026" s="7">
        <f t="shared" si="493"/>
        <v>0.473119777158774</v>
      </c>
    </row>
    <row r="4027" ht="77.5" spans="1:7">
      <c r="A4027" s="18">
        <v>21.14</v>
      </c>
      <c r="B4027" s="15" t="s">
        <v>5516</v>
      </c>
      <c r="C4027" s="13" t="s">
        <v>478</v>
      </c>
      <c r="D4027" s="17">
        <v>402.8</v>
      </c>
      <c r="E4027" s="5" t="s">
        <v>8</v>
      </c>
      <c r="F4027" s="6">
        <v>315.1</v>
      </c>
      <c r="G4027" s="7">
        <f t="shared" si="493"/>
        <v>0.278324341478896</v>
      </c>
    </row>
    <row r="4028" ht="31" spans="1:7">
      <c r="A4028" s="18">
        <v>21.15</v>
      </c>
      <c r="B4028" s="15" t="s">
        <v>5517</v>
      </c>
      <c r="C4028" s="13"/>
      <c r="D4028" s="16"/>
      <c r="E4028" s="5" t="s">
        <v>8</v>
      </c>
    </row>
    <row r="4029" spans="1:7">
      <c r="A4029" s="14" t="s">
        <v>5518</v>
      </c>
      <c r="B4029" s="12" t="s">
        <v>5519</v>
      </c>
      <c r="C4029" s="13" t="s">
        <v>126</v>
      </c>
      <c r="D4029" s="17">
        <v>89.4</v>
      </c>
      <c r="E4029" s="5" t="s">
        <v>8</v>
      </c>
      <c r="F4029" s="6">
        <v>52</v>
      </c>
      <c r="G4029" s="7">
        <f t="shared" ref="G4029:G4031" si="494">(D4029-F4029)/F4029</f>
        <v>0.719230769230769</v>
      </c>
    </row>
    <row r="4030" spans="1:7">
      <c r="A4030" s="14" t="s">
        <v>5520</v>
      </c>
      <c r="B4030" s="12" t="s">
        <v>5521</v>
      </c>
      <c r="C4030" s="13" t="s">
        <v>126</v>
      </c>
      <c r="D4030" s="17">
        <v>97.95</v>
      </c>
      <c r="E4030" s="5" t="s">
        <v>8</v>
      </c>
      <c r="F4030" s="6">
        <v>55.5</v>
      </c>
      <c r="G4030" s="7">
        <f t="shared" si="494"/>
        <v>0.764864864864865</v>
      </c>
    </row>
    <row r="4031" spans="1:7">
      <c r="A4031" s="14" t="s">
        <v>5522</v>
      </c>
      <c r="B4031" s="12" t="s">
        <v>5523</v>
      </c>
      <c r="C4031" s="13" t="s">
        <v>126</v>
      </c>
      <c r="D4031" s="17">
        <v>95.1</v>
      </c>
      <c r="E4031" s="5" t="s">
        <v>8</v>
      </c>
      <c r="F4031" s="6">
        <v>54.35</v>
      </c>
      <c r="G4031" s="7">
        <f t="shared" si="494"/>
        <v>0.749770009199632</v>
      </c>
    </row>
    <row r="4032" ht="31" spans="1:7">
      <c r="A4032" s="18">
        <v>21.16</v>
      </c>
      <c r="B4032" s="15" t="s">
        <v>5524</v>
      </c>
      <c r="C4032" s="13"/>
      <c r="D4032" s="16"/>
      <c r="E4032" s="5" t="s">
        <v>8</v>
      </c>
    </row>
    <row r="4033" spans="1:7">
      <c r="A4033" s="14" t="s">
        <v>5525</v>
      </c>
      <c r="B4033" s="12" t="s">
        <v>5526</v>
      </c>
      <c r="C4033" s="13" t="s">
        <v>126</v>
      </c>
      <c r="D4033" s="17">
        <v>107.9</v>
      </c>
      <c r="E4033" s="5" t="s">
        <v>8</v>
      </c>
      <c r="F4033" s="6">
        <v>62.5</v>
      </c>
      <c r="G4033" s="7">
        <f t="shared" ref="G4033:G4037" si="495">(D4033-F4033)/F4033</f>
        <v>0.7264</v>
      </c>
    </row>
    <row r="4034" spans="1:7">
      <c r="A4034" s="14" t="s">
        <v>5527</v>
      </c>
      <c r="B4034" s="12" t="s">
        <v>5521</v>
      </c>
      <c r="C4034" s="13" t="s">
        <v>126</v>
      </c>
      <c r="D4034" s="17">
        <v>109.3</v>
      </c>
      <c r="E4034" s="5" t="s">
        <v>8</v>
      </c>
      <c r="F4034" s="6">
        <v>68.3</v>
      </c>
      <c r="G4034" s="7">
        <f t="shared" si="495"/>
        <v>0.600292825768668</v>
      </c>
    </row>
    <row r="4035" spans="1:7">
      <c r="A4035" s="14" t="s">
        <v>5528</v>
      </c>
      <c r="B4035" s="12" t="s">
        <v>5523</v>
      </c>
      <c r="C4035" s="13" t="s">
        <v>126</v>
      </c>
      <c r="D4035" s="17">
        <v>112.15</v>
      </c>
      <c r="E4035" s="5" t="s">
        <v>8</v>
      </c>
      <c r="F4035" s="6">
        <v>74.1</v>
      </c>
      <c r="G4035" s="7">
        <f t="shared" si="495"/>
        <v>0.513495276653172</v>
      </c>
    </row>
    <row r="4036" ht="108.5" spans="1:7">
      <c r="A4036" s="18">
        <v>21.17</v>
      </c>
      <c r="B4036" s="15" t="s">
        <v>5529</v>
      </c>
      <c r="C4036" s="13" t="s">
        <v>478</v>
      </c>
      <c r="D4036" s="17">
        <v>638.35</v>
      </c>
      <c r="E4036" s="5" t="s">
        <v>8</v>
      </c>
      <c r="F4036" s="6">
        <v>408.85</v>
      </c>
      <c r="G4036" s="7">
        <f t="shared" si="495"/>
        <v>0.561330561330561</v>
      </c>
    </row>
    <row r="4037" ht="77.5" spans="1:7">
      <c r="A4037" s="18">
        <v>21.18</v>
      </c>
      <c r="B4037" s="15" t="s">
        <v>5530</v>
      </c>
      <c r="C4037" s="13" t="s">
        <v>11</v>
      </c>
      <c r="D4037" s="17">
        <v>5325.9</v>
      </c>
      <c r="E4037" s="5" t="s">
        <v>8</v>
      </c>
      <c r="F4037" s="6">
        <v>4608.85</v>
      </c>
      <c r="G4037" s="7">
        <f t="shared" si="495"/>
        <v>0.15558111025527</v>
      </c>
    </row>
    <row r="4038" ht="62" spans="1:7">
      <c r="A4038" s="18">
        <v>21.19</v>
      </c>
      <c r="B4038" s="15" t="s">
        <v>5531</v>
      </c>
      <c r="C4038" s="13"/>
      <c r="D4038" s="16"/>
      <c r="E4038" s="5" t="s">
        <v>8</v>
      </c>
    </row>
    <row r="4039" spans="1:7">
      <c r="A4039" s="14" t="s">
        <v>5532</v>
      </c>
      <c r="B4039" s="12" t="s">
        <v>5533</v>
      </c>
      <c r="C4039" s="13" t="s">
        <v>39</v>
      </c>
      <c r="D4039" s="17">
        <v>148.1</v>
      </c>
      <c r="E4039" s="5" t="s">
        <v>8</v>
      </c>
      <c r="F4039" s="6">
        <v>96.65</v>
      </c>
      <c r="G4039" s="7">
        <f t="shared" ref="G4039:G4041" si="496">(D4039-F4039)/F4039</f>
        <v>0.532333160889808</v>
      </c>
    </row>
    <row r="4040" spans="1:7">
      <c r="A4040" s="14" t="s">
        <v>5534</v>
      </c>
      <c r="B4040" s="12" t="s">
        <v>5535</v>
      </c>
      <c r="C4040" s="13" t="s">
        <v>39</v>
      </c>
      <c r="D4040" s="17">
        <v>200.95</v>
      </c>
      <c r="E4040" s="5" t="s">
        <v>8</v>
      </c>
      <c r="F4040" s="6">
        <v>133.2</v>
      </c>
      <c r="G4040" s="7">
        <f t="shared" si="496"/>
        <v>0.508633633633634</v>
      </c>
    </row>
    <row r="4041" spans="1:7">
      <c r="A4041" s="14" t="s">
        <v>5536</v>
      </c>
      <c r="B4041" s="12" t="s">
        <v>5537</v>
      </c>
      <c r="C4041" s="13" t="s">
        <v>39</v>
      </c>
      <c r="D4041" s="17">
        <v>363.2</v>
      </c>
      <c r="E4041" s="5" t="s">
        <v>8</v>
      </c>
      <c r="F4041" s="6">
        <v>245.85</v>
      </c>
      <c r="G4041" s="7">
        <f t="shared" si="496"/>
        <v>0.477323571283303</v>
      </c>
    </row>
    <row r="4042" spans="1:7">
      <c r="D4042" s="22"/>
    </row>
    <row r="4043" spans="1:7">
      <c r="D4043" s="22"/>
    </row>
    <row r="4044" spans="1:7">
      <c r="D4044" s="22"/>
    </row>
    <row r="4045" spans="1:7">
      <c r="D4045" s="22"/>
    </row>
    <row r="4046" spans="1:7">
      <c r="D4046" s="22"/>
    </row>
    <row r="4047" spans="1:7">
      <c r="A4047" s="5" t="s">
        <v>5538</v>
      </c>
      <c r="C4047" s="5"/>
      <c r="D4047" s="5"/>
    </row>
    <row r="4048" spans="1:7">
      <c r="A4048" s="14" t="s">
        <v>166</v>
      </c>
      <c r="B4048" s="15" t="s">
        <v>2</v>
      </c>
      <c r="C4048" s="13" t="s">
        <v>167</v>
      </c>
      <c r="D4048" s="16" t="s">
        <v>4</v>
      </c>
    </row>
    <row r="4049" ht="46.5" spans="1:7">
      <c r="A4049" s="14">
        <v>22.1</v>
      </c>
      <c r="B4049" s="15" t="s">
        <v>5539</v>
      </c>
      <c r="C4049" s="13"/>
      <c r="D4049" s="16"/>
    </row>
    <row r="4050" ht="93" spans="1:7">
      <c r="A4050" s="14"/>
      <c r="B4050" s="15" t="s">
        <v>5540</v>
      </c>
      <c r="C4050" s="13"/>
      <c r="D4050" s="16"/>
    </row>
    <row r="4051" ht="31" spans="1:7">
      <c r="A4051" s="14"/>
      <c r="B4051" s="15" t="s">
        <v>5541</v>
      </c>
      <c r="C4051" s="13"/>
      <c r="D4051" s="16"/>
    </row>
    <row r="4052" ht="31" spans="1:7">
      <c r="A4052" s="14"/>
      <c r="B4052" s="15" t="s">
        <v>5542</v>
      </c>
      <c r="C4052" s="13"/>
      <c r="D4052" s="16"/>
    </row>
    <row r="4053" spans="1:7">
      <c r="A4053" s="14" t="s">
        <v>5543</v>
      </c>
      <c r="B4053" s="12" t="s">
        <v>5544</v>
      </c>
      <c r="C4053" s="13" t="s">
        <v>11</v>
      </c>
      <c r="D4053" s="17">
        <v>1515.6</v>
      </c>
      <c r="E4053" s="5" t="s">
        <v>8</v>
      </c>
      <c r="F4053" s="6">
        <v>1017.55</v>
      </c>
      <c r="G4053" s="7">
        <f>(D4053-F4053)/F4053</f>
        <v>0.489459977396688</v>
      </c>
    </row>
    <row r="4054" ht="124" spans="1:7">
      <c r="A4054" s="14">
        <v>22.2</v>
      </c>
      <c r="B4054" s="15" t="s">
        <v>5545</v>
      </c>
      <c r="C4054" s="13"/>
      <c r="D4054" s="16"/>
    </row>
    <row r="4055" spans="1:7">
      <c r="A4055" s="14" t="s">
        <v>5546</v>
      </c>
      <c r="B4055" s="12" t="s">
        <v>5547</v>
      </c>
      <c r="C4055" s="13" t="s">
        <v>11</v>
      </c>
      <c r="D4055" s="17">
        <v>2024.7</v>
      </c>
      <c r="E4055" s="5" t="s">
        <v>8</v>
      </c>
      <c r="F4055" s="6">
        <v>1253.3</v>
      </c>
      <c r="G4055" s="7">
        <f>(D4055-F4055)/F4055</f>
        <v>0.6154950929546</v>
      </c>
    </row>
    <row r="4056" ht="31" spans="1:7">
      <c r="A4056" s="14">
        <v>22.3</v>
      </c>
      <c r="B4056" s="15" t="s">
        <v>5548</v>
      </c>
      <c r="C4056" s="13"/>
      <c r="D4056" s="16"/>
      <c r="E4056" s="5" t="s">
        <v>8</v>
      </c>
    </row>
    <row r="4057" ht="46.5" spans="1:7">
      <c r="A4057" s="14"/>
      <c r="B4057" s="15" t="s">
        <v>5549</v>
      </c>
      <c r="C4057" s="13"/>
      <c r="D4057" s="16"/>
      <c r="E4057" s="5" t="s">
        <v>8</v>
      </c>
    </row>
    <row r="4058" ht="46.5" spans="1:7">
      <c r="A4058" s="14"/>
      <c r="B4058" s="15" t="s">
        <v>5550</v>
      </c>
      <c r="C4058" s="13"/>
      <c r="D4058" s="16"/>
      <c r="E4058" s="5" t="s">
        <v>8</v>
      </c>
    </row>
    <row r="4059" ht="31" spans="1:7">
      <c r="A4059" s="14"/>
      <c r="B4059" s="15" t="s">
        <v>5551</v>
      </c>
      <c r="C4059" s="13"/>
      <c r="D4059" s="16"/>
      <c r="E4059" s="5" t="s">
        <v>8</v>
      </c>
    </row>
    <row r="4060" ht="31" spans="1:7">
      <c r="A4060" s="14"/>
      <c r="B4060" s="15" t="s">
        <v>5552</v>
      </c>
      <c r="C4060" s="13" t="s">
        <v>11</v>
      </c>
      <c r="D4060" s="17">
        <v>769.6</v>
      </c>
      <c r="E4060" s="5" t="s">
        <v>8</v>
      </c>
      <c r="F4060" s="6">
        <v>505.9</v>
      </c>
      <c r="G4060" s="7">
        <f t="shared" ref="G4060:G4064" si="497">(D4060-F4060)/F4060</f>
        <v>0.521249258746788</v>
      </c>
    </row>
    <row r="4061" ht="46.5" spans="1:7">
      <c r="A4061" s="14">
        <v>22.4</v>
      </c>
      <c r="B4061" s="15" t="s">
        <v>5553</v>
      </c>
      <c r="C4061" s="13"/>
      <c r="D4061" s="16"/>
      <c r="E4061" s="5" t="s">
        <v>8</v>
      </c>
      <c r="G4061" s="7" t="e">
        <f t="shared" si="497"/>
        <v>#DIV/0!</v>
      </c>
    </row>
    <row r="4062" spans="1:7">
      <c r="A4062" s="14" t="s">
        <v>5554</v>
      </c>
      <c r="B4062" s="12" t="s">
        <v>5555</v>
      </c>
      <c r="C4062" s="13" t="s">
        <v>39</v>
      </c>
      <c r="D4062" s="17">
        <v>327.65</v>
      </c>
      <c r="E4062" s="5" t="s">
        <v>8</v>
      </c>
      <c r="F4062" s="6">
        <v>254.15</v>
      </c>
      <c r="G4062" s="7">
        <f t="shared" si="497"/>
        <v>0.289199291756836</v>
      </c>
    </row>
    <row r="4063" spans="1:7">
      <c r="A4063" s="14" t="s">
        <v>5556</v>
      </c>
      <c r="B4063" s="12" t="s">
        <v>5557</v>
      </c>
      <c r="C4063" s="13" t="s">
        <v>39</v>
      </c>
      <c r="D4063" s="17">
        <v>267.9</v>
      </c>
      <c r="E4063" s="5" t="s">
        <v>8</v>
      </c>
      <c r="F4063" s="6">
        <v>200.7</v>
      </c>
      <c r="G4063" s="7">
        <f t="shared" si="497"/>
        <v>0.334828101644245</v>
      </c>
    </row>
    <row r="4064" spans="1:7">
      <c r="A4064" s="14" t="s">
        <v>5558</v>
      </c>
      <c r="B4064" s="12" t="s">
        <v>5559</v>
      </c>
      <c r="C4064" s="13" t="s">
        <v>39</v>
      </c>
      <c r="D4064" s="17">
        <v>263.65</v>
      </c>
      <c r="E4064" s="5" t="s">
        <v>8</v>
      </c>
      <c r="F4064" s="6">
        <v>235.55</v>
      </c>
      <c r="G4064" s="7">
        <f t="shared" si="497"/>
        <v>0.119295266397792</v>
      </c>
    </row>
    <row r="4065" ht="409.5" spans="1:16">
      <c r="A4065" s="14">
        <v>22.5</v>
      </c>
      <c r="B4065" s="15" t="s">
        <v>5560</v>
      </c>
      <c r="C4065" s="13"/>
      <c r="D4065" s="16"/>
      <c r="E4065" s="5" t="s">
        <v>8</v>
      </c>
      <c r="M4065" s="46" t="s">
        <v>5561</v>
      </c>
      <c r="N4065" s="46"/>
      <c r="O4065" s="46"/>
      <c r="P4065" s="46"/>
    </row>
    <row r="4066" ht="31" spans="1:16">
      <c r="A4066" s="14"/>
      <c r="B4066" s="15" t="s">
        <v>5562</v>
      </c>
      <c r="C4066" s="13"/>
      <c r="D4066" s="16"/>
      <c r="E4066" s="5" t="s">
        <v>8</v>
      </c>
      <c r="M4066" s="46"/>
      <c r="N4066" s="46"/>
      <c r="O4066" s="46"/>
      <c r="P4066" s="46"/>
    </row>
    <row r="4067" ht="46.5" spans="1:16">
      <c r="A4067" s="14"/>
      <c r="B4067" s="15" t="s">
        <v>5563</v>
      </c>
      <c r="C4067" s="13"/>
      <c r="D4067" s="16"/>
      <c r="E4067" s="5" t="s">
        <v>8</v>
      </c>
      <c r="M4067" s="46"/>
      <c r="N4067" s="46"/>
      <c r="O4067" s="46"/>
      <c r="P4067" s="46"/>
    </row>
    <row r="4068" ht="31" spans="1:16">
      <c r="A4068" s="14"/>
      <c r="B4068" s="15" t="s">
        <v>5564</v>
      </c>
      <c r="C4068" s="13" t="s">
        <v>11</v>
      </c>
      <c r="D4068" s="17">
        <v>617.05</v>
      </c>
      <c r="E4068" s="5" t="s">
        <v>8</v>
      </c>
      <c r="F4068" s="6">
        <v>298.3</v>
      </c>
      <c r="G4068" s="7">
        <f>(D4068-F4068)/F4068</f>
        <v>1.06855514582635</v>
      </c>
      <c r="M4068" s="46"/>
      <c r="N4068" s="46"/>
      <c r="O4068" s="46"/>
      <c r="P4068" s="46"/>
    </row>
    <row r="4069" ht="31" spans="1:16">
      <c r="A4069" s="14">
        <v>22.6</v>
      </c>
      <c r="B4069" s="15" t="s">
        <v>5565</v>
      </c>
      <c r="C4069" s="13"/>
      <c r="D4069" s="16"/>
      <c r="E4069" s="5" t="s">
        <v>8</v>
      </c>
    </row>
    <row r="4070" ht="31" spans="1:16">
      <c r="A4070" s="14"/>
      <c r="B4070" s="15" t="s">
        <v>5566</v>
      </c>
      <c r="C4070" s="13"/>
      <c r="D4070" s="16"/>
      <c r="E4070" s="5" t="s">
        <v>8</v>
      </c>
    </row>
    <row r="4071" ht="31" spans="1:16">
      <c r="A4071" s="14"/>
      <c r="B4071" s="15" t="s">
        <v>5567</v>
      </c>
      <c r="C4071" s="13"/>
      <c r="D4071" s="16"/>
      <c r="E4071" s="5" t="s">
        <v>8</v>
      </c>
    </row>
    <row r="4072" ht="77.5" spans="1:16">
      <c r="A4072" s="14"/>
      <c r="B4072" s="15" t="s">
        <v>5568</v>
      </c>
      <c r="C4072" s="13"/>
      <c r="D4072" s="16"/>
      <c r="E4072" s="5" t="s">
        <v>8</v>
      </c>
    </row>
    <row r="4073" ht="31" spans="1:16">
      <c r="A4073" s="14"/>
      <c r="B4073" s="15" t="s">
        <v>5569</v>
      </c>
      <c r="C4073" s="13"/>
      <c r="D4073" s="16"/>
      <c r="E4073" s="5" t="s">
        <v>8</v>
      </c>
    </row>
    <row r="4074" spans="1:16">
      <c r="A4074" s="14"/>
      <c r="B4074" s="15" t="s">
        <v>5570</v>
      </c>
      <c r="C4074" s="13" t="s">
        <v>11</v>
      </c>
      <c r="D4074" s="17">
        <v>688.9</v>
      </c>
      <c r="E4074" s="5" t="s">
        <v>8</v>
      </c>
      <c r="F4074" s="6">
        <v>395</v>
      </c>
      <c r="G4074" s="7">
        <f>(D4074-F4074)/F4074</f>
        <v>0.744050632911392</v>
      </c>
    </row>
    <row r="4075" ht="46.5" spans="1:16">
      <c r="A4075" s="14">
        <v>22.7</v>
      </c>
      <c r="B4075" s="15" t="s">
        <v>5571</v>
      </c>
      <c r="C4075" s="13"/>
      <c r="D4075" s="16"/>
      <c r="E4075" s="5" t="s">
        <v>8</v>
      </c>
    </row>
    <row r="4076" ht="62" spans="1:16">
      <c r="A4076" s="14"/>
      <c r="B4076" s="15" t="s">
        <v>5572</v>
      </c>
      <c r="C4076" s="13"/>
      <c r="D4076" s="16"/>
      <c r="E4076" s="5" t="s">
        <v>8</v>
      </c>
    </row>
    <row r="4077" ht="108.5" spans="1:16">
      <c r="A4077" s="14"/>
      <c r="B4077" s="15" t="s">
        <v>5573</v>
      </c>
      <c r="C4077" s="13"/>
      <c r="D4077" s="16"/>
      <c r="E4077" s="5" t="s">
        <v>8</v>
      </c>
    </row>
    <row r="4078" ht="46.5" spans="1:16">
      <c r="A4078" s="14"/>
      <c r="B4078" s="15" t="s">
        <v>5574</v>
      </c>
      <c r="C4078" s="13"/>
      <c r="D4078" s="16"/>
      <c r="E4078" s="5" t="s">
        <v>8</v>
      </c>
    </row>
    <row r="4079" ht="77.5" spans="1:16">
      <c r="A4079" s="14"/>
      <c r="B4079" s="15" t="s">
        <v>5575</v>
      </c>
      <c r="C4079" s="13"/>
      <c r="D4079" s="16"/>
      <c r="E4079" s="5" t="s">
        <v>8</v>
      </c>
    </row>
    <row r="4080" ht="46.5" spans="1:16">
      <c r="A4080" s="14"/>
      <c r="B4080" s="15" t="s">
        <v>5576</v>
      </c>
      <c r="C4080" s="13"/>
      <c r="D4080" s="16"/>
      <c r="E4080" s="5" t="s">
        <v>8</v>
      </c>
    </row>
    <row r="4081" spans="1:7">
      <c r="A4081" s="14" t="s">
        <v>5577</v>
      </c>
      <c r="B4081" s="12" t="s">
        <v>5578</v>
      </c>
      <c r="C4081" s="13" t="s">
        <v>11</v>
      </c>
      <c r="D4081" s="17">
        <v>1684.6</v>
      </c>
      <c r="E4081" s="5" t="s">
        <v>8</v>
      </c>
      <c r="F4081" s="6">
        <v>1034.65</v>
      </c>
      <c r="G4081" s="7">
        <f t="shared" ref="G4081:G4087" si="498">(D4081-F4081)/F4081</f>
        <v>0.628183443676605</v>
      </c>
    </row>
    <row r="4082" ht="93" spans="1:7">
      <c r="A4082" s="14">
        <v>22.8</v>
      </c>
      <c r="B4082" s="15" t="s">
        <v>5579</v>
      </c>
      <c r="C4082" s="13"/>
      <c r="D4082" s="16"/>
      <c r="E4082" s="5" t="s">
        <v>8</v>
      </c>
    </row>
    <row r="4083" spans="1:7">
      <c r="A4083" s="14" t="s">
        <v>5580</v>
      </c>
      <c r="B4083" s="12" t="s">
        <v>5581</v>
      </c>
      <c r="C4083" s="13" t="s">
        <v>11</v>
      </c>
      <c r="D4083" s="17">
        <v>515.05</v>
      </c>
      <c r="E4083" s="5" t="s">
        <v>8</v>
      </c>
      <c r="F4083" s="6">
        <v>312</v>
      </c>
      <c r="G4083" s="7">
        <f t="shared" si="498"/>
        <v>0.650801282051282</v>
      </c>
    </row>
    <row r="4084" ht="108.5" spans="1:7">
      <c r="A4084" s="14">
        <v>22.9</v>
      </c>
      <c r="B4084" s="15" t="s">
        <v>5582</v>
      </c>
      <c r="C4084" s="13" t="s">
        <v>11</v>
      </c>
      <c r="D4084" s="17">
        <v>806.45</v>
      </c>
      <c r="E4084" s="5" t="s">
        <v>8</v>
      </c>
      <c r="F4084" s="6">
        <v>493.4</v>
      </c>
      <c r="G4084" s="7">
        <f t="shared" si="498"/>
        <v>0.63447507093636</v>
      </c>
    </row>
    <row r="4085" ht="93" spans="1:7">
      <c r="A4085" s="18">
        <v>22.1</v>
      </c>
      <c r="B4085" s="15" t="s">
        <v>5583</v>
      </c>
      <c r="C4085" s="13" t="s">
        <v>11</v>
      </c>
      <c r="D4085" s="17">
        <v>910.85</v>
      </c>
      <c r="E4085" s="5" t="s">
        <v>8</v>
      </c>
      <c r="F4085" s="6">
        <v>548.55</v>
      </c>
      <c r="G4085" s="7">
        <f t="shared" si="498"/>
        <v>0.660468507884423</v>
      </c>
    </row>
    <row r="4086" ht="93" spans="1:7">
      <c r="A4086" s="18">
        <v>22.11</v>
      </c>
      <c r="B4086" s="15" t="s">
        <v>5584</v>
      </c>
      <c r="C4086" s="13" t="s">
        <v>11</v>
      </c>
      <c r="D4086" s="17">
        <v>910.85</v>
      </c>
      <c r="E4086" s="5" t="s">
        <v>8</v>
      </c>
      <c r="F4086" s="6">
        <v>548.75</v>
      </c>
      <c r="G4086" s="7">
        <f t="shared" si="498"/>
        <v>0.659863325740319</v>
      </c>
    </row>
    <row r="4087" ht="31" spans="1:7">
      <c r="A4087" s="18">
        <v>22.12</v>
      </c>
      <c r="B4087" s="15" t="s">
        <v>5585</v>
      </c>
      <c r="C4087" s="13" t="s">
        <v>11</v>
      </c>
      <c r="D4087" s="17">
        <v>59.45</v>
      </c>
      <c r="E4087" s="5" t="s">
        <v>8</v>
      </c>
      <c r="F4087" s="6">
        <v>33.05</v>
      </c>
      <c r="G4087" s="7">
        <f t="shared" si="498"/>
        <v>0.798789712556732</v>
      </c>
    </row>
    <row r="4088" ht="31" spans="1:7">
      <c r="A4088" s="18">
        <v>22.13</v>
      </c>
      <c r="B4088" s="15" t="s">
        <v>5586</v>
      </c>
      <c r="C4088" s="13"/>
      <c r="D4088" s="16"/>
      <c r="E4088" s="5" t="s">
        <v>8</v>
      </c>
    </row>
    <row r="4089" spans="1:7">
      <c r="A4089" s="14" t="s">
        <v>5587</v>
      </c>
      <c r="B4089" s="12" t="s">
        <v>5588</v>
      </c>
      <c r="C4089" s="13" t="s">
        <v>11</v>
      </c>
      <c r="D4089" s="17">
        <v>17.55</v>
      </c>
      <c r="E4089" s="5" t="s">
        <v>8</v>
      </c>
      <c r="F4089" s="6">
        <v>11.95</v>
      </c>
      <c r="G4089" s="7">
        <f t="shared" ref="G4089:G4096" si="499">(D4089-F4089)/F4089</f>
        <v>0.468619246861925</v>
      </c>
    </row>
    <row r="4090" spans="1:7">
      <c r="A4090" s="14" t="s">
        <v>5589</v>
      </c>
      <c r="B4090" s="12" t="s">
        <v>5590</v>
      </c>
      <c r="C4090" s="13" t="s">
        <v>11</v>
      </c>
      <c r="D4090" s="17">
        <v>22.1</v>
      </c>
      <c r="E4090" s="5" t="s">
        <v>8</v>
      </c>
      <c r="F4090" s="6">
        <v>15.1</v>
      </c>
      <c r="G4090" s="7">
        <f t="shared" si="499"/>
        <v>0.463576158940397</v>
      </c>
    </row>
    <row r="4091" spans="1:7">
      <c r="A4091" s="18">
        <v>22.14</v>
      </c>
      <c r="B4091" s="15" t="s">
        <v>5591</v>
      </c>
      <c r="C4091" s="13"/>
      <c r="D4091" s="16"/>
      <c r="E4091" s="5" t="s">
        <v>8</v>
      </c>
    </row>
    <row r="4092" ht="31" spans="1:7">
      <c r="A4092" s="14" t="s">
        <v>5592</v>
      </c>
      <c r="B4092" s="12" t="s">
        <v>5593</v>
      </c>
      <c r="C4092" s="13" t="s">
        <v>14</v>
      </c>
      <c r="D4092" s="17">
        <v>8042.3</v>
      </c>
      <c r="E4092" s="5" t="s">
        <v>8</v>
      </c>
      <c r="F4092" s="6">
        <v>5583.8</v>
      </c>
      <c r="G4092" s="7">
        <f t="shared" si="499"/>
        <v>0.440291557720549</v>
      </c>
    </row>
    <row r="4093" spans="1:7">
      <c r="A4093" s="14" t="s">
        <v>5594</v>
      </c>
      <c r="B4093" s="12" t="s">
        <v>656</v>
      </c>
      <c r="C4093" s="13" t="s">
        <v>14</v>
      </c>
      <c r="D4093" s="17">
        <v>16112.1</v>
      </c>
      <c r="E4093" s="5" t="s">
        <v>8</v>
      </c>
      <c r="F4093" s="6">
        <v>9280.65</v>
      </c>
      <c r="G4093" s="7">
        <f t="shared" si="499"/>
        <v>0.736096070857106</v>
      </c>
    </row>
    <row r="4094" spans="1:7">
      <c r="A4094" s="14" t="s">
        <v>5595</v>
      </c>
      <c r="B4094" s="12" t="s">
        <v>5596</v>
      </c>
      <c r="C4094" s="13" t="s">
        <v>14</v>
      </c>
      <c r="D4094" s="17">
        <v>15155.6</v>
      </c>
      <c r="E4094" s="5" t="s">
        <v>8</v>
      </c>
      <c r="F4094" s="6">
        <v>8404.25</v>
      </c>
      <c r="G4094" s="7">
        <f t="shared" si="499"/>
        <v>0.803325698307404</v>
      </c>
    </row>
    <row r="4095" ht="186" spans="1:7">
      <c r="A4095" s="18">
        <v>22.22</v>
      </c>
      <c r="B4095" s="15" t="s">
        <v>5597</v>
      </c>
      <c r="C4095" s="13" t="s">
        <v>478</v>
      </c>
      <c r="D4095" s="17">
        <v>388</v>
      </c>
      <c r="E4095" s="11"/>
      <c r="F4095" s="6">
        <v>376.4</v>
      </c>
      <c r="G4095" s="7">
        <f t="shared" si="499"/>
        <v>0.0308182784272052</v>
      </c>
    </row>
    <row r="4096" ht="124" spans="1:7">
      <c r="A4096" s="14" t="s">
        <v>5598</v>
      </c>
      <c r="B4096" s="15" t="s">
        <v>5599</v>
      </c>
      <c r="C4096" s="13" t="s">
        <v>11</v>
      </c>
      <c r="D4096" s="17">
        <v>563.1</v>
      </c>
      <c r="E4096" s="5" t="s">
        <v>8</v>
      </c>
      <c r="F4096" s="6">
        <v>327.55</v>
      </c>
      <c r="G4096" s="7">
        <f t="shared" si="499"/>
        <v>0.719126850862464</v>
      </c>
    </row>
    <row r="4097" ht="201.5" spans="1:7">
      <c r="A4097" s="18">
        <v>22.23</v>
      </c>
      <c r="B4097" s="15" t="s">
        <v>5600</v>
      </c>
      <c r="C4097" s="13"/>
      <c r="D4097" s="16"/>
      <c r="E4097" s="11"/>
    </row>
    <row r="4098" spans="1:7">
      <c r="A4098" s="14" t="s">
        <v>5601</v>
      </c>
      <c r="B4098" s="12" t="s">
        <v>5602</v>
      </c>
      <c r="C4098" s="13" t="s">
        <v>11</v>
      </c>
      <c r="D4098" s="17">
        <v>472.9</v>
      </c>
      <c r="E4098" s="11"/>
      <c r="F4098" s="6">
        <v>468.1</v>
      </c>
      <c r="G4098" s="7">
        <f t="shared" ref="G4098:G4102" si="500">(D4098-F4098)/F4098</f>
        <v>0.010254219183935</v>
      </c>
    </row>
    <row r="4099" spans="1:7">
      <c r="A4099" s="14" t="s">
        <v>5603</v>
      </c>
      <c r="B4099" s="12" t="s">
        <v>5604</v>
      </c>
      <c r="C4099" s="13" t="s">
        <v>11</v>
      </c>
      <c r="D4099" s="17">
        <v>362.8</v>
      </c>
      <c r="E4099" s="11"/>
      <c r="F4099" s="6">
        <v>362.35</v>
      </c>
      <c r="G4099" s="7">
        <f t="shared" si="500"/>
        <v>0.00124189319718501</v>
      </c>
    </row>
    <row r="4100" ht="108.5" spans="1:7">
      <c r="A4100" s="14" t="s">
        <v>5605</v>
      </c>
      <c r="B4100" s="15" t="s">
        <v>5606</v>
      </c>
      <c r="C4100" s="13" t="s">
        <v>11</v>
      </c>
      <c r="D4100" s="17">
        <v>447.35</v>
      </c>
      <c r="E4100" s="5" t="s">
        <v>8</v>
      </c>
      <c r="F4100" s="6">
        <v>368.2</v>
      </c>
      <c r="G4100" s="7">
        <f t="shared" si="500"/>
        <v>0.214964693101575</v>
      </c>
    </row>
    <row r="4101" ht="170.5" spans="1:7">
      <c r="A4101" s="18">
        <v>22.24</v>
      </c>
      <c r="B4101" s="15" t="s">
        <v>5607</v>
      </c>
      <c r="C4101" s="13" t="s">
        <v>11</v>
      </c>
      <c r="D4101" s="17">
        <v>309.6</v>
      </c>
      <c r="E4101" s="11"/>
      <c r="F4101" s="6">
        <v>316.15</v>
      </c>
      <c r="G4101" s="7">
        <f t="shared" si="500"/>
        <v>-0.0207180136011386</v>
      </c>
    </row>
    <row r="4102" ht="108.5" spans="1:7">
      <c r="A4102" s="14" t="s">
        <v>5608</v>
      </c>
      <c r="B4102" s="15" t="s">
        <v>5609</v>
      </c>
      <c r="C4102" s="13" t="s">
        <v>11</v>
      </c>
      <c r="D4102" s="17">
        <v>597</v>
      </c>
      <c r="E4102" s="5" t="s">
        <v>8</v>
      </c>
      <c r="F4102" s="6">
        <v>391.8</v>
      </c>
      <c r="G4102" s="7">
        <f t="shared" si="500"/>
        <v>0.523736600306279</v>
      </c>
    </row>
    <row r="4103" ht="124" spans="1:7">
      <c r="A4103" s="18">
        <v>22.25</v>
      </c>
      <c r="B4103" s="15" t="s">
        <v>5610</v>
      </c>
      <c r="C4103" s="13"/>
      <c r="D4103" s="16"/>
      <c r="E4103" s="5" t="s">
        <v>8</v>
      </c>
    </row>
    <row r="4104" ht="77.5" spans="1:7">
      <c r="A4104" s="14" t="s">
        <v>5611</v>
      </c>
      <c r="B4104" s="12" t="s">
        <v>5612</v>
      </c>
      <c r="C4104" s="13" t="s">
        <v>39</v>
      </c>
      <c r="D4104" s="17">
        <v>547.7</v>
      </c>
      <c r="E4104" s="5" t="s">
        <v>8</v>
      </c>
      <c r="F4104" s="6">
        <v>514</v>
      </c>
      <c r="G4104" s="7">
        <f t="shared" ref="G4104:G4106" si="501">(D4104-F4104)/F4104</f>
        <v>0.0655642023346304</v>
      </c>
    </row>
    <row r="4105" ht="77.5" spans="1:7">
      <c r="A4105" s="14" t="s">
        <v>5613</v>
      </c>
      <c r="B4105" s="12" t="s">
        <v>5614</v>
      </c>
      <c r="C4105" s="13" t="s">
        <v>5615</v>
      </c>
      <c r="D4105" s="17">
        <v>23.05</v>
      </c>
      <c r="E4105" s="5" t="s">
        <v>8</v>
      </c>
      <c r="F4105" s="6">
        <v>18.45</v>
      </c>
      <c r="G4105" s="7">
        <f t="shared" si="501"/>
        <v>0.249322493224932</v>
      </c>
    </row>
    <row r="4106" ht="124" spans="1:7">
      <c r="A4106" s="18">
        <v>22.26</v>
      </c>
      <c r="B4106" s="15" t="s">
        <v>5616</v>
      </c>
      <c r="C4106" s="13" t="s">
        <v>39</v>
      </c>
      <c r="D4106" s="17">
        <v>573.45</v>
      </c>
      <c r="E4106" s="5" t="s">
        <v>8</v>
      </c>
      <c r="F4106" s="6">
        <v>538.9</v>
      </c>
      <c r="G4106" s="7">
        <f t="shared" si="501"/>
        <v>0.0641120801632957</v>
      </c>
    </row>
    <row r="4107" spans="1:7">
      <c r="A4107" s="6"/>
      <c r="B4107" s="39"/>
      <c r="D4107" s="22"/>
    </row>
    <row r="4108" spans="1:7">
      <c r="A4108" s="6"/>
      <c r="B4108" s="39"/>
      <c r="D4108" s="22"/>
    </row>
    <row r="4109" spans="1:7">
      <c r="A4109" s="6"/>
      <c r="B4109" s="39"/>
      <c r="D4109" s="22"/>
    </row>
    <row r="4110" spans="1:7">
      <c r="A4110" s="6"/>
      <c r="B4110" s="39"/>
      <c r="D4110" s="22"/>
    </row>
    <row r="4111" spans="1:7">
      <c r="A4111" s="6"/>
      <c r="B4111" s="39"/>
      <c r="D4111" s="22"/>
    </row>
    <row r="4112" spans="1:7">
      <c r="A4112" s="6"/>
      <c r="B4112" s="39"/>
      <c r="D4112" s="22"/>
    </row>
    <row r="4113" spans="1:7">
      <c r="A4113" s="6"/>
      <c r="B4113" s="39"/>
      <c r="D4113" s="22"/>
    </row>
    <row r="4114" ht="46.5" spans="1:7">
      <c r="A4114" s="5" t="s">
        <v>5617</v>
      </c>
      <c r="C4114" s="5"/>
      <c r="D4114" s="5"/>
    </row>
    <row r="4115" spans="1:7">
      <c r="A4115" s="14" t="s">
        <v>166</v>
      </c>
      <c r="B4115" s="15" t="s">
        <v>2</v>
      </c>
      <c r="C4115" s="13" t="s">
        <v>167</v>
      </c>
      <c r="D4115" s="16" t="s">
        <v>4</v>
      </c>
    </row>
    <row r="4116" ht="77.5" spans="1:7">
      <c r="A4116" s="14">
        <v>23.1</v>
      </c>
      <c r="B4116" s="15" t="s">
        <v>5618</v>
      </c>
      <c r="C4116" s="13"/>
      <c r="D4116" s="16"/>
      <c r="E4116" s="5" t="s">
        <v>8</v>
      </c>
    </row>
    <row r="4117" spans="1:7">
      <c r="A4117" s="14" t="s">
        <v>5619</v>
      </c>
      <c r="B4117" s="12" t="s">
        <v>5620</v>
      </c>
      <c r="C4117" s="13"/>
      <c r="D4117" s="16"/>
      <c r="E4117" s="5" t="s">
        <v>8</v>
      </c>
    </row>
    <row r="4118" spans="1:7">
      <c r="A4118" s="14" t="s">
        <v>5621</v>
      </c>
      <c r="B4118" s="12" t="s">
        <v>5622</v>
      </c>
      <c r="C4118" s="13" t="s">
        <v>39</v>
      </c>
      <c r="D4118" s="17">
        <v>707.75</v>
      </c>
      <c r="E4118" s="5" t="s">
        <v>8</v>
      </c>
      <c r="F4118" s="6">
        <v>370.7</v>
      </c>
      <c r="G4118" s="7">
        <f t="shared" ref="G4118:G4120" si="502">(D4118-F4118)/F4118</f>
        <v>0.909225789047748</v>
      </c>
    </row>
    <row r="4119" spans="1:7">
      <c r="A4119" s="14" t="s">
        <v>5623</v>
      </c>
      <c r="B4119" s="12" t="s">
        <v>5624</v>
      </c>
      <c r="C4119" s="13" t="s">
        <v>39</v>
      </c>
      <c r="D4119" s="17">
        <v>774.05</v>
      </c>
      <c r="E4119" s="5" t="s">
        <v>8</v>
      </c>
      <c r="F4119" s="6">
        <v>405.45</v>
      </c>
      <c r="G4119" s="7">
        <f t="shared" si="502"/>
        <v>0.909113330866938</v>
      </c>
    </row>
    <row r="4120" spans="1:7">
      <c r="A4120" s="14" t="s">
        <v>5625</v>
      </c>
      <c r="B4120" s="12" t="s">
        <v>5626</v>
      </c>
      <c r="C4120" s="13" t="s">
        <v>39</v>
      </c>
      <c r="D4120" s="17">
        <v>990.8</v>
      </c>
      <c r="E4120" s="5" t="s">
        <v>8</v>
      </c>
      <c r="F4120" s="6">
        <v>518.95</v>
      </c>
      <c r="G4120" s="7">
        <f t="shared" si="502"/>
        <v>0.909239811157144</v>
      </c>
    </row>
    <row r="4121" spans="1:7">
      <c r="A4121" s="14" t="s">
        <v>5627</v>
      </c>
      <c r="B4121" s="12" t="s">
        <v>5628</v>
      </c>
      <c r="C4121" s="13"/>
      <c r="D4121" s="16"/>
      <c r="E4121" s="5" t="s">
        <v>8</v>
      </c>
    </row>
    <row r="4122" spans="1:7">
      <c r="A4122" s="14" t="s">
        <v>5629</v>
      </c>
      <c r="B4122" s="12" t="s">
        <v>5622</v>
      </c>
      <c r="C4122" s="13" t="s">
        <v>39</v>
      </c>
      <c r="D4122" s="17">
        <v>1695.1</v>
      </c>
      <c r="E4122" s="5" t="s">
        <v>8</v>
      </c>
      <c r="F4122" s="6">
        <v>855.1</v>
      </c>
      <c r="G4122" s="7">
        <f t="shared" ref="G4122:G4124" si="503">(D4122-F4122)/F4122</f>
        <v>0.98234124663782</v>
      </c>
    </row>
    <row r="4123" spans="1:7">
      <c r="A4123" s="14" t="s">
        <v>5630</v>
      </c>
      <c r="B4123" s="12" t="s">
        <v>5624</v>
      </c>
      <c r="C4123" s="13" t="s">
        <v>39</v>
      </c>
      <c r="D4123" s="17">
        <v>1792.85</v>
      </c>
      <c r="E4123" s="5" t="s">
        <v>8</v>
      </c>
      <c r="F4123" s="6">
        <v>895.25</v>
      </c>
      <c r="G4123" s="7">
        <f t="shared" si="503"/>
        <v>1.00262496509355</v>
      </c>
    </row>
    <row r="4124" spans="1:7">
      <c r="A4124" s="14" t="s">
        <v>5631</v>
      </c>
      <c r="B4124" s="12" t="s">
        <v>5626</v>
      </c>
      <c r="C4124" s="13" t="s">
        <v>39</v>
      </c>
      <c r="D4124" s="17">
        <v>2131.45</v>
      </c>
      <c r="E4124" s="5" t="s">
        <v>8</v>
      </c>
      <c r="F4124" s="6">
        <v>1034.5</v>
      </c>
      <c r="G4124" s="7">
        <f t="shared" si="503"/>
        <v>1.06036732721121</v>
      </c>
    </row>
    <row r="4125" ht="77.5" spans="1:7">
      <c r="A4125" s="14">
        <v>23.2</v>
      </c>
      <c r="B4125" s="15" t="s">
        <v>5632</v>
      </c>
      <c r="C4125" s="13"/>
      <c r="D4125" s="16"/>
      <c r="E4125" s="5" t="s">
        <v>8</v>
      </c>
    </row>
    <row r="4126" spans="1:7">
      <c r="A4126" s="14" t="s">
        <v>5633</v>
      </c>
      <c r="B4126" s="12" t="s">
        <v>5620</v>
      </c>
      <c r="C4126" s="13"/>
      <c r="D4126" s="16"/>
      <c r="E4126" s="5" t="s">
        <v>8</v>
      </c>
    </row>
    <row r="4127" spans="1:7">
      <c r="A4127" s="14" t="s">
        <v>5634</v>
      </c>
      <c r="B4127" s="12" t="s">
        <v>5622</v>
      </c>
      <c r="C4127" s="13" t="s">
        <v>39</v>
      </c>
      <c r="D4127" s="17">
        <v>825.7</v>
      </c>
      <c r="E4127" s="5" t="s">
        <v>8</v>
      </c>
      <c r="F4127" s="6">
        <v>432.45</v>
      </c>
      <c r="G4127" s="7">
        <f t="shared" ref="G4127:G4129" si="504">(D4127-F4127)/F4127</f>
        <v>0.909353682506648</v>
      </c>
    </row>
    <row r="4128" spans="1:7">
      <c r="A4128" s="14" t="s">
        <v>5635</v>
      </c>
      <c r="B4128" s="12" t="s">
        <v>5624</v>
      </c>
      <c r="C4128" s="13" t="s">
        <v>39</v>
      </c>
      <c r="D4128" s="17">
        <v>917.4</v>
      </c>
      <c r="E4128" s="5" t="s">
        <v>8</v>
      </c>
      <c r="F4128" s="6">
        <v>480.5</v>
      </c>
      <c r="G4128" s="7">
        <f t="shared" si="504"/>
        <v>0.909261186264308</v>
      </c>
    </row>
    <row r="4129" spans="1:7">
      <c r="A4129" s="14" t="s">
        <v>5636</v>
      </c>
      <c r="B4129" s="12" t="s">
        <v>5626</v>
      </c>
      <c r="C4129" s="13" t="s">
        <v>39</v>
      </c>
      <c r="D4129" s="17">
        <v>1238.5</v>
      </c>
      <c r="E4129" s="5" t="s">
        <v>8</v>
      </c>
      <c r="F4129" s="6">
        <v>648.7</v>
      </c>
      <c r="G4129" s="7">
        <f t="shared" si="504"/>
        <v>0.90920302142747</v>
      </c>
    </row>
    <row r="4130" spans="1:7">
      <c r="A4130" s="14" t="s">
        <v>5637</v>
      </c>
      <c r="B4130" s="12" t="s">
        <v>5628</v>
      </c>
      <c r="C4130" s="13"/>
      <c r="D4130" s="16"/>
      <c r="E4130" s="5" t="s">
        <v>8</v>
      </c>
    </row>
    <row r="4131" spans="1:7">
      <c r="A4131" s="14" t="s">
        <v>5638</v>
      </c>
      <c r="B4131" s="12" t="s">
        <v>5622</v>
      </c>
      <c r="C4131" s="13" t="s">
        <v>39</v>
      </c>
      <c r="D4131" s="17">
        <v>1870.6</v>
      </c>
      <c r="E4131" s="5" t="s">
        <v>8</v>
      </c>
      <c r="F4131" s="6">
        <v>927.1</v>
      </c>
      <c r="G4131" s="7">
        <f t="shared" ref="G4131:G4133" si="505">(D4131-F4131)/F4131</f>
        <v>1.01768956962571</v>
      </c>
    </row>
    <row r="4132" spans="1:7">
      <c r="A4132" s="14" t="s">
        <v>5639</v>
      </c>
      <c r="B4132" s="12" t="s">
        <v>5624</v>
      </c>
      <c r="C4132" s="13" t="s">
        <v>39</v>
      </c>
      <c r="D4132" s="17">
        <v>1955.6</v>
      </c>
      <c r="E4132" s="5" t="s">
        <v>8</v>
      </c>
      <c r="F4132" s="6">
        <v>962.2</v>
      </c>
      <c r="G4132" s="7">
        <f t="shared" si="505"/>
        <v>1.03242569112451</v>
      </c>
    </row>
    <row r="4133" spans="1:7">
      <c r="A4133" s="14" t="s">
        <v>5640</v>
      </c>
      <c r="B4133" s="12" t="s">
        <v>5626</v>
      </c>
      <c r="C4133" s="13" t="s">
        <v>39</v>
      </c>
      <c r="D4133" s="17">
        <v>2496.55</v>
      </c>
      <c r="E4133" s="5" t="s">
        <v>8</v>
      </c>
      <c r="F4133" s="6">
        <v>1218.55</v>
      </c>
      <c r="G4133" s="7">
        <f t="shared" si="505"/>
        <v>1.04878749333224</v>
      </c>
    </row>
    <row r="4134" ht="62" spans="1:7">
      <c r="A4134" s="14">
        <v>23.3</v>
      </c>
      <c r="B4134" s="15" t="s">
        <v>5641</v>
      </c>
      <c r="C4134" s="13"/>
      <c r="D4134" s="16"/>
      <c r="E4134" s="5" t="s">
        <v>8</v>
      </c>
    </row>
    <row r="4135" spans="1:7">
      <c r="A4135" s="14" t="s">
        <v>5642</v>
      </c>
      <c r="B4135" s="12" t="s">
        <v>5643</v>
      </c>
      <c r="C4135" s="13" t="s">
        <v>39</v>
      </c>
      <c r="D4135" s="17">
        <v>672.3</v>
      </c>
      <c r="E4135" s="5" t="s">
        <v>8</v>
      </c>
      <c r="F4135" s="6">
        <v>289.85</v>
      </c>
      <c r="G4135" s="7">
        <f t="shared" ref="G4135:G4137" si="506">(D4135-F4135)/F4135</f>
        <v>1.31947559082284</v>
      </c>
    </row>
    <row r="4136" spans="1:7">
      <c r="A4136" s="14" t="s">
        <v>5644</v>
      </c>
      <c r="B4136" s="12" t="s">
        <v>5645</v>
      </c>
      <c r="C4136" s="13" t="s">
        <v>39</v>
      </c>
      <c r="D4136" s="17">
        <v>793.25</v>
      </c>
      <c r="E4136" s="5" t="s">
        <v>8</v>
      </c>
      <c r="F4136" s="6">
        <v>572.3</v>
      </c>
      <c r="G4136" s="7">
        <f t="shared" si="506"/>
        <v>0.386073737550236</v>
      </c>
    </row>
    <row r="4137" spans="1:7">
      <c r="A4137" s="14" t="s">
        <v>5646</v>
      </c>
      <c r="B4137" s="12" t="s">
        <v>5647</v>
      </c>
      <c r="C4137" s="13" t="s">
        <v>39</v>
      </c>
      <c r="D4137" s="17">
        <v>1113.35</v>
      </c>
      <c r="E4137" s="5" t="s">
        <v>8</v>
      </c>
      <c r="F4137" s="6">
        <v>610.65</v>
      </c>
      <c r="G4137" s="7">
        <f t="shared" si="506"/>
        <v>0.82322115778269</v>
      </c>
    </row>
    <row r="4138" ht="62" spans="1:7">
      <c r="A4138" s="14">
        <v>23.4</v>
      </c>
      <c r="B4138" s="15" t="s">
        <v>5648</v>
      </c>
      <c r="C4138" s="13"/>
      <c r="D4138" s="16"/>
      <c r="E4138" s="5" t="s">
        <v>8</v>
      </c>
    </row>
    <row r="4139" spans="1:7">
      <c r="A4139" s="14" t="s">
        <v>5649</v>
      </c>
      <c r="B4139" s="12" t="s">
        <v>5643</v>
      </c>
      <c r="C4139" s="13" t="s">
        <v>39</v>
      </c>
      <c r="D4139" s="17">
        <v>686.55</v>
      </c>
      <c r="E4139" s="5" t="s">
        <v>8</v>
      </c>
      <c r="F4139" s="6">
        <v>448.05</v>
      </c>
      <c r="G4139" s="7">
        <f t="shared" ref="G4139:G4146" si="507">(D4139-F4139)/F4139</f>
        <v>0.532306662202879</v>
      </c>
    </row>
    <row r="4140" spans="1:7">
      <c r="A4140" s="14" t="s">
        <v>5650</v>
      </c>
      <c r="B4140" s="12" t="s">
        <v>5645</v>
      </c>
      <c r="C4140" s="13" t="s">
        <v>39</v>
      </c>
      <c r="D4140" s="17">
        <v>807.45</v>
      </c>
      <c r="E4140" s="5" t="s">
        <v>8</v>
      </c>
      <c r="F4140" s="6">
        <v>529.35</v>
      </c>
      <c r="G4140" s="7">
        <f t="shared" si="507"/>
        <v>0.525361292150751</v>
      </c>
    </row>
    <row r="4141" spans="1:7">
      <c r="A4141" s="14" t="s">
        <v>5651</v>
      </c>
      <c r="B4141" s="12" t="s">
        <v>5647</v>
      </c>
      <c r="C4141" s="13" t="s">
        <v>39</v>
      </c>
      <c r="D4141" s="17">
        <v>1255.7</v>
      </c>
      <c r="E4141" s="5" t="s">
        <v>8</v>
      </c>
      <c r="F4141" s="6">
        <v>821.15</v>
      </c>
      <c r="G4141" s="7">
        <f t="shared" si="507"/>
        <v>0.529196858064909</v>
      </c>
    </row>
    <row r="4142" ht="46.5" spans="1:7">
      <c r="A4142" s="14">
        <v>23.5</v>
      </c>
      <c r="B4142" s="15" t="s">
        <v>5652</v>
      </c>
      <c r="C4142" s="13" t="s">
        <v>14</v>
      </c>
      <c r="D4142" s="17">
        <v>1509.8</v>
      </c>
      <c r="E4142" s="5" t="s">
        <v>8</v>
      </c>
      <c r="F4142" s="6">
        <v>921.9</v>
      </c>
      <c r="G4142" s="7">
        <f t="shared" si="507"/>
        <v>0.637704740210435</v>
      </c>
    </row>
    <row r="4143" ht="46.5" spans="1:7">
      <c r="A4143" s="14">
        <v>23.6</v>
      </c>
      <c r="B4143" s="15" t="s">
        <v>5653</v>
      </c>
      <c r="C4143" s="13" t="s">
        <v>14</v>
      </c>
      <c r="D4143" s="17">
        <v>1538.25</v>
      </c>
      <c r="E4143" s="5" t="s">
        <v>8</v>
      </c>
      <c r="F4143" s="6">
        <v>1038.05</v>
      </c>
      <c r="G4143" s="7">
        <f t="shared" si="507"/>
        <v>0.481865035402919</v>
      </c>
    </row>
    <row r="4144" ht="46.5" spans="1:7">
      <c r="A4144" s="14">
        <v>23.7</v>
      </c>
      <c r="B4144" s="15" t="s">
        <v>5654</v>
      </c>
      <c r="C4144" s="13" t="s">
        <v>14</v>
      </c>
      <c r="D4144" s="17">
        <v>1538.25</v>
      </c>
      <c r="E4144" s="5" t="s">
        <v>8</v>
      </c>
      <c r="F4144" s="6">
        <v>1038.05</v>
      </c>
      <c r="G4144" s="7">
        <f t="shared" si="507"/>
        <v>0.481865035402919</v>
      </c>
    </row>
    <row r="4145" ht="46.5" spans="1:7">
      <c r="A4145" s="14">
        <v>23.8</v>
      </c>
      <c r="B4145" s="15" t="s">
        <v>5655</v>
      </c>
      <c r="C4145" s="13" t="s">
        <v>14</v>
      </c>
      <c r="D4145" s="17">
        <v>2024.5</v>
      </c>
      <c r="E4145" s="5" t="s">
        <v>8</v>
      </c>
      <c r="F4145" s="6">
        <v>1175.8</v>
      </c>
      <c r="G4145" s="7">
        <f t="shared" si="507"/>
        <v>0.721806429664909</v>
      </c>
    </row>
    <row r="4146" ht="77.5" spans="1:7">
      <c r="A4146" s="14">
        <v>23.9</v>
      </c>
      <c r="B4146" s="15" t="s">
        <v>5656</v>
      </c>
      <c r="C4146" s="13" t="s">
        <v>126</v>
      </c>
      <c r="D4146" s="17">
        <v>1399.95</v>
      </c>
      <c r="E4146" s="5" t="s">
        <v>8</v>
      </c>
      <c r="F4146" s="6">
        <v>959.35</v>
      </c>
      <c r="G4146" s="7">
        <f t="shared" si="507"/>
        <v>0.459269296919789</v>
      </c>
    </row>
    <row r="4147" ht="93" spans="1:7">
      <c r="A4147" s="18">
        <v>23.1</v>
      </c>
      <c r="B4147" s="15" t="s">
        <v>5657</v>
      </c>
      <c r="C4147" s="13"/>
      <c r="D4147" s="16"/>
      <c r="E4147" s="5" t="s">
        <v>8</v>
      </c>
    </row>
    <row r="4148" spans="1:7">
      <c r="A4148" s="14" t="s">
        <v>5658</v>
      </c>
      <c r="B4148" s="12" t="s">
        <v>5659</v>
      </c>
      <c r="C4148" s="13" t="s">
        <v>39</v>
      </c>
      <c r="D4148" s="17">
        <v>1359.25</v>
      </c>
      <c r="E4148" s="5" t="s">
        <v>8</v>
      </c>
      <c r="F4148" s="6">
        <v>890.1</v>
      </c>
      <c r="G4148" s="7">
        <f t="shared" ref="G4148:G4150" si="508">(D4148-F4148)/F4148</f>
        <v>0.527075609482081</v>
      </c>
    </row>
    <row r="4149" spans="1:7">
      <c r="A4149" s="14" t="s">
        <v>5660</v>
      </c>
      <c r="B4149" s="12" t="s">
        <v>5661</v>
      </c>
      <c r="C4149" s="13" t="s">
        <v>39</v>
      </c>
      <c r="D4149" s="17">
        <v>1972.25</v>
      </c>
      <c r="E4149" s="5" t="s">
        <v>8</v>
      </c>
      <c r="F4149" s="6">
        <v>1210.6</v>
      </c>
      <c r="G4149" s="7">
        <f t="shared" si="508"/>
        <v>0.629150834297043</v>
      </c>
    </row>
    <row r="4150" spans="1:7">
      <c r="A4150" s="14" t="s">
        <v>5662</v>
      </c>
      <c r="B4150" s="12" t="s">
        <v>5663</v>
      </c>
      <c r="C4150" s="13" t="s">
        <v>39</v>
      </c>
      <c r="D4150" s="17">
        <v>2442.75</v>
      </c>
      <c r="E4150" s="5" t="s">
        <v>8</v>
      </c>
      <c r="F4150" s="6">
        <v>1525.9</v>
      </c>
      <c r="G4150" s="7">
        <f t="shared" si="508"/>
        <v>0.600858509731961</v>
      </c>
    </row>
    <row r="4151" ht="108.5" spans="1:7">
      <c r="A4151" s="18">
        <v>23.11</v>
      </c>
      <c r="B4151" s="15" t="s">
        <v>5664</v>
      </c>
      <c r="C4151" s="13"/>
      <c r="D4151" s="16"/>
      <c r="E4151" s="5" t="s">
        <v>8</v>
      </c>
    </row>
    <row r="4152" spans="1:7">
      <c r="A4152" s="14" t="s">
        <v>5665</v>
      </c>
      <c r="B4152" s="12" t="s">
        <v>5643</v>
      </c>
      <c r="C4152" s="13" t="s">
        <v>39</v>
      </c>
      <c r="D4152" s="17">
        <v>1456.8</v>
      </c>
      <c r="E4152" s="5" t="s">
        <v>8</v>
      </c>
      <c r="F4152" s="6">
        <v>950.75</v>
      </c>
      <c r="G4152" s="7">
        <f t="shared" ref="G4152:G4155" si="509">(D4152-F4152)/F4152</f>
        <v>0.532264002103602</v>
      </c>
    </row>
    <row r="4153" spans="1:7">
      <c r="A4153" s="14" t="s">
        <v>5666</v>
      </c>
      <c r="B4153" s="12" t="s">
        <v>5645</v>
      </c>
      <c r="C4153" s="13" t="s">
        <v>39</v>
      </c>
      <c r="D4153" s="17">
        <v>2102.25</v>
      </c>
      <c r="E4153" s="5" t="s">
        <v>8</v>
      </c>
      <c r="F4153" s="6">
        <v>1291.5</v>
      </c>
      <c r="G4153" s="7">
        <f t="shared" si="509"/>
        <v>0.627758420441347</v>
      </c>
    </row>
    <row r="4154" spans="1:7">
      <c r="A4154" s="14" t="s">
        <v>5667</v>
      </c>
      <c r="B4154" s="12" t="s">
        <v>5647</v>
      </c>
      <c r="C4154" s="13" t="s">
        <v>39</v>
      </c>
      <c r="D4154" s="17">
        <v>2571.05</v>
      </c>
      <c r="E4154" s="5" t="s">
        <v>8</v>
      </c>
      <c r="F4154" s="6">
        <v>1607.5</v>
      </c>
      <c r="G4154" s="7">
        <f t="shared" si="509"/>
        <v>0.599409020217729</v>
      </c>
    </row>
    <row r="4155" ht="124" spans="1:7">
      <c r="A4155" s="18">
        <v>23.12</v>
      </c>
      <c r="B4155" s="15" t="s">
        <v>5668</v>
      </c>
      <c r="C4155" s="13" t="s">
        <v>5669</v>
      </c>
      <c r="D4155" s="17">
        <v>1085.05</v>
      </c>
      <c r="E4155" s="5" t="s">
        <v>8</v>
      </c>
      <c r="F4155" s="6">
        <v>542.2</v>
      </c>
      <c r="G4155" s="7">
        <f t="shared" si="509"/>
        <v>1.00119881962375</v>
      </c>
    </row>
    <row r="4156" ht="31" spans="1:7">
      <c r="A4156" s="18">
        <v>23.13</v>
      </c>
      <c r="B4156" s="15" t="s">
        <v>5670</v>
      </c>
      <c r="C4156" s="13"/>
      <c r="D4156" s="16"/>
      <c r="E4156" s="5" t="s">
        <v>8</v>
      </c>
    </row>
    <row r="4157" spans="1:7">
      <c r="A4157" s="14" t="s">
        <v>5671</v>
      </c>
      <c r="B4157" s="12" t="s">
        <v>3618</v>
      </c>
      <c r="C4157" s="13" t="s">
        <v>126</v>
      </c>
      <c r="D4157" s="17">
        <v>224.1</v>
      </c>
      <c r="E4157" s="5" t="s">
        <v>8</v>
      </c>
      <c r="F4157" s="6">
        <v>146.35</v>
      </c>
      <c r="G4157" s="7">
        <f t="shared" ref="G4157:G4159" si="510">(D4157-F4157)/F4157</f>
        <v>0.53126067646054</v>
      </c>
    </row>
    <row r="4158" spans="1:7">
      <c r="A4158" s="14" t="s">
        <v>5672</v>
      </c>
      <c r="B4158" s="12" t="s">
        <v>4369</v>
      </c>
      <c r="C4158" s="13" t="s">
        <v>126</v>
      </c>
      <c r="D4158" s="17">
        <v>246.45</v>
      </c>
      <c r="E4158" s="5" t="s">
        <v>8</v>
      </c>
      <c r="F4158" s="6">
        <v>182.95</v>
      </c>
      <c r="G4158" s="7">
        <f t="shared" si="510"/>
        <v>0.347089368679967</v>
      </c>
    </row>
    <row r="4159" spans="1:7">
      <c r="A4159" s="14" t="s">
        <v>5673</v>
      </c>
      <c r="B4159" s="12" t="s">
        <v>4371</v>
      </c>
      <c r="C4159" s="13" t="s">
        <v>126</v>
      </c>
      <c r="D4159" s="17">
        <v>321.15</v>
      </c>
      <c r="E4159" s="5" t="s">
        <v>8</v>
      </c>
      <c r="F4159" s="6">
        <v>231.75</v>
      </c>
      <c r="G4159" s="7">
        <f t="shared" si="510"/>
        <v>0.385760517799353</v>
      </c>
    </row>
    <row r="4160" ht="46.5" spans="1:7">
      <c r="A4160" s="18">
        <v>23.14</v>
      </c>
      <c r="B4160" s="15" t="s">
        <v>5674</v>
      </c>
      <c r="C4160" s="13"/>
      <c r="D4160" s="16"/>
      <c r="E4160" s="5" t="s">
        <v>8</v>
      </c>
    </row>
    <row r="4161" spans="1:7">
      <c r="A4161" s="14" t="s">
        <v>5675</v>
      </c>
      <c r="B4161" s="12" t="s">
        <v>5676</v>
      </c>
      <c r="C4161" s="13" t="s">
        <v>126</v>
      </c>
      <c r="D4161" s="17">
        <v>1911.4</v>
      </c>
      <c r="E4161" s="5" t="s">
        <v>8</v>
      </c>
      <c r="F4161" s="6">
        <v>962.05</v>
      </c>
      <c r="G4161" s="7">
        <f t="shared" ref="G4161:G4163" si="511">(D4161-F4161)/F4161</f>
        <v>0.986799022919807</v>
      </c>
    </row>
    <row r="4162" spans="1:7">
      <c r="A4162" s="14" t="s">
        <v>5677</v>
      </c>
      <c r="B4162" s="12" t="s">
        <v>5678</v>
      </c>
      <c r="C4162" s="13" t="s">
        <v>126</v>
      </c>
      <c r="D4162" s="17">
        <v>2019.05</v>
      </c>
      <c r="E4162" s="5" t="s">
        <v>8</v>
      </c>
      <c r="F4162" s="6">
        <v>1017.7</v>
      </c>
      <c r="G4162" s="7">
        <f t="shared" si="511"/>
        <v>0.983934361796207</v>
      </c>
    </row>
    <row r="4163" spans="1:7">
      <c r="A4163" s="14" t="s">
        <v>5679</v>
      </c>
      <c r="B4163" s="12" t="s">
        <v>5680</v>
      </c>
      <c r="C4163" s="13" t="s">
        <v>126</v>
      </c>
      <c r="D4163" s="17">
        <v>2293.65</v>
      </c>
      <c r="E4163" s="5" t="s">
        <v>8</v>
      </c>
      <c r="F4163" s="6">
        <v>1154.45</v>
      </c>
      <c r="G4163" s="7">
        <f t="shared" si="511"/>
        <v>0.986790246437698</v>
      </c>
    </row>
    <row r="4164" ht="31" spans="1:7">
      <c r="A4164" s="18">
        <v>23.15</v>
      </c>
      <c r="B4164" s="15" t="s">
        <v>5681</v>
      </c>
      <c r="C4164" s="13"/>
      <c r="D4164" s="16"/>
      <c r="E4164" s="5" t="s">
        <v>8</v>
      </c>
    </row>
    <row r="4165" spans="1:7">
      <c r="A4165" s="14" t="s">
        <v>5682</v>
      </c>
      <c r="B4165" s="12" t="s">
        <v>3618</v>
      </c>
      <c r="C4165" s="13" t="s">
        <v>126</v>
      </c>
      <c r="D4165" s="17">
        <v>265.1</v>
      </c>
      <c r="E4165" s="5" t="s">
        <v>8</v>
      </c>
      <c r="F4165" s="6">
        <v>184.3</v>
      </c>
      <c r="G4165" s="7">
        <f t="shared" ref="G4165:G4167" si="512">(D4165-F4165)/F4165</f>
        <v>0.438415626695605</v>
      </c>
    </row>
    <row r="4166" spans="1:7">
      <c r="A4166" s="14" t="s">
        <v>5683</v>
      </c>
      <c r="B4166" s="12" t="s">
        <v>4369</v>
      </c>
      <c r="C4166" s="13" t="s">
        <v>126</v>
      </c>
      <c r="D4166" s="17">
        <v>322</v>
      </c>
      <c r="E4166" s="5" t="s">
        <v>8</v>
      </c>
      <c r="F4166" s="6">
        <v>230.75</v>
      </c>
      <c r="G4166" s="7">
        <f t="shared" si="512"/>
        <v>0.395449620801733</v>
      </c>
    </row>
    <row r="4167" spans="1:7">
      <c r="A4167" s="14" t="s">
        <v>5684</v>
      </c>
      <c r="B4167" s="12" t="s">
        <v>4371</v>
      </c>
      <c r="C4167" s="13" t="s">
        <v>126</v>
      </c>
      <c r="D4167" s="17">
        <v>357.6</v>
      </c>
      <c r="E4167" s="5" t="s">
        <v>8</v>
      </c>
      <c r="F4167" s="6">
        <v>253.95</v>
      </c>
      <c r="G4167" s="7">
        <f t="shared" si="512"/>
        <v>0.408151210868281</v>
      </c>
    </row>
    <row r="4173" ht="31" spans="1:7">
      <c r="A4173" s="5" t="s">
        <v>5685</v>
      </c>
      <c r="C4173" s="5"/>
      <c r="D4173" s="5"/>
      <c r="E4173" s="5" t="s">
        <v>8</v>
      </c>
    </row>
    <row r="4174" spans="1:7">
      <c r="A4174" s="14" t="s">
        <v>166</v>
      </c>
      <c r="B4174" s="15" t="s">
        <v>2</v>
      </c>
      <c r="C4174" s="13" t="s">
        <v>167</v>
      </c>
      <c r="D4174" s="16" t="s">
        <v>4</v>
      </c>
      <c r="E4174" s="5" t="s">
        <v>8</v>
      </c>
    </row>
    <row r="4175" ht="62" spans="1:7">
      <c r="A4175" s="14">
        <v>24.1</v>
      </c>
      <c r="B4175" s="15" t="s">
        <v>5686</v>
      </c>
      <c r="C4175" s="13" t="s">
        <v>11</v>
      </c>
      <c r="D4175" s="17">
        <v>72.45</v>
      </c>
      <c r="E4175" s="5" t="s">
        <v>8</v>
      </c>
      <c r="F4175" s="6">
        <v>29.65</v>
      </c>
      <c r="G4175" s="7">
        <f t="shared" ref="G4175:G4183" si="513">(D4175-F4175)/F4175</f>
        <v>1.44350758853288</v>
      </c>
    </row>
    <row r="4176" ht="170.5" spans="1:7">
      <c r="A4176" s="14">
        <v>24.2</v>
      </c>
      <c r="B4176" s="15" t="s">
        <v>5687</v>
      </c>
      <c r="C4176" s="13"/>
      <c r="D4176" s="17"/>
      <c r="E4176" s="5" t="s">
        <v>8</v>
      </c>
    </row>
    <row r="4177" ht="31" spans="1:7">
      <c r="A4177" s="14"/>
      <c r="B4177" s="15" t="s">
        <v>5688</v>
      </c>
      <c r="C4177" s="13" t="s">
        <v>11</v>
      </c>
      <c r="D4177" s="17">
        <v>338.25</v>
      </c>
      <c r="E4177" s="5" t="s">
        <v>8</v>
      </c>
      <c r="F4177" s="6">
        <v>160.1</v>
      </c>
      <c r="G4177" s="7">
        <f t="shared" si="513"/>
        <v>1.11274203622736</v>
      </c>
    </row>
    <row r="4178" ht="186" spans="1:7">
      <c r="A4178" s="14">
        <v>24.3</v>
      </c>
      <c r="B4178" s="15" t="s">
        <v>5689</v>
      </c>
      <c r="C4178" s="13" t="s">
        <v>11</v>
      </c>
      <c r="D4178" s="17">
        <v>211.05</v>
      </c>
      <c r="E4178" s="5" t="s">
        <v>8</v>
      </c>
      <c r="F4178" s="6">
        <v>90.7</v>
      </c>
      <c r="G4178" s="7">
        <f t="shared" si="513"/>
        <v>1.32690187431092</v>
      </c>
    </row>
    <row r="4179" ht="62" spans="1:7">
      <c r="A4179" s="14">
        <v>24.4</v>
      </c>
      <c r="B4179" s="15" t="s">
        <v>5690</v>
      </c>
      <c r="C4179" s="13" t="s">
        <v>11</v>
      </c>
      <c r="D4179" s="17">
        <v>77.9</v>
      </c>
      <c r="E4179" s="5" t="s">
        <v>8</v>
      </c>
      <c r="F4179" s="6">
        <v>36.9</v>
      </c>
      <c r="G4179" s="7">
        <f t="shared" si="513"/>
        <v>1.11111111111111</v>
      </c>
    </row>
    <row r="4180" ht="62" spans="1:7">
      <c r="A4180" s="14">
        <v>24.5</v>
      </c>
      <c r="B4180" s="15" t="s">
        <v>5691</v>
      </c>
      <c r="C4180" s="13" t="s">
        <v>11</v>
      </c>
      <c r="D4180" s="17">
        <v>374.3</v>
      </c>
      <c r="E4180" s="5" t="s">
        <v>8</v>
      </c>
      <c r="F4180" s="6">
        <v>159.7</v>
      </c>
      <c r="G4180" s="7">
        <f t="shared" si="513"/>
        <v>1.34376956793989</v>
      </c>
    </row>
    <row r="4181" ht="62" spans="1:7">
      <c r="A4181" s="14">
        <v>24.6</v>
      </c>
      <c r="B4181" s="15" t="s">
        <v>5692</v>
      </c>
      <c r="C4181" s="13" t="s">
        <v>11</v>
      </c>
      <c r="D4181" s="17">
        <v>374.3</v>
      </c>
      <c r="E4181" s="5" t="s">
        <v>8</v>
      </c>
      <c r="F4181" s="6">
        <v>159.7</v>
      </c>
      <c r="G4181" s="7">
        <f t="shared" si="513"/>
        <v>1.34376956793989</v>
      </c>
    </row>
    <row r="4182" ht="93" spans="1:7">
      <c r="A4182" s="14">
        <v>24.7</v>
      </c>
      <c r="B4182" s="15" t="s">
        <v>5693</v>
      </c>
      <c r="C4182" s="13" t="s">
        <v>11</v>
      </c>
      <c r="D4182" s="17">
        <v>329.05</v>
      </c>
      <c r="E4182" s="5" t="s">
        <v>8</v>
      </c>
      <c r="F4182" s="6">
        <v>267.8</v>
      </c>
      <c r="G4182" s="7">
        <f t="shared" si="513"/>
        <v>0.228715459297984</v>
      </c>
    </row>
    <row r="4183" ht="108.5" spans="1:7">
      <c r="A4183" s="14">
        <v>24.8</v>
      </c>
      <c r="B4183" s="15" t="s">
        <v>5694</v>
      </c>
      <c r="C4183" s="13" t="s">
        <v>11</v>
      </c>
      <c r="D4183" s="17">
        <v>109.9</v>
      </c>
      <c r="E4183" s="5" t="s">
        <v>8</v>
      </c>
      <c r="F4183" s="6">
        <v>55.15</v>
      </c>
      <c r="G4183" s="7">
        <f t="shared" si="513"/>
        <v>0.992747053490481</v>
      </c>
    </row>
    <row r="4184" spans="1:7">
      <c r="B4184" s="39"/>
      <c r="D4184" s="22"/>
    </row>
    <row r="4185" spans="1:7">
      <c r="B4185" s="39"/>
      <c r="D4185" s="22"/>
    </row>
    <row r="4186" spans="1:7">
      <c r="B4186" s="39"/>
      <c r="D4186" s="22"/>
    </row>
    <row r="4187" spans="1:7">
      <c r="B4187" s="39"/>
      <c r="D4187" s="22"/>
    </row>
    <row r="4188" spans="1:7">
      <c r="B4188" s="39"/>
      <c r="D4188" s="22"/>
    </row>
    <row r="4189" spans="1:7">
      <c r="B4189" s="39"/>
      <c r="D4189" s="22"/>
    </row>
    <row r="4190" spans="1:7">
      <c r="B4190" s="39"/>
      <c r="D4190" s="22"/>
    </row>
    <row r="4191" ht="46.5" spans="1:7">
      <c r="A4191" s="5" t="s">
        <v>5695</v>
      </c>
      <c r="C4191" s="5"/>
      <c r="D4191" s="5"/>
      <c r="E4191" s="5" t="s">
        <v>8</v>
      </c>
    </row>
    <row r="4192" spans="1:7">
      <c r="A4192" s="14" t="s">
        <v>166</v>
      </c>
      <c r="B4192" s="15" t="s">
        <v>2</v>
      </c>
      <c r="C4192" s="13" t="s">
        <v>167</v>
      </c>
      <c r="D4192" s="16" t="s">
        <v>4</v>
      </c>
      <c r="E4192" s="5" t="s">
        <v>8</v>
      </c>
    </row>
    <row r="4193" ht="124" spans="1:7">
      <c r="A4193" s="14">
        <v>25.1</v>
      </c>
      <c r="B4193" s="15" t="s">
        <v>5696</v>
      </c>
      <c r="C4193" s="13" t="s">
        <v>478</v>
      </c>
      <c r="D4193" s="17">
        <v>414.3</v>
      </c>
      <c r="E4193" s="5" t="s">
        <v>8</v>
      </c>
      <c r="F4193" s="6">
        <v>338.25</v>
      </c>
      <c r="G4193" s="7">
        <f>(D4193-F4193)/F4193</f>
        <v>0.224833702882483</v>
      </c>
    </row>
    <row r="4194" ht="46.5" spans="1:7">
      <c r="A4194" s="14">
        <v>25.2</v>
      </c>
      <c r="B4194" s="15" t="s">
        <v>5697</v>
      </c>
      <c r="C4194" s="13"/>
      <c r="D4194" s="16"/>
      <c r="E4194" s="5" t="s">
        <v>8</v>
      </c>
    </row>
    <row r="4195" ht="124" spans="1:7">
      <c r="A4195" s="14"/>
      <c r="B4195" s="15" t="s">
        <v>5698</v>
      </c>
      <c r="C4195" s="13"/>
      <c r="D4195" s="16"/>
      <c r="E4195" s="5" t="s">
        <v>8</v>
      </c>
    </row>
    <row r="4196" ht="108.5" spans="1:7">
      <c r="A4196" s="14"/>
      <c r="B4196" s="15" t="s">
        <v>5699</v>
      </c>
      <c r="C4196" s="13"/>
      <c r="D4196" s="16"/>
      <c r="E4196" s="5" t="s">
        <v>8</v>
      </c>
    </row>
    <row r="4197" ht="93" spans="1:7">
      <c r="A4197" s="14"/>
      <c r="B4197" s="15" t="s">
        <v>5700</v>
      </c>
      <c r="C4197" s="13"/>
      <c r="D4197" s="16"/>
      <c r="E4197" s="5" t="s">
        <v>8</v>
      </c>
    </row>
    <row r="4198" ht="46.5" spans="1:7">
      <c r="A4198" s="14"/>
      <c r="B4198" s="15" t="s">
        <v>5701</v>
      </c>
      <c r="C4198" s="13"/>
      <c r="D4198" s="16"/>
      <c r="E4198" s="5" t="s">
        <v>8</v>
      </c>
    </row>
    <row r="4199" ht="248" spans="1:7">
      <c r="A4199" s="14"/>
      <c r="B4199" s="15" t="s">
        <v>5702</v>
      </c>
      <c r="C4199" s="13"/>
      <c r="D4199" s="16"/>
      <c r="E4199" s="5" t="s">
        <v>8</v>
      </c>
    </row>
    <row r="4200" ht="93" spans="1:7">
      <c r="A4200" s="14"/>
      <c r="B4200" s="15" t="s">
        <v>5703</v>
      </c>
      <c r="C4200" s="13"/>
      <c r="D4200" s="16"/>
      <c r="E4200" s="5" t="s">
        <v>8</v>
      </c>
    </row>
    <row r="4201" ht="62" spans="1:7">
      <c r="A4201" s="14"/>
      <c r="B4201" s="15" t="s">
        <v>5704</v>
      </c>
      <c r="C4201" s="13"/>
      <c r="D4201" s="16"/>
      <c r="E4201" s="5" t="s">
        <v>8</v>
      </c>
    </row>
    <row r="4202" ht="77.5" spans="1:7">
      <c r="A4202" s="14"/>
      <c r="B4202" s="15" t="s">
        <v>5705</v>
      </c>
      <c r="C4202" s="13"/>
      <c r="D4202" s="16"/>
      <c r="E4202" s="5" t="s">
        <v>8</v>
      </c>
    </row>
    <row r="4203" ht="31" spans="1:7">
      <c r="A4203" s="14"/>
      <c r="B4203" s="15" t="s">
        <v>5706</v>
      </c>
      <c r="C4203" s="13"/>
      <c r="D4203" s="16"/>
      <c r="E4203" s="5" t="s">
        <v>8</v>
      </c>
    </row>
    <row r="4204" ht="31" spans="1:7">
      <c r="A4204" s="14"/>
      <c r="B4204" s="15" t="s">
        <v>5707</v>
      </c>
      <c r="C4204" s="13"/>
      <c r="D4204" s="16"/>
      <c r="E4204" s="5" t="s">
        <v>8</v>
      </c>
    </row>
    <row r="4205" ht="31" spans="1:7">
      <c r="A4205" s="14"/>
      <c r="B4205" s="15" t="s">
        <v>5708</v>
      </c>
      <c r="C4205" s="13"/>
      <c r="D4205" s="16"/>
      <c r="E4205" s="5" t="s">
        <v>8</v>
      </c>
    </row>
    <row r="4206" ht="46.5" spans="1:7">
      <c r="A4206" s="14"/>
      <c r="B4206" s="15" t="s">
        <v>5709</v>
      </c>
      <c r="C4206" s="13"/>
      <c r="D4206" s="16"/>
      <c r="E4206" s="5" t="s">
        <v>8</v>
      </c>
    </row>
    <row r="4207" ht="31" spans="1:7">
      <c r="A4207" s="14"/>
      <c r="B4207" s="15" t="s">
        <v>5710</v>
      </c>
      <c r="C4207" s="13"/>
      <c r="D4207" s="16"/>
      <c r="E4207" s="5" t="s">
        <v>8</v>
      </c>
    </row>
    <row r="4208" ht="31" spans="1:7">
      <c r="A4208" s="14"/>
      <c r="B4208" s="15" t="s">
        <v>5711</v>
      </c>
      <c r="C4208" s="13" t="s">
        <v>11</v>
      </c>
      <c r="D4208" s="17">
        <v>3510.5</v>
      </c>
      <c r="E4208" s="5" t="s">
        <v>8</v>
      </c>
      <c r="F4208" s="6">
        <v>2409.9</v>
      </c>
      <c r="G4208" s="7">
        <f t="shared" ref="G4208:G4214" si="514">(D4208-F4208)/F4208</f>
        <v>0.45669944810988</v>
      </c>
    </row>
    <row r="4209" ht="155" spans="1:7">
      <c r="A4209" s="14">
        <v>25.3</v>
      </c>
      <c r="B4209" s="15" t="s">
        <v>5712</v>
      </c>
      <c r="C4209" s="13"/>
      <c r="D4209" s="16"/>
      <c r="E4209" s="5" t="s">
        <v>8</v>
      </c>
    </row>
    <row r="4210" spans="1:7">
      <c r="A4210" s="14"/>
      <c r="B4210" s="15" t="s">
        <v>5713</v>
      </c>
      <c r="C4210" s="13"/>
      <c r="D4210" s="16"/>
      <c r="E4210" s="5" t="s">
        <v>8</v>
      </c>
    </row>
    <row r="4211" ht="46.5" spans="1:7">
      <c r="A4211" s="14"/>
      <c r="B4211" s="15" t="s">
        <v>5714</v>
      </c>
      <c r="C4211" s="13"/>
      <c r="D4211" s="16"/>
      <c r="E4211" s="5" t="s">
        <v>8</v>
      </c>
    </row>
    <row r="4212" ht="93" spans="1:7">
      <c r="A4212" s="14"/>
      <c r="B4212" s="15" t="s">
        <v>5715</v>
      </c>
      <c r="C4212" s="13" t="s">
        <v>11</v>
      </c>
      <c r="D4212" s="17">
        <v>3718.7</v>
      </c>
      <c r="E4212" s="5" t="s">
        <v>8</v>
      </c>
      <c r="F4212" s="6">
        <v>3730.7</v>
      </c>
      <c r="G4212" s="7">
        <f t="shared" si="514"/>
        <v>-0.00321655453400166</v>
      </c>
    </row>
    <row r="4213" ht="108.5" spans="1:7">
      <c r="A4213" s="14">
        <v>25.4</v>
      </c>
      <c r="B4213" s="15" t="s">
        <v>5716</v>
      </c>
      <c r="C4213" s="13" t="s">
        <v>11</v>
      </c>
      <c r="D4213" s="17">
        <v>3671.5</v>
      </c>
      <c r="E4213" s="5" t="s">
        <v>8</v>
      </c>
      <c r="F4213" s="6">
        <v>2941.6</v>
      </c>
      <c r="G4213" s="7">
        <f t="shared" si="514"/>
        <v>0.248130269241229</v>
      </c>
    </row>
    <row r="4214" ht="139.5" spans="1:7">
      <c r="A4214" s="14">
        <v>25.5</v>
      </c>
      <c r="B4214" s="15" t="s">
        <v>5717</v>
      </c>
      <c r="C4214" s="13" t="s">
        <v>11</v>
      </c>
      <c r="D4214" s="17">
        <v>2159.65</v>
      </c>
      <c r="E4214" s="5" t="s">
        <v>8</v>
      </c>
      <c r="F4214" s="6">
        <v>1542.6</v>
      </c>
      <c r="G4214" s="7">
        <f t="shared" si="514"/>
        <v>0.400006482561909</v>
      </c>
    </row>
    <row r="4215" ht="93" spans="1:7">
      <c r="A4215" s="14">
        <v>25.6</v>
      </c>
      <c r="B4215" s="15" t="s">
        <v>5718</v>
      </c>
      <c r="C4215" s="13"/>
      <c r="D4215" s="16"/>
      <c r="E4215" s="5" t="s">
        <v>8</v>
      </c>
    </row>
    <row r="4216" ht="139.5" spans="1:7">
      <c r="A4216" s="14"/>
      <c r="B4216" s="15" t="s">
        <v>5719</v>
      </c>
      <c r="C4216" s="13" t="s">
        <v>11</v>
      </c>
      <c r="D4216" s="17">
        <v>2450.15</v>
      </c>
      <c r="E4216" s="5" t="s">
        <v>8</v>
      </c>
      <c r="F4216" s="6">
        <v>2798.7</v>
      </c>
      <c r="G4216" s="7">
        <f>(D4216-F4216)/F4216</f>
        <v>-0.124539964983742</v>
      </c>
    </row>
    <row r="4217" ht="201.5" spans="1:7">
      <c r="A4217" s="14">
        <v>25.8</v>
      </c>
      <c r="B4217" s="15" t="s">
        <v>5720</v>
      </c>
      <c r="C4217" s="13"/>
      <c r="D4217" s="16"/>
      <c r="E4217" s="5" t="s">
        <v>8</v>
      </c>
    </row>
    <row r="4218" ht="93" spans="1:7">
      <c r="A4218" s="14"/>
      <c r="B4218" s="15" t="s">
        <v>5721</v>
      </c>
      <c r="C4218" s="13" t="s">
        <v>11</v>
      </c>
      <c r="D4218" s="17">
        <v>9502.35</v>
      </c>
      <c r="E4218" s="5" t="s">
        <v>8</v>
      </c>
      <c r="F4218" s="6">
        <v>6928.55</v>
      </c>
      <c r="G4218" s="7">
        <f>(D4218-F4218)/F4218</f>
        <v>0.371477437559085</v>
      </c>
    </row>
    <row r="4219" spans="1:7">
      <c r="B4219" s="39"/>
      <c r="D4219" s="22"/>
    </row>
    <row r="4220" spans="1:7">
      <c r="B4220" s="39"/>
      <c r="D4220" s="22"/>
    </row>
    <row r="4221" spans="1:7">
      <c r="B4221" s="39"/>
      <c r="D4221" s="22"/>
    </row>
    <row r="4222" spans="1:7">
      <c r="B4222" s="39"/>
      <c r="D4222" s="22"/>
    </row>
    <row r="4223" spans="1:7">
      <c r="B4223" s="39"/>
      <c r="D4223" s="22"/>
    </row>
    <row r="4224" spans="1:7">
      <c r="B4224" s="39"/>
      <c r="D4224" s="22"/>
    </row>
    <row r="4225" spans="1:7">
      <c r="B4225" s="39"/>
      <c r="D4225" s="22"/>
    </row>
    <row r="4226" spans="1:7">
      <c r="B4226" s="39"/>
      <c r="D4226" s="22"/>
    </row>
    <row r="4227" ht="46.5" spans="1:7">
      <c r="A4227" s="5" t="s">
        <v>5722</v>
      </c>
      <c r="C4227" s="5"/>
      <c r="D4227" s="5"/>
    </row>
    <row r="4228" spans="1:7">
      <c r="A4228" s="14" t="s">
        <v>166</v>
      </c>
      <c r="B4228" s="15" t="s">
        <v>2</v>
      </c>
      <c r="C4228" s="13" t="s">
        <v>167</v>
      </c>
      <c r="D4228" s="16" t="s">
        <v>4</v>
      </c>
    </row>
    <row r="4229" ht="155" spans="1:7">
      <c r="A4229" s="14">
        <v>26.1</v>
      </c>
      <c r="B4229" s="15" t="s">
        <v>5723</v>
      </c>
      <c r="C4229" s="13" t="s">
        <v>11</v>
      </c>
      <c r="D4229" s="17">
        <v>6145.85</v>
      </c>
      <c r="F4229" s="6">
        <v>4959.2</v>
      </c>
      <c r="G4229" s="7">
        <f t="shared" ref="G4229:G4237" si="515">(D4229-F4229)/F4229</f>
        <v>0.239282545571867</v>
      </c>
    </row>
    <row r="4230" ht="124" spans="1:7">
      <c r="A4230" s="14">
        <v>26.2</v>
      </c>
      <c r="B4230" s="15" t="s">
        <v>5724</v>
      </c>
      <c r="C4230" s="13" t="s">
        <v>11</v>
      </c>
      <c r="D4230" s="17">
        <v>6033.55</v>
      </c>
      <c r="F4230" s="6">
        <v>4769.55</v>
      </c>
      <c r="G4230" s="7">
        <f t="shared" si="515"/>
        <v>0.265014519189441</v>
      </c>
    </row>
    <row r="4231" ht="186" spans="1:7">
      <c r="A4231" s="14">
        <v>26.3</v>
      </c>
      <c r="B4231" s="15" t="s">
        <v>5725</v>
      </c>
      <c r="C4231" s="13" t="s">
        <v>11</v>
      </c>
      <c r="D4231" s="17">
        <v>6283.85</v>
      </c>
      <c r="F4231" s="6">
        <v>4784.75</v>
      </c>
      <c r="G4231" s="7">
        <f t="shared" si="515"/>
        <v>0.313307905324207</v>
      </c>
    </row>
    <row r="4232" ht="108.5" spans="1:7">
      <c r="A4232" s="14">
        <v>26.4</v>
      </c>
      <c r="B4232" s="15" t="s">
        <v>5726</v>
      </c>
      <c r="C4232" s="13" t="s">
        <v>11</v>
      </c>
      <c r="D4232" s="17">
        <v>6935.75</v>
      </c>
      <c r="F4232" s="6">
        <v>4918</v>
      </c>
      <c r="G4232" s="7">
        <f t="shared" si="515"/>
        <v>0.41027856852379</v>
      </c>
    </row>
    <row r="4233" ht="108.5" spans="1:7">
      <c r="A4233" s="14">
        <v>26.5</v>
      </c>
      <c r="B4233" s="15" t="s">
        <v>5727</v>
      </c>
      <c r="C4233" s="13" t="s">
        <v>11</v>
      </c>
      <c r="D4233" s="17">
        <v>4555.75</v>
      </c>
      <c r="F4233" s="6">
        <v>3016.1</v>
      </c>
      <c r="G4233" s="7">
        <f t="shared" si="515"/>
        <v>0.510477106196744</v>
      </c>
    </row>
    <row r="4234" ht="77.5" spans="1:7">
      <c r="A4234" s="14">
        <v>26.6</v>
      </c>
      <c r="B4234" s="15" t="s">
        <v>5728</v>
      </c>
      <c r="C4234" s="13" t="s">
        <v>5729</v>
      </c>
      <c r="D4234" s="17">
        <v>325.95</v>
      </c>
      <c r="F4234" s="6">
        <v>228.65</v>
      </c>
      <c r="G4234" s="7">
        <f t="shared" si="515"/>
        <v>0.425541220205554</v>
      </c>
    </row>
    <row r="4235" ht="62" spans="1:7">
      <c r="A4235" s="14" t="s">
        <v>5730</v>
      </c>
      <c r="B4235" s="15" t="s">
        <v>5731</v>
      </c>
      <c r="C4235" s="13" t="s">
        <v>11</v>
      </c>
      <c r="D4235" s="17">
        <v>6012.1</v>
      </c>
      <c r="F4235" s="6">
        <v>4430</v>
      </c>
      <c r="G4235" s="7">
        <f t="shared" si="515"/>
        <v>0.357133182844244</v>
      </c>
    </row>
    <row r="4236" ht="62" spans="1:7">
      <c r="A4236" s="14" t="s">
        <v>5732</v>
      </c>
      <c r="B4236" s="15" t="s">
        <v>5733</v>
      </c>
      <c r="C4236" s="13" t="s">
        <v>39</v>
      </c>
      <c r="D4236" s="17">
        <v>4830.1</v>
      </c>
      <c r="F4236" s="6">
        <v>3586.65</v>
      </c>
      <c r="G4236" s="7">
        <f t="shared" si="515"/>
        <v>0.346688413979619</v>
      </c>
    </row>
    <row r="4237" ht="139.5" spans="1:7">
      <c r="A4237" s="14" t="s">
        <v>5734</v>
      </c>
      <c r="B4237" s="15" t="s">
        <v>5735</v>
      </c>
      <c r="C4237" s="13" t="s">
        <v>11</v>
      </c>
      <c r="D4237" s="17">
        <v>4039.1</v>
      </c>
      <c r="F4237" s="6">
        <v>2714.4</v>
      </c>
      <c r="G4237" s="7">
        <f t="shared" si="515"/>
        <v>0.488026819923372</v>
      </c>
    </row>
    <row r="4238" ht="46.5" spans="1:7">
      <c r="A4238" s="14" t="s">
        <v>5736</v>
      </c>
      <c r="B4238" s="15" t="s">
        <v>5737</v>
      </c>
      <c r="C4238" s="13"/>
      <c r="D4238" s="16"/>
    </row>
    <row r="4239" spans="1:7">
      <c r="A4239" s="14" t="s">
        <v>5738</v>
      </c>
      <c r="B4239" s="12" t="s">
        <v>5739</v>
      </c>
      <c r="C4239" s="13" t="s">
        <v>11</v>
      </c>
      <c r="D4239" s="17">
        <v>2942</v>
      </c>
      <c r="F4239" s="6">
        <v>2012.95</v>
      </c>
      <c r="G4239" s="7">
        <f t="shared" ref="G4239:G4243" si="516">(D4239-F4239)/F4239</f>
        <v>0.461536550833354</v>
      </c>
    </row>
    <row r="4240" spans="1:7">
      <c r="A4240" s="14" t="s">
        <v>5740</v>
      </c>
      <c r="B4240" s="12" t="s">
        <v>5741</v>
      </c>
      <c r="C4240" s="13" t="s">
        <v>11</v>
      </c>
      <c r="D4240" s="17">
        <v>3332</v>
      </c>
      <c r="F4240" s="6">
        <v>2312.55</v>
      </c>
      <c r="G4240" s="7">
        <f t="shared" si="516"/>
        <v>0.440833711703531</v>
      </c>
    </row>
    <row r="4241" spans="1:7">
      <c r="A4241" s="14" t="s">
        <v>5742</v>
      </c>
      <c r="B4241" s="12" t="s">
        <v>5743</v>
      </c>
      <c r="C4241" s="13" t="s">
        <v>11</v>
      </c>
      <c r="D4241" s="17">
        <v>3923.65</v>
      </c>
      <c r="F4241" s="6">
        <v>2770.7</v>
      </c>
      <c r="G4241" s="7">
        <f t="shared" si="516"/>
        <v>0.41612227956834</v>
      </c>
    </row>
    <row r="4242" spans="1:7">
      <c r="A4242" s="14" t="s">
        <v>5744</v>
      </c>
      <c r="B4242" s="12" t="s">
        <v>5745</v>
      </c>
      <c r="C4242" s="13" t="s">
        <v>11</v>
      </c>
      <c r="D4242" s="17">
        <v>4906.8</v>
      </c>
      <c r="F4242" s="6">
        <v>3528.4</v>
      </c>
      <c r="G4242" s="7">
        <f t="shared" si="516"/>
        <v>0.390658655481238</v>
      </c>
    </row>
    <row r="4243" spans="1:7">
      <c r="A4243" s="14" t="s">
        <v>5746</v>
      </c>
      <c r="B4243" s="12" t="s">
        <v>5747</v>
      </c>
      <c r="C4243" s="13" t="s">
        <v>11</v>
      </c>
      <c r="D4243" s="17">
        <v>5601.55</v>
      </c>
      <c r="F4243" s="6">
        <v>4068.25</v>
      </c>
      <c r="G4243" s="7">
        <f t="shared" si="516"/>
        <v>0.376894241995944</v>
      </c>
    </row>
    <row r="4244" ht="93" spans="1:7">
      <c r="A4244" s="18" t="s">
        <v>5748</v>
      </c>
      <c r="B4244" s="15" t="s">
        <v>5749</v>
      </c>
      <c r="C4244" s="13"/>
      <c r="D4244" s="16"/>
    </row>
    <row r="4245" spans="1:7">
      <c r="A4245" s="14" t="s">
        <v>5750</v>
      </c>
      <c r="B4245" s="12" t="s">
        <v>5745</v>
      </c>
      <c r="C4245" s="13" t="s">
        <v>11</v>
      </c>
      <c r="D4245" s="17">
        <v>5127.6</v>
      </c>
      <c r="F4245" s="6">
        <v>3791.75</v>
      </c>
      <c r="G4245" s="7">
        <f t="shared" ref="G4245:G4257" si="517">(D4245-F4245)/F4245</f>
        <v>0.352304344959452</v>
      </c>
    </row>
    <row r="4246" spans="1:7">
      <c r="A4246" s="14" t="s">
        <v>5751</v>
      </c>
      <c r="B4246" s="12" t="s">
        <v>5747</v>
      </c>
      <c r="C4246" s="13" t="s">
        <v>11</v>
      </c>
      <c r="D4246" s="17">
        <v>5824.1</v>
      </c>
      <c r="F4246" s="6">
        <v>4332.55</v>
      </c>
      <c r="G4246" s="7">
        <f t="shared" si="517"/>
        <v>0.344266078868103</v>
      </c>
    </row>
    <row r="4247" ht="139.5" spans="1:7">
      <c r="A4247" s="14">
        <v>26.7</v>
      </c>
      <c r="B4247" s="15" t="s">
        <v>5752</v>
      </c>
      <c r="C4247" s="13" t="s">
        <v>11</v>
      </c>
      <c r="D4247" s="17">
        <v>1004.55</v>
      </c>
      <c r="F4247" s="6">
        <v>649.1</v>
      </c>
      <c r="G4247" s="7">
        <f t="shared" si="517"/>
        <v>0.547604375288861</v>
      </c>
    </row>
    <row r="4248" ht="139.5" spans="1:7">
      <c r="A4248" s="14">
        <v>26.8</v>
      </c>
      <c r="B4248" s="15" t="s">
        <v>5753</v>
      </c>
      <c r="C4248" s="13" t="s">
        <v>11</v>
      </c>
      <c r="D4248" s="17">
        <v>1091.65</v>
      </c>
      <c r="F4248" s="6">
        <v>685.75</v>
      </c>
      <c r="G4248" s="7">
        <f t="shared" si="517"/>
        <v>0.591906671527525</v>
      </c>
    </row>
    <row r="4249" ht="108.5" spans="1:7">
      <c r="A4249" s="14">
        <v>26.9</v>
      </c>
      <c r="B4249" s="15" t="s">
        <v>5754</v>
      </c>
      <c r="C4249" s="13" t="s">
        <v>39</v>
      </c>
      <c r="D4249" s="17">
        <v>450.95</v>
      </c>
      <c r="F4249" s="6">
        <v>294.65</v>
      </c>
      <c r="G4249" s="7">
        <f t="shared" si="517"/>
        <v>0.530459867639572</v>
      </c>
    </row>
    <row r="4250" ht="108.5" spans="1:7">
      <c r="A4250" s="18">
        <v>26.1</v>
      </c>
      <c r="B4250" s="15" t="s">
        <v>5755</v>
      </c>
      <c r="C4250" s="13" t="s">
        <v>11</v>
      </c>
      <c r="D4250" s="17">
        <v>5350.55</v>
      </c>
      <c r="F4250" s="6">
        <v>3536.05</v>
      </c>
      <c r="G4250" s="7">
        <f t="shared" si="517"/>
        <v>0.513143196504574</v>
      </c>
    </row>
    <row r="4251" ht="31" spans="1:7">
      <c r="A4251" s="18">
        <v>26.11</v>
      </c>
      <c r="B4251" s="15" t="s">
        <v>5756</v>
      </c>
      <c r="C4251" s="13" t="s">
        <v>126</v>
      </c>
      <c r="D4251" s="17">
        <v>144.05</v>
      </c>
      <c r="F4251" s="6">
        <v>82.3</v>
      </c>
      <c r="G4251" s="7">
        <f t="shared" si="517"/>
        <v>0.750303766707169</v>
      </c>
    </row>
    <row r="4252" ht="77.5" spans="1:7">
      <c r="A4252" s="18">
        <v>26.12</v>
      </c>
      <c r="B4252" s="15" t="s">
        <v>5757</v>
      </c>
      <c r="C4252" s="13" t="s">
        <v>11</v>
      </c>
      <c r="D4252" s="17">
        <v>249.9</v>
      </c>
      <c r="F4252" s="6">
        <v>135.2</v>
      </c>
      <c r="G4252" s="7">
        <f t="shared" si="517"/>
        <v>0.848372781065089</v>
      </c>
    </row>
    <row r="4253" ht="77.5" spans="1:7">
      <c r="A4253" s="18">
        <v>26.13</v>
      </c>
      <c r="B4253" s="15" t="s">
        <v>5758</v>
      </c>
      <c r="C4253" s="13" t="s">
        <v>11</v>
      </c>
      <c r="D4253" s="17">
        <v>276.5</v>
      </c>
      <c r="F4253" s="6">
        <v>153.1</v>
      </c>
      <c r="G4253" s="7">
        <f t="shared" si="517"/>
        <v>0.806009144350098</v>
      </c>
    </row>
    <row r="4254" ht="77.5" spans="1:7">
      <c r="A4254" s="18">
        <v>26.14</v>
      </c>
      <c r="B4254" s="15" t="s">
        <v>5759</v>
      </c>
      <c r="C4254" s="13" t="s">
        <v>11</v>
      </c>
      <c r="D4254" s="17">
        <v>401.7</v>
      </c>
      <c r="F4254" s="6">
        <v>241.25</v>
      </c>
      <c r="G4254" s="7">
        <f t="shared" si="517"/>
        <v>0.665077720207254</v>
      </c>
    </row>
    <row r="4255" ht="77.5" spans="1:7">
      <c r="A4255" s="18">
        <v>26.15</v>
      </c>
      <c r="B4255" s="15" t="s">
        <v>5760</v>
      </c>
      <c r="C4255" s="13" t="s">
        <v>11</v>
      </c>
      <c r="D4255" s="17">
        <v>555.05</v>
      </c>
      <c r="F4255" s="6">
        <v>346</v>
      </c>
      <c r="G4255" s="7">
        <f t="shared" si="517"/>
        <v>0.604190751445087</v>
      </c>
    </row>
    <row r="4256" ht="186" spans="1:7">
      <c r="A4256" s="18">
        <v>26.16</v>
      </c>
      <c r="B4256" s="15" t="s">
        <v>5761</v>
      </c>
      <c r="C4256" s="13" t="s">
        <v>11</v>
      </c>
      <c r="D4256" s="17">
        <v>986.95</v>
      </c>
      <c r="F4256" s="6">
        <v>657.8</v>
      </c>
      <c r="G4256" s="7">
        <f t="shared" si="517"/>
        <v>0.500380054727881</v>
      </c>
    </row>
    <row r="4257" ht="155" spans="1:7">
      <c r="A4257" s="18">
        <v>26.17</v>
      </c>
      <c r="B4257" s="15" t="s">
        <v>5762</v>
      </c>
      <c r="C4257" s="13" t="s">
        <v>11</v>
      </c>
      <c r="D4257" s="17">
        <v>1166.95</v>
      </c>
      <c r="F4257" s="6">
        <v>780.45</v>
      </c>
      <c r="G4257" s="7">
        <f t="shared" si="517"/>
        <v>0.495227112563265</v>
      </c>
    </row>
    <row r="4258" ht="62" spans="1:7">
      <c r="A4258" s="18">
        <v>26.18</v>
      </c>
      <c r="B4258" s="15" t="s">
        <v>5763</v>
      </c>
      <c r="C4258" s="13"/>
      <c r="D4258" s="16"/>
    </row>
    <row r="4259" spans="1:7">
      <c r="A4259" s="14" t="s">
        <v>5764</v>
      </c>
      <c r="B4259" s="12" t="s">
        <v>5765</v>
      </c>
      <c r="C4259" s="13" t="s">
        <v>11</v>
      </c>
      <c r="D4259" s="17">
        <v>393.85</v>
      </c>
      <c r="F4259" s="6">
        <v>269.35</v>
      </c>
      <c r="G4259" s="7">
        <f t="shared" ref="G4259:G4273" si="518">(D4259-F4259)/F4259</f>
        <v>0.462223872285131</v>
      </c>
    </row>
    <row r="4260" spans="1:7">
      <c r="A4260" s="14" t="s">
        <v>5766</v>
      </c>
      <c r="B4260" s="12" t="s">
        <v>5767</v>
      </c>
      <c r="C4260" s="13" t="s">
        <v>11</v>
      </c>
      <c r="D4260" s="17">
        <v>411.1</v>
      </c>
      <c r="F4260" s="6">
        <v>294.95</v>
      </c>
      <c r="G4260" s="7">
        <f t="shared" si="518"/>
        <v>0.393795558569249</v>
      </c>
    </row>
    <row r="4261" spans="1:7">
      <c r="A4261" s="14" t="s">
        <v>5768</v>
      </c>
      <c r="B4261" s="12" t="s">
        <v>5769</v>
      </c>
      <c r="C4261" s="13" t="s">
        <v>11</v>
      </c>
      <c r="D4261" s="17">
        <v>645.8</v>
      </c>
      <c r="F4261" s="6">
        <v>397.15</v>
      </c>
      <c r="G4261" s="7">
        <f t="shared" si="518"/>
        <v>0.626085861765076</v>
      </c>
    </row>
    <row r="4262" spans="1:7">
      <c r="A4262" s="14" t="s">
        <v>5770</v>
      </c>
      <c r="B4262" s="12" t="s">
        <v>5771</v>
      </c>
      <c r="C4262" s="13" t="s">
        <v>11</v>
      </c>
      <c r="D4262" s="17">
        <v>663.05</v>
      </c>
      <c r="F4262" s="6">
        <v>435.45</v>
      </c>
      <c r="G4262" s="7">
        <f t="shared" si="518"/>
        <v>0.522677689746239</v>
      </c>
    </row>
    <row r="4263" spans="1:7">
      <c r="A4263" s="14" t="s">
        <v>5772</v>
      </c>
      <c r="B4263" s="12" t="s">
        <v>5773</v>
      </c>
      <c r="C4263" s="13" t="s">
        <v>11</v>
      </c>
      <c r="D4263" s="17">
        <v>681.8</v>
      </c>
      <c r="F4263" s="6">
        <v>461</v>
      </c>
      <c r="G4263" s="7">
        <f t="shared" si="518"/>
        <v>0.478958785249458</v>
      </c>
    </row>
    <row r="4264" spans="1:7">
      <c r="A4264" s="14" t="s">
        <v>5774</v>
      </c>
      <c r="B4264" s="12" t="s">
        <v>5775</v>
      </c>
      <c r="C4264" s="13" t="s">
        <v>11</v>
      </c>
      <c r="D4264" s="17">
        <v>699.05</v>
      </c>
      <c r="F4264" s="6">
        <v>515.15</v>
      </c>
      <c r="G4264" s="7">
        <f t="shared" si="518"/>
        <v>0.356983402892361</v>
      </c>
    </row>
    <row r="4265" spans="1:7">
      <c r="A4265" s="14" t="s">
        <v>5776</v>
      </c>
      <c r="B4265" s="12" t="s">
        <v>5777</v>
      </c>
      <c r="C4265" s="13" t="s">
        <v>11</v>
      </c>
      <c r="D4265" s="17">
        <v>843</v>
      </c>
      <c r="F4265" s="6">
        <v>550.45</v>
      </c>
      <c r="G4265" s="7">
        <f t="shared" si="518"/>
        <v>0.531474248342265</v>
      </c>
    </row>
    <row r="4266" spans="1:7">
      <c r="A4266" s="14" t="s">
        <v>5778</v>
      </c>
      <c r="B4266" s="12" t="s">
        <v>5779</v>
      </c>
      <c r="C4266" s="13" t="s">
        <v>11</v>
      </c>
      <c r="D4266" s="17">
        <v>933.75</v>
      </c>
      <c r="F4266" s="6">
        <v>652.65</v>
      </c>
      <c r="G4266" s="7">
        <f t="shared" si="518"/>
        <v>0.430705584923006</v>
      </c>
    </row>
    <row r="4267" spans="1:7">
      <c r="A4267" s="14" t="s">
        <v>5780</v>
      </c>
      <c r="B4267" s="12" t="s">
        <v>5781</v>
      </c>
      <c r="C4267" s="13" t="s">
        <v>11</v>
      </c>
      <c r="D4267" s="17">
        <v>1022.95</v>
      </c>
      <c r="F4267" s="6">
        <v>716.55</v>
      </c>
      <c r="G4267" s="7">
        <f t="shared" si="518"/>
        <v>0.427604493754797</v>
      </c>
    </row>
    <row r="4268" spans="1:7">
      <c r="A4268" s="14" t="s">
        <v>5782</v>
      </c>
      <c r="B4268" s="12" t="s">
        <v>5783</v>
      </c>
      <c r="C4268" s="13" t="s">
        <v>11</v>
      </c>
      <c r="D4268" s="17">
        <v>1202.9</v>
      </c>
      <c r="F4268" s="6">
        <v>844.3</v>
      </c>
      <c r="G4268" s="7">
        <f t="shared" si="518"/>
        <v>0.42473054601445</v>
      </c>
    </row>
    <row r="4269" spans="1:7">
      <c r="A4269" s="14" t="s">
        <v>5784</v>
      </c>
      <c r="B4269" s="12" t="s">
        <v>5785</v>
      </c>
      <c r="C4269" s="13" t="s">
        <v>11</v>
      </c>
      <c r="D4269" s="17">
        <v>1337.5</v>
      </c>
      <c r="F4269" s="6">
        <v>918.4</v>
      </c>
      <c r="G4269" s="7">
        <f t="shared" si="518"/>
        <v>0.456337108013937</v>
      </c>
    </row>
    <row r="4270" spans="1:7">
      <c r="A4270" s="14" t="s">
        <v>5786</v>
      </c>
      <c r="B4270" s="12" t="s">
        <v>5787</v>
      </c>
      <c r="C4270" s="13" t="s">
        <v>11</v>
      </c>
      <c r="D4270" s="17">
        <v>1562.85</v>
      </c>
      <c r="F4270" s="6">
        <v>1088.35</v>
      </c>
      <c r="G4270" s="7">
        <f t="shared" si="518"/>
        <v>0.435981072265356</v>
      </c>
    </row>
    <row r="4271" spans="1:7">
      <c r="A4271" s="14" t="s">
        <v>5788</v>
      </c>
      <c r="B4271" s="12" t="s">
        <v>5789</v>
      </c>
      <c r="C4271" s="13" t="s">
        <v>11</v>
      </c>
      <c r="D4271" s="17">
        <v>1742.8</v>
      </c>
      <c r="F4271" s="6">
        <v>1227.6</v>
      </c>
      <c r="G4271" s="7">
        <f t="shared" si="518"/>
        <v>0.419680677745194</v>
      </c>
    </row>
    <row r="4272" spans="1:7">
      <c r="A4272" s="14" t="s">
        <v>5790</v>
      </c>
      <c r="B4272" s="12" t="s">
        <v>5791</v>
      </c>
      <c r="C4272" s="13" t="s">
        <v>11</v>
      </c>
      <c r="D4272" s="17">
        <v>1833.6</v>
      </c>
      <c r="F4272" s="6">
        <v>1291.5</v>
      </c>
      <c r="G4272" s="7">
        <f t="shared" si="518"/>
        <v>0.419744483159117</v>
      </c>
    </row>
    <row r="4273" spans="1:7">
      <c r="A4273" s="14" t="s">
        <v>5792</v>
      </c>
      <c r="B4273" s="12" t="s">
        <v>5793</v>
      </c>
      <c r="C4273" s="13" t="s">
        <v>11</v>
      </c>
      <c r="D4273" s="17">
        <v>1922.8</v>
      </c>
      <c r="F4273" s="6">
        <v>1403.95</v>
      </c>
      <c r="G4273" s="7">
        <f t="shared" si="518"/>
        <v>0.369564443178176</v>
      </c>
    </row>
    <row r="4274" ht="124" spans="1:7">
      <c r="A4274" s="18">
        <v>26.19</v>
      </c>
      <c r="B4274" s="15" t="s">
        <v>5794</v>
      </c>
      <c r="C4274" s="13"/>
      <c r="D4274" s="16"/>
    </row>
    <row r="4275" spans="1:7">
      <c r="A4275" s="14" t="s">
        <v>5795</v>
      </c>
      <c r="B4275" s="12" t="s">
        <v>5796</v>
      </c>
      <c r="C4275" s="13" t="s">
        <v>11</v>
      </c>
      <c r="D4275" s="17">
        <v>1153.95</v>
      </c>
      <c r="F4275" s="6">
        <v>790.3</v>
      </c>
      <c r="G4275" s="7">
        <f>(D4275-F4275)/F4275</f>
        <v>0.46014171833481</v>
      </c>
    </row>
    <row r="4276" spans="1:7">
      <c r="A4276" s="14" t="s">
        <v>5797</v>
      </c>
      <c r="B4276" s="12" t="s">
        <v>5798</v>
      </c>
      <c r="C4276" s="13" t="s">
        <v>11</v>
      </c>
      <c r="D4276" s="17">
        <v>1462.9</v>
      </c>
      <c r="F4276" s="6">
        <v>997.1</v>
      </c>
      <c r="G4276" s="7">
        <f>(D4276-F4276)/F4276</f>
        <v>0.467154748771437</v>
      </c>
    </row>
    <row r="4277" ht="248" spans="1:7">
      <c r="A4277" s="18">
        <v>26.22</v>
      </c>
      <c r="B4277" s="15" t="s">
        <v>5799</v>
      </c>
      <c r="C4277" s="13"/>
      <c r="D4277" s="16"/>
    </row>
    <row r="4278" spans="1:7">
      <c r="A4278" s="18" t="s">
        <v>5800</v>
      </c>
      <c r="B4278" s="15" t="s">
        <v>5801</v>
      </c>
      <c r="C4278" s="13" t="s">
        <v>11</v>
      </c>
      <c r="D4278" s="17">
        <v>2207</v>
      </c>
    </row>
    <row r="4279" ht="46.5" spans="1:7">
      <c r="A4279" s="14" t="s">
        <v>5802</v>
      </c>
      <c r="B4279" s="15" t="s">
        <v>5803</v>
      </c>
      <c r="C4279" s="13" t="s">
        <v>11</v>
      </c>
      <c r="D4279" s="17">
        <v>2301.1</v>
      </c>
    </row>
    <row r="4280" ht="279" spans="1:7">
      <c r="A4280" s="18">
        <v>26.23</v>
      </c>
      <c r="B4280" s="15" t="s">
        <v>5804</v>
      </c>
      <c r="C4280" s="13"/>
      <c r="D4280" s="16"/>
    </row>
    <row r="4281" ht="31" spans="1:7">
      <c r="A4281" s="14" t="s">
        <v>5805</v>
      </c>
      <c r="B4281" s="12" t="s">
        <v>5806</v>
      </c>
      <c r="C4281" s="13" t="s">
        <v>11</v>
      </c>
      <c r="D4281" s="17">
        <v>2630.4</v>
      </c>
      <c r="F4281" s="6">
        <v>1761.15</v>
      </c>
      <c r="G4281" s="7">
        <f t="shared" ref="G4281:G4284" si="519">(D4281-F4281)/F4281</f>
        <v>0.493569542628396</v>
      </c>
    </row>
    <row r="4282" ht="279" spans="1:7">
      <c r="A4282" s="18">
        <v>26.24</v>
      </c>
      <c r="B4282" s="15" t="s">
        <v>5807</v>
      </c>
      <c r="C4282" s="13"/>
      <c r="D4282" s="16"/>
    </row>
    <row r="4283" ht="31" spans="1:7">
      <c r="A4283" s="14" t="s">
        <v>5808</v>
      </c>
      <c r="B4283" s="12" t="s">
        <v>5809</v>
      </c>
      <c r="C4283" s="13" t="s">
        <v>11</v>
      </c>
      <c r="D4283" s="17">
        <v>3117.6</v>
      </c>
      <c r="F4283" s="6">
        <v>2150.2</v>
      </c>
      <c r="G4283" s="7">
        <f t="shared" si="519"/>
        <v>0.449911636126872</v>
      </c>
    </row>
    <row r="4284" ht="124" spans="1:7">
      <c r="A4284" s="18">
        <v>26.25</v>
      </c>
      <c r="B4284" s="15" t="s">
        <v>5810</v>
      </c>
      <c r="C4284" s="13" t="s">
        <v>11</v>
      </c>
      <c r="D4284" s="17">
        <v>1781.2</v>
      </c>
      <c r="F4284" s="6">
        <v>1291.2</v>
      </c>
      <c r="G4284" s="7">
        <f t="shared" si="519"/>
        <v>0.379491945477076</v>
      </c>
    </row>
    <row r="4285" ht="248" spans="1:7">
      <c r="A4285" s="18">
        <v>26.26</v>
      </c>
      <c r="B4285" s="15" t="s">
        <v>5811</v>
      </c>
      <c r="C4285" s="13"/>
      <c r="D4285" s="16"/>
    </row>
    <row r="4286" spans="1:7">
      <c r="A4286" s="14" t="s">
        <v>5812</v>
      </c>
      <c r="B4286" s="12" t="s">
        <v>5813</v>
      </c>
      <c r="C4286" s="13" t="s">
        <v>11</v>
      </c>
      <c r="D4286" s="17">
        <v>1852.05</v>
      </c>
      <c r="F4286" s="6">
        <v>1352.9</v>
      </c>
      <c r="G4286" s="7">
        <f t="shared" ref="G4286:G4291" si="520">(D4286-F4286)/F4286</f>
        <v>0.368948185379555</v>
      </c>
    </row>
    <row r="4287" ht="31" spans="1:7">
      <c r="A4287" s="14" t="s">
        <v>5814</v>
      </c>
      <c r="B4287" s="12" t="s">
        <v>5815</v>
      </c>
      <c r="C4287" s="13" t="s">
        <v>11</v>
      </c>
      <c r="D4287" s="17">
        <v>1907.35</v>
      </c>
      <c r="F4287" s="6">
        <v>1452.9</v>
      </c>
      <c r="G4287" s="7">
        <f t="shared" si="520"/>
        <v>0.312788216670108</v>
      </c>
    </row>
    <row r="4288" ht="263.5" spans="1:7">
      <c r="A4288" s="18">
        <v>26.27</v>
      </c>
      <c r="B4288" s="15" t="s">
        <v>5816</v>
      </c>
      <c r="C4288" s="13"/>
      <c r="D4288" s="16"/>
    </row>
    <row r="4289" spans="1:7">
      <c r="A4289" s="14" t="s">
        <v>5817</v>
      </c>
      <c r="B4289" s="12" t="s">
        <v>5818</v>
      </c>
      <c r="C4289" s="13" t="s">
        <v>11</v>
      </c>
      <c r="D4289" s="17">
        <v>2333.6</v>
      </c>
      <c r="F4289" s="6">
        <v>1535</v>
      </c>
      <c r="G4289" s="7">
        <f t="shared" si="520"/>
        <v>0.520260586319218</v>
      </c>
    </row>
    <row r="4290" spans="1:7">
      <c r="A4290" s="14" t="s">
        <v>5819</v>
      </c>
      <c r="B4290" s="12" t="s">
        <v>5820</v>
      </c>
      <c r="C4290" s="13" t="s">
        <v>11</v>
      </c>
      <c r="D4290" s="17">
        <v>2671.2</v>
      </c>
      <c r="F4290" s="6">
        <v>1783.8</v>
      </c>
      <c r="G4290" s="7">
        <f t="shared" si="520"/>
        <v>0.497477295660948</v>
      </c>
    </row>
    <row r="4291" ht="31" spans="1:7">
      <c r="A4291" s="14" t="s">
        <v>5821</v>
      </c>
      <c r="B4291" s="12" t="s">
        <v>5822</v>
      </c>
      <c r="C4291" s="13" t="s">
        <v>11</v>
      </c>
      <c r="D4291" s="17">
        <v>2447.15</v>
      </c>
      <c r="F4291" s="6">
        <v>1621.6</v>
      </c>
      <c r="G4291" s="7">
        <f t="shared" si="520"/>
        <v>0.509095954612728</v>
      </c>
    </row>
    <row r="4292" spans="1:7">
      <c r="A4292" s="14"/>
      <c r="B4292" s="15" t="s">
        <v>5823</v>
      </c>
      <c r="C4292" s="13"/>
      <c r="D4292" s="16"/>
    </row>
    <row r="4293" ht="77.5" spans="1:7">
      <c r="A4293" s="18">
        <v>26.28</v>
      </c>
      <c r="B4293" s="15" t="s">
        <v>5824</v>
      </c>
      <c r="C4293" s="13"/>
      <c r="D4293" s="16"/>
    </row>
    <row r="4294" spans="1:7">
      <c r="A4294" s="14" t="s">
        <v>5825</v>
      </c>
      <c r="B4294" s="12" t="s">
        <v>5826</v>
      </c>
      <c r="C4294" s="13" t="s">
        <v>11</v>
      </c>
      <c r="D4294" s="17">
        <v>378</v>
      </c>
      <c r="F4294" s="6">
        <v>167.15</v>
      </c>
      <c r="G4294" s="7">
        <f t="shared" ref="G4294:G4296" si="521">(D4294-F4294)/F4294</f>
        <v>1.2614418187257</v>
      </c>
    </row>
    <row r="4295" spans="1:7">
      <c r="A4295" s="14" t="s">
        <v>5827</v>
      </c>
      <c r="B4295" s="12" t="s">
        <v>5828</v>
      </c>
      <c r="C4295" s="13" t="s">
        <v>11</v>
      </c>
      <c r="D4295" s="17">
        <v>256.35</v>
      </c>
      <c r="F4295" s="6">
        <v>111.55</v>
      </c>
      <c r="G4295" s="7">
        <f t="shared" si="521"/>
        <v>1.29807261317795</v>
      </c>
    </row>
    <row r="4296" spans="1:7">
      <c r="A4296" s="14" t="s">
        <v>5829</v>
      </c>
      <c r="B4296" s="12" t="s">
        <v>5830</v>
      </c>
      <c r="C4296" s="13" t="s">
        <v>11</v>
      </c>
      <c r="D4296" s="17">
        <v>126.75</v>
      </c>
      <c r="F4296" s="6">
        <v>56.2</v>
      </c>
      <c r="G4296" s="7">
        <f t="shared" si="521"/>
        <v>1.25533807829181</v>
      </c>
    </row>
    <row r="4297" ht="77.5" spans="1:7">
      <c r="A4297" s="18">
        <v>26.29</v>
      </c>
      <c r="B4297" s="15" t="s">
        <v>5831</v>
      </c>
      <c r="C4297" s="13"/>
      <c r="D4297" s="16"/>
    </row>
    <row r="4298" spans="1:7">
      <c r="A4298" s="14" t="s">
        <v>5832</v>
      </c>
      <c r="B4298" s="12" t="s">
        <v>5833</v>
      </c>
      <c r="C4298" s="13" t="s">
        <v>39</v>
      </c>
      <c r="D4298" s="17">
        <v>8.25</v>
      </c>
      <c r="F4298" s="6">
        <v>4.15</v>
      </c>
      <c r="G4298" s="7">
        <f t="shared" ref="G4298:G4301" si="522">(D4298-F4298)/F4298</f>
        <v>0.987951807228916</v>
      </c>
    </row>
    <row r="4299" spans="1:7">
      <c r="A4299" s="14" t="s">
        <v>5834</v>
      </c>
      <c r="B4299" s="12" t="s">
        <v>5835</v>
      </c>
      <c r="C4299" s="13" t="s">
        <v>39</v>
      </c>
      <c r="D4299" s="17">
        <v>16.45</v>
      </c>
      <c r="F4299" s="6">
        <v>8.3</v>
      </c>
      <c r="G4299" s="7">
        <f t="shared" si="522"/>
        <v>0.981927710843373</v>
      </c>
    </row>
    <row r="4300" ht="77.5" spans="1:7">
      <c r="A4300" s="18">
        <v>26.3</v>
      </c>
      <c r="B4300" s="15" t="s">
        <v>5836</v>
      </c>
      <c r="C4300" s="13"/>
      <c r="D4300" s="16"/>
    </row>
    <row r="4301" spans="1:7">
      <c r="A4301" s="14" t="s">
        <v>5837</v>
      </c>
      <c r="B4301" s="12" t="s">
        <v>5838</v>
      </c>
      <c r="C4301" s="13" t="s">
        <v>126</v>
      </c>
      <c r="D4301" s="17">
        <v>141.2</v>
      </c>
      <c r="F4301" s="6">
        <v>71.15</v>
      </c>
      <c r="G4301" s="7">
        <f t="shared" si="522"/>
        <v>0.98453970484891</v>
      </c>
    </row>
    <row r="4302" ht="31" spans="1:7">
      <c r="A4302" s="18">
        <v>26.31</v>
      </c>
      <c r="B4302" s="15" t="s">
        <v>5839</v>
      </c>
      <c r="C4302" s="13"/>
      <c r="D4302" s="16"/>
    </row>
    <row r="4303" ht="31" spans="1:7">
      <c r="A4303" s="14" t="s">
        <v>5840</v>
      </c>
      <c r="B4303" s="12" t="s">
        <v>5841</v>
      </c>
      <c r="C4303" s="13" t="s">
        <v>11</v>
      </c>
      <c r="D4303" s="17">
        <v>141.2</v>
      </c>
      <c r="F4303" s="6">
        <v>87.55</v>
      </c>
      <c r="G4303" s="7">
        <f t="shared" ref="G4303:G4309" si="523">(D4303-F4303)/F4303</f>
        <v>0.61279268989149</v>
      </c>
    </row>
    <row r="4304" spans="1:7">
      <c r="A4304" s="14" t="s">
        <v>5842</v>
      </c>
      <c r="B4304" s="12" t="s">
        <v>5843</v>
      </c>
      <c r="C4304" s="13" t="s">
        <v>11</v>
      </c>
      <c r="D4304" s="17">
        <v>285.2</v>
      </c>
      <c r="F4304" s="6">
        <v>314.95</v>
      </c>
      <c r="G4304" s="7">
        <f t="shared" si="523"/>
        <v>-0.0944594380060327</v>
      </c>
    </row>
    <row r="4305" ht="46.5" spans="1:7">
      <c r="A4305" s="18">
        <v>26.32</v>
      </c>
      <c r="B4305" s="15" t="s">
        <v>5844</v>
      </c>
      <c r="C4305" s="13"/>
      <c r="D4305" s="16"/>
    </row>
    <row r="4306" ht="77.5" spans="1:7">
      <c r="A4306" s="14"/>
      <c r="B4306" s="15" t="s">
        <v>5845</v>
      </c>
      <c r="C4306" s="13"/>
      <c r="D4306" s="16"/>
    </row>
    <row r="4307" spans="1:7">
      <c r="A4307" s="14" t="s">
        <v>5846</v>
      </c>
      <c r="B4307" s="12" t="s">
        <v>5847</v>
      </c>
      <c r="C4307" s="13" t="s">
        <v>11</v>
      </c>
      <c r="D4307" s="17">
        <v>388.65</v>
      </c>
      <c r="F4307" s="6">
        <v>203.85</v>
      </c>
      <c r="G4307" s="7">
        <f t="shared" si="523"/>
        <v>0.906548933038999</v>
      </c>
    </row>
    <row r="4308" spans="1:7">
      <c r="A4308" s="14" t="s">
        <v>5848</v>
      </c>
      <c r="B4308" s="12" t="s">
        <v>5849</v>
      </c>
      <c r="C4308" s="13" t="s">
        <v>11</v>
      </c>
      <c r="D4308" s="17">
        <v>587.35</v>
      </c>
      <c r="F4308" s="6">
        <v>330.9</v>
      </c>
      <c r="G4308" s="7">
        <f t="shared" si="523"/>
        <v>0.775007555152614</v>
      </c>
    </row>
    <row r="4309" spans="1:7">
      <c r="A4309" s="14" t="s">
        <v>5850</v>
      </c>
      <c r="B4309" s="12" t="s">
        <v>5851</v>
      </c>
      <c r="C4309" s="13" t="s">
        <v>11</v>
      </c>
      <c r="D4309" s="17">
        <v>1174.7</v>
      </c>
      <c r="F4309" s="6">
        <v>661.75</v>
      </c>
      <c r="G4309" s="7">
        <f t="shared" si="523"/>
        <v>0.775141669814885</v>
      </c>
    </row>
    <row r="4310" ht="77.5" spans="1:7">
      <c r="A4310" s="18">
        <v>26.33</v>
      </c>
      <c r="B4310" s="15" t="s">
        <v>5852</v>
      </c>
      <c r="C4310" s="13"/>
      <c r="D4310" s="16"/>
    </row>
    <row r="4311" ht="93" spans="1:7">
      <c r="A4311" s="14"/>
      <c r="B4311" s="15" t="s">
        <v>5853</v>
      </c>
      <c r="C4311" s="13"/>
      <c r="D4311" s="16"/>
    </row>
    <row r="4312" spans="1:7">
      <c r="A4312" s="14" t="s">
        <v>5854</v>
      </c>
      <c r="B4312" s="12" t="s">
        <v>5855</v>
      </c>
      <c r="C4312" s="13" t="s">
        <v>11</v>
      </c>
      <c r="D4312" s="17">
        <v>569.15</v>
      </c>
      <c r="F4312" s="6">
        <v>478.4</v>
      </c>
      <c r="G4312" s="7">
        <f>(D4312-F4312)/F4312</f>
        <v>0.189694816053512</v>
      </c>
    </row>
    <row r="4313" spans="1:7">
      <c r="A4313" s="14" t="s">
        <v>5856</v>
      </c>
      <c r="B4313" s="12" t="s">
        <v>5857</v>
      </c>
      <c r="C4313" s="13" t="s">
        <v>11</v>
      </c>
      <c r="D4313" s="17">
        <v>853.7</v>
      </c>
      <c r="F4313" s="6">
        <v>717.65</v>
      </c>
      <c r="G4313" s="7">
        <f>(D4313-F4313)/F4313</f>
        <v>0.189577091897164</v>
      </c>
    </row>
    <row r="4314" ht="93" spans="1:7">
      <c r="A4314" s="18">
        <v>26.34</v>
      </c>
      <c r="B4314" s="15" t="s">
        <v>5858</v>
      </c>
      <c r="C4314" s="13"/>
      <c r="D4314" s="16"/>
    </row>
    <row r="4315" ht="108.5" spans="1:7">
      <c r="A4315" s="14"/>
      <c r="B4315" s="15" t="s">
        <v>5859</v>
      </c>
      <c r="C4315" s="13"/>
      <c r="D4315" s="16"/>
    </row>
    <row r="4316" spans="1:7">
      <c r="A4316" s="14" t="s">
        <v>5860</v>
      </c>
      <c r="B4316" s="12" t="s">
        <v>5855</v>
      </c>
      <c r="C4316" s="13" t="s">
        <v>11</v>
      </c>
      <c r="D4316" s="17">
        <v>569.15</v>
      </c>
    </row>
    <row r="4317" spans="1:7">
      <c r="A4317" s="14" t="s">
        <v>5861</v>
      </c>
      <c r="B4317" s="12" t="s">
        <v>5857</v>
      </c>
      <c r="C4317" s="13" t="s">
        <v>11</v>
      </c>
      <c r="D4317" s="17">
        <v>853.7</v>
      </c>
    </row>
    <row r="4318" spans="1:7">
      <c r="A4318" s="14" t="s">
        <v>5862</v>
      </c>
      <c r="B4318" s="12" t="s">
        <v>5863</v>
      </c>
      <c r="C4318" s="13" t="s">
        <v>11</v>
      </c>
      <c r="D4318" s="17">
        <v>1138.25</v>
      </c>
    </row>
    <row r="4319" ht="62" spans="1:7">
      <c r="A4319" s="18">
        <v>26.35</v>
      </c>
      <c r="B4319" s="15" t="s">
        <v>5864</v>
      </c>
      <c r="C4319" s="13"/>
      <c r="D4319" s="16"/>
    </row>
    <row r="4320" spans="1:7">
      <c r="A4320" s="14"/>
      <c r="B4320" s="15" t="s">
        <v>5865</v>
      </c>
      <c r="C4320" s="13"/>
      <c r="D4320" s="16"/>
    </row>
    <row r="4321" ht="31" spans="1:7">
      <c r="A4321" s="14" t="s">
        <v>5866</v>
      </c>
      <c r="B4321" s="12" t="s">
        <v>5867</v>
      </c>
      <c r="C4321" s="13" t="s">
        <v>478</v>
      </c>
      <c r="D4321" s="17">
        <v>119.3</v>
      </c>
      <c r="F4321" s="6">
        <v>69.5</v>
      </c>
      <c r="G4321" s="7">
        <f t="shared" ref="G4321:G4323" si="524">(D4321-F4321)/F4321</f>
        <v>0.716546762589928</v>
      </c>
    </row>
    <row r="4322" ht="31" spans="1:7">
      <c r="A4322" s="14" t="s">
        <v>5868</v>
      </c>
      <c r="B4322" s="12" t="s">
        <v>5869</v>
      </c>
      <c r="C4322" s="13" t="s">
        <v>478</v>
      </c>
      <c r="D4322" s="17">
        <v>124</v>
      </c>
      <c r="F4322" s="6">
        <v>73</v>
      </c>
      <c r="G4322" s="7">
        <f t="shared" si="524"/>
        <v>0.698630136986301</v>
      </c>
    </row>
    <row r="4323" spans="1:7">
      <c r="A4323" s="14" t="s">
        <v>5870</v>
      </c>
      <c r="B4323" s="12" t="s">
        <v>5871</v>
      </c>
      <c r="C4323" s="13" t="s">
        <v>478</v>
      </c>
      <c r="D4323" s="17">
        <v>553.4</v>
      </c>
      <c r="F4323" s="6">
        <v>644.45</v>
      </c>
      <c r="G4323" s="7">
        <f t="shared" si="524"/>
        <v>-0.141283264799441</v>
      </c>
    </row>
    <row r="4324" ht="46.5" spans="1:7">
      <c r="A4324" s="18">
        <v>26.36</v>
      </c>
      <c r="B4324" s="15" t="s">
        <v>5872</v>
      </c>
      <c r="C4324" s="13"/>
      <c r="D4324" s="16"/>
    </row>
    <row r="4325" spans="1:7">
      <c r="A4325" s="14" t="s">
        <v>5873</v>
      </c>
      <c r="B4325" s="12" t="s">
        <v>5874</v>
      </c>
      <c r="C4325" s="13" t="s">
        <v>11</v>
      </c>
      <c r="D4325" s="17">
        <v>54.25</v>
      </c>
      <c r="F4325" s="6">
        <v>39.05</v>
      </c>
      <c r="G4325" s="7">
        <f t="shared" ref="G4325:G4333" si="525">(D4325-F4325)/F4325</f>
        <v>0.389244558258643</v>
      </c>
    </row>
    <row r="4326" ht="46.5" spans="1:7">
      <c r="A4326" s="18">
        <v>26.37</v>
      </c>
      <c r="B4326" s="15" t="s">
        <v>5875</v>
      </c>
      <c r="C4326" s="13" t="s">
        <v>11</v>
      </c>
      <c r="D4326" s="17">
        <v>382.4</v>
      </c>
      <c r="F4326" s="6">
        <v>252.6</v>
      </c>
      <c r="G4326" s="7">
        <f t="shared" si="525"/>
        <v>0.513855898653998</v>
      </c>
    </row>
    <row r="4327" ht="77.5" spans="1:7">
      <c r="A4327" s="18">
        <v>26.38</v>
      </c>
      <c r="B4327" s="15" t="s">
        <v>5876</v>
      </c>
      <c r="C4327" s="13"/>
      <c r="D4327" s="16"/>
    </row>
    <row r="4328" ht="62" spans="1:7">
      <c r="A4328" s="14"/>
      <c r="B4328" s="15" t="s">
        <v>5877</v>
      </c>
      <c r="C4328" s="13"/>
      <c r="D4328" s="16"/>
    </row>
    <row r="4329" spans="1:7">
      <c r="A4329" s="14" t="s">
        <v>5878</v>
      </c>
      <c r="B4329" s="12" t="s">
        <v>5879</v>
      </c>
      <c r="C4329" s="13" t="s">
        <v>11</v>
      </c>
      <c r="D4329" s="17">
        <v>746.9</v>
      </c>
      <c r="F4329" s="6">
        <v>498.45</v>
      </c>
      <c r="G4329" s="7">
        <f t="shared" si="525"/>
        <v>0.49844518005818</v>
      </c>
    </row>
    <row r="4330" spans="1:7">
      <c r="A4330" s="14" t="s">
        <v>5880</v>
      </c>
      <c r="B4330" s="12" t="s">
        <v>5855</v>
      </c>
      <c r="C4330" s="13" t="s">
        <v>11</v>
      </c>
      <c r="D4330" s="17">
        <v>1151.05</v>
      </c>
      <c r="F4330" s="6">
        <v>831.3</v>
      </c>
      <c r="G4330" s="7">
        <f t="shared" si="525"/>
        <v>0.384638517983881</v>
      </c>
    </row>
    <row r="4331" spans="1:7">
      <c r="A4331" s="14" t="s">
        <v>5881</v>
      </c>
      <c r="B4331" s="12" t="s">
        <v>5857</v>
      </c>
      <c r="C4331" s="13" t="s">
        <v>11</v>
      </c>
      <c r="D4331" s="17">
        <v>1628.85</v>
      </c>
      <c r="F4331" s="6">
        <v>1217.6</v>
      </c>
      <c r="G4331" s="7">
        <f t="shared" si="525"/>
        <v>0.337754599211564</v>
      </c>
    </row>
    <row r="4332" ht="93" spans="1:7">
      <c r="A4332" s="18">
        <v>26.39</v>
      </c>
      <c r="B4332" s="15" t="s">
        <v>5882</v>
      </c>
      <c r="C4332" s="13" t="s">
        <v>126</v>
      </c>
      <c r="D4332" s="17">
        <v>236.9</v>
      </c>
      <c r="F4332" s="6">
        <v>147.5</v>
      </c>
      <c r="G4332" s="7">
        <f t="shared" si="525"/>
        <v>0.606101694915254</v>
      </c>
    </row>
    <row r="4333" ht="62" spans="1:7">
      <c r="A4333" s="18">
        <v>26.4</v>
      </c>
      <c r="B4333" s="15" t="s">
        <v>5883</v>
      </c>
      <c r="C4333" s="13" t="s">
        <v>11</v>
      </c>
      <c r="D4333" s="17">
        <v>902.55</v>
      </c>
      <c r="F4333" s="6">
        <v>601.6</v>
      </c>
      <c r="G4333" s="7">
        <f t="shared" si="525"/>
        <v>0.500249335106383</v>
      </c>
    </row>
    <row r="4334" spans="1:7">
      <c r="A4334" s="14"/>
      <c r="B4334" s="15" t="s">
        <v>5884</v>
      </c>
      <c r="C4334" s="13"/>
      <c r="D4334" s="16"/>
    </row>
    <row r="4335" ht="409.5" spans="1:7">
      <c r="A4335" s="18">
        <v>26.41</v>
      </c>
      <c r="B4335" s="15" t="s">
        <v>5885</v>
      </c>
      <c r="C4335" s="13" t="s">
        <v>478</v>
      </c>
      <c r="D4335" s="17">
        <v>285.9</v>
      </c>
      <c r="F4335" s="6">
        <v>174.1</v>
      </c>
      <c r="G4335" s="7">
        <f>(D4335-F4335)/F4335</f>
        <v>0.642159678345778</v>
      </c>
    </row>
    <row r="4336" ht="155" spans="1:7">
      <c r="A4336" s="14">
        <v>26.42</v>
      </c>
      <c r="B4336" s="15" t="s">
        <v>5886</v>
      </c>
      <c r="C4336" s="13"/>
      <c r="D4336" s="16"/>
    </row>
    <row r="4337" ht="77.5" spans="1:7">
      <c r="A4337" s="14" t="s">
        <v>5887</v>
      </c>
      <c r="B4337" s="12" t="s">
        <v>5888</v>
      </c>
      <c r="C4337" s="13" t="s">
        <v>11</v>
      </c>
      <c r="D4337" s="17">
        <v>3580.65</v>
      </c>
    </row>
    <row r="4338" ht="77.5" spans="1:7">
      <c r="A4338" s="14" t="s">
        <v>5889</v>
      </c>
      <c r="B4338" s="12" t="s">
        <v>5890</v>
      </c>
      <c r="C4338" s="13" t="s">
        <v>11</v>
      </c>
      <c r="D4338" s="17">
        <v>2821.65</v>
      </c>
    </row>
    <row r="4339" ht="77.5" spans="1:7">
      <c r="A4339" s="14" t="s">
        <v>5891</v>
      </c>
      <c r="B4339" s="12" t="s">
        <v>5892</v>
      </c>
      <c r="C4339" s="13" t="s">
        <v>11</v>
      </c>
      <c r="D4339" s="17">
        <v>3167.85</v>
      </c>
    </row>
    <row r="4340" ht="108.5" spans="1:7">
      <c r="A4340" s="14">
        <v>26.43</v>
      </c>
      <c r="B4340" s="15" t="s">
        <v>5893</v>
      </c>
      <c r="C4340" s="13"/>
      <c r="D4340" s="16"/>
    </row>
    <row r="4341" ht="31" spans="1:7">
      <c r="A4341" s="14" t="s">
        <v>5894</v>
      </c>
      <c r="B4341" s="12" t="s">
        <v>5895</v>
      </c>
      <c r="C4341" s="13" t="s">
        <v>11</v>
      </c>
      <c r="D4341" s="17">
        <v>2221.05</v>
      </c>
    </row>
    <row r="4342" ht="31" spans="1:7">
      <c r="A4342" s="14" t="s">
        <v>5896</v>
      </c>
      <c r="B4342" s="12" t="s">
        <v>5897</v>
      </c>
      <c r="C4342" s="13" t="s">
        <v>11</v>
      </c>
      <c r="D4342" s="17">
        <v>2189.75</v>
      </c>
    </row>
    <row r="4343" ht="46.5" spans="1:7">
      <c r="A4343" s="18">
        <v>26.44</v>
      </c>
      <c r="B4343" s="15" t="s">
        <v>5898</v>
      </c>
      <c r="C4343" s="13" t="s">
        <v>11</v>
      </c>
      <c r="D4343" s="17">
        <v>298.75</v>
      </c>
      <c r="F4343" s="6">
        <v>238.05</v>
      </c>
      <c r="G4343" s="7">
        <f>(D4343-F4343)/F4343</f>
        <v>0.254988447805083</v>
      </c>
    </row>
    <row r="4344" ht="46.5" spans="1:7">
      <c r="A4344" s="14">
        <v>26.45</v>
      </c>
      <c r="B4344" s="15" t="s">
        <v>5899</v>
      </c>
      <c r="C4344" s="13"/>
      <c r="D4344" s="16"/>
    </row>
    <row r="4345" ht="31" spans="1:7">
      <c r="A4345" s="14" t="s">
        <v>5900</v>
      </c>
      <c r="B4345" s="12" t="s">
        <v>5901</v>
      </c>
      <c r="C4345" s="13" t="s">
        <v>11</v>
      </c>
      <c r="D4345" s="17">
        <v>1430.15</v>
      </c>
    </row>
    <row r="4346" ht="31" spans="1:7">
      <c r="A4346" s="14" t="s">
        <v>5902</v>
      </c>
      <c r="B4346" s="12" t="s">
        <v>5903</v>
      </c>
      <c r="C4346" s="13" t="s">
        <v>11</v>
      </c>
      <c r="D4346" s="17">
        <v>991.95</v>
      </c>
    </row>
    <row r="4347" ht="201.5" spans="1:7">
      <c r="A4347" s="18">
        <v>26.46</v>
      </c>
      <c r="B4347" s="15" t="s">
        <v>5904</v>
      </c>
      <c r="C4347" s="13" t="s">
        <v>11</v>
      </c>
      <c r="D4347" s="17">
        <v>4347.15</v>
      </c>
      <c r="F4347" s="6">
        <v>3246.15</v>
      </c>
      <c r="G4347" s="7">
        <f t="shared" ref="G4347:G4350" si="526">(D4347-F4347)/F4347</f>
        <v>0.33917101797514</v>
      </c>
    </row>
    <row r="4348" spans="1:7">
      <c r="A4348" s="30"/>
      <c r="B4348" s="31"/>
      <c r="C4348" s="8"/>
      <c r="D4348" s="8"/>
    </row>
    <row r="4349" ht="201.5" spans="1:7">
      <c r="A4349" s="18">
        <v>26.47</v>
      </c>
      <c r="B4349" s="15" t="s">
        <v>5905</v>
      </c>
      <c r="C4349" s="13" t="s">
        <v>11</v>
      </c>
      <c r="D4349" s="17">
        <v>4701.6</v>
      </c>
      <c r="F4349" s="6">
        <v>3436.35</v>
      </c>
      <c r="G4349" s="7">
        <f t="shared" si="526"/>
        <v>0.368195905539308</v>
      </c>
    </row>
    <row r="4350" ht="387.5" spans="1:7">
      <c r="A4350" s="18">
        <v>26.48</v>
      </c>
      <c r="B4350" s="15" t="s">
        <v>5906</v>
      </c>
      <c r="C4350" s="13" t="s">
        <v>11</v>
      </c>
      <c r="D4350" s="17">
        <v>451.35</v>
      </c>
      <c r="F4350" s="6">
        <v>149.45</v>
      </c>
      <c r="G4350" s="7">
        <f t="shared" si="526"/>
        <v>2.02007360321178</v>
      </c>
    </row>
    <row r="4351" ht="248" spans="1:7">
      <c r="A4351" s="18">
        <v>26.49</v>
      </c>
      <c r="B4351" s="15" t="s">
        <v>5907</v>
      </c>
      <c r="C4351" s="13"/>
      <c r="D4351" s="16"/>
    </row>
    <row r="4352" spans="1:7">
      <c r="A4352" s="14" t="s">
        <v>5908</v>
      </c>
      <c r="B4352" s="12" t="s">
        <v>5909</v>
      </c>
      <c r="C4352" s="13" t="s">
        <v>11</v>
      </c>
      <c r="D4352" s="17">
        <v>1315.7</v>
      </c>
      <c r="F4352" s="6">
        <v>1123.3</v>
      </c>
      <c r="G4352" s="7">
        <f t="shared" ref="G4352:G4356" si="527">(D4352-F4352)/F4352</f>
        <v>0.171281046915339</v>
      </c>
    </row>
    <row r="4353" spans="1:7">
      <c r="A4353" s="14" t="s">
        <v>5910</v>
      </c>
      <c r="B4353" s="12" t="s">
        <v>5911</v>
      </c>
      <c r="C4353" s="13" t="s">
        <v>11</v>
      </c>
      <c r="D4353" s="17">
        <v>1487.5</v>
      </c>
      <c r="F4353" s="6">
        <v>1277.45</v>
      </c>
      <c r="G4353" s="7">
        <f t="shared" si="527"/>
        <v>0.164429136169713</v>
      </c>
    </row>
    <row r="4354" spans="1:7">
      <c r="A4354" s="14" t="s">
        <v>5912</v>
      </c>
      <c r="B4354" s="12" t="s">
        <v>5913</v>
      </c>
      <c r="C4354" s="13" t="s">
        <v>11</v>
      </c>
      <c r="D4354" s="17">
        <v>1840.05</v>
      </c>
      <c r="F4354" s="6">
        <v>1561.9</v>
      </c>
      <c r="G4354" s="7">
        <f t="shared" si="527"/>
        <v>0.178084384403611</v>
      </c>
    </row>
    <row r="4355" spans="1:7">
      <c r="A4355" s="14" t="s">
        <v>5914</v>
      </c>
      <c r="B4355" s="12" t="s">
        <v>5915</v>
      </c>
      <c r="C4355" s="13" t="s">
        <v>11</v>
      </c>
      <c r="D4355" s="17">
        <v>2141.8</v>
      </c>
      <c r="F4355" s="6">
        <v>1871.7</v>
      </c>
      <c r="G4355" s="7">
        <f t="shared" si="527"/>
        <v>0.144307314206337</v>
      </c>
    </row>
    <row r="4356" spans="1:7">
      <c r="A4356" s="14" t="s">
        <v>5916</v>
      </c>
      <c r="B4356" s="12" t="s">
        <v>5917</v>
      </c>
      <c r="C4356" s="13" t="s">
        <v>11</v>
      </c>
      <c r="D4356" s="17">
        <v>2518.2</v>
      </c>
      <c r="F4356" s="6">
        <v>2215</v>
      </c>
      <c r="G4356" s="7">
        <f t="shared" si="527"/>
        <v>0.136884875846501</v>
      </c>
    </row>
    <row r="4357" ht="232.5" spans="1:7">
      <c r="A4357" s="18">
        <v>26.5</v>
      </c>
      <c r="B4357" s="15" t="s">
        <v>5918</v>
      </c>
      <c r="C4357" s="13"/>
      <c r="D4357" s="16"/>
    </row>
    <row r="4358" ht="31" spans="1:7">
      <c r="A4358" s="14" t="s">
        <v>5919</v>
      </c>
      <c r="B4358" s="12" t="s">
        <v>5920</v>
      </c>
      <c r="C4358" s="13" t="s">
        <v>11</v>
      </c>
      <c r="D4358" s="17">
        <v>1527.5</v>
      </c>
      <c r="F4358" s="6">
        <v>1200</v>
      </c>
      <c r="G4358" s="7">
        <f>(D4358-F4358)/F4358</f>
        <v>0.272916666666667</v>
      </c>
    </row>
    <row r="4359" ht="31" spans="1:7">
      <c r="A4359" s="14" t="s">
        <v>5921</v>
      </c>
      <c r="B4359" s="12" t="s">
        <v>5922</v>
      </c>
      <c r="C4359" s="13" t="s">
        <v>11</v>
      </c>
      <c r="D4359" s="17">
        <v>1635.05</v>
      </c>
    </row>
    <row r="4360" ht="31" spans="1:7">
      <c r="A4360" s="14" t="s">
        <v>5923</v>
      </c>
      <c r="B4360" s="12" t="s">
        <v>5924</v>
      </c>
      <c r="C4360" s="13" t="s">
        <v>11</v>
      </c>
      <c r="D4360" s="17">
        <v>2068.25</v>
      </c>
    </row>
    <row r="4361" ht="31" spans="1:7">
      <c r="A4361" s="14" t="s">
        <v>5925</v>
      </c>
      <c r="B4361" s="12" t="s">
        <v>5926</v>
      </c>
      <c r="C4361" s="13" t="s">
        <v>11</v>
      </c>
      <c r="D4361" s="17">
        <v>1841.2</v>
      </c>
      <c r="F4361" s="6">
        <v>1417.75</v>
      </c>
      <c r="G4361" s="7">
        <f>(D4361-F4361)/F4361</f>
        <v>0.298677481925586</v>
      </c>
    </row>
    <row r="4362" ht="31" spans="1:7">
      <c r="A4362" s="14" t="s">
        <v>5927</v>
      </c>
      <c r="B4362" s="12" t="s">
        <v>5928</v>
      </c>
      <c r="C4362" s="13" t="s">
        <v>11</v>
      </c>
      <c r="D4362" s="17">
        <v>1784.4</v>
      </c>
    </row>
    <row r="4363" ht="31" spans="1:7">
      <c r="A4363" s="14" t="s">
        <v>5929</v>
      </c>
      <c r="B4363" s="12" t="s">
        <v>5930</v>
      </c>
      <c r="C4363" s="13" t="s">
        <v>11</v>
      </c>
      <c r="D4363" s="17">
        <v>2326.65</v>
      </c>
    </row>
    <row r="4364" ht="170.5" spans="1:7">
      <c r="A4364" s="18">
        <v>26.51</v>
      </c>
      <c r="B4364" s="15" t="s">
        <v>5931</v>
      </c>
      <c r="C4364" s="13" t="s">
        <v>11</v>
      </c>
      <c r="D4364" s="17">
        <v>1477.3</v>
      </c>
    </row>
    <row r="4365" ht="325.5" spans="1:7">
      <c r="A4365" s="18">
        <v>26.52</v>
      </c>
      <c r="B4365" s="15" t="s">
        <v>5932</v>
      </c>
      <c r="C4365" s="13" t="s">
        <v>11</v>
      </c>
      <c r="D4365" s="17">
        <v>283.25</v>
      </c>
    </row>
    <row r="4366" ht="248" spans="1:7">
      <c r="A4366" s="18">
        <v>26.53</v>
      </c>
      <c r="B4366" s="15" t="s">
        <v>5933</v>
      </c>
      <c r="C4366" s="13" t="s">
        <v>14</v>
      </c>
      <c r="D4366" s="17">
        <v>2604.3</v>
      </c>
    </row>
    <row r="4367" ht="186" spans="1:7">
      <c r="A4367" s="18">
        <v>26.54</v>
      </c>
      <c r="B4367" s="15" t="s">
        <v>5934</v>
      </c>
      <c r="C4367" s="13" t="s">
        <v>11</v>
      </c>
      <c r="D4367" s="17">
        <v>287.4</v>
      </c>
    </row>
    <row r="4368" ht="46.5" spans="1:7">
      <c r="A4368" s="18">
        <v>26.55</v>
      </c>
      <c r="B4368" s="15" t="s">
        <v>5935</v>
      </c>
      <c r="C4368" s="13" t="s">
        <v>11</v>
      </c>
      <c r="D4368" s="17">
        <v>254.75</v>
      </c>
    </row>
    <row r="4369" ht="108.5" spans="1:4">
      <c r="A4369" s="18">
        <v>26.56</v>
      </c>
      <c r="B4369" s="15" t="s">
        <v>5936</v>
      </c>
      <c r="C4369" s="13" t="s">
        <v>11</v>
      </c>
      <c r="D4369" s="17">
        <v>371.25</v>
      </c>
    </row>
    <row r="4370" ht="93" spans="1:4">
      <c r="A4370" s="18">
        <v>26.57</v>
      </c>
      <c r="B4370" s="15" t="s">
        <v>5937</v>
      </c>
      <c r="C4370" s="13" t="s">
        <v>39</v>
      </c>
      <c r="D4370" s="17">
        <v>92.45</v>
      </c>
    </row>
    <row r="4371" ht="93" spans="1:4">
      <c r="A4371" s="18">
        <v>26.58</v>
      </c>
      <c r="B4371" s="15" t="s">
        <v>5938</v>
      </c>
      <c r="C4371" s="13" t="s">
        <v>39</v>
      </c>
      <c r="D4371" s="17">
        <v>49.3</v>
      </c>
    </row>
    <row r="4372" ht="62" spans="1:4">
      <c r="A4372" s="18">
        <v>26.59</v>
      </c>
      <c r="B4372" s="15" t="s">
        <v>5939</v>
      </c>
      <c r="C4372" s="13" t="s">
        <v>39</v>
      </c>
      <c r="D4372" s="17">
        <v>49.95</v>
      </c>
    </row>
    <row r="4373" ht="77.5" spans="1:4">
      <c r="A4373" s="18">
        <v>26.6</v>
      </c>
      <c r="B4373" s="15" t="s">
        <v>5940</v>
      </c>
      <c r="C4373" s="13" t="s">
        <v>11</v>
      </c>
      <c r="D4373" s="17">
        <v>136.45</v>
      </c>
    </row>
    <row r="4374" ht="62" spans="1:4">
      <c r="A4374" s="18">
        <v>26.61</v>
      </c>
      <c r="B4374" s="15" t="s">
        <v>5941</v>
      </c>
      <c r="C4374" s="13" t="s">
        <v>39</v>
      </c>
      <c r="D4374" s="17">
        <v>49.93</v>
      </c>
    </row>
    <row r="4375" ht="77.5" spans="1:4">
      <c r="A4375" s="18">
        <v>26.62</v>
      </c>
      <c r="B4375" s="15" t="s">
        <v>5942</v>
      </c>
      <c r="C4375" s="13" t="s">
        <v>478</v>
      </c>
      <c r="D4375" s="17">
        <v>182.05</v>
      </c>
    </row>
    <row r="4376" ht="46.5" spans="1:4">
      <c r="A4376" s="18">
        <v>26.63</v>
      </c>
      <c r="B4376" s="15" t="s">
        <v>5943</v>
      </c>
      <c r="C4376" s="13" t="s">
        <v>478</v>
      </c>
      <c r="D4376" s="17">
        <v>27.1</v>
      </c>
    </row>
    <row r="4377" ht="31" spans="1:4">
      <c r="A4377" s="18">
        <v>26.64</v>
      </c>
      <c r="B4377" s="15" t="s">
        <v>5944</v>
      </c>
      <c r="C4377" s="13"/>
      <c r="D4377" s="16"/>
    </row>
    <row r="4378" spans="1:4">
      <c r="A4378" s="14" t="s">
        <v>5945</v>
      </c>
      <c r="B4378" s="12" t="s">
        <v>5946</v>
      </c>
      <c r="C4378" s="13" t="s">
        <v>11</v>
      </c>
      <c r="D4378" s="17">
        <v>106.8</v>
      </c>
    </row>
    <row r="4379" ht="77.5" spans="1:4">
      <c r="A4379" s="18">
        <v>26.65</v>
      </c>
      <c r="B4379" s="15" t="s">
        <v>5947</v>
      </c>
      <c r="C4379" s="13" t="s">
        <v>11</v>
      </c>
      <c r="D4379" s="17">
        <v>1525.6</v>
      </c>
    </row>
    <row r="4380" ht="186" spans="1:4">
      <c r="A4380" s="18">
        <v>26.66</v>
      </c>
      <c r="B4380" s="15" t="s">
        <v>5948</v>
      </c>
      <c r="C4380" s="13" t="s">
        <v>11</v>
      </c>
      <c r="D4380" s="17">
        <v>2673.7</v>
      </c>
    </row>
    <row r="4381" ht="263.5" spans="1:4">
      <c r="A4381" s="18">
        <v>26.67</v>
      </c>
      <c r="B4381" s="15" t="s">
        <v>5949</v>
      </c>
      <c r="C4381" s="13" t="s">
        <v>11</v>
      </c>
      <c r="D4381" s="17">
        <v>3935.35</v>
      </c>
    </row>
    <row r="4382" ht="31" spans="1:4">
      <c r="A4382" s="18">
        <v>26.68</v>
      </c>
      <c r="B4382" s="15" t="s">
        <v>5950</v>
      </c>
      <c r="C4382" s="13"/>
      <c r="D4382" s="17"/>
    </row>
    <row r="4383" spans="1:4">
      <c r="A4383" s="14" t="s">
        <v>5951</v>
      </c>
      <c r="B4383" s="12" t="s">
        <v>633</v>
      </c>
      <c r="C4383" s="13" t="s">
        <v>14</v>
      </c>
      <c r="D4383" s="17">
        <v>7387.25</v>
      </c>
    </row>
    <row r="4384" ht="46.5" spans="1:4">
      <c r="A4384" s="18">
        <v>26.69</v>
      </c>
      <c r="B4384" s="15" t="s">
        <v>5952</v>
      </c>
      <c r="C4384" s="13"/>
      <c r="D4384" s="17"/>
    </row>
    <row r="4385" spans="1:7">
      <c r="A4385" s="14" t="s">
        <v>5953</v>
      </c>
      <c r="B4385" s="12" t="s">
        <v>633</v>
      </c>
      <c r="C4385" s="13" t="s">
        <v>14</v>
      </c>
      <c r="D4385" s="17">
        <v>9844.65</v>
      </c>
    </row>
    <row r="4386" ht="46.5" spans="1:7">
      <c r="A4386" s="18">
        <v>26.7</v>
      </c>
      <c r="B4386" s="15" t="s">
        <v>5954</v>
      </c>
      <c r="C4386" s="13"/>
      <c r="D4386" s="17"/>
    </row>
    <row r="4387" spans="1:7">
      <c r="A4387" s="14" t="s">
        <v>5955</v>
      </c>
      <c r="B4387" s="12" t="s">
        <v>5956</v>
      </c>
      <c r="C4387" s="13" t="s">
        <v>11</v>
      </c>
      <c r="D4387" s="17">
        <v>897.15</v>
      </c>
    </row>
    <row r="4388" ht="46.5" spans="1:7">
      <c r="A4388" s="18">
        <v>26.71</v>
      </c>
      <c r="B4388" s="15" t="s">
        <v>5957</v>
      </c>
      <c r="C4388" s="13"/>
      <c r="D4388" s="17"/>
    </row>
    <row r="4389" spans="1:7">
      <c r="A4389" s="14" t="s">
        <v>5958</v>
      </c>
      <c r="B4389" s="12" t="s">
        <v>631</v>
      </c>
      <c r="C4389" s="13" t="s">
        <v>11</v>
      </c>
      <c r="D4389" s="17">
        <v>1099.15</v>
      </c>
    </row>
    <row r="4390" ht="77.5" spans="1:7">
      <c r="A4390" s="18">
        <v>26.72</v>
      </c>
      <c r="B4390" s="15" t="s">
        <v>5959</v>
      </c>
      <c r="C4390" s="13" t="s">
        <v>11</v>
      </c>
      <c r="D4390" s="17">
        <v>829.75</v>
      </c>
    </row>
    <row r="4391" spans="1:7">
      <c r="A4391" s="14"/>
      <c r="B4391" s="15" t="s">
        <v>5960</v>
      </c>
      <c r="C4391" s="13"/>
      <c r="D4391" s="16"/>
      <c r="E4391" s="5" t="s">
        <v>8</v>
      </c>
    </row>
    <row r="4392" ht="155" spans="1:7">
      <c r="A4392" s="18">
        <v>26.73</v>
      </c>
      <c r="B4392" s="15" t="s">
        <v>5961</v>
      </c>
      <c r="C4392" s="13"/>
      <c r="D4392" s="16"/>
      <c r="E4392" s="5" t="s">
        <v>8</v>
      </c>
    </row>
    <row r="4393" ht="31" spans="1:7">
      <c r="A4393" s="18"/>
      <c r="B4393" s="15" t="s">
        <v>5962</v>
      </c>
      <c r="C4393" s="13"/>
      <c r="D4393" s="16"/>
    </row>
    <row r="4394" spans="1:7">
      <c r="A4394" s="14" t="s">
        <v>5963</v>
      </c>
      <c r="B4394" s="12" t="s">
        <v>5964</v>
      </c>
      <c r="C4394" s="13"/>
      <c r="D4394" s="16"/>
      <c r="E4394" s="5" t="s">
        <v>8</v>
      </c>
    </row>
    <row r="4395" spans="1:7">
      <c r="A4395" s="14" t="s">
        <v>5965</v>
      </c>
      <c r="B4395" s="12" t="s">
        <v>5966</v>
      </c>
      <c r="C4395" s="13" t="s">
        <v>39</v>
      </c>
      <c r="D4395" s="17">
        <v>1287.25</v>
      </c>
      <c r="E4395" s="5" t="s">
        <v>8</v>
      </c>
      <c r="F4395" s="6">
        <v>878.65</v>
      </c>
      <c r="G4395" s="7">
        <f t="shared" ref="G4395:G4402" si="528">(D4395-F4395)/F4395</f>
        <v>0.465031582541399</v>
      </c>
    </row>
    <row r="4396" spans="1:7">
      <c r="A4396" s="14" t="s">
        <v>5967</v>
      </c>
      <c r="B4396" s="12" t="s">
        <v>5968</v>
      </c>
      <c r="C4396" s="13" t="s">
        <v>39</v>
      </c>
      <c r="D4396" s="17">
        <v>1501.4</v>
      </c>
      <c r="E4396" s="5" t="s">
        <v>8</v>
      </c>
      <c r="F4396" s="6">
        <v>1032.55</v>
      </c>
      <c r="G4396" s="7">
        <f t="shared" si="528"/>
        <v>0.454070020822236</v>
      </c>
    </row>
    <row r="4397" spans="1:7">
      <c r="A4397" s="14" t="s">
        <v>5969</v>
      </c>
      <c r="B4397" s="12" t="s">
        <v>5970</v>
      </c>
      <c r="C4397" s="13" t="s">
        <v>39</v>
      </c>
      <c r="D4397" s="17">
        <v>1822.6</v>
      </c>
      <c r="E4397" s="5" t="s">
        <v>8</v>
      </c>
      <c r="F4397" s="6">
        <v>1263.45</v>
      </c>
      <c r="G4397" s="7">
        <f t="shared" si="528"/>
        <v>0.442558075111797</v>
      </c>
    </row>
    <row r="4398" spans="1:7">
      <c r="A4398" s="14" t="s">
        <v>5971</v>
      </c>
      <c r="B4398" s="12" t="s">
        <v>5972</v>
      </c>
      <c r="C4398" s="13" t="s">
        <v>39</v>
      </c>
      <c r="D4398" s="17">
        <v>2217</v>
      </c>
      <c r="E4398" s="5" t="s">
        <v>8</v>
      </c>
      <c r="F4398" s="6">
        <v>1546.55</v>
      </c>
      <c r="G4398" s="7">
        <f t="shared" si="528"/>
        <v>0.433513303805244</v>
      </c>
    </row>
    <row r="4399" spans="1:7">
      <c r="A4399" s="14" t="s">
        <v>5973</v>
      </c>
      <c r="B4399" s="12" t="s">
        <v>5974</v>
      </c>
      <c r="C4399" s="13" t="s">
        <v>39</v>
      </c>
      <c r="D4399" s="17">
        <v>2717.1</v>
      </c>
      <c r="E4399" s="5" t="s">
        <v>8</v>
      </c>
      <c r="F4399" s="6">
        <v>1905.95</v>
      </c>
      <c r="G4399" s="7">
        <f t="shared" si="528"/>
        <v>0.425588289304546</v>
      </c>
    </row>
    <row r="4400" spans="1:7">
      <c r="A4400" s="14" t="s">
        <v>5975</v>
      </c>
      <c r="B4400" s="12" t="s">
        <v>5976</v>
      </c>
      <c r="C4400" s="13" t="s">
        <v>39</v>
      </c>
      <c r="D4400" s="17">
        <v>3217.2</v>
      </c>
      <c r="E4400" s="5" t="s">
        <v>8</v>
      </c>
      <c r="F4400" s="6">
        <v>2265.3</v>
      </c>
      <c r="G4400" s="7">
        <f t="shared" si="528"/>
        <v>0.420209243808767</v>
      </c>
    </row>
    <row r="4401" spans="1:7">
      <c r="A4401" s="14" t="s">
        <v>5977</v>
      </c>
      <c r="B4401" s="12" t="s">
        <v>5978</v>
      </c>
      <c r="C4401" s="13" t="s">
        <v>39</v>
      </c>
      <c r="D4401" s="17">
        <v>3717.25</v>
      </c>
      <c r="E4401" s="5" t="s">
        <v>8</v>
      </c>
      <c r="F4401" s="6">
        <v>2624.7</v>
      </c>
      <c r="G4401" s="7">
        <f t="shared" si="528"/>
        <v>0.416257096049072</v>
      </c>
    </row>
    <row r="4402" spans="1:7">
      <c r="A4402" s="14" t="s">
        <v>5979</v>
      </c>
      <c r="B4402" s="12" t="s">
        <v>5980</v>
      </c>
      <c r="C4402" s="13" t="s">
        <v>39</v>
      </c>
      <c r="D4402" s="17">
        <v>4217.35</v>
      </c>
      <c r="E4402" s="5" t="s">
        <v>8</v>
      </c>
      <c r="F4402" s="6">
        <v>2984.1</v>
      </c>
      <c r="G4402" s="7">
        <f t="shared" si="528"/>
        <v>0.41327368385778</v>
      </c>
    </row>
    <row r="4403" spans="1:7">
      <c r="A4403" s="14" t="s">
        <v>5981</v>
      </c>
      <c r="B4403" s="12" t="s">
        <v>5982</v>
      </c>
      <c r="C4403" s="13"/>
      <c r="D4403" s="16"/>
      <c r="E4403" s="5" t="s">
        <v>8</v>
      </c>
    </row>
    <row r="4404" spans="1:7">
      <c r="A4404" s="14" t="s">
        <v>5983</v>
      </c>
      <c r="B4404" s="12" t="s">
        <v>5984</v>
      </c>
      <c r="C4404" s="13" t="s">
        <v>39</v>
      </c>
      <c r="D4404" s="17">
        <v>18.4</v>
      </c>
      <c r="E4404" s="5" t="s">
        <v>8</v>
      </c>
      <c r="F4404" s="6">
        <v>17.1</v>
      </c>
      <c r="G4404" s="7">
        <f t="shared" ref="G4404:G4411" si="529">(D4404-F4404)/F4404</f>
        <v>0.0760233918128653</v>
      </c>
    </row>
    <row r="4405" spans="1:7">
      <c r="A4405" s="14" t="s">
        <v>5985</v>
      </c>
      <c r="B4405" s="12" t="s">
        <v>5986</v>
      </c>
      <c r="C4405" s="13" t="s">
        <v>39</v>
      </c>
      <c r="D4405" s="17">
        <v>22.1</v>
      </c>
      <c r="E4405" s="5" t="s">
        <v>8</v>
      </c>
      <c r="F4405" s="6">
        <v>20.55</v>
      </c>
      <c r="G4405" s="7">
        <f t="shared" si="529"/>
        <v>0.0754257907542579</v>
      </c>
    </row>
    <row r="4406" spans="1:7">
      <c r="A4406" s="14" t="s">
        <v>5987</v>
      </c>
      <c r="B4406" s="12" t="s">
        <v>5988</v>
      </c>
      <c r="C4406" s="13" t="s">
        <v>39</v>
      </c>
      <c r="D4406" s="17">
        <v>27.65</v>
      </c>
      <c r="E4406" s="5" t="s">
        <v>8</v>
      </c>
      <c r="F4406" s="6">
        <v>25.7</v>
      </c>
      <c r="G4406" s="7">
        <f t="shared" si="529"/>
        <v>0.0758754863813229</v>
      </c>
    </row>
    <row r="4407" spans="1:7">
      <c r="A4407" s="14" t="s">
        <v>5989</v>
      </c>
      <c r="B4407" s="12" t="s">
        <v>5990</v>
      </c>
      <c r="C4407" s="13" t="s">
        <v>39</v>
      </c>
      <c r="D4407" s="17">
        <v>34.4</v>
      </c>
      <c r="E4407" s="5" t="s">
        <v>8</v>
      </c>
      <c r="F4407" s="6">
        <v>31.95</v>
      </c>
      <c r="G4407" s="7">
        <f t="shared" si="529"/>
        <v>0.0766823161189358</v>
      </c>
    </row>
    <row r="4408" spans="1:7">
      <c r="A4408" s="14" t="s">
        <v>5991</v>
      </c>
      <c r="B4408" s="12" t="s">
        <v>5992</v>
      </c>
      <c r="C4408" s="13" t="s">
        <v>39</v>
      </c>
      <c r="D4408" s="17">
        <v>43</v>
      </c>
      <c r="E4408" s="5" t="s">
        <v>8</v>
      </c>
      <c r="F4408" s="6">
        <v>39.95</v>
      </c>
      <c r="G4408" s="7">
        <f t="shared" si="529"/>
        <v>0.0763454317897371</v>
      </c>
    </row>
    <row r="4409" spans="1:7">
      <c r="A4409" s="14" t="s">
        <v>5993</v>
      </c>
      <c r="B4409" s="12" t="s">
        <v>5994</v>
      </c>
      <c r="C4409" s="13" t="s">
        <v>39</v>
      </c>
      <c r="D4409" s="17">
        <v>51.6</v>
      </c>
      <c r="E4409" s="5" t="s">
        <v>8</v>
      </c>
      <c r="F4409" s="6">
        <v>47.95</v>
      </c>
      <c r="G4409" s="7">
        <f t="shared" si="529"/>
        <v>0.0761209593326381</v>
      </c>
    </row>
    <row r="4410" spans="1:7">
      <c r="A4410" s="14" t="s">
        <v>5995</v>
      </c>
      <c r="B4410" s="12" t="s">
        <v>5996</v>
      </c>
      <c r="C4410" s="13" t="s">
        <v>39</v>
      </c>
      <c r="D4410" s="17">
        <v>60.2</v>
      </c>
      <c r="E4410" s="5" t="s">
        <v>8</v>
      </c>
      <c r="F4410" s="6">
        <v>55.95</v>
      </c>
      <c r="G4410" s="7">
        <f t="shared" si="529"/>
        <v>0.0759606791778373</v>
      </c>
    </row>
    <row r="4411" spans="1:7">
      <c r="A4411" s="14" t="s">
        <v>5997</v>
      </c>
      <c r="B4411" s="12" t="s">
        <v>5998</v>
      </c>
      <c r="C4411" s="13" t="s">
        <v>39</v>
      </c>
      <c r="D4411" s="17">
        <v>68.8</v>
      </c>
      <c r="E4411" s="5" t="s">
        <v>8</v>
      </c>
      <c r="F4411" s="6">
        <v>63.95</v>
      </c>
      <c r="G4411" s="7">
        <f t="shared" si="529"/>
        <v>0.0758405003909303</v>
      </c>
    </row>
    <row r="4412" spans="1:7">
      <c r="A4412" s="14" t="s">
        <v>5999</v>
      </c>
      <c r="B4412" s="12" t="s">
        <v>6000</v>
      </c>
      <c r="C4412" s="13"/>
      <c r="D4412" s="16"/>
      <c r="E4412" s="5" t="s">
        <v>8</v>
      </c>
    </row>
    <row r="4413" spans="1:7">
      <c r="A4413" s="14" t="s">
        <v>6001</v>
      </c>
      <c r="B4413" s="12" t="s">
        <v>5984</v>
      </c>
      <c r="C4413" s="13" t="s">
        <v>39</v>
      </c>
      <c r="D4413" s="17">
        <v>29.5</v>
      </c>
      <c r="E4413" s="5" t="s">
        <v>8</v>
      </c>
      <c r="F4413" s="6">
        <v>27.4</v>
      </c>
      <c r="G4413" s="7">
        <f t="shared" ref="G4413:G4420" si="530">(D4413-F4413)/F4413</f>
        <v>0.0766423357664234</v>
      </c>
    </row>
    <row r="4414" spans="1:7">
      <c r="A4414" s="14" t="s">
        <v>6002</v>
      </c>
      <c r="B4414" s="12" t="s">
        <v>5986</v>
      </c>
      <c r="C4414" s="13" t="s">
        <v>39</v>
      </c>
      <c r="D4414" s="17">
        <v>35.35</v>
      </c>
      <c r="E4414" s="5" t="s">
        <v>8</v>
      </c>
      <c r="F4414" s="6">
        <v>32.9</v>
      </c>
      <c r="G4414" s="7">
        <f t="shared" si="530"/>
        <v>0.0744680851063831</v>
      </c>
    </row>
    <row r="4415" spans="1:7">
      <c r="A4415" s="14" t="s">
        <v>6003</v>
      </c>
      <c r="B4415" s="12" t="s">
        <v>5988</v>
      </c>
      <c r="C4415" s="13" t="s">
        <v>39</v>
      </c>
      <c r="D4415" s="17">
        <v>44.2</v>
      </c>
      <c r="E4415" s="5" t="s">
        <v>8</v>
      </c>
      <c r="F4415" s="6">
        <v>41.1</v>
      </c>
      <c r="G4415" s="7">
        <f t="shared" si="530"/>
        <v>0.0754257907542579</v>
      </c>
    </row>
    <row r="4416" spans="1:7">
      <c r="A4416" s="14" t="s">
        <v>6004</v>
      </c>
      <c r="B4416" s="12" t="s">
        <v>5990</v>
      </c>
      <c r="C4416" s="13" t="s">
        <v>39</v>
      </c>
      <c r="D4416" s="17">
        <v>55</v>
      </c>
      <c r="E4416" s="5" t="s">
        <v>8</v>
      </c>
      <c r="F4416" s="6">
        <v>51.15</v>
      </c>
      <c r="G4416" s="7">
        <f t="shared" si="530"/>
        <v>0.0752688172043011</v>
      </c>
    </row>
    <row r="4417" spans="1:7">
      <c r="A4417" s="14" t="s">
        <v>6005</v>
      </c>
      <c r="B4417" s="12" t="s">
        <v>5992</v>
      </c>
      <c r="C4417" s="13" t="s">
        <v>39</v>
      </c>
      <c r="D4417" s="17">
        <v>68.8</v>
      </c>
      <c r="E4417" s="5" t="s">
        <v>8</v>
      </c>
      <c r="F4417" s="6">
        <v>63.95</v>
      </c>
      <c r="G4417" s="7">
        <f t="shared" si="530"/>
        <v>0.0758405003909303</v>
      </c>
    </row>
    <row r="4418" spans="1:7">
      <c r="A4418" s="14" t="s">
        <v>6006</v>
      </c>
      <c r="B4418" s="12" t="s">
        <v>5994</v>
      </c>
      <c r="C4418" s="13" t="s">
        <v>39</v>
      </c>
      <c r="D4418" s="17">
        <v>82.55</v>
      </c>
      <c r="E4418" s="5" t="s">
        <v>8</v>
      </c>
      <c r="F4418" s="6">
        <v>76.7</v>
      </c>
      <c r="G4418" s="7">
        <f t="shared" si="530"/>
        <v>0.0762711864406779</v>
      </c>
    </row>
    <row r="4419" spans="1:7">
      <c r="A4419" s="14" t="s">
        <v>6007</v>
      </c>
      <c r="B4419" s="12" t="s">
        <v>5996</v>
      </c>
      <c r="C4419" s="13" t="s">
        <v>39</v>
      </c>
      <c r="D4419" s="17">
        <v>96.3</v>
      </c>
      <c r="E4419" s="5" t="s">
        <v>8</v>
      </c>
      <c r="F4419" s="6">
        <v>89.5</v>
      </c>
      <c r="G4419" s="7">
        <f t="shared" si="530"/>
        <v>0.0759776536312849</v>
      </c>
    </row>
    <row r="4420" spans="1:7">
      <c r="A4420" s="14" t="s">
        <v>6008</v>
      </c>
      <c r="B4420" s="12" t="s">
        <v>5998</v>
      </c>
      <c r="C4420" s="13" t="s">
        <v>39</v>
      </c>
      <c r="D4420" s="17">
        <v>110.05</v>
      </c>
      <c r="E4420" s="5" t="s">
        <v>8</v>
      </c>
      <c r="F4420" s="6">
        <v>102.3</v>
      </c>
      <c r="G4420" s="7">
        <f t="shared" si="530"/>
        <v>0.0757575757575758</v>
      </c>
    </row>
    <row r="4421" ht="155" spans="1:7">
      <c r="A4421" s="18">
        <v>26.74</v>
      </c>
      <c r="B4421" s="15" t="s">
        <v>6009</v>
      </c>
      <c r="C4421" s="13"/>
      <c r="D4421" s="16"/>
      <c r="E4421" s="5" t="s">
        <v>8</v>
      </c>
    </row>
    <row r="4422" spans="1:7">
      <c r="A4422" s="14" t="s">
        <v>6010</v>
      </c>
      <c r="B4422" s="12" t="s">
        <v>6011</v>
      </c>
      <c r="C4422" s="13" t="s">
        <v>14</v>
      </c>
      <c r="D4422" s="17">
        <v>20928.7</v>
      </c>
      <c r="E4422" s="5" t="s">
        <v>8</v>
      </c>
      <c r="F4422" s="6">
        <v>13765.1</v>
      </c>
      <c r="G4422" s="7">
        <f t="shared" ref="G4422:G4426" si="531">(D4422-F4422)/F4422</f>
        <v>0.520417577787303</v>
      </c>
    </row>
    <row r="4423" spans="1:7">
      <c r="A4423" s="14" t="s">
        <v>6012</v>
      </c>
      <c r="B4423" s="12" t="s">
        <v>6013</v>
      </c>
      <c r="C4423" s="13" t="s">
        <v>14</v>
      </c>
      <c r="D4423" s="17">
        <v>245.65</v>
      </c>
      <c r="E4423" s="5" t="s">
        <v>8</v>
      </c>
      <c r="F4423" s="6">
        <v>228.3</v>
      </c>
      <c r="G4423" s="7">
        <f t="shared" si="531"/>
        <v>0.0759964958388086</v>
      </c>
    </row>
    <row r="4424" spans="1:7">
      <c r="A4424" s="14" t="s">
        <v>6014</v>
      </c>
      <c r="B4424" s="12" t="s">
        <v>6015</v>
      </c>
      <c r="C4424" s="13" t="s">
        <v>14</v>
      </c>
      <c r="D4424" s="17">
        <v>450.4</v>
      </c>
      <c r="E4424" s="5" t="s">
        <v>8</v>
      </c>
      <c r="F4424" s="6">
        <v>418.55</v>
      </c>
      <c r="G4424" s="7">
        <f t="shared" si="531"/>
        <v>0.0760960458726555</v>
      </c>
    </row>
    <row r="4425" spans="1:7">
      <c r="A4425" s="14" t="s">
        <v>6016</v>
      </c>
      <c r="B4425" s="12" t="s">
        <v>6017</v>
      </c>
      <c r="C4425" s="13" t="s">
        <v>14</v>
      </c>
      <c r="D4425" s="17">
        <v>573.2</v>
      </c>
      <c r="E4425" s="5" t="s">
        <v>8</v>
      </c>
      <c r="F4425" s="6">
        <v>532.75</v>
      </c>
      <c r="G4425" s="7">
        <f t="shared" si="531"/>
        <v>0.0759267949319569</v>
      </c>
    </row>
    <row r="4426" ht="77.5" spans="1:7">
      <c r="A4426" s="18">
        <v>26.75</v>
      </c>
      <c r="B4426" s="15" t="s">
        <v>6018</v>
      </c>
      <c r="C4426" s="13" t="s">
        <v>478</v>
      </c>
      <c r="D4426" s="17">
        <v>192.35</v>
      </c>
      <c r="E4426" s="5" t="s">
        <v>8</v>
      </c>
      <c r="F4426" s="6">
        <v>130.75</v>
      </c>
      <c r="G4426" s="7">
        <f t="shared" si="531"/>
        <v>0.47112810707457</v>
      </c>
    </row>
    <row r="4427" ht="46.5" spans="1:7">
      <c r="A4427" s="18">
        <v>26.76</v>
      </c>
      <c r="B4427" s="15" t="s">
        <v>6019</v>
      </c>
      <c r="C4427" s="13"/>
      <c r="D4427" s="16"/>
      <c r="E4427" s="5" t="s">
        <v>8</v>
      </c>
    </row>
    <row r="4428" spans="1:7">
      <c r="A4428" s="14" t="s">
        <v>6020</v>
      </c>
      <c r="B4428" s="12" t="s">
        <v>6021</v>
      </c>
      <c r="C4428" s="13" t="s">
        <v>6022</v>
      </c>
      <c r="D4428" s="17">
        <v>540.85</v>
      </c>
      <c r="E4428" s="5" t="s">
        <v>8</v>
      </c>
      <c r="F4428" s="6">
        <v>389.85</v>
      </c>
      <c r="G4428" s="7">
        <f t="shared" ref="G4428:G4433" si="532">(D4428-F4428)/F4428</f>
        <v>0.387328459663973</v>
      </c>
    </row>
    <row r="4429" spans="1:7">
      <c r="A4429" s="14" t="s">
        <v>6023</v>
      </c>
      <c r="B4429" s="12" t="s">
        <v>6024</v>
      </c>
      <c r="C4429" s="13" t="s">
        <v>6022</v>
      </c>
      <c r="D4429" s="17">
        <v>117.3</v>
      </c>
      <c r="E4429" s="5" t="s">
        <v>8</v>
      </c>
      <c r="F4429" s="6">
        <v>73</v>
      </c>
      <c r="G4429" s="7">
        <f t="shared" si="532"/>
        <v>0.606849315068493</v>
      </c>
    </row>
    <row r="4430" ht="93" spans="1:7">
      <c r="A4430" s="18">
        <v>26.77</v>
      </c>
      <c r="B4430" s="15" t="s">
        <v>6025</v>
      </c>
      <c r="C4430" s="13"/>
      <c r="D4430" s="16"/>
      <c r="E4430" s="5" t="s">
        <v>8</v>
      </c>
    </row>
    <row r="4431" spans="1:7">
      <c r="A4431" s="14" t="s">
        <v>6026</v>
      </c>
      <c r="B4431" s="12" t="s">
        <v>6027</v>
      </c>
      <c r="C4431" s="13" t="s">
        <v>11</v>
      </c>
      <c r="D4431" s="17">
        <v>203.5</v>
      </c>
      <c r="E4431" s="5" t="s">
        <v>8</v>
      </c>
      <c r="F4431" s="6">
        <v>217.45</v>
      </c>
      <c r="G4431" s="7">
        <f t="shared" si="532"/>
        <v>-0.0641526787767302</v>
      </c>
    </row>
    <row r="4432" spans="1:7">
      <c r="A4432" s="14" t="s">
        <v>6028</v>
      </c>
      <c r="B4432" s="12" t="s">
        <v>6029</v>
      </c>
      <c r="C4432" s="13" t="s">
        <v>11</v>
      </c>
      <c r="D4432" s="17">
        <v>345.15</v>
      </c>
      <c r="E4432" s="5" t="s">
        <v>8</v>
      </c>
      <c r="F4432" s="6">
        <v>367.15</v>
      </c>
      <c r="G4432" s="7">
        <f t="shared" si="532"/>
        <v>-0.0599210132098597</v>
      </c>
    </row>
    <row r="4433" spans="1:7">
      <c r="A4433" s="14" t="s">
        <v>6030</v>
      </c>
      <c r="B4433" s="12" t="s">
        <v>6031</v>
      </c>
      <c r="C4433" s="13" t="s">
        <v>14</v>
      </c>
      <c r="D4433" s="17">
        <v>2720.3</v>
      </c>
      <c r="E4433" s="5" t="s">
        <v>8</v>
      </c>
      <c r="F4433" s="6">
        <v>2642.6</v>
      </c>
      <c r="G4433" s="7">
        <f t="shared" si="532"/>
        <v>0.0294028608188906</v>
      </c>
    </row>
    <row r="4434" ht="31" spans="1:7">
      <c r="A4434" s="18">
        <v>26.78</v>
      </c>
      <c r="B4434" s="15" t="s">
        <v>6032</v>
      </c>
      <c r="C4434" s="13"/>
      <c r="D4434" s="16"/>
      <c r="E4434" s="5" t="s">
        <v>8</v>
      </c>
    </row>
    <row r="4435" spans="1:7">
      <c r="A4435" s="14" t="s">
        <v>6033</v>
      </c>
      <c r="B4435" s="12" t="s">
        <v>6034</v>
      </c>
      <c r="C4435" s="13" t="s">
        <v>39</v>
      </c>
      <c r="D4435" s="17">
        <v>178.95</v>
      </c>
      <c r="E4435" s="5" t="s">
        <v>8</v>
      </c>
    </row>
    <row r="4436" ht="46.5" spans="1:7">
      <c r="A4436" s="14">
        <v>26.79</v>
      </c>
      <c r="B4436" s="15" t="s">
        <v>6035</v>
      </c>
      <c r="C4436" s="13"/>
      <c r="D4436" s="16"/>
      <c r="E4436" s="5" t="s">
        <v>8</v>
      </c>
    </row>
    <row r="4437" spans="1:7">
      <c r="A4437" s="14" t="s">
        <v>6036</v>
      </c>
      <c r="B4437" s="12" t="s">
        <v>6037</v>
      </c>
      <c r="C4437" s="13" t="s">
        <v>126</v>
      </c>
      <c r="D4437" s="17">
        <v>28.9</v>
      </c>
      <c r="E4437" s="5" t="s">
        <v>8</v>
      </c>
      <c r="F4437" s="6">
        <v>17.55</v>
      </c>
      <c r="G4437" s="7">
        <f t="shared" ref="G4437:G4439" si="533">(D4437-F4437)/F4437</f>
        <v>0.646723646723647</v>
      </c>
    </row>
    <row r="4438" spans="1:7">
      <c r="A4438" s="14" t="s">
        <v>6038</v>
      </c>
      <c r="B4438" s="12" t="s">
        <v>6039</v>
      </c>
      <c r="C4438" s="13" t="s">
        <v>126</v>
      </c>
      <c r="D4438" s="17">
        <v>36</v>
      </c>
      <c r="E4438" s="5" t="s">
        <v>8</v>
      </c>
      <c r="F4438" s="6">
        <v>23.4</v>
      </c>
      <c r="G4438" s="7">
        <f t="shared" si="533"/>
        <v>0.538461538461539</v>
      </c>
    </row>
    <row r="4439" spans="1:7">
      <c r="A4439" s="14" t="s">
        <v>6040</v>
      </c>
      <c r="B4439" s="12" t="s">
        <v>6041</v>
      </c>
      <c r="C4439" s="13" t="s">
        <v>126</v>
      </c>
      <c r="D4439" s="17">
        <v>51.65</v>
      </c>
      <c r="E4439" s="5" t="s">
        <v>8</v>
      </c>
      <c r="F4439" s="6">
        <v>35</v>
      </c>
      <c r="G4439" s="7">
        <f t="shared" si="533"/>
        <v>0.475714285714286</v>
      </c>
    </row>
    <row r="4440" ht="62" spans="1:7">
      <c r="A4440" s="18">
        <v>26.8</v>
      </c>
      <c r="B4440" s="15" t="s">
        <v>6042</v>
      </c>
      <c r="C4440" s="13"/>
      <c r="D4440" s="16"/>
      <c r="E4440" s="5" t="s">
        <v>8</v>
      </c>
    </row>
    <row r="4441" ht="31" spans="1:7">
      <c r="A4441" s="14" t="s">
        <v>6043</v>
      </c>
      <c r="B4441" s="12" t="s">
        <v>6044</v>
      </c>
      <c r="C4441" s="13" t="s">
        <v>478</v>
      </c>
      <c r="D4441" s="17">
        <v>85.05</v>
      </c>
      <c r="E4441" s="5" t="s">
        <v>8</v>
      </c>
      <c r="F4441" s="6">
        <v>65</v>
      </c>
      <c r="G4441" s="7">
        <f>(D4441-F4441)/F4441</f>
        <v>0.308461538461538</v>
      </c>
    </row>
    <row r="4442" ht="124" spans="1:7">
      <c r="A4442" s="18">
        <v>26.81</v>
      </c>
      <c r="B4442" s="15" t="s">
        <v>6045</v>
      </c>
      <c r="C4442" s="13" t="s">
        <v>11</v>
      </c>
      <c r="D4442" s="17">
        <v>29.25</v>
      </c>
    </row>
    <row r="4443" ht="232.5" spans="1:7">
      <c r="A4443" s="18">
        <v>26.82</v>
      </c>
      <c r="B4443" s="15" t="s">
        <v>6046</v>
      </c>
      <c r="C4443" s="13" t="s">
        <v>11</v>
      </c>
      <c r="D4443" s="17">
        <v>2293.3</v>
      </c>
    </row>
    <row r="4444" ht="403" spans="1:7">
      <c r="A4444" s="18">
        <v>26.83</v>
      </c>
      <c r="B4444" s="15" t="s">
        <v>6047</v>
      </c>
      <c r="C4444" s="13" t="s">
        <v>11</v>
      </c>
      <c r="D4444" s="17">
        <v>762.75</v>
      </c>
    </row>
    <row r="4445" ht="93" spans="1:7">
      <c r="A4445" s="14">
        <v>26.84</v>
      </c>
      <c r="B4445" s="15" t="s">
        <v>6048</v>
      </c>
      <c r="C4445" s="13"/>
      <c r="D4445" s="16"/>
    </row>
    <row r="4446" ht="31" spans="1:7">
      <c r="A4446" s="14" t="s">
        <v>6049</v>
      </c>
      <c r="B4446" s="12" t="s">
        <v>6050</v>
      </c>
      <c r="C4446" s="13" t="s">
        <v>11</v>
      </c>
      <c r="D4446" s="17">
        <v>271.45</v>
      </c>
    </row>
    <row r="4447" ht="31" spans="1:7">
      <c r="A4447" s="14" t="s">
        <v>6051</v>
      </c>
      <c r="B4447" s="12" t="s">
        <v>6052</v>
      </c>
      <c r="C4447" s="13" t="s">
        <v>11</v>
      </c>
      <c r="D4447" s="17">
        <v>310.3</v>
      </c>
    </row>
    <row r="4448" ht="31" spans="1:7">
      <c r="A4448" s="14" t="s">
        <v>6053</v>
      </c>
      <c r="B4448" s="12" t="s">
        <v>6054</v>
      </c>
      <c r="C4448" s="13" t="s">
        <v>11</v>
      </c>
      <c r="D4448" s="17">
        <v>385</v>
      </c>
    </row>
    <row r="4449" ht="31" spans="1:4">
      <c r="A4449" s="14" t="s">
        <v>6055</v>
      </c>
      <c r="B4449" s="12" t="s">
        <v>6056</v>
      </c>
      <c r="C4449" s="13" t="s">
        <v>11</v>
      </c>
      <c r="D4449" s="17">
        <v>440.25</v>
      </c>
    </row>
    <row r="4450" ht="31" spans="1:4">
      <c r="A4450" s="14" t="s">
        <v>6057</v>
      </c>
      <c r="B4450" s="12" t="s">
        <v>6058</v>
      </c>
      <c r="C4450" s="13" t="s">
        <v>11</v>
      </c>
      <c r="D4450" s="17">
        <v>470.1</v>
      </c>
    </row>
    <row r="4451" ht="31" spans="1:4">
      <c r="A4451" s="14" t="s">
        <v>6059</v>
      </c>
      <c r="B4451" s="12" t="s">
        <v>6060</v>
      </c>
      <c r="C4451" s="13" t="s">
        <v>11</v>
      </c>
      <c r="D4451" s="17">
        <v>580.65</v>
      </c>
    </row>
    <row r="4452" ht="31" spans="1:4">
      <c r="A4452" s="14" t="s">
        <v>6061</v>
      </c>
      <c r="B4452" s="12" t="s">
        <v>6062</v>
      </c>
      <c r="C4452" s="13" t="s">
        <v>11</v>
      </c>
      <c r="D4452" s="17">
        <v>677.75</v>
      </c>
    </row>
    <row r="4453" ht="31" spans="1:4">
      <c r="A4453" s="14" t="s">
        <v>6063</v>
      </c>
      <c r="B4453" s="12" t="s">
        <v>6064</v>
      </c>
      <c r="C4453" s="13" t="s">
        <v>11</v>
      </c>
      <c r="D4453" s="17">
        <v>819.65</v>
      </c>
    </row>
    <row r="4454" ht="31" spans="1:4">
      <c r="A4454" s="14" t="s">
        <v>6065</v>
      </c>
      <c r="B4454" s="12" t="s">
        <v>6066</v>
      </c>
      <c r="C4454" s="13" t="s">
        <v>11</v>
      </c>
      <c r="D4454" s="17">
        <v>942.15</v>
      </c>
    </row>
    <row r="4455" ht="108.5" spans="1:4">
      <c r="A4455" s="14">
        <v>26.85</v>
      </c>
      <c r="B4455" s="15" t="s">
        <v>6067</v>
      </c>
      <c r="C4455" s="13"/>
      <c r="D4455" s="16"/>
    </row>
    <row r="4456" ht="31" spans="1:4">
      <c r="A4456" s="14" t="s">
        <v>6068</v>
      </c>
      <c r="B4456" s="12" t="s">
        <v>6069</v>
      </c>
      <c r="C4456" s="13" t="s">
        <v>11</v>
      </c>
      <c r="D4456" s="17">
        <v>229.65</v>
      </c>
    </row>
    <row r="4457" ht="31" spans="1:4">
      <c r="A4457" s="14" t="s">
        <v>6070</v>
      </c>
      <c r="B4457" s="12" t="s">
        <v>6071</v>
      </c>
      <c r="C4457" s="13" t="s">
        <v>11</v>
      </c>
      <c r="D4457" s="17">
        <v>329.7</v>
      </c>
    </row>
    <row r="4458" ht="31" spans="1:4">
      <c r="A4458" s="14" t="s">
        <v>6072</v>
      </c>
      <c r="B4458" s="12" t="s">
        <v>6073</v>
      </c>
      <c r="C4458" s="13" t="s">
        <v>11</v>
      </c>
      <c r="D4458" s="17">
        <v>416.35</v>
      </c>
    </row>
    <row r="4459" ht="186" spans="1:4">
      <c r="A4459" s="18">
        <v>26.86</v>
      </c>
      <c r="B4459" s="15" t="s">
        <v>6074</v>
      </c>
      <c r="C4459" s="13"/>
      <c r="D4459" s="16"/>
    </row>
    <row r="4460" ht="46.5" spans="1:4">
      <c r="A4460" s="14"/>
      <c r="B4460" s="15" t="s">
        <v>6075</v>
      </c>
      <c r="C4460" s="13"/>
      <c r="D4460" s="16"/>
    </row>
    <row r="4461" spans="1:4">
      <c r="A4461" s="14" t="s">
        <v>6076</v>
      </c>
      <c r="B4461" s="12" t="s">
        <v>6077</v>
      </c>
      <c r="C4461" s="13" t="s">
        <v>39</v>
      </c>
      <c r="D4461" s="17">
        <v>705.85</v>
      </c>
    </row>
    <row r="4462" spans="1:4">
      <c r="A4462" s="14" t="s">
        <v>6078</v>
      </c>
      <c r="B4462" s="12" t="s">
        <v>6079</v>
      </c>
      <c r="C4462" s="13" t="s">
        <v>39</v>
      </c>
      <c r="D4462" s="17">
        <v>926.35</v>
      </c>
    </row>
    <row r="4463" spans="1:4">
      <c r="A4463" s="14" t="s">
        <v>6080</v>
      </c>
      <c r="B4463" s="12" t="s">
        <v>6081</v>
      </c>
      <c r="C4463" s="13" t="s">
        <v>39</v>
      </c>
      <c r="D4463" s="17">
        <v>947.7</v>
      </c>
    </row>
    <row r="4464" spans="1:4">
      <c r="A4464" s="14" t="s">
        <v>6082</v>
      </c>
      <c r="B4464" s="12" t="s">
        <v>6083</v>
      </c>
      <c r="C4464" s="13" t="s">
        <v>39</v>
      </c>
      <c r="D4464" s="17">
        <v>1075.7</v>
      </c>
    </row>
    <row r="4465" spans="1:4">
      <c r="A4465" s="14" t="s">
        <v>6084</v>
      </c>
      <c r="B4465" s="12" t="s">
        <v>6085</v>
      </c>
      <c r="C4465" s="13" t="s">
        <v>39</v>
      </c>
      <c r="D4465" s="17">
        <v>1111.3</v>
      </c>
    </row>
    <row r="4466" spans="1:4">
      <c r="A4466" s="14" t="s">
        <v>6086</v>
      </c>
      <c r="B4466" s="12" t="s">
        <v>6087</v>
      </c>
      <c r="C4466" s="13" t="s">
        <v>39</v>
      </c>
      <c r="D4466" s="17">
        <v>1381.6</v>
      </c>
    </row>
    <row r="4467" spans="1:4">
      <c r="A4467" s="14" t="s">
        <v>6088</v>
      </c>
      <c r="B4467" s="12" t="s">
        <v>6089</v>
      </c>
      <c r="C4467" s="13" t="s">
        <v>39</v>
      </c>
      <c r="D4467" s="17">
        <v>1637.65</v>
      </c>
    </row>
    <row r="4468" ht="170.5" spans="1:4">
      <c r="A4468" s="18">
        <v>26.87</v>
      </c>
      <c r="B4468" s="15" t="s">
        <v>6090</v>
      </c>
      <c r="C4468" s="13"/>
      <c r="D4468" s="16"/>
    </row>
    <row r="4469" spans="1:4">
      <c r="A4469" s="14" t="s">
        <v>6091</v>
      </c>
      <c r="B4469" s="12" t="s">
        <v>907</v>
      </c>
      <c r="C4469" s="13" t="s">
        <v>11</v>
      </c>
      <c r="D4469" s="17">
        <v>4346.7</v>
      </c>
    </row>
    <row r="4470" spans="1:4">
      <c r="A4470" s="14" t="s">
        <v>6092</v>
      </c>
      <c r="B4470" s="12" t="s">
        <v>1101</v>
      </c>
      <c r="C4470" s="13" t="s">
        <v>11</v>
      </c>
      <c r="D4470" s="17">
        <v>5015.35</v>
      </c>
    </row>
    <row r="4471" ht="201.5" spans="1:4">
      <c r="A4471" s="18">
        <v>26.88</v>
      </c>
      <c r="B4471" s="15" t="s">
        <v>6093</v>
      </c>
      <c r="C4471" s="13"/>
      <c r="D4471" s="16"/>
    </row>
    <row r="4472" spans="1:4">
      <c r="A4472" s="14" t="s">
        <v>6094</v>
      </c>
      <c r="B4472" s="12" t="s">
        <v>907</v>
      </c>
      <c r="C4472" s="13" t="s">
        <v>11</v>
      </c>
      <c r="D4472" s="17">
        <v>4764.2</v>
      </c>
    </row>
    <row r="4473" spans="1:4">
      <c r="A4473" s="14" t="s">
        <v>6095</v>
      </c>
      <c r="B4473" s="12" t="s">
        <v>1101</v>
      </c>
      <c r="C4473" s="13" t="s">
        <v>11</v>
      </c>
      <c r="D4473" s="17">
        <v>5432.85</v>
      </c>
    </row>
    <row r="4474" ht="217" spans="1:4">
      <c r="A4474" s="18">
        <v>26.89</v>
      </c>
      <c r="B4474" s="15" t="s">
        <v>6096</v>
      </c>
      <c r="C4474" s="13"/>
      <c r="D4474" s="16"/>
    </row>
    <row r="4475" spans="1:4">
      <c r="A4475" s="14" t="s">
        <v>6097</v>
      </c>
      <c r="B4475" s="12" t="s">
        <v>1006</v>
      </c>
      <c r="C4475" s="13" t="s">
        <v>11</v>
      </c>
      <c r="D4475" s="17">
        <v>2992.9</v>
      </c>
    </row>
    <row r="4476" spans="1:4">
      <c r="A4476" s="14" t="s">
        <v>6098</v>
      </c>
      <c r="B4476" s="12" t="s">
        <v>465</v>
      </c>
      <c r="C4476" s="13" t="s">
        <v>11</v>
      </c>
      <c r="D4476" s="17">
        <v>3889.15</v>
      </c>
    </row>
    <row r="4477" ht="155" spans="1:4">
      <c r="A4477" s="18">
        <v>26.9</v>
      </c>
      <c r="B4477" s="15" t="s">
        <v>6099</v>
      </c>
      <c r="C4477" s="13"/>
      <c r="D4477" s="16"/>
    </row>
    <row r="4478" spans="1:4">
      <c r="A4478" s="14" t="s">
        <v>6100</v>
      </c>
      <c r="B4478" s="12" t="s">
        <v>6101</v>
      </c>
      <c r="C4478" s="13" t="s">
        <v>11</v>
      </c>
      <c r="D4478" s="17">
        <v>1099.35</v>
      </c>
    </row>
    <row r="4479" spans="1:4">
      <c r="A4479" s="14" t="s">
        <v>6102</v>
      </c>
      <c r="B4479" s="12" t="s">
        <v>1000</v>
      </c>
      <c r="C4479" s="13" t="s">
        <v>11</v>
      </c>
      <c r="D4479" s="17">
        <v>1711.1</v>
      </c>
    </row>
    <row r="4480" ht="232.5" spans="1:4">
      <c r="A4480" s="18">
        <v>26.91</v>
      </c>
      <c r="B4480" s="15" t="s">
        <v>6103</v>
      </c>
      <c r="C4480" s="13" t="s">
        <v>11</v>
      </c>
      <c r="D4480" s="17">
        <v>3437.15</v>
      </c>
    </row>
    <row r="4481" ht="409.5" spans="1:4">
      <c r="A4481" s="18">
        <v>26.92</v>
      </c>
      <c r="B4481" s="15" t="s">
        <v>6104</v>
      </c>
      <c r="C4481" s="13"/>
      <c r="D4481" s="16"/>
    </row>
    <row r="4482" spans="1:4">
      <c r="A4482" s="14" t="s">
        <v>6105</v>
      </c>
      <c r="B4482" s="12" t="s">
        <v>6106</v>
      </c>
      <c r="C4482" s="13" t="s">
        <v>11</v>
      </c>
      <c r="D4482" s="17">
        <v>6320</v>
      </c>
    </row>
    <row r="4483" spans="1:4">
      <c r="A4483" s="14" t="s">
        <v>6107</v>
      </c>
      <c r="B4483" s="12" t="s">
        <v>6108</v>
      </c>
      <c r="C4483" s="13" t="s">
        <v>11</v>
      </c>
      <c r="D4483" s="17">
        <v>5991.4</v>
      </c>
    </row>
    <row r="4484" ht="409.5" spans="1:4">
      <c r="A4484" s="18">
        <v>26.93</v>
      </c>
      <c r="B4484" s="15" t="s">
        <v>6109</v>
      </c>
      <c r="C4484" s="13"/>
      <c r="D4484" s="16"/>
    </row>
    <row r="4485" spans="1:4">
      <c r="A4485" s="14" t="s">
        <v>6110</v>
      </c>
      <c r="B4485" s="12" t="s">
        <v>6111</v>
      </c>
      <c r="C4485" s="13" t="s">
        <v>11</v>
      </c>
      <c r="D4485" s="17">
        <v>6230.9</v>
      </c>
    </row>
    <row r="4486" spans="1:4">
      <c r="A4486" s="14" t="s">
        <v>6112</v>
      </c>
      <c r="B4486" s="12" t="s">
        <v>6113</v>
      </c>
      <c r="C4486" s="13" t="s">
        <v>11</v>
      </c>
      <c r="D4486" s="17">
        <v>5842.5</v>
      </c>
    </row>
    <row r="4487" ht="186" spans="1:4">
      <c r="A4487" s="14">
        <v>26.94</v>
      </c>
      <c r="B4487" s="15" t="s">
        <v>6114</v>
      </c>
      <c r="C4487" s="13" t="s">
        <v>11</v>
      </c>
      <c r="D4487" s="17">
        <v>269.4</v>
      </c>
    </row>
    <row r="4488" ht="139.5" spans="1:4">
      <c r="A4488" s="18">
        <v>26.95</v>
      </c>
      <c r="B4488" s="15" t="s">
        <v>6115</v>
      </c>
      <c r="C4488" s="13"/>
      <c r="D4488" s="17"/>
    </row>
    <row r="4489" ht="31" spans="1:4">
      <c r="A4489" s="18"/>
      <c r="B4489" s="15" t="s">
        <v>6116</v>
      </c>
      <c r="C4489" s="13"/>
      <c r="D4489" s="17"/>
    </row>
    <row r="4490" ht="31" spans="1:4">
      <c r="A4490" s="18" t="s">
        <v>6117</v>
      </c>
      <c r="B4490" s="15" t="s">
        <v>6118</v>
      </c>
      <c r="C4490" s="13" t="s">
        <v>11</v>
      </c>
      <c r="D4490" s="17">
        <v>3189.1</v>
      </c>
    </row>
    <row r="4491" ht="31" spans="1:4">
      <c r="A4491" s="18" t="s">
        <v>6119</v>
      </c>
      <c r="B4491" s="15" t="s">
        <v>6120</v>
      </c>
      <c r="C4491" s="13" t="s">
        <v>11</v>
      </c>
      <c r="D4491" s="17">
        <v>1713.55</v>
      </c>
    </row>
    <row r="4492" ht="93" spans="1:4">
      <c r="A4492" s="14">
        <v>26.96</v>
      </c>
      <c r="B4492" s="15" t="s">
        <v>6121</v>
      </c>
      <c r="C4492" s="13"/>
      <c r="D4492" s="16"/>
    </row>
    <row r="4493" ht="31" spans="1:4">
      <c r="A4493" s="14" t="s">
        <v>6122</v>
      </c>
      <c r="B4493" s="15" t="s">
        <v>6123</v>
      </c>
      <c r="C4493" s="13" t="s">
        <v>11</v>
      </c>
      <c r="D4493" s="17">
        <v>2926.7</v>
      </c>
    </row>
    <row r="4494" ht="31" spans="1:4">
      <c r="A4494" s="14" t="s">
        <v>6124</v>
      </c>
      <c r="B4494" s="15" t="s">
        <v>6125</v>
      </c>
      <c r="C4494" s="13" t="s">
        <v>11</v>
      </c>
      <c r="D4494" s="17">
        <v>3805.05</v>
      </c>
    </row>
  </sheetData>
  <autoFilter xmlns:etc="http://www.wps.cn/officeDocument/2017/etCustomData" ref="A1:B4494" etc:filterBottomFollowUsedRange="0">
    <extLst/>
  </autoFilter>
  <printOptions horizontalCentered="1"/>
  <pageMargins left="0.2" right="0.2" top="0.25" bottom="0.5" header="0.3" footer="0.3"/>
  <pageSetup paperSize="1" scale="90" orientation="portrait"/>
  <headerFooter/>
</worksheet>
</file>

<file path=docProps/app.xml><?xml version="1.0" encoding="utf-8"?>
<Properties xmlns="http://schemas.openxmlformats.org/officeDocument/2006/extended-properties" xmlns:vt="http://schemas.openxmlformats.org/officeDocument/2006/docPropsVTypes">
  <Company>Investintech.com Inc.</Company>
  <Application>Microsoft Excel</Application>
  <HeadingPairs>
    <vt:vector size="2" baseType="variant">
      <vt:variant>
        <vt:lpstr>工作表</vt:lpstr>
      </vt:variant>
      <vt:variant>
        <vt:i4>1</vt:i4>
      </vt:variant>
    </vt:vector>
  </HeadingPairs>
  <TitlesOfParts>
    <vt:vector size="1" baseType="lpstr">
      <vt:lpstr>DSR Vol 1 and II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A2E_Engine</dc:creator>
  <cp:lastModifiedBy>Tatyasaheb Gaikwad</cp:lastModifiedBy>
  <dcterms:created xsi:type="dcterms:W3CDTF">2016-11-30T01:22:00Z</dcterms:created>
  <cp:lastPrinted>2023-11-24T10:35:00Z</cp:lastPrinted>
  <dcterms:modified xsi:type="dcterms:W3CDTF">2026-10-03T19:03:23Z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64A69342F8DB4DB495AA6CC5E0BE056D_13</vt:lpwstr>
  </property>
  <property fmtid="{D5CDD505-2E9C-101B-9397-08002B2CF9AE}" pid="3" name="KSOProductBuildVer">
    <vt:lpwstr>1033-12.1.0.28485</vt:lpwstr>
  </property>
  <property fmtid="{D5CDD505-2E9C-101B-9397-08002B2CF9AE}" pid="4" name="KSOReadingLayout">
    <vt:bool>true</vt:bool>
  </property>
  <property fmtid="{D5CDD505-2E9C-101B-9397-08002B2CF9AE}" pid="5" name="CalculationRule">
    <vt:i4>0</vt:i4>
  </property>
</Properties>
</file>