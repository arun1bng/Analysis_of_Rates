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9200" windowHeight="6200" tabRatio="837" activeTab="1"/>
  </bookViews>
  <sheets>
    <sheet name="DSR Vol 1 and II" sheetId="1" r:id="rId1"/>
    <sheet name="DSR Vol 1 and II _Upd and Ext" sheetId="2" r:id="rId2"/>
  </sheets>
  <externalReferences>
    <externalReference r:id="rId3"/>
    <externalReference r:id="rId4"/>
  </externalReferences>
  <definedNames>
    <definedName name="_xlnm._FilterDatabase" localSheetId="0" hidden="1">'DSR Vol 1 and II'!$C$1:$C$4447</definedName>
    <definedName name="_xlnm._FilterDatabase" localSheetId="1" hidden="1">'DSR Vol 1 and II _Upd and Ext'!$A$1:$A$3150</definedName>
    <definedName name="\z">#N/A</definedName>
    <definedName name="date">[1]Input!$C$11</definedName>
    <definedName name="try">[2]Input!$C$11</definedName>
    <definedName name="_xlnm.Print_Area" localSheetId="0">'DSR Vol 1 and II'!$A$1:$D$4447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<sst xmlns="http://schemas.openxmlformats.org/spreadsheetml/2006/main" count="26740" uniqueCount="7911">
  <si>
    <t>2.0 EARTH WORK</t>
  </si>
  <si>
    <t>Item NO.</t>
  </si>
  <si>
    <t>Description</t>
  </si>
  <si>
    <t>Unit</t>
  </si>
  <si>
    <t>Rate</t>
  </si>
  <si>
    <t>DSR-2016 rate</t>
  </si>
  <si>
    <t>% Above</t>
  </si>
  <si>
    <t>2.1</t>
  </si>
  <si>
    <t>Earth work in surface excavation not exceeding 30 cm in depth but exceeding 1.5 m in width as well as 10 sqm on plan including getting out and disposal of excavated earth upto 50 m and lift upto 1.5 m, as directed by Engineer-in- Charge:</t>
  </si>
  <si>
    <t>NC</t>
  </si>
  <si>
    <t>2.1.1</t>
  </si>
  <si>
    <t>All kinds of soil</t>
  </si>
  <si>
    <t>sqm</t>
  </si>
  <si>
    <t>2.2</t>
  </si>
  <si>
    <t>Earth work by mechinical / manual means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for all lift  :</t>
  </si>
  <si>
    <t>2.2.1</t>
  </si>
  <si>
    <t>cum</t>
  </si>
  <si>
    <t>2.3</t>
  </si>
  <si>
    <t>Banking excavated earth by mechanical / manual means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for all lift :</t>
  </si>
  <si>
    <t>2.3.1</t>
  </si>
  <si>
    <t>2.4</t>
  </si>
  <si>
    <t>Deduct for not rolling with power roller of minimum 8 tonnes for banking excavated earth in layers not exceeding 20 cm in depth.</t>
  </si>
  <si>
    <t>2.5</t>
  </si>
  <si>
    <t>Deduct for not watering the excavated earth for banking</t>
  </si>
  <si>
    <t>2.6</t>
  </si>
  <si>
    <t>Earth work in excavation by mechanical means (Hydraulic excavator)/manual means over areas (exceeding 30 cm in depth, 1.5 m in width as well as 10 sqm on plan) including getting out and disposal of excavated earth lead upto 50 m and for all lift, as directed by Engineer-in-charge.</t>
  </si>
  <si>
    <t>2.6.1</t>
  </si>
  <si>
    <t>2.7</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</si>
  <si>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t>
  </si>
  <si>
    <t>2.7.1</t>
  </si>
  <si>
    <t>Ordinary rock</t>
  </si>
  <si>
    <t>2.7.2</t>
  </si>
  <si>
    <t>Hard rock (requiring blasting)</t>
  </si>
  <si>
    <t>2.7.3</t>
  </si>
  <si>
    <t>Hard rock (blasting prohibited)</t>
  </si>
  <si>
    <t>2.8</t>
  </si>
  <si>
    <t xml:space="preserve">Earth work in excavation by mechanical means (Hydraulic excavator) / manual means in foundation trenches or drains (not exceeding 1.5 m in width or 10 sqm on plan), including dressing of sides and ramming of bottoms, for all lift, including getting out the excavated soil and disposal of surplus excavated soil as directed, within a lead of 50 m. </t>
  </si>
  <si>
    <t>2.8.1</t>
  </si>
  <si>
    <t>All kinds of soil.</t>
  </si>
  <si>
    <t>2.9</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</si>
  <si>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</si>
  <si>
    <t>2.9.1</t>
  </si>
  <si>
    <t>2.9.2</t>
  </si>
  <si>
    <t>2.9.3</t>
  </si>
  <si>
    <t>2.10</t>
  </si>
  <si>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t>
  </si>
  <si>
    <t>2.10.1</t>
  </si>
  <si>
    <t>2.10.1.1</t>
  </si>
  <si>
    <t>Pipes, cables etc, not exceeding 80 mm dia.</t>
  </si>
  <si>
    <t>metre</t>
  </si>
  <si>
    <t>2.10.1.2</t>
  </si>
  <si>
    <t>Pipes, cables etc. exceeding 80 mm dia. but not exceeding 300 mm dia</t>
  </si>
  <si>
    <t>2.10.1.3</t>
  </si>
  <si>
    <t>Pipes, cables etc. exceeding 300 mm dia but not exceeding 600 mm</t>
  </si>
  <si>
    <t>2.11</t>
  </si>
  <si>
    <t>Deleted</t>
  </si>
  <si>
    <t>2.12</t>
  </si>
  <si>
    <t>2.13</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</si>
  <si>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</si>
  <si>
    <t>2.13.1</t>
  </si>
  <si>
    <t>Ordinary rock :</t>
  </si>
  <si>
    <t>2.13.1.1</t>
  </si>
  <si>
    <t>Pipes, cables etc. not exceeding 80 mm dia</t>
  </si>
  <si>
    <t>2.13.1.2</t>
  </si>
  <si>
    <t>Pipes, cables etc. exceeding 80 mm dia but not exceeding 300 mm dia</t>
  </si>
  <si>
    <t>2.13.1.3</t>
  </si>
  <si>
    <t>Pipes, cables exceeding 300 mm dia but not exceeding 600 mm dia</t>
  </si>
  <si>
    <t>2.13.2</t>
  </si>
  <si>
    <t>2.13.2.1</t>
  </si>
  <si>
    <t>2.13.2.2</t>
  </si>
  <si>
    <t>2.13.2.3</t>
  </si>
  <si>
    <t>Pipes, cables etc. exceeding 300 mm dia but not exceeding 600 mm dia</t>
  </si>
  <si>
    <t>2.13.3</t>
  </si>
  <si>
    <t>2.13.3.1</t>
  </si>
  <si>
    <t>2.13.3.2</t>
  </si>
  <si>
    <t>2.13.3.3</t>
  </si>
  <si>
    <t>2.14</t>
  </si>
  <si>
    <t>Extra for excavating trenches for pipes, cables, etc. in ordinary/hard rock exceeding 1.5 m in depth but not exceeding 3 m. (Rate is over corresponding basic item for depth upto 1.5 metre)</t>
  </si>
  <si>
    <t>2.14.1</t>
  </si>
  <si>
    <t>2.14.1.1</t>
  </si>
  <si>
    <t>2.14.1.2</t>
  </si>
  <si>
    <t>2.14.2</t>
  </si>
  <si>
    <t>2.14.2.1</t>
  </si>
  <si>
    <t>2.14.2.2</t>
  </si>
  <si>
    <t>2.14.3</t>
  </si>
  <si>
    <t>2.14.3.1</t>
  </si>
  <si>
    <t>2.14.3.2</t>
  </si>
  <si>
    <t>2.15</t>
  </si>
  <si>
    <t>Extra for excavating trenches for pipes, cables, etc. in ordinary/hard rock exceeding 3m in depth but not exceeding 4.5 m. (Rate is over corresponding basic item for depth upto 1.5 metre)</t>
  </si>
  <si>
    <t>2.15.1</t>
  </si>
  <si>
    <t>2.15.1.1</t>
  </si>
  <si>
    <t>2.16</t>
  </si>
  <si>
    <t>Close timbering in trenches including strutting, shoring and packing cavities (wherever required) complete. (Measurements to be taken of the face area timbered).</t>
  </si>
  <si>
    <t>2.16.1</t>
  </si>
  <si>
    <t>Depth not exceeding 1.5 m</t>
  </si>
  <si>
    <t>2.16.2</t>
  </si>
  <si>
    <t>Depth exceeding 1.5 m but not exceeding 3 m</t>
  </si>
  <si>
    <t>2.16.3</t>
  </si>
  <si>
    <t>Depth exceeding 3 m but not exceeding 4.5 m</t>
  </si>
  <si>
    <t>2.17</t>
  </si>
  <si>
    <t>Close timbering in case of shafts, wells, cesspits, manholes and the like including strutting, shoring and packing cavities (wherever required) etc. complete. (Measurements to be taken of the face area timbered).</t>
  </si>
  <si>
    <t>2.17.1</t>
  </si>
  <si>
    <t>2.17.2</t>
  </si>
  <si>
    <t>2.17.3</t>
  </si>
  <si>
    <t>2.18</t>
  </si>
  <si>
    <t>Close timbering over areas including strutting, shoring and packing cavities (wherever required) etc. complete. (Measurements to be taken of the face area timbered):</t>
  </si>
  <si>
    <t>2.18.1</t>
  </si>
  <si>
    <t>2.18.2</t>
  </si>
  <si>
    <t>2.18.3</t>
  </si>
  <si>
    <t>2.19</t>
  </si>
  <si>
    <t>Extra for planking, strutting and packing materials for cavities (in close timbering) if required to be left permanently in position. (Face area of timber permanently left to be measured).</t>
  </si>
  <si>
    <t>2.20</t>
  </si>
  <si>
    <t>Open timbering in trenches including strutting and shoring complete (measurements to be taken of the face area timbered):</t>
  </si>
  <si>
    <t>2.20.1</t>
  </si>
  <si>
    <t>2.20.2</t>
  </si>
  <si>
    <t>2.20.3</t>
  </si>
  <si>
    <t>2.21</t>
  </si>
  <si>
    <t>Open timbering in case of shafts, wells, cesspits, manholes and the like including strutting and shoring complete (Measurements to be taken of the face area timbered):</t>
  </si>
  <si>
    <t>2.21.1</t>
  </si>
  <si>
    <t>2.21.2</t>
  </si>
  <si>
    <t>2.21.3</t>
  </si>
  <si>
    <t>2.22</t>
  </si>
  <si>
    <t>Open timbering over areas including strutting, shoring etc. complete. (Measurements to be taken of the face area timbered):</t>
  </si>
  <si>
    <t>2.22.1</t>
  </si>
  <si>
    <t>2.22.2</t>
  </si>
  <si>
    <t>2.22.3</t>
  </si>
  <si>
    <t>2.23</t>
  </si>
  <si>
    <t>Extra for planking and strutting in open timbering if required to be left permanently in position. (Face area of the timber permanently left to be measured).</t>
  </si>
  <si>
    <t>2.24</t>
  </si>
  <si>
    <t>Extra rates for quantities of works, executed:</t>
  </si>
  <si>
    <t>2.24.1</t>
  </si>
  <si>
    <t>In or under water and/or liquid mud, including pumping out water as required</t>
  </si>
  <si>
    <t>metre depth</t>
  </si>
  <si>
    <t>2.24.2</t>
  </si>
  <si>
    <t>In or under foul position, including pumping out water as required</t>
  </si>
  <si>
    <t>Nos. The unit, namely, metre depth, to be considered for payment, shall be the depth measured from the sub soil water level up to the centre of gravity of the qty executed in difficult conditions. The depth shall be reckoned correct to 0.10 m, 0.05 m or more shall be taken as 0.10 m and less than 0.05 m ignored.</t>
  </si>
  <si>
    <t>2.25</t>
  </si>
  <si>
    <t>Filling available excavated earth (excluding rock) in trenches, plinth, sides of foundations etc. in layers not exceeding 20cm in depth, consolidating each deposited layer by ramming and watering, lead up to 50 and for all lift.</t>
  </si>
  <si>
    <t>2.25(a)</t>
  </si>
  <si>
    <t>Excavating, supplying, stacking and filling of local earth (including royalty) by mechanical transport upto a lead of 5km also including ramming and watering of the earth in layers not exceeding 20 cm in foundation trenches, plinth, sides of foundation etc. complete for all lift.</t>
  </si>
  <si>
    <t>2.26</t>
  </si>
  <si>
    <t>Extra for every additional lift of 1.5 m or part thereof in excavation / banking excavated or stacked materials.</t>
  </si>
  <si>
    <t>2.26.1</t>
  </si>
  <si>
    <t>2.26.2</t>
  </si>
  <si>
    <t>Ordinary or hard rock</t>
  </si>
  <si>
    <t>2.27</t>
  </si>
  <si>
    <t>Supplying and filling in plinth with  sand under floors, including watering, ramming, consolidating and dressing complete.</t>
  </si>
  <si>
    <t>2.28</t>
  </si>
  <si>
    <t>Surface dressing of the ground including removing vegetation and in-equalities not exceeding 15 cm deep and disposal of rubbish, lead up to 50 m and lift up to 1.5 m.</t>
  </si>
  <si>
    <t>2.28.1</t>
  </si>
  <si>
    <t>2.29</t>
  </si>
  <si>
    <t>Ploughing the existing ground to a depth of 15 cm to 25 cm and watering the same.</t>
  </si>
  <si>
    <t>2.29.1</t>
  </si>
  <si>
    <t>2.30</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</si>
  <si>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</si>
  <si>
    <t>2.30.1</t>
  </si>
  <si>
    <t>each</t>
  </si>
  <si>
    <t>2.30.2</t>
  </si>
  <si>
    <t>2.30.3</t>
  </si>
  <si>
    <t>2.30.4</t>
  </si>
  <si>
    <t>2.31</t>
  </si>
  <si>
    <t>Clearing jungle including uprooting of rank vegetation, grass, brush wood, trees and saplings of girth up to 30 cm measured at a height of 1 m above ground level and removal of rubbish up to a distance of 50 m outside the periphery of the area cleared.</t>
  </si>
  <si>
    <t>2.32</t>
  </si>
  <si>
    <t>Clearing grass and removal of the rubbish up to a distance of 50 m outside the periphery of the area cleared.</t>
  </si>
  <si>
    <t>2.33</t>
  </si>
  <si>
    <t>Felling trees of the girth (measured at a height of 1 m above ground level), including cutting of trunks and branches, removing the roots and stacking of serviceable material and disposal of unserviceable material.</t>
  </si>
  <si>
    <t>2.33.1</t>
  </si>
  <si>
    <t>Beyond 30 cm girth upto and including 60 cm girth</t>
  </si>
  <si>
    <t>2.33.2</t>
  </si>
  <si>
    <t>Beyond 60 cm girth upto and including 120 cm girth</t>
  </si>
  <si>
    <t>2.33.3</t>
  </si>
  <si>
    <t>Beyond 120 cm girth upto and including 240 cm girth</t>
  </si>
  <si>
    <t>2.33.4</t>
  </si>
  <si>
    <t>Above 240 cm girth</t>
  </si>
  <si>
    <t>2.34</t>
  </si>
  <si>
    <t>Supplying chemical emulsion in sealed containers including delivery as specified.</t>
  </si>
  <si>
    <t>2.34.1</t>
  </si>
  <si>
    <t>Chlorpyriphos/ Lindane emulsifiable concentrate of 20%</t>
  </si>
  <si>
    <t>litre</t>
  </si>
  <si>
    <t>2.35</t>
  </si>
  <si>
    <t>Diluting and injecting chemical emulsion for POST-CONSTRUCTIONAL anti-termite treatment (excluding the cost of chemical emulsion) :</t>
  </si>
  <si>
    <t>2.35.1</t>
  </si>
  <si>
    <t>Along external wall where the apron is not provided using chemical emulsion @ 7.5 litres / sqm of the vertical surface of the substructure to a depth of 300mm including excavation channel along the wall &amp; rodding etc. complete:</t>
  </si>
  <si>
    <t>2.35.1.1</t>
  </si>
  <si>
    <t>With Chlorpyriphos/ Lindane E.C. 20% with 1% concentration</t>
  </si>
  <si>
    <t>2.35.2</t>
  </si>
  <si>
    <t>Along the external wall below concrete or masonry apron using chemical emulsion @ 2.25 litres per linear metre including drilling and plugging holes etc.:</t>
  </si>
  <si>
    <t>2.35.2.1</t>
  </si>
  <si>
    <t>2.35.3</t>
  </si>
  <si>
    <t>Treatment of soil under existing floors using chemical emulsion @ one litre per hole, 300 mm apart including drilling 12 mm diameter holes and plugging with cement mortar 1 :2 (1 cement : 2 Coarse sand) to match the existing floor:</t>
  </si>
  <si>
    <t>2.35.3.1</t>
  </si>
  <si>
    <t>With Chlorpyriphos/Lindane E.C. 20% with 1% concentration</t>
  </si>
  <si>
    <t>2.35.4</t>
  </si>
  <si>
    <t>Treatment of existing masonry using chemical emulsion @ one litre per hole at 300 mm interval including drilling holes at 45 degree and plugging them with cement mortar 1:2 (1 cement : 2 coarse sand) to the full depth of the hole :</t>
  </si>
  <si>
    <t>2.35.4.1</t>
  </si>
  <si>
    <t>2.35.5</t>
  </si>
  <si>
    <t>Treatment at points of contact of wood work by chemical emulsion Chlorpyriphos/ Lindane (in oil or kerosene based solution) @ 0.5 litres per hole by drilling 6 mm dia holes at downward angle of 45 degree at 150 mm centre to centre and sealing the same.</t>
  </si>
  <si>
    <t>2.36</t>
  </si>
  <si>
    <t>Extra for levelling &amp; neatly dressing of disposed soil completely as directed by Engineer-in-charge.</t>
  </si>
  <si>
    <t>2.37</t>
  </si>
  <si>
    <t>Supply and stacking of Fly ash conforming to IRC- 58 at site, including carriage, loading , unloading &amp; stacking up to any lead (measured stacks will be reduced by 20% for payment).</t>
  </si>
  <si>
    <t>2.38</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</si>
  <si>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-in-charge, including compacting each layer by rolling/ ramming and watering, all complete as per drawing and direction of Engineer -in - charge.</t>
  </si>
  <si>
    <t>3.0 MORTAR</t>
  </si>
  <si>
    <t>Code No</t>
  </si>
  <si>
    <t xml:space="preserve">Unit </t>
  </si>
  <si>
    <t>3.1</t>
  </si>
  <si>
    <t>Cement mortar 1:1 (1 cement : 1 fine sand)</t>
  </si>
  <si>
    <t>3.2</t>
  </si>
  <si>
    <t>Cement mortar 1:2 (1 cement : 2 fine sand).</t>
  </si>
  <si>
    <t>3.3</t>
  </si>
  <si>
    <t xml:space="preserve"> Cement mortar 1:3 (1 cement : 3 fine sand).</t>
  </si>
  <si>
    <t>3.4</t>
  </si>
  <si>
    <t>Cement mortar 1:4 (1 cement : 4 fine sand).</t>
  </si>
  <si>
    <t>3.5</t>
  </si>
  <si>
    <t>Cement mortar 1:5 (1 cement : 5 fine sand).</t>
  </si>
  <si>
    <t>3.6</t>
  </si>
  <si>
    <t>Cement mortar 1:6 (1 cement : 6 fine sand).</t>
  </si>
  <si>
    <t>3.7</t>
  </si>
  <si>
    <t>Cement mortar 1:2 (1 cement : 2 coarse sand).</t>
  </si>
  <si>
    <t>3.8</t>
  </si>
  <si>
    <t>Cement mortar 1:3 (1 cement : 3 coarse sand).</t>
  </si>
  <si>
    <t>3.9</t>
  </si>
  <si>
    <t>Cement mortar 1:4 (1 cement : 4 coarse sand).</t>
  </si>
  <si>
    <t>3.10</t>
  </si>
  <si>
    <t>Cement mortar 1:5 (1 cement : 5 coarse sand).</t>
  </si>
  <si>
    <t>3.11</t>
  </si>
  <si>
    <t>Cement mortar 1:6 (1 cement : 6 coarse sand).</t>
  </si>
  <si>
    <t>3.12</t>
  </si>
  <si>
    <t>Cement mortar 1:2 (1 cement : 2 stone dust).</t>
  </si>
  <si>
    <t>3.13</t>
  </si>
  <si>
    <t>Cement mortar 1:2 (1 cement : 2 marble dust).</t>
  </si>
  <si>
    <t>3.14</t>
  </si>
  <si>
    <t>Cement mortar 1:5 (1 cement : 5 marble dust).</t>
  </si>
  <si>
    <t>3.15</t>
  </si>
  <si>
    <t>White cement mortar 1:2 (1 white cement : 2 marble dust).</t>
  </si>
  <si>
    <t>3.16</t>
  </si>
  <si>
    <t>White cement mortar 1:3 (1 white cement : 3 marble dust).</t>
  </si>
  <si>
    <t>3.17</t>
  </si>
  <si>
    <t>White cement mortar 1:5 (1 white cement : 5 marble dust).</t>
  </si>
  <si>
    <t>3.18</t>
  </si>
  <si>
    <t>Mud mortar</t>
  </si>
  <si>
    <t>3.19</t>
  </si>
  <si>
    <t>Mortar in lime, surkhi (50% red and  50% light yellow) and marble dust 1:1.5:0.5</t>
  </si>
  <si>
    <t>4.0 CONCRETE WORK</t>
  </si>
  <si>
    <t>CEMENT CONCRETE (CAST IN SITU)</t>
  </si>
  <si>
    <t>4.1</t>
  </si>
  <si>
    <t>Providing and laying in position cement concrete of specified grade excluding the cost of centering and shuttering - All work up to plinth level :</t>
  </si>
  <si>
    <t>4.1.2</t>
  </si>
  <si>
    <t>1:1½:3 (1 Cement: 1½ coarse sand (zone-III) derived from natural sources : 3 graded stone aggregate 20 mm nominal size derived from natural sources)</t>
  </si>
  <si>
    <t>4.1.2A</t>
  </si>
  <si>
    <t>1:1.5:3 (1 Cement: 1.5 coarse sand (zone-III)  including manufactured sand derived from Recycled Concrete Aggregate (RCA) upto 25% : 3 graded stone aggregate 20 mm nominal size including Recycled Concrete Aggregate (RCA) upto 25%).</t>
  </si>
  <si>
    <t>4.1.3</t>
  </si>
  <si>
    <t>1:2:4 (1 cement : 2 coarse sand (zone-III) derived from natural sources : 4 graded stone aggregate 20 mm nominal size derived from natural sources)</t>
  </si>
  <si>
    <t>4.1.3A</t>
  </si>
  <si>
    <t>1:2:4 (1 cement : 2 coarse sand (zone-III)  including manufactured sand derived from Recycled Concrete Aggregate  (RCA) upto 25% : 4 graded stone aggregate 20 mm nominal size including Recycled Concrete Aggregate (RCA) upto 25%)</t>
  </si>
  <si>
    <t>4.1.4</t>
  </si>
  <si>
    <t>1:2:4 (1 Cement : 2 coarse sand (zone-III) derived from natural sources : 4 graded stone aggregate 40 mm nominal size derived from natural sources)</t>
  </si>
  <si>
    <t>4.1.5</t>
  </si>
  <si>
    <t>1:3:6 (1 Cement : 3 coarse sand (zone-III) derived from natural sources : 6 graded stone aggregate 20 mm nominal size derived from natural sources)</t>
  </si>
  <si>
    <t>4.1.5A</t>
  </si>
  <si>
    <t>1:3:6 (1 Cement : 3 manufactured sand derived from Recycled Concrete Aggregate (RCA)  : 6 graded stone aggregate 20 mm nominal size Recycled Concrete Aggregate (RCA) )</t>
  </si>
  <si>
    <t>4.1.5B</t>
  </si>
  <si>
    <t>1:3:6 (1 cement : 3 manufactured sand derived from Recycled concrete Aggregate (RCA) : 6 graded stone aggregate 20 mm nominal size Recycled Aggregate (RA) )</t>
  </si>
  <si>
    <t>4.1.6</t>
  </si>
  <si>
    <t>1:3:6 (1 Cement : 3 coarse sand (zone-III) derived from natural sources : 6 graded stone aggregate 40 mm nominal size derived from natural sources)</t>
  </si>
  <si>
    <t>4.1.6A</t>
  </si>
  <si>
    <t>1:3:6 (1 Cement : 3 manufactured sand derived from Recycled Concrete Aggregate (RCA)  : 6 graded stone aggregate 40 mm nominal size Recycled Aggregate (RA) )</t>
  </si>
  <si>
    <t>4.1.8</t>
  </si>
  <si>
    <t>1:4:8 (1 Cement : 4 coarse sand (zone-III) derived from natural sources : 8 graded stone aggregate 40 mm nominal size derived from natural sources)</t>
  </si>
  <si>
    <t>4.1.8A</t>
  </si>
  <si>
    <t>1:4:8 (1 cement : 4 manufactured sand derived from Recycled Concrete Aggregate (RCA) : 8 graded stone aggregate 40 mm nominal size Recycled Aggregate (RA)</t>
  </si>
  <si>
    <t>4.1.10</t>
  </si>
  <si>
    <t>1:5:10 (1 cement : 5 coarse sand (zone-III) derived from natural sources : 10 graded stone aggregate 40 mm nominal size derived from natural sources)</t>
  </si>
  <si>
    <t>4.1.10A</t>
  </si>
  <si>
    <t>1:5:10 (1 cement : 5 manufactured sand derived from Recycled Concrete Aggregate (RCA) : 10 graded stone aggregate 40 mm nominal size Recycled Aggregate (RA) )</t>
  </si>
  <si>
    <t>4.1.11</t>
  </si>
  <si>
    <t>1:5:10 (1 cement : 5 fine sand derived from natural sources : 10 graded stone aggregate 40 mm nominal size derived from natural sources)</t>
  </si>
  <si>
    <t>4.1.12</t>
  </si>
  <si>
    <t>1:2:3½:9 (1 ordinary portland cement : 2 Fly ash : 3½ coarse sand (zone-III) derived from natural sources : 9 graded stone aggregate 40 mm nominal size derived from natural sources)</t>
  </si>
  <si>
    <t>4.1.12A</t>
  </si>
  <si>
    <t>1:2:3½:9 (1 ordinary portland cement : 2 Fly ash : 3½ manufactured sand derived from Recycled Concrete Aggregate (RCA) : 9 graded stone aggregate 40 mm nominal size Recycled Aggregate (RA) )</t>
  </si>
  <si>
    <t>4.1.13</t>
  </si>
  <si>
    <t>1:2½:4:11 (1 ordinary portland cement : 2½ fly ash : 4 coarse sand(zone-III) derived from natural sources : 11 graded stone aggregate 40 mm nominal size derived from natural sources)</t>
  </si>
  <si>
    <t>4.1.13A</t>
  </si>
  <si>
    <t>1:2½:4:11 (1 ordinary portland cement : 2½ fly ash : 4 manufactured sand derived from Recycled Concrete Aggregate (RCA) :11 graded stone aggregate 40 mm nominal size Recycled Aggregate (RA) )</t>
  </si>
  <si>
    <t>4.2</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</si>
  <si>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</si>
  <si>
    <t>4.2.2</t>
  </si>
  <si>
    <t>1:1½:3 (1 cement : 1½ coarse sand (zone-III) derived from natural sources : 3 graded stone aggregate 20 mm nominal size derived from natural sources).</t>
  </si>
  <si>
    <t>4.2.2A</t>
  </si>
  <si>
    <t>1:1½:3 (1 cement : 1½ coarse sand (zone-III)  including manufactured sand derived from Recycled Concrete Aggregate (RCA) upto 25% : 3 graded stone aggregate 20 mm nominal size including Recycled Concrete Aggregate (RCA) upto 25%) ).</t>
  </si>
  <si>
    <t>4.2.3</t>
  </si>
  <si>
    <t>1:2:4 (1 Cement : 2 coarse sand (zone-III) derived from natural sources : 4 graded stone aggregate 20 mm nominal size derived from natural sources)</t>
  </si>
  <si>
    <t>4.2.3A</t>
  </si>
  <si>
    <t>1:2:4 (1 Cement : 2 coarse sand (zone-III)  including manufactured sand derived from Recycled Concrete Aggregate (RCA) upto 25% : 4 graded stone aggregate 20 mm nominal size including Recycled Concrete Aggregate (RCA) upto 25%)).</t>
  </si>
  <si>
    <t>4.2.5</t>
  </si>
  <si>
    <t>1:3:6 (1 cement : 3 coarse sand (zone-III) derived from natural sources : 6 graded stone aggregate 20 mm nominal size derived from natural sources)</t>
  </si>
  <si>
    <t>4.2.5A</t>
  </si>
  <si>
    <t>1:3:6 (1 cement : 3 manufactured sand derived from Recycled Concrete Aggregate (RCA) : 6 graded stone aggregate 20 mm nominal size Recycled Concrete Aggregate (RCA))</t>
  </si>
  <si>
    <t>4.2.5B</t>
  </si>
  <si>
    <t>1:3:6 (1 cement : 3 manufactured sand derived from Recycled Concrete Aggregate (RCA) : 6 graded stone aggregate 20 mm nominal size Recycled Aggregate (RA))</t>
  </si>
  <si>
    <t>4.2.8</t>
  </si>
  <si>
    <t>1:5:10 (1 cement : 5 coarse sand (zone-III) derived from natural sources : 10 graded stone aggregate 40 mm nominal size derived from natural sources).</t>
  </si>
  <si>
    <t>4.2.8A</t>
  </si>
  <si>
    <t>1:5:10 (1 cement : 5 manufactured sand derived from Recycled Concrete Aggregate (RCA) : 10 graded stone aggregate 40 mm nominal size Recycled Aggregate (RA))</t>
  </si>
  <si>
    <t>4.3</t>
  </si>
  <si>
    <t>Centering and shuttering including strutting, propping etc. and removal of form work for :</t>
  </si>
  <si>
    <t>4.3.1</t>
  </si>
  <si>
    <t>Foundations, footings, bases for columns</t>
  </si>
  <si>
    <t>4.3.2</t>
  </si>
  <si>
    <t>Retaining walls, return walls, walls (any thickness) including attached pilasters, buttresses, plinth and string courses fillets, kerbs and steps etc.</t>
  </si>
  <si>
    <t>4.3.3</t>
  </si>
  <si>
    <t>Columns, piers, abutments, pillars, posts and struts</t>
  </si>
  <si>
    <t>4.4</t>
  </si>
  <si>
    <t>Providing and laying cement concrete in kerbs, steps and the like at or near ground level excluding the cost of centering, shuttering and finishing.</t>
  </si>
  <si>
    <t>4.4.1</t>
  </si>
  <si>
    <t>1:1½:3 (1 Cement: 1½ coarse sand(zone-III) derived from natural sources : 3 graded stone aggregate 20 mm nominal size derived from natural sources)</t>
  </si>
  <si>
    <t>4.4.1A</t>
  </si>
  <si>
    <t>1:1.5:3 (1 cement: 1.5 coarse sand (zone-III) including manufactured sand derived from Recycled Concrete Aggregate (RCA) upto 25% : 3 graded stone aggregate 20 mm nominal size including Recycled Concrete Aggregate (RCA) upto 25%)).</t>
  </si>
  <si>
    <t>CEMENT CONCRETE PRECAST</t>
  </si>
  <si>
    <t>4.5</t>
  </si>
  <si>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t>
  </si>
  <si>
    <t>4.5.1</t>
  </si>
  <si>
    <t>1:1.5:3 (1 cement : 1.5 coarse sand(zone-III) derived from natural sources : 3 graded stone aggregate 20mm nominal size derived from natural sources)</t>
  </si>
  <si>
    <t>4.5.1A</t>
  </si>
  <si>
    <t>1:1.5:3 (1 cement : 1.5 coarse sand (zone-III) including manufactured sand derived from Recycled Concrete Aggregate  (RCA) upto 25% : 3 graded stone aggregate 20mm nominal size including Recycled Concrete Aggregate (RCA) upto 25%))</t>
  </si>
  <si>
    <t>4.6</t>
  </si>
  <si>
    <t>Providing and fixing at or near ground level precast cement concrete in kerbs, edgings etc. as per approved pattern and setting in position with cement mortar 1:3 (1 Cement : 3 coarse sand), including the cost of required centering, shuttering complete.</t>
  </si>
  <si>
    <t>4.6.1</t>
  </si>
  <si>
    <t>1:1½:3 (1 Cement: 1½ coarse sand(zone-III) derived from natural sources: 3 graded stone aggregate 20 mm nominal size derived from natural sources).</t>
  </si>
  <si>
    <t>4.6.1A</t>
  </si>
  <si>
    <t>1:1.5:3 (1 Cement: 1.5 coarse sand (zone-III) including manufactured sand derived from Recycled Concrete Aggregate  (RCA) upto 25% : 3 graded stone aggregate 20 mm nominal size including Recycled Concrete Aggregate (RCA) upto 25%))</t>
  </si>
  <si>
    <t>4.7</t>
  </si>
  <si>
    <t>Providing and fixing up to floor five level precast cement concrete solid block, including hoisting and setting in position with cement mortar 1:3 (1 cement : 3 coarse sand), cost of required centering, shuttering complete :</t>
  </si>
  <si>
    <t>4.7.1</t>
  </si>
  <si>
    <t>1:1½:3 (1 Cement: 1½ coarse sand(zone-III) derived from natural sources : 3 graded stone aggregate 20 mm nominal size derived from natural sources).</t>
  </si>
  <si>
    <t>4.7.1A</t>
  </si>
  <si>
    <t>1:1.5:3 (1 Cement: 1.5 coarse sand (zone-III) including manufactured sand derived from Recycled Concrete Aggregate  (RCA) upto 25% : 3 graded stone aggregate 20 mm nominal size including (Recycled Concrete Aggregate (RCA) upto 25%)).</t>
  </si>
  <si>
    <t>4.8</t>
  </si>
  <si>
    <t>Providing and fixing up to floor five level precast cement concrete hollow block, including hoisting and setting in position with cement mortar 1:3 (1 cement : 3 coarse sand), cost of required centering, shuttering complete.</t>
  </si>
  <si>
    <t>4.8.1</t>
  </si>
  <si>
    <t>1:1½:3 (1 Cement: 1½ coarse sand (zone-III) derived from natural sources : 3 graded stone aggregate 20 mm nominal size derived from natural sources) .</t>
  </si>
  <si>
    <t>4.8.1A</t>
  </si>
  <si>
    <t>1:1.5:3 (1 Cement: 1.5 coarse sand (zone-III) ncluding manufactured sand derived from  Recycled Concrete Aggregate (RCA) upto 25% : 3 graded stone aggregate 20 mm nominal size including (Recycled Concrete Aggregate (RCA) upto 25%)).</t>
  </si>
  <si>
    <t>4.9</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</si>
  <si>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derived from natural sources : 6 graded stone aggregate 20 mm nominal size derived from natural sources), including necessary excavation of size 250x250x450mm deep for the same in bitumen/concrete pavement at specified spacing.</t>
  </si>
  <si>
    <t>4.9A</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</si>
  <si>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Concrete Aggregate (RCA)), including necessary excavation of size 250x250x450mm deep for the same in bitumen/ concrete pavement at specified spacing</t>
  </si>
  <si>
    <t>4.9B</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</si>
  <si>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Aggregate (RA), including necessary excavation of size 250x250x450mm deep for the same in bitumen/ concrete pavement at specified spacing</t>
  </si>
  <si>
    <t>DAMP-PROOF COURSE</t>
  </si>
  <si>
    <t>4.10</t>
  </si>
  <si>
    <t>Providing and laying damp-proof course 40mm thick with cement concrete 1:2:4 (1 cement : 2 coarse sand (zone-III) derived from natural sources : 4 graded stone aggregate 12.5mm nominal size derived from natural sources)</t>
  </si>
  <si>
    <t>4.10A</t>
  </si>
  <si>
    <t>Providing and laying damp-proof course 40mm thick with cement concrete 1:2:4 (1 cement : 2 coarse sand (zone-III) including manufactured sand derived from Recycled Concrete Aggregate (RCA) upto 25% : 4 graded stone aggregate 12.5mm nominal size including (Recycled Concrete Aggregate (RCA) upto 25%))</t>
  </si>
  <si>
    <t>4.11</t>
  </si>
  <si>
    <t xml:space="preserve">Providing and laying damp-proof course 50mm thick with cement concrete 1:2:4 (1 cement : 2 coarse sand (zone-III) derived from natural sources : 4 graded stone aggregate 20mm nominal size derived from natural sources). </t>
  </si>
  <si>
    <t>4.11A</t>
  </si>
  <si>
    <t>Providing and laying damp-proof course 50mm thick with cement concrete 1:2:4 (1 cement : 2 coarse sand (zone-III) ncluding manufactured sand derived from Recycled Concrete Aggregate  (RCA) upto 25% : 4 graded stone aggregate 20mm nominal size (Recycled Concrete Aggregate (RCA) upto 25%))</t>
  </si>
  <si>
    <t>4.12</t>
  </si>
  <si>
    <t>Extra for providing and mixing water proofing material in cement concrete work in doses by weight of cement as per manufacturer's specification.</t>
  </si>
  <si>
    <t>per bag of 50kg cement</t>
  </si>
  <si>
    <t>4.13</t>
  </si>
  <si>
    <t>Providing &amp; applying a coat of residual petroleum bitumen of grade of VG-10 of approved quality using 1.7kg per square metre on damp proof course after cleaning the surface with brushes and finally with apiece of cloth lightly soaked in kerosene oil.</t>
  </si>
  <si>
    <t>MISCELLANEOUS</t>
  </si>
  <si>
    <t>4.14</t>
  </si>
  <si>
    <t>Extra for concrete work in superstructure above floor V level for each four floors or part thereof by mechnical means.</t>
  </si>
  <si>
    <t>4.15</t>
  </si>
  <si>
    <t>Extra for laying concrete in or under water and/or liquid mud including cost of pumping or bailing out water and removing slush etc. complete.</t>
  </si>
  <si>
    <t>cum per metre depth</t>
  </si>
  <si>
    <t>Note for item No. 4.15 :- The quantity will be calculated by multiplying the depth measured from the sub-soil water level up to centre of gravity of concrete under sub-soil water level with quantity of concrete in cum executed under sub-soil water. The depth of centre of gravity shall be reckoned correct to 0.1m. 0.05m or more shall be taken as 0.1m and less than 0.05m ignored.</t>
  </si>
  <si>
    <t>4.16</t>
  </si>
  <si>
    <t>Extra for laying concrete in or under foul positions.</t>
  </si>
  <si>
    <t>4.17</t>
  </si>
  <si>
    <t>Making plinth protection 50mm thick of cement concrete 1:3:6 (1 cement : 3 coarse sand (zone-III) derived from natural sources : 6 graded stone aggregate 20 mm nominal size derived from natural sources) over 75mm thick bed of dry brick ballast 40 mm nominal size, well rammed and consolidated and grouted with fine sand, including necessary excavation, levelling &amp; dressing &amp; finishing the top smooth.</t>
  </si>
  <si>
    <t>4.17A</t>
  </si>
  <si>
    <t>Making plinth protection 50mm thick of cement concrete 1:3:6 (1 cement : 3 manufactured sand derived from Recycled Concrete Aggregate (RCA) : 6 graded stone aggregate 20 mm nominal size Recycled Concrete Aggregate (RCA) over 75mm thick bed of dry brick ballast 40 mm nominal size, well rammed and consolidated and grouted with fine sand, including necessary excavation, levelling &amp; dressing &amp; finishing the top smooth</t>
  </si>
  <si>
    <t>4.17B</t>
  </si>
  <si>
    <t>Making plinth protection 50mm thick of cement concrete 1:3:6 (1 cement : 3 manufactured sand derived from Recycled Concrete Aggregate (RCA) : 6 graded stone aggregate 20 mm nominal size Recycled Aggregate (RA) over 75mm thick bed of dry brick ballast 40 mm nominal size, well rammed and consolidated and grouted with fine sand, including necessary excavation, levelling &amp; dressing &amp; finishing the top smooth</t>
  </si>
  <si>
    <t>4.18</t>
  </si>
  <si>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t>
  </si>
  <si>
    <t>4.20</t>
  </si>
  <si>
    <t>Providing and laying in position ready mixed or site batched  design mix cement concrete for plain cement concrete work; using coarse aggregate and fine aggregate derived from natural sources,  Portland Pozzolana/Ordinary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</si>
  <si>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4.20.1</t>
  </si>
  <si>
    <t>All works upto plinth level :</t>
  </si>
  <si>
    <t>4.20.1.1</t>
  </si>
  <si>
    <t xml:space="preserve">Concrete of M10 grade with minimum cement content of 220 kg /cum </t>
  </si>
  <si>
    <t>4.20.1.2</t>
  </si>
  <si>
    <t>Concrete of M15 grade with minimum cement content of 240 kg /cum</t>
  </si>
  <si>
    <t>4.20.1.3</t>
  </si>
  <si>
    <t>Concrete of M20 grade with minimum cement content of 270 kg /cum</t>
  </si>
  <si>
    <t>4.20.1.4</t>
  </si>
  <si>
    <t>Concrete of M25 grade with minimum cement content of 300 kg /cum</t>
  </si>
  <si>
    <t>4.20.2</t>
  </si>
  <si>
    <t>All works above plinth and upto floor V level</t>
  </si>
  <si>
    <t>4.20.2.1</t>
  </si>
  <si>
    <t>Concrete of M10 grade with minimum cement  content of 220 kg /cum</t>
  </si>
  <si>
    <t>4.20.2.2</t>
  </si>
  <si>
    <t>4.20.2.3</t>
  </si>
  <si>
    <t>4.20.2.4</t>
  </si>
  <si>
    <t>4.20A</t>
  </si>
  <si>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</si>
  <si>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4.20A.1</t>
  </si>
  <si>
    <t xml:space="preserve">All works upto plinth level </t>
  </si>
  <si>
    <t>4.20A.1.1</t>
  </si>
  <si>
    <t xml:space="preserve">Concrete of M10 grade with minimum cement content of 220 kg /cum.
(Note: The permissible utilization of Recycled Concrete Aggregate (RCA) as coarse aggregate and fine aggregate is 100% each).
</t>
  </si>
  <si>
    <t>4.20A.1.2</t>
  </si>
  <si>
    <t xml:space="preserve">Concrete of M15 grade with minimum cement content of 240 kg /cum. 
(Note: The permissible utilization of Recycled Concrete Aggregate (RCA) as coarse aggregate and fine aggregate is 25% each).
</t>
  </si>
  <si>
    <t>4.20A.1.3</t>
  </si>
  <si>
    <t xml:space="preserve">Concrete of M20 grade with minimum cement content of 270 kg /cum.
 (Note: The permissible utilization of Recycled Concrete Aggregate (RCA) as coarse aggregate and fine aggregate is 25% each).
</t>
  </si>
  <si>
    <t>4.20A.1.4</t>
  </si>
  <si>
    <t xml:space="preserve">Concrete of M25 grade with minimum cement content of 300 kg /cum.
(Note: The permissible utilization of Recycled Concrete Aggregate (RCA) as coarse aggregate and fine aggregate is 25% each).
</t>
  </si>
  <si>
    <t>4.20A.2</t>
  </si>
  <si>
    <t>4.20A.2.1</t>
  </si>
  <si>
    <t>4.20A.2.2</t>
  </si>
  <si>
    <t xml:space="preserve">Concrete of M15 grade with minimum cement content of 240 kg /cum. 
 (Note: The permissible utilization of Recycled Concrete Aggregate (RCA) as coarse aggregate and fine aggregate is 25% each).
</t>
  </si>
  <si>
    <t>4.20A.2.3</t>
  </si>
  <si>
    <t xml:space="preserve">Concrete of M20 grade with minimum cement content of 270 kg /cum. 
 (Note: The permissible utilization of Recycled Concrete Aggregate (RCA) as coarse aggregate and fine aggregate is 25% each).
</t>
  </si>
  <si>
    <t>4.20A.2.4</t>
  </si>
  <si>
    <t xml:space="preserve">Concrete of M25 grade with minimum cement content of 300 kg /cum.    
(Note: The permissible utilization of Recycled Concrete Aggregate (RCA) as coarse aggregate and fine aggregate is 25% each).
</t>
  </si>
  <si>
    <t>5.0 REINFORCED CEMENT CONCRETE</t>
  </si>
  <si>
    <t>CAST IN SITU</t>
  </si>
  <si>
    <t>5.1</t>
  </si>
  <si>
    <t>Providing and laying in position specified grade of reinforced cement concrete, excluding the cost of centering, shuttering, finishing and reinforcement - All work up to plinth level :</t>
  </si>
  <si>
    <t>5.1.2</t>
  </si>
  <si>
    <t>1:1.5:3 (1 cement : 1.5 coarse sand (zone-III) derived from natural sources : 3 graded stone aggregate 20 mm nominal size derived from natural sources)</t>
  </si>
  <si>
    <t>5.1.2A</t>
  </si>
  <si>
    <t>1:1.5:3 (1 cement : 1.5 coarse sand(zone-III) incuding manufactured sand derived from Recycled Concrete Aggregate (RCA) upto 20% : 3 graded stone aggregate 20 mm nominal size of Recycled Concrete Aggregate (RCA) upto 20%.</t>
  </si>
  <si>
    <t>5.1.3</t>
  </si>
  <si>
    <t>5.1.3A</t>
  </si>
  <si>
    <t>1:2:4 (1 cement : 2 coarse sand incuding manufactured sand derived from Recycled Concrete Aggregate (RCA) upto 20% : 4 graded stone aggregate 20 mm nominal size of Recycled Concrete Aggregate (RCA) upto 20%).</t>
  </si>
  <si>
    <t>5.2</t>
  </si>
  <si>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t>
  </si>
  <si>
    <t>5.2.2</t>
  </si>
  <si>
    <t>1:1.5:3 (1 cement : 1.5 coarse sand(zone-III) derived from natural sources : 3 graded stone aggregate 20 mm nominal size derived from natural sources)</t>
  </si>
  <si>
    <t>5.2.2A</t>
  </si>
  <si>
    <t>1:1.5:3 (1 cement : 1.5 coarse sand incuding manufactured sand derived from Recycled Concrete Aggregate  (RCA) upto 20% : 3 graded stone aggregate 20 mm nominal size including Recycled Concrete Aggregate (RCA) upto 20%</t>
  </si>
  <si>
    <t>5.3</t>
  </si>
  <si>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t>
  </si>
  <si>
    <t>5.3A</t>
  </si>
  <si>
    <t>Reinforced cement concrete work in beams, suspended floors, roofs having slope up to 15° landings, balconies, shelves, chajjas, lintels, bands, plain window sills, staircases and spiral staircases above plinth level up to floor five level excluding the cost of centering, shuttering, finishing and reinforcement, with 1:1.5:3 (1 cement : 1.5 coarse sand incuding manufactured sand derived from Recycled Concrete Aggregate (RCA) upto 20%: 3 graded stone aggregate 20 mm nominal size including Recycled Concrete Aggregate (RCA) upto 20%)</t>
  </si>
  <si>
    <t>5.4</t>
  </si>
  <si>
    <t>Providing and laying reinforced cement concrete in kerbs, steps and the like at or near ground level excluding the cost of centering, shuttering, finishing and reinforcement with 1:1.5:3 (1 cement : 1.5 coarse sand(zone-III) derived from natural sources : 3 graded stone aggregate 20 mm nominal size derived from natural sources).</t>
  </si>
  <si>
    <t>5.4A</t>
  </si>
  <si>
    <t>Providing and laying reinforced cement concrete in kerbs, steps and the like at or near ground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</si>
  <si>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5.5</t>
  </si>
  <si>
    <t>Reinforced cement concrete work in arches, archribs, domes, vaults, shells, folded plate and roofs having slope more than 15° up to floor five level, excluding the cost of centering, shuttering, finishing and reinforcement with 1:1.5:3 (1 cement : 1.5 coarse sand (zone-III) derived from natural sources : 3 graded stone aggregate 20 mm nominal size derived from natural sources).</t>
  </si>
  <si>
    <t>5.5A</t>
  </si>
  <si>
    <t>Reinforced cement concrete work in arches, archribs, domes, vaults, shells, folded plate and roofs having slope more than 15°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</si>
  <si>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5.6</t>
  </si>
  <si>
    <t>Reinforced cement concrete work in chimneys, shafts, up to floor five level, excluding the cost of centering, shuttering, finishing and reinforcement with 1:1.5:3 (1 cement : 1.5 coarse sand(zone-III) derived from natural sources : 3 graded stone aggregate 20 mm nominal size derived from natural sources).</t>
  </si>
  <si>
    <t>5.6A</t>
  </si>
  <si>
    <t>Reinforced cement concrete work in chimneys, shafts,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</si>
  <si>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5.7</t>
  </si>
  <si>
    <t>Reinforced cement concrete work in well-steining, excluding the cost of centering, shuttering, finishing and reinforcement with 1:1.5:3 (1 cement : 1.5 coarse sand(zone-III)  derived from natural sources : 3 graded stone aggregate 20 mm nominal size derived from natural sources).</t>
  </si>
  <si>
    <t>5.7A</t>
  </si>
  <si>
    <t>Reinforced cement concrete work in well-steining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</si>
  <si>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5.8</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</si>
  <si>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sand(zone-III) derived from natural sources : 3 graded stone aggregate 20mm nominal size derived from natural sources).</t>
  </si>
  <si>
    <t>5.8A</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</si>
  <si>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</si>
  <si>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FORM WORK</t>
  </si>
  <si>
    <t>5.9</t>
  </si>
  <si>
    <t>Centering and shuttering including strutting, propping etc. and removal of form for</t>
  </si>
  <si>
    <t>5.9.1</t>
  </si>
  <si>
    <t>Foundations, footings, bases of columns, etc. for mass concrete</t>
  </si>
  <si>
    <t>5.9.2</t>
  </si>
  <si>
    <t>Walls (any thickness) including attached pilasters, butteresses, plinth and string courses etc.</t>
  </si>
  <si>
    <t>5.9.3</t>
  </si>
  <si>
    <t>Suspended floors, roofs, landings, balconies and access platform</t>
  </si>
  <si>
    <t>5.9.4</t>
  </si>
  <si>
    <t>Shelves (Cast in situ)</t>
  </si>
  <si>
    <t>5.9.5</t>
  </si>
  <si>
    <t>Lintels, beams, plinth beams, girders, bressumers and cantilevers</t>
  </si>
  <si>
    <t>5.9.6</t>
  </si>
  <si>
    <t>Columns, Pillars, Piers, Abutments, Posts and Struts</t>
  </si>
  <si>
    <t>5.9.7</t>
  </si>
  <si>
    <t>Stairs, (excluding landings) except spiral-staircases</t>
  </si>
  <si>
    <t>5.9.8</t>
  </si>
  <si>
    <t>Spiral staircases (including landing)</t>
  </si>
  <si>
    <t>5.9.9</t>
  </si>
  <si>
    <t>Arches, domes, vaults up to 6 m span</t>
  </si>
  <si>
    <t>5.9.10</t>
  </si>
  <si>
    <t>Extra for arches, domes, vaults exceeding 6 m span</t>
  </si>
  <si>
    <t>5.9.11</t>
  </si>
  <si>
    <t>Chimneys and shafts</t>
  </si>
  <si>
    <t>5.9.12</t>
  </si>
  <si>
    <t>Well steining</t>
  </si>
  <si>
    <t>5.9.13</t>
  </si>
  <si>
    <t xml:space="preserve">Vertical and horizontal fins individually or forming box louvers band, facias and eaves boards </t>
  </si>
  <si>
    <t>5.9.14</t>
  </si>
  <si>
    <t>Extra for shuttering in circular work (20% of respective centering and shuttering items)</t>
  </si>
  <si>
    <t>5.9.15</t>
  </si>
  <si>
    <t>Small lintels not exceeding 1.5 m clear span, moulding as in cornices, window sills, string courses, bands, copings, bed plates, anchor blocks and the like</t>
  </si>
  <si>
    <t>5.9.16</t>
  </si>
  <si>
    <t>Edges of slabs and breaks in floors and walls</t>
  </si>
  <si>
    <t>5.9.16.1</t>
  </si>
  <si>
    <t>Under 20 cm wide</t>
  </si>
  <si>
    <t>5.9.16.2</t>
  </si>
  <si>
    <t>Above 20 cm wide</t>
  </si>
  <si>
    <t>5.9.17</t>
  </si>
  <si>
    <t>Cornices and mouldings</t>
  </si>
  <si>
    <t>5.9.18</t>
  </si>
  <si>
    <t>Small surfaces such as cantilever ends, brackets and ends of steps, caps and bases to pilasters and columns and the like</t>
  </si>
  <si>
    <t>5.9.19</t>
  </si>
  <si>
    <t>Weather shade, Chajjas, corbels etc., including edges</t>
  </si>
  <si>
    <t>5.9.20</t>
  </si>
  <si>
    <t>Suspended floors, roofs, landings, balconies and access platform with water proof ply 12 mm thick</t>
  </si>
  <si>
    <t>5.9.21</t>
  </si>
  <si>
    <t>Lintels, beams, plinth beams, girders, bressumers and cantilevers with water proof ply 12 mm thick</t>
  </si>
  <si>
    <t>5.10</t>
  </si>
  <si>
    <t>Providing and fixing tie bolt, spring coil and plastic cone in wall shuttering complete as per the direction of Engineer-in-charge.</t>
  </si>
  <si>
    <t>5.10.1</t>
  </si>
  <si>
    <t>12 mm dia. &amp; 100 mm length</t>
  </si>
  <si>
    <t>each set</t>
  </si>
  <si>
    <t>5.10.2</t>
  </si>
  <si>
    <t>12 mm dia. &amp; 150 mm length</t>
  </si>
  <si>
    <t>5.10.3</t>
  </si>
  <si>
    <t>20 mm dia. &amp; 150 mm length</t>
  </si>
  <si>
    <t>5.10.4</t>
  </si>
  <si>
    <t>20 mm dia.&amp; 225 mm length</t>
  </si>
  <si>
    <t>5.11</t>
  </si>
  <si>
    <t>Extra for additional height in centering, shuttering where ever required with adequate bracing, propping etc., including cost of de-shuttering and decentering at all levels, over a height of 3.5 m, for every additional height of 1 metre or part thereof (Plan area to be measured).</t>
  </si>
  <si>
    <t>5.11.1</t>
  </si>
  <si>
    <t>Suspended floors, roofs, landing, beams and balconies (Plan area to be measured)</t>
  </si>
  <si>
    <t>PRE-CAST RCC</t>
  </si>
  <si>
    <t>5.12</t>
  </si>
  <si>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derived from natural sources : 3 graded stone aggregate 20 mm nominal size derived from natural sources).</t>
  </si>
  <si>
    <t>5.12A</t>
  </si>
  <si>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t>
  </si>
  <si>
    <t>5.13</t>
  </si>
  <si>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 (zone-III) derived from natural sources : 3 graded stone aggregate 20 mm nominal size derived from natural sources).</t>
  </si>
  <si>
    <t>5.13A</t>
  </si>
  <si>
    <t>Providing, hoisting and fixing up to floor five level precast reinforced cement concrete in small lintels not exceeding 1.5 m clear span up to floor five level,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</si>
  <si>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5.14</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</si>
  <si>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derived from natural sources : 3 graded stone aggregate 20 mm nominal size derived from natural sources).</t>
  </si>
  <si>
    <t>5.14A</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</si>
  <si>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</si>
  <si>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5.15</t>
  </si>
  <si>
    <t>Providing, transporting,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derived from natural sources : 3 graded stone aggregate 20 mm nominal size derived from natural sources)</t>
  </si>
  <si>
    <t>5.15A</t>
  </si>
  <si>
    <t>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 incuding manufactured sand derived from Recycled Concrete Aggregate (RCA) upto 20% : 3 graded stone aggregate 20 mm nominal size including Recycled Concrete Aggregate (RCA) upto 20%).</t>
  </si>
  <si>
    <t>5.16</t>
  </si>
  <si>
    <t>Providing, transporting,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derived from natural sources : 3 graded stone aggregate 20 mm nominal size derived from natural sources).</t>
  </si>
  <si>
    <t>5.16A</t>
  </si>
  <si>
    <t>Providing, transporting, hoisting and fixing above plinth level up to floor five level precast reinforced cement concrete in shelves including setting in cement mortar 1:3 (1 cement : 3 coarse sand), cost of required centering, shuttering and finishing with neat cement punning on exposed surfaces but excluding the cost of reinforcement, with 1:1.5:3 (1 cement : 1.5 coarse sand incuding manufactured sand derived from Recycled Concrete Aggregate (RCA) upto 20% : 3 graded stone aggregate 20 mm nominal size  including Recycled Concrete Aggregate (RCA) upto 20%).</t>
  </si>
  <si>
    <t>5.17</t>
  </si>
  <si>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derived from natural sources : 3 graded stone aggregate 20 mm nominal size derived from natural sources).</t>
  </si>
  <si>
    <t>5.17A</t>
  </si>
  <si>
    <t xml:space="preserve">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 </t>
  </si>
  <si>
    <t>5.18</t>
  </si>
  <si>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</si>
  <si>
    <t>5.18.1</t>
  </si>
  <si>
    <t>50 mm thick</t>
  </si>
  <si>
    <t>5.18.2</t>
  </si>
  <si>
    <t>40 mm thick</t>
  </si>
  <si>
    <t>5.18.3</t>
  </si>
  <si>
    <t>25 mm thick</t>
  </si>
  <si>
    <t>ENCASING ROLLED STEEL SECTION</t>
  </si>
  <si>
    <t>5.19</t>
  </si>
  <si>
    <t>Encasing rolled steel sections, in beams and columns, with cement concrete 1:1.5:3 (1 cement : 1.5 coarse sand (zone-III) derived from natural sources : 3 graded stone aggregate 20 mm nominal size derived from natural sources) including centering and shuttering complete but , excluding cost of reinforcement.</t>
  </si>
  <si>
    <t>5.19A</t>
  </si>
  <si>
    <t xml:space="preserve">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 </t>
  </si>
  <si>
    <t>5.20</t>
  </si>
  <si>
    <t>Encasing rolled steel section in grillages with cement concrete 1:1.5:3 (1 cement : 1.5 coarse sand (zone-III) derived from natural sources : 3 graded stone aggregate 20 mm nominal size derived from natural sources) including centering and shuttering but, excluding cost of expanded metal and hangers.</t>
  </si>
  <si>
    <t>5.20A</t>
  </si>
  <si>
    <t xml:space="preserve">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 </t>
  </si>
  <si>
    <t>5.21</t>
  </si>
  <si>
    <t>Extra for providing and fixing expanded metal mesh of size 20x60 mm and strands 3.25 mm wide 1.6 mm thick weighing 3.64 kg per sqm for encasing of rolled steel sections in beams, columns and grillages, excluding cost of hangers.</t>
  </si>
  <si>
    <t>STEEL REINFORCEMENT</t>
  </si>
  <si>
    <t>5.22</t>
  </si>
  <si>
    <t>Steel reinforcement for R.C.C. work including straightening, cutting, bending, placing in position and binding all complete upto plinth level.</t>
  </si>
  <si>
    <t>5.22.1</t>
  </si>
  <si>
    <t>Mild steel and Medium Tensile steel bars</t>
  </si>
  <si>
    <t>kg</t>
  </si>
  <si>
    <t>5.22.2</t>
  </si>
  <si>
    <t>Hard drawn steel wire</t>
  </si>
  <si>
    <t>5.22.3</t>
  </si>
  <si>
    <t>Cold twisted bars</t>
  </si>
  <si>
    <t>5.22.4</t>
  </si>
  <si>
    <t>Hot rolled deformed bars</t>
  </si>
  <si>
    <t>5.22.5</t>
  </si>
  <si>
    <t>Hard drawn steel wire fabric</t>
  </si>
  <si>
    <t>5.22.6</t>
  </si>
  <si>
    <t>Thermo-Mechanically Treated bars of grade Fe-500D or more.</t>
  </si>
  <si>
    <t>5.22A</t>
  </si>
  <si>
    <t>Steel reinforcement for R.C.C. work including straightening, cutting, bending, placing in position and binding all complete above plinth level.</t>
  </si>
  <si>
    <t>5.22A.1</t>
  </si>
  <si>
    <t>5.22A.2</t>
  </si>
  <si>
    <t>5.22A.3</t>
  </si>
  <si>
    <t>5.22A.4</t>
  </si>
  <si>
    <t>5.22A.5</t>
  </si>
  <si>
    <t>5.22A.6</t>
  </si>
  <si>
    <t>5.22B</t>
  </si>
  <si>
    <t>Steel reinforcement for R.C.C. work ready to use "cut and bend" rebars of approved make from factory/workshop to construction site including placing in position and binding all complete upto plinth level.</t>
  </si>
  <si>
    <t>5.22B.1</t>
  </si>
  <si>
    <t>5.22C</t>
  </si>
  <si>
    <t>Steel reinforcement for R.C.C. work ready to use "cut and bend" rebars of approved make from factory/workshop to construction site including placing in position and binding all complete above plinth level.</t>
  </si>
  <si>
    <t>5.22C.1</t>
  </si>
  <si>
    <t>5.23</t>
  </si>
  <si>
    <t>Smooth finishing of the exposed surface of R.C.C. work with 6 mm thick cement mortar 1:3 (1 Cement : 3 fine sand).</t>
  </si>
  <si>
    <t>5.24</t>
  </si>
  <si>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</si>
  <si>
    <t>5.25</t>
  </si>
  <si>
    <t>Providing and fixing in position copper plate as per design for expansion joints.</t>
  </si>
  <si>
    <t>5.26</t>
  </si>
  <si>
    <t>Providing and filling in position, blown bitumen in expansion joints.</t>
  </si>
  <si>
    <t>5.27</t>
  </si>
  <si>
    <t>Providing and filling in position bitumen mix filler of proportion 80 kg. of hot bitumen, 1 kg. of cement and 0.25 cubic metre of coarse sand for expansion joints.</t>
  </si>
  <si>
    <t>5.28</t>
  </si>
  <si>
    <t>Providing and fixing in position 12mm thick bitumen impregnated fiber board conforming to IS: 1838, including cost of primer, sealing compound Grade-A in expansion joints.</t>
  </si>
  <si>
    <t>per cm depth per 100m</t>
  </si>
  <si>
    <t>5.29</t>
  </si>
  <si>
    <t>Providing and fixing sheet covering over expansion joints with iron screws as per design.</t>
  </si>
  <si>
    <t>5.29.1</t>
  </si>
  <si>
    <t>Non-asbestos 6 mm thick fibre cement board, Type-A, Category-III   as per IS: 14862:2000</t>
  </si>
  <si>
    <t>5.29.1.1</t>
  </si>
  <si>
    <t>150mm wide</t>
  </si>
  <si>
    <t>5.29.1.2</t>
  </si>
  <si>
    <t>200mm wide</t>
  </si>
  <si>
    <t>5.29.2</t>
  </si>
  <si>
    <t>Aluminium fluted strips 3.15 mm thick.</t>
  </si>
  <si>
    <t>5.29.2.1</t>
  </si>
  <si>
    <t>150 mm wide</t>
  </si>
  <si>
    <t>5.29.2.2</t>
  </si>
  <si>
    <t>200 mm wide</t>
  </si>
  <si>
    <t>5.29.3</t>
  </si>
  <si>
    <t>Cement bonded wood particle board 6mm thick as per IS : 14276</t>
  </si>
  <si>
    <t>5.29.3.1</t>
  </si>
  <si>
    <t>5.29.3.2</t>
  </si>
  <si>
    <t>5.30</t>
  </si>
  <si>
    <t>Add for plaster drip course/ groove in plastered surface or moulding to R.C.C. projections.</t>
  </si>
  <si>
    <t>5.31</t>
  </si>
  <si>
    <t>Extra for laying reinforced cement concrete in or under water and/ or liquid mud, including cost of pumping or bailing out water and removing slush etc., complete.</t>
  </si>
  <si>
    <t>Nos.</t>
  </si>
  <si>
    <t>5.32</t>
  </si>
  <si>
    <t>Extra for laying reinforced cement concrete in or under foul positions.</t>
  </si>
  <si>
    <t>DESIGN MIX CONCRETE</t>
  </si>
  <si>
    <t>5.33</t>
  </si>
  <si>
    <t xml:space="preserve">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t>
  </si>
  <si>
    <t>5.33.1</t>
  </si>
  <si>
    <t xml:space="preserve">All works upto plinth level
</t>
  </si>
  <si>
    <t>5.33.1.1</t>
  </si>
  <si>
    <t>Concrete of M25 grade with  minimum cement content of 330 kg /cum</t>
  </si>
  <si>
    <t>5.33.1.2</t>
  </si>
  <si>
    <t>Concrete of M30 grade with  minimum cement  content of 350 kg /cum</t>
  </si>
  <si>
    <t>5.33.1.3</t>
  </si>
  <si>
    <t>Concrete of M35 grade with  minimum cement  content of 370 kg /cum</t>
  </si>
  <si>
    <t>5.33.1.4</t>
  </si>
  <si>
    <t>Concrete of M40 grade with  minimum cement  content of 390 kg/cum</t>
  </si>
  <si>
    <t>5.33.1.5</t>
  </si>
  <si>
    <t>Concrete of M50 grade with  minimum cement  content of 410 kg/cum</t>
  </si>
  <si>
    <t>5.33.2</t>
  </si>
  <si>
    <t xml:space="preserve">All works above plinth level upto floor V level
</t>
  </si>
  <si>
    <t>5.33.2.1</t>
  </si>
  <si>
    <t>Concrete of M25 grade with  minimum cement  content of 330 kg /cum</t>
  </si>
  <si>
    <t>5.33.2.2</t>
  </si>
  <si>
    <t>5.33.2.3</t>
  </si>
  <si>
    <t>5.33.2.4</t>
  </si>
  <si>
    <t>Concrete of M40 grade with  minimum cement  content of 390 kg /cum</t>
  </si>
  <si>
    <t>5.33.2.5</t>
  </si>
  <si>
    <t>Concrete of M50 grade with  minimum cement content of 410 kg /cum</t>
  </si>
  <si>
    <t>5.33A</t>
  </si>
  <si>
    <t xml:space="preserve">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t>
  </si>
  <si>
    <t>5.33A.1</t>
  </si>
  <si>
    <t xml:space="preserve">All works upto plinth level
</t>
  </si>
  <si>
    <t>5.33A.1.1</t>
  </si>
  <si>
    <t>Concrete of M25 grade with minimum  cement  content of 330 kg /cum</t>
  </si>
  <si>
    <t>5.33A.2</t>
  </si>
  <si>
    <t xml:space="preserve">All works above plinth level up to floor V level
</t>
  </si>
  <si>
    <t>5.33A.2.1</t>
  </si>
  <si>
    <t>Concrete of M25 grade with minimum cement content of 330 kg /cum</t>
  </si>
  <si>
    <t>5.35</t>
  </si>
  <si>
    <t xml:space="preserve">Add for using extra cement in the items of design mix over and above the specified cement content therein. </t>
  </si>
  <si>
    <t>quintal</t>
  </si>
  <si>
    <t>5.36</t>
  </si>
  <si>
    <t>Providing and placing in position precast reinforced cement concrete waffle units, square or rectangular, as per design and shape for floors and roofs in 1:1½:3 (1 Cement : 1½ coarse sand (zone-III) 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</si>
  <si>
    <t>5.36A</t>
  </si>
  <si>
    <t xml:space="preserve">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t>
  </si>
  <si>
    <t>5.38</t>
  </si>
  <si>
    <t>Extra for R.C.C./ B.M.C/ R.M.C. work above floor V level for each four floors or part thereof.</t>
  </si>
  <si>
    <t>5.41</t>
  </si>
  <si>
    <t>Supplying and applying pre tested and approved water based concrete curing compound to concrete/ masonry surface, all as per manufacturer’s specification and direction of Engineer-in-charge.</t>
  </si>
  <si>
    <t>5.41.1</t>
  </si>
  <si>
    <t>Non pigmented wet curing compound</t>
  </si>
  <si>
    <t>5.42</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</si>
  <si>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</si>
  <si>
    <t>5.42.1</t>
  </si>
  <si>
    <t>Coupler for 16 mm diameter reinforcement bar</t>
  </si>
  <si>
    <t>5.42.2</t>
  </si>
  <si>
    <t>Coupler for 20 mm diameter reinforcement bar</t>
  </si>
  <si>
    <t>5.42.3</t>
  </si>
  <si>
    <t>Coupler for 25 mm diameter reinforcement bar</t>
  </si>
  <si>
    <t>5.42.4</t>
  </si>
  <si>
    <t>Coupler for 28 mm diameter reinforcement bar</t>
  </si>
  <si>
    <t>5.42.5</t>
  </si>
  <si>
    <t>Coupler for 32 mm diameter reinforcement bar</t>
  </si>
  <si>
    <t>5.43</t>
  </si>
  <si>
    <t>Providing and fixing in position Stainless steel Grade 304 plate-1.0 mm thick as per design for expansion joints.</t>
  </si>
  <si>
    <t>5.43.1</t>
  </si>
  <si>
    <t>200 mm wide.</t>
  </si>
  <si>
    <t>5.43.2</t>
  </si>
  <si>
    <t>300 mm wide.</t>
  </si>
  <si>
    <t>5.44</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</si>
  <si>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(Material shall confirm to ASTM 6063).</t>
  </si>
  <si>
    <t>5.44.1</t>
  </si>
  <si>
    <t>Floor Joint of 100 mm gap</t>
  </si>
  <si>
    <t>5.44.2</t>
  </si>
  <si>
    <t>Floor Joint of 150 mm gap</t>
  </si>
  <si>
    <t>5.44.3</t>
  </si>
  <si>
    <t>Floor Joint of 200 mm gap</t>
  </si>
  <si>
    <t>5.45</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</si>
  <si>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</si>
  <si>
    <t>5.45.1</t>
  </si>
  <si>
    <t>Wall Joint of 100 mm gap</t>
  </si>
  <si>
    <t>5.45.2</t>
  </si>
  <si>
    <t>Wall Joint of 150 mm gap</t>
  </si>
  <si>
    <t>5.45.3</t>
  </si>
  <si>
    <t>Wall Joint of 200 mm gap</t>
  </si>
  <si>
    <t>5.46</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</si>
  <si>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t>
  </si>
  <si>
    <t>5.46.1</t>
  </si>
  <si>
    <t>Roof Joint of 100 mm gap</t>
  </si>
  <si>
    <t>5.46.2</t>
  </si>
  <si>
    <t>Roof Joint of 150 mm gap</t>
  </si>
  <si>
    <t>5.46.3</t>
  </si>
  <si>
    <t>Roof Joint of 200 mm gap</t>
  </si>
  <si>
    <t>5.47</t>
  </si>
  <si>
    <t>Providing and fixing in position factory made precast RCC M-40 door and window frame fixing with hold fast embedded in 1:3:6 concrete block ,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</si>
  <si>
    <t>5.47.1</t>
  </si>
  <si>
    <t>Door frame 125 mmx  60 mm</t>
  </si>
  <si>
    <t>5.47.2</t>
  </si>
  <si>
    <t>Door frame 100 mmx 60 mm</t>
  </si>
  <si>
    <t>5.47.3</t>
  </si>
  <si>
    <t>Door frame 85 mmx60 mm</t>
  </si>
  <si>
    <t>5.48</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</si>
  <si>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t>
  </si>
  <si>
    <t>Note:- Cement content considered in this item is 480 Kg./ cum Excess/ less cement used as per design mix is payable/ recoverable separately.</t>
  </si>
  <si>
    <t>5.48.1</t>
  </si>
  <si>
    <t>Reinforced Cement Concrete -M-50</t>
  </si>
  <si>
    <t>5.48.2</t>
  </si>
  <si>
    <t>Reinforced Cement Concrete -M-60</t>
  </si>
  <si>
    <t>5.48.3</t>
  </si>
  <si>
    <t>Extra for using M-50/ M-60 Grade Self-compacting Cement Concrete</t>
  </si>
  <si>
    <t>5.49</t>
  </si>
  <si>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t>
  </si>
  <si>
    <t>(rates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payment.Excess/less cement used for design mix including the extra cement required for under water concreting is payable / recoverable separately.</t>
  </si>
  <si>
    <t>6.0 BRICKWORK</t>
  </si>
  <si>
    <t>6.1</t>
  </si>
  <si>
    <t>Brick work with common burnt clay F.P.S. (non modular) bricks of class designation 7.5 in foundation and plinth in:</t>
  </si>
  <si>
    <t>6.1.1</t>
  </si>
  <si>
    <t>Cement mortar 1:4 (1 cement : 4 coarse sand)</t>
  </si>
  <si>
    <t>6.1.2</t>
  </si>
  <si>
    <t>Cement mortar 1:6 (1 cement : 6 coarse sand)</t>
  </si>
  <si>
    <t>6.2</t>
  </si>
  <si>
    <t>Brick work with common burnt clay modular bricks of class designation 7.5 in foundation and plinth in:</t>
  </si>
  <si>
    <t>6.2.1</t>
  </si>
  <si>
    <t>6.2.2</t>
  </si>
  <si>
    <t>Cement Mortar 1:6 (1 cement : 6 coarse sand).</t>
  </si>
  <si>
    <t>6.3</t>
  </si>
  <si>
    <t>Brick work with common burnt clay machine moulded perforated bricks of class designation 12.5 conforming to IS: 2222 in superstructure above plinth level up to floor five level in cement mortar 1:6 (1 cement : 6 coarse sand) :</t>
  </si>
  <si>
    <t>6.3.1</t>
  </si>
  <si>
    <t>With F.P.S.(non modular) bricks</t>
  </si>
  <si>
    <t>6.3.2</t>
  </si>
  <si>
    <t>With Modular bricks</t>
  </si>
  <si>
    <t>6.4</t>
  </si>
  <si>
    <t>Brick work with common burnt clay F.P.S. (non modular) bricks of class designation 7.5 in superstructure above plinth level up to floor V level in all shapes and sizes in :</t>
  </si>
  <si>
    <t>6.4.1</t>
  </si>
  <si>
    <t>6.4.2</t>
  </si>
  <si>
    <t>6.5</t>
  </si>
  <si>
    <t>Extra for brick work / AAC block masonry / Tile brick masonry  in superstructure above floor V level, for each four floors or part thereof by mechanical means.</t>
  </si>
  <si>
    <t>6.6</t>
  </si>
  <si>
    <t>Extra for forming cavity 5 cm to 11.5 cm wide in cavity walls with necessary weep and vent holes including use of cores and cost of providing and fixing bitumastic coated M .S. ties 300 mm long of 25x3 mm section at not less than 3 ties per sqm as per approved design.</t>
  </si>
  <si>
    <t>6.7</t>
  </si>
  <si>
    <t>Providing half brick masonry with common burnt clay F.P.S. (non modular) bricks of class designation 7.5 in cement mortar 1:3 (1 Cement : 3 coarse sand) in superstructure for closing cavity 5 to 7.5 cm wide in cavity wall complete with 10cm / 11.4 cm wide bitumen felt type 3 grade 1.</t>
  </si>
  <si>
    <t>6.8</t>
  </si>
  <si>
    <t>Brick work 7 cm thick with common burnt clay F.P.S. (non modular) brick of class designation 7.5 in cement mortar 1:3 (1 cement : 3 coarse sand) in superstructure above plinth level and upto floor five level.</t>
  </si>
  <si>
    <t>6.9</t>
  </si>
  <si>
    <t>Brick work in plain arches in superstructure above plinth level and upto floor five level including centering and shuttering complete for span up to 6 metres with common burnt clay F.P.S. (non modular) bricks of class designation 7.5 in cement mortar 1:3 (1 cement : 3 coarse sand).</t>
  </si>
  <si>
    <t>6.10</t>
  </si>
  <si>
    <t>Brick work in gauged arches in superstructure above plinth level and upto floor five level in cement mortar 1:3 (1 cement : 3 coarse sand) including centering and shuttering complete, for span up to 6 metres with common burnt clay F.P.S. (non modular) bricks of class designation 7.5.</t>
  </si>
  <si>
    <t>6.11</t>
  </si>
  <si>
    <t>Extra for additional cost of centering for arches exceeding 6m span including all shuttering, bolting, wedging and removal (Area of the soffit to be measured).</t>
  </si>
  <si>
    <t>HALF BRICK MASONRY</t>
  </si>
  <si>
    <t>6.12</t>
  </si>
  <si>
    <t>Half brick masonry with common burnt clay F.P.S. (non modular) bricks of class designation 7.5 in foundations and plinth in :</t>
  </si>
  <si>
    <t>6.12.1</t>
  </si>
  <si>
    <t>Cement mortar 1:3 (1 cement : 3 coarse sand)</t>
  </si>
  <si>
    <t>6.12.2</t>
  </si>
  <si>
    <t>cement mortar 1:4 (1 cement : 4 coarse sand)</t>
  </si>
  <si>
    <t>6.13</t>
  </si>
  <si>
    <t>Half brick masonry with common burnt clay F.P.S. (non modular) bricks of class designation 7.5 in superstructure above plinth level up to floor V level.</t>
  </si>
  <si>
    <t>6.13.1</t>
  </si>
  <si>
    <t>Cement mortar 1:3 (1 cement :3 coarse sand)</t>
  </si>
  <si>
    <t>6.13.2</t>
  </si>
  <si>
    <t>Cement mortar 1:4 (1 cement :4 coarse sand)</t>
  </si>
  <si>
    <t>6.14</t>
  </si>
  <si>
    <t>Extra for half brick masonry in superstructure, above floor V level for every four floors or part thereof by mechanical means.</t>
  </si>
  <si>
    <t>6.15</t>
  </si>
  <si>
    <t>Extra for providing and placing in position 2 Nos 6mm dia. M.S. bars at every third course of half brick masonry.</t>
  </si>
  <si>
    <t>BRICK TILE WORK</t>
  </si>
  <si>
    <t>6.16</t>
  </si>
  <si>
    <t>Tile brick masonry with common burnt clay F.P.S. (non modular) tile bricks of class designation 10 in foundation and plinth in:</t>
  </si>
  <si>
    <t>6.16.1</t>
  </si>
  <si>
    <t>6.16.2</t>
  </si>
  <si>
    <t>6.17</t>
  </si>
  <si>
    <t>Tile brick masonry with common burnt clay machine moulded tile bricks of class designation 12.5 conforming to IS : 2690 (Part I) in foundation and plinth in cement mortar 1:6 (1 cement : 6 coarse sand).</t>
  </si>
  <si>
    <t>6.18</t>
  </si>
  <si>
    <t>Tile brick masonry with common burnt clay F.P.S. (non modular) tile bricks of class designation 10 in superstructure above plinth level up to floor V level in cement mortar 1:6 (1 cement : 6 coarse sand).</t>
  </si>
  <si>
    <t>6.20</t>
  </si>
  <si>
    <t>Tile brick masonry with common burnt clay F.P.S. (non modular) tile bricks of class designation 10 in plain arch work in superstructure above plinth and upto floor five level in cement mortar 1:4 (1 cement : 4 coarse sand) including centering and shuttering complete.</t>
  </si>
  <si>
    <t>6.21</t>
  </si>
  <si>
    <t>Tile brick masonry with common burnt clay F.P.S. (non modular) tile bricks of class designation 10 in gauged arch work in superstructure above plinth and upto floor five level in cement mortar 1:4 (1 cement : 4 coarse sand) including centering and shuttering complete.</t>
  </si>
  <si>
    <t>6.22</t>
  </si>
  <si>
    <t>Tile brick masonry work 5 cm thick with common burnt clay F.P.S. (non modular) tile bricks of class designation 10 in cement mortar 1:3 (1 cement : 3 coarse sand) in superstructure above plinth and upto floor five level.</t>
  </si>
  <si>
    <t>HONEY COMB WORK</t>
  </si>
  <si>
    <t>6.23</t>
  </si>
  <si>
    <t>Honey-comb brick work 10 / 11.4 cm thick with common burnt clay bricks of class designation 7.5 in super structure above plinth level upto floor V level with cement mortar 1:4 (1 cement : 4 coarse sand).</t>
  </si>
  <si>
    <t>6.24</t>
  </si>
  <si>
    <t>Extra for laying brick work in or under water and/or liquid mud including cost of pumping or bailing out water and removing slush etc. complete.</t>
  </si>
  <si>
    <t>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t>
  </si>
  <si>
    <t>6.25</t>
  </si>
  <si>
    <t>Extra for laying brick work in or under foul position.</t>
  </si>
  <si>
    <t>EXPOSED BRICK WALL</t>
  </si>
  <si>
    <t>6.26</t>
  </si>
  <si>
    <t>Brick work with common burnt clay selected F.P.S. (non modular) bricks of class designation 7.5 in exposed brick work including making horizontal and vertical grooves 10 mm wide 12 mm deep complete in cement mortar 1:6 (1 cement : 6 coarse sand)</t>
  </si>
  <si>
    <t>6.26.1</t>
  </si>
  <si>
    <t>From ground level upto plinth level</t>
  </si>
  <si>
    <t>6.26.2</t>
  </si>
  <si>
    <t>Above plinth level upto floor V level</t>
  </si>
  <si>
    <t>6.27</t>
  </si>
  <si>
    <t>Brick work with common burnt clay modular bricks of class designation 7.5 in exposed brick work including making horizontal and vertical grooves 10mm wide 12 mm deep complete in cement mortar 1:6 (1 cement : 6 coarse sand).</t>
  </si>
  <si>
    <t>6.27.1</t>
  </si>
  <si>
    <t>6.27.2</t>
  </si>
  <si>
    <t>6.28</t>
  </si>
  <si>
    <t>Brick work with common burnt clay machine moulded modular bricks of class designation 12.5 in exposed brick work including making horizontal and vertical grooves 10 mm wide 12 mm deep complete in cement mortar 1:6 (1 cement : 6 coarse sand).</t>
  </si>
  <si>
    <t>6.28.1</t>
  </si>
  <si>
    <t>6.28.2</t>
  </si>
  <si>
    <t>6.29</t>
  </si>
  <si>
    <t>Brick work with common burnt clay machine moulded F.P.S. (non modular) bricks of class designation 12.5 in exposed brick work including making horizontal and vertical grooves 10 mm wide 12 mm deep complete in cement mortar 1:6 (1 cement : 6 coarse sand).</t>
  </si>
  <si>
    <t>6.29.1</t>
  </si>
  <si>
    <t>6.29.2</t>
  </si>
  <si>
    <t>6.30</t>
  </si>
  <si>
    <t>Brick work with common burnt clay machine moulded perforated F.P.S. (non modular) bricks of class designation 12.5 conforming IS : 2222 in exposed brick work including making horizontal and vertical grooves 10mm wide 12 mm deep complete in cement mortar 1:6 (1 cement : 6 coarse sand).</t>
  </si>
  <si>
    <t>6.30.1</t>
  </si>
  <si>
    <t>6.30.2</t>
  </si>
  <si>
    <t>6.31</t>
  </si>
  <si>
    <t>Brick work with common burnt clay machine moulded perforated modular bricks of class designation 12.5 conforming to IS : 2222 in exposed brick work including making horizontal and vertical grooves 10 mm wide 12mm deep complete in cement mortar 1:6 (1 cement : 6 coarse sand).</t>
  </si>
  <si>
    <t>6.31.1</t>
  </si>
  <si>
    <t>6.31.2</t>
  </si>
  <si>
    <t>6.32</t>
  </si>
  <si>
    <t>Brick work with clay flyash F.P.S. (non modular) brick of class designation 7.5 in superstructure above plinth level up to floor five level in :</t>
  </si>
  <si>
    <t>6.32.1</t>
  </si>
  <si>
    <t>6.32.2</t>
  </si>
  <si>
    <t>6.34</t>
  </si>
  <si>
    <t>Brick work with non modular fly ash bricks conforming to IS:12894, class designation 10 average compressive strength in super structure above plinth level up to floor V level in :</t>
  </si>
  <si>
    <t>6.34.1</t>
  </si>
  <si>
    <t>6.34.2</t>
  </si>
  <si>
    <t>Cement mortar 1:6 (1 cement : 6 Coarse sand)</t>
  </si>
  <si>
    <t>6.35</t>
  </si>
  <si>
    <t>Brick work with modular calcium silicate bricks machine moulded conforming to IS:4139, class designation 10 average compressive strength in super structure above plinth level up to floor V level in :</t>
  </si>
  <si>
    <t>6.35.1</t>
  </si>
  <si>
    <t>6.35.2</t>
  </si>
  <si>
    <t>6.36</t>
  </si>
  <si>
    <t>Brick work with modular extruded brunt fly ash clay sewer bricks (Conforming to IS: 4885 ) in cement mortar 1:4 (1 cement : 4 coarse sand) in foundation and plinth :</t>
  </si>
  <si>
    <t>6.36.1</t>
  </si>
  <si>
    <t>Cement Mortar 1:4 ( 1 cement : 4 coarse sand)</t>
  </si>
  <si>
    <t>6.37</t>
  </si>
  <si>
    <t>Brick work with modular extruded brunt fly ash clay sewer bricks (conforming to IS : 4885) in arches in foundation and plinth in cement mortar 1:3 ( 1 cement : 3 fine sand).</t>
  </si>
  <si>
    <t>6.38</t>
  </si>
  <si>
    <t>Providing and laying Autoclaved Aerated concrete(AAC) blocks masonry 100 mm/ 125 mm thick with Grade-1 AAC blocks of density 551 to 650 kg/cum conforming to IS:2185 (Part 3) in super structure above plinth level up to floor V level in cement mortar 1:4 (1 cement : 4 coarse sand ). The rate includes providing and placing in position 2 Nos 6 mm dia M.S. bars at every third course of masonry work.</t>
  </si>
  <si>
    <t>6.40</t>
  </si>
  <si>
    <t>Providing and laying Gypsum panel partitions 100 mm thick with water proof Gypsum panels of size 666x500x100 mm, made of calcite phosphor Gypsum fixed with tongue and groove edges and jointed with bonding plaster as per manufacturer’s specifications in superstructure above plinth level up to floor V level. Gypsum blocks will have a minimum compressive strength of 9.3 kg/cm2</t>
  </si>
  <si>
    <t>6.41</t>
  </si>
  <si>
    <t>Extra for Gypsum panel Partitions in superstructure above floor V level for every four floors or part thereof.</t>
  </si>
  <si>
    <t>6.44</t>
  </si>
  <si>
    <t>Brick edging 7cm wide 11.4 cm deep to plinth protection with common burnt clay F.P.S. (non modular) bricks of class designation 7.5 including grouting with cement mortar 1:4 (1 cement : 4 fine sand).</t>
  </si>
  <si>
    <t>6.45</t>
  </si>
  <si>
    <t>Half brick masonry with non modular fly ash bricks of class designation 10, conformingio IS :12894, in super structure above plinth and upto floor V level.</t>
  </si>
  <si>
    <t>6.45.1</t>
  </si>
  <si>
    <t>Cement mortar 1 : 3 (1 cement : 3 coarse sand)</t>
  </si>
  <si>
    <t>6.45.2</t>
  </si>
  <si>
    <t>Cement mortar 1 : 4 (1 cement : 4 coarse sand)</t>
  </si>
  <si>
    <t>6.47</t>
  </si>
  <si>
    <t>Providing and laying Autoclaved Aerated concrete(AAC) blocks  masonry with 150mm to 300 mm thick  with Grade-1 AAC blocks of density 551 to 650 kg/cum conforming to IS:2185 (Part 3)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t>
  </si>
  <si>
    <t>7.0 STONE WORK</t>
  </si>
  <si>
    <t>RANDOM RUBBLE MASONRY</t>
  </si>
  <si>
    <t>7.1</t>
  </si>
  <si>
    <t>Random rubble masonry with hard stone in foundation and plinth including levelling up with cement concrete 1:6:12 (1 cement : 6 coarse sand : 12 graded stone aggregate 20 mm nominal size) upto plinth level with :</t>
  </si>
  <si>
    <t>7.1.1</t>
  </si>
  <si>
    <t>Cement mortar 1:6 (1 cement : 6 coarse sand) (Timber to be supplied by department free of cost and Dash fasteners, hold fast lugs and screws etc. shall be paid for separately)</t>
  </si>
  <si>
    <t>7.2</t>
  </si>
  <si>
    <t>Random rubble masonry with hard stone in superstructure above plinth level and upto floor five level, including leveling up with cement concrete 1:6:12 (1 cement : 6 coarse sand : 12 graded stone aggregate 20 mm nominal size) at window sills, ceiling level and the like.</t>
  </si>
  <si>
    <t>7.2.1</t>
  </si>
  <si>
    <t>7.4</t>
  </si>
  <si>
    <t>Extra for random rubble masonry with hard stone in :</t>
  </si>
  <si>
    <t>7.4.1</t>
  </si>
  <si>
    <t>Square or rectangular pillars</t>
  </si>
  <si>
    <t>7.4.2</t>
  </si>
  <si>
    <t>Circular pillars</t>
  </si>
  <si>
    <t>7.5</t>
  </si>
  <si>
    <t>Extra for random rubble masonry with hard stone curved on plan for a mean radius not exceeding 6 m.</t>
  </si>
  <si>
    <t>COURSED RUBBLE MASONRY</t>
  </si>
  <si>
    <t>7.6</t>
  </si>
  <si>
    <t>Coursed rubble masonry (first sort) with hard stone in foundation and plinth with :</t>
  </si>
  <si>
    <t>7.6.1</t>
  </si>
  <si>
    <t>7.7</t>
  </si>
  <si>
    <t>Coursed rubble masonry (second sort) with hard stone in foundation &amp; plinth with :</t>
  </si>
  <si>
    <t>7.7.1</t>
  </si>
  <si>
    <t>7.8</t>
  </si>
  <si>
    <t>Coursed rubble masonry with hard stone (first or second sort) in superstructure above plinth level and upto floor five level.</t>
  </si>
  <si>
    <t>7.8.1</t>
  </si>
  <si>
    <t>Masonry work (first sort), in cement mortar 1:6 (1 cement : 6 coarse sand)</t>
  </si>
  <si>
    <t>7.8.2</t>
  </si>
  <si>
    <t>Masonry work (second sort), in cement mortar 1:6 (1 cement: 6 coarse sand)</t>
  </si>
  <si>
    <t>7.10</t>
  </si>
  <si>
    <t>Extra for coursed rubble masonry with hard stone (first or second sort) in:</t>
  </si>
  <si>
    <t>7.10.1</t>
  </si>
  <si>
    <t>7.10.2</t>
  </si>
  <si>
    <t>7.11</t>
  </si>
  <si>
    <t>Extra for coursed rubble masonry with hard stone (first or second sort) curved on plan for a mean radius not exceeding 6 m.</t>
  </si>
  <si>
    <t>ASHLAR MASONRY</t>
  </si>
  <si>
    <t>7.12</t>
  </si>
  <si>
    <t>Stone work in plain ashlar in super structure upto floor five level in cement mortar 1:6 (1 cement : 6 coarse sand) including pointing with cement mortar 1:2 (1 white cement : 2 stone dust) with an admixture of pigment matching the stone shade :</t>
  </si>
  <si>
    <t>7.12.1</t>
  </si>
  <si>
    <t>One face dressed</t>
  </si>
  <si>
    <t>7.12.1.1</t>
  </si>
  <si>
    <t>Red sand stone</t>
  </si>
  <si>
    <t>7.12.1.2</t>
  </si>
  <si>
    <t>White sand stone</t>
  </si>
  <si>
    <t>7.12.2</t>
  </si>
  <si>
    <t>Both face dressed</t>
  </si>
  <si>
    <t>7.12.2.1</t>
  </si>
  <si>
    <t>7.12.2.2</t>
  </si>
  <si>
    <t>7.13</t>
  </si>
  <si>
    <t>Stone work plain ashlar in arches in super structure upto floor V level in cement mortar 1:3 (1 cement : 3 coarse sand) including centering, shuttering and pointing with white cement mortar 1:2 (1 white cement : 2 stone dust) with an admixture of pigment matching the stone shade.</t>
  </si>
  <si>
    <t>7.13.1</t>
  </si>
  <si>
    <t>7.13.1.1</t>
  </si>
  <si>
    <t>7.13.1.2</t>
  </si>
  <si>
    <t>7.13.2</t>
  </si>
  <si>
    <t>7.13.2.1</t>
  </si>
  <si>
    <t>7.13.2.2</t>
  </si>
  <si>
    <t>7.14</t>
  </si>
  <si>
    <t>Stone work plain ashlar in domes , in super structure upto floor V level in cement mortar 1:3 (1 cement : 3 coarse sand) including centering, shuttering and pointing with white cement mortar 1:2 (1 white cement : 2 stone dust) with an admixture of pigment matching the stone shade.</t>
  </si>
  <si>
    <t>7.14.1</t>
  </si>
  <si>
    <t>7.14.1.1</t>
  </si>
  <si>
    <t>7.14.1.2</t>
  </si>
  <si>
    <t>7.14.2</t>
  </si>
  <si>
    <t>7.14.2.1</t>
  </si>
  <si>
    <t>7.14.2.2</t>
  </si>
  <si>
    <t>7.15</t>
  </si>
  <si>
    <t>Stone work ashlar punched (ordinary) in superstructure upto floor five level in cement mortar 1:6 (1 white cement : 6 coarse sand) including pointing with white cement mortar 1:2 (1 white cement : 2 stone dust) with an admixture of pigment matching the stone shade.</t>
  </si>
  <si>
    <t>7.15.1</t>
  </si>
  <si>
    <t>7.15.1.1</t>
  </si>
  <si>
    <t>7.15.1.2</t>
  </si>
  <si>
    <t>7.15.2</t>
  </si>
  <si>
    <t>Both faced punched</t>
  </si>
  <si>
    <t>7.15.2.1</t>
  </si>
  <si>
    <t>7.15.2.2</t>
  </si>
  <si>
    <t>7.16</t>
  </si>
  <si>
    <t>Extra for stone work, random rubble / coursed rubble masonry / ashlar masonry above floor V level for every four floors or part thereof by mechnical means.</t>
  </si>
  <si>
    <t>7.17</t>
  </si>
  <si>
    <t>Extra for plain ashlar or ashlar punched in :</t>
  </si>
  <si>
    <t>7.17.1</t>
  </si>
  <si>
    <t>7.18</t>
  </si>
  <si>
    <t>Extra for stone work; plain ashlar or ashlar punched curved on plan with a mean radius not exceeding 6 m.</t>
  </si>
  <si>
    <t>7.19</t>
  </si>
  <si>
    <t>Extra for additional cost of centering for arches exceeding 6m span including all strutting, bolting, wedging etc. and removal (area of soffit to be measured).</t>
  </si>
  <si>
    <t>SUNK, MOULDED, CARVED ASHLAR MASONRY</t>
  </si>
  <si>
    <t>7.20</t>
  </si>
  <si>
    <t>Stone work ashlar sunk or moulded or sunk and moulded upto floor five level in cement mortar 1:6 (1 cement : 6 coarse sand) including pointing with white cement mortar 1:2 (1 white cement : 2 stone dust) with an admixture of pigment matching the stone shade :</t>
  </si>
  <si>
    <t>7.20.1</t>
  </si>
  <si>
    <t>7.20.2</t>
  </si>
  <si>
    <t>7.21</t>
  </si>
  <si>
    <t>Extra for stone work ashlar sunk or moulded or sunk and moulded or carved in :</t>
  </si>
  <si>
    <t>7.21.1</t>
  </si>
  <si>
    <t>Triangular or Square or rectangular pillars</t>
  </si>
  <si>
    <t>7.21.2</t>
  </si>
  <si>
    <t>Circular or polygonal pillars</t>
  </si>
  <si>
    <t>7.22</t>
  </si>
  <si>
    <t>Extra for stone work ashlar sunk or moulded in cornices.</t>
  </si>
  <si>
    <t>per metre per cm girth (60cm deep)</t>
  </si>
  <si>
    <t>MISCELLANEOUS STONE WORK</t>
  </si>
  <si>
    <t>7.24</t>
  </si>
  <si>
    <t>Extra for stone work (veneer work) curved on plan with a mean radius not exceeding 6 m.</t>
  </si>
  <si>
    <t>7.26</t>
  </si>
  <si>
    <t>Providing and fixing stone dowels 10x5x2.50 cm cut to double wedge shape as per design in cement mortar 1:2 (1 cement : 2 coarse sand), including making the necessary chases.</t>
  </si>
  <si>
    <t>7.28</t>
  </si>
  <si>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</si>
  <si>
    <t>7.28.1</t>
  </si>
  <si>
    <t>Red sand stone :</t>
  </si>
  <si>
    <t>7.28.1.1</t>
  </si>
  <si>
    <t>With common burnt clay F.P.S.(non modular) bricks of class designation 7.5</t>
  </si>
  <si>
    <t>7.28.2</t>
  </si>
  <si>
    <t>White sand stone :</t>
  </si>
  <si>
    <t>7.28.2.1</t>
  </si>
  <si>
    <t>7.29</t>
  </si>
  <si>
    <t>Providing and fixing horizontal chajja of stone 40 mm thick and upto 80 cm projection in cement mortar 1:4 (1 cement : 4 coarse sand), including pointing in white cement mortar 1:2 (1 white cement : 2 stone dust) with an admixture of pigment matching the stone shade :</t>
  </si>
  <si>
    <t>7.29.1</t>
  </si>
  <si>
    <t>7.29.2</t>
  </si>
  <si>
    <t>7.30</t>
  </si>
  <si>
    <t>30 mm red sand stone sun-shade (chisel-dressed) supported on red sand stone brackets, fixed in walls with cement mortar 1:4 (1 cement : 4 coarse sand), including finishing complete.</t>
  </si>
  <si>
    <t>7.31</t>
  </si>
  <si>
    <t>Providing and fixing red sand stone brackets 55x22.5x45 cm sunk and moulded including providing and fixing with 4 Nos gun metal cramp 25x6 mm 30 cm long</t>
  </si>
  <si>
    <t>7.32</t>
  </si>
  <si>
    <t>Stone work, plain in copings, cornices, string courses and plinth courses, upto 75 mm thick in Cement mortar 1:6 (1 cement : 6 coarse sand), including pointing with white cement mortar 1:2 (1 white cement : 2 stone dust) with an admixture of pigment matching the stone shade.</t>
  </si>
  <si>
    <t>7.32.1</t>
  </si>
  <si>
    <t>7.32.2</t>
  </si>
  <si>
    <t>7.33</t>
  </si>
  <si>
    <t>Providing and fixing stone jali 40 mm thick throughout in cement mortar 1:3 (1 cement : 3 coarse sand), including pointing in white cement mortar 1:2 (1 white cement : 2 stone dust) with an admixture of pigment, matching the stone shade, jali slab without any chamfers etc.</t>
  </si>
  <si>
    <t>7.33.1</t>
  </si>
  <si>
    <t>7.33.2</t>
  </si>
  <si>
    <t>7.34</t>
  </si>
  <si>
    <t>Extra for laying stone work in or under water and/or liquid mud including cost of pumping or bailing out water and removing slush etc. complete.</t>
  </si>
  <si>
    <t>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t>
  </si>
  <si>
    <t>7.35</t>
  </si>
  <si>
    <t>Extra for laying stone work in or under foul condition.</t>
  </si>
  <si>
    <t>7.38</t>
  </si>
  <si>
    <t>Stone tile work for wall lining upto 10 m height with special adhesive over 12 mm thick bed of cement mortar 1:3 (1 cement : 3 coarse sand), including pointing in white cement with an admixture of pigment to match the stone shade.</t>
  </si>
  <si>
    <t>7.38.1</t>
  </si>
  <si>
    <t>8mm thick (mirror polished and machine cut edge)</t>
  </si>
  <si>
    <t>7.38.1.1</t>
  </si>
  <si>
    <t>Granite stone of any colour and shade</t>
  </si>
  <si>
    <t>7.38.1.2</t>
  </si>
  <si>
    <t>Raj Nagar plain white marble/ Udaipur green marble/ Zebra black marble</t>
  </si>
  <si>
    <t>8. CLADDING WORK</t>
  </si>
  <si>
    <t>8.1</t>
  </si>
  <si>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t>
  </si>
  <si>
    <t>8.1.1</t>
  </si>
  <si>
    <t>Raj Nagar Plain white marble/ Udaipur green marble/ Zebra black marble.</t>
  </si>
  <si>
    <t>8.1.1.1</t>
  </si>
  <si>
    <t>Area of slab upto 0.50 sqm</t>
  </si>
  <si>
    <t>8.1.1.2</t>
  </si>
  <si>
    <t>Area of slab over 0.50 sqm</t>
  </si>
  <si>
    <t>8.2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</si>
  <si>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t>
  </si>
  <si>
    <t>8.2.1</t>
  </si>
  <si>
    <t>Raj Nagar Plain white marble/ Udaipur green marble/ Zebra black marble</t>
  </si>
  <si>
    <t>8.2.1.1</t>
  </si>
  <si>
    <t>8.2.1.2</t>
  </si>
  <si>
    <t>8.2.2</t>
  </si>
  <si>
    <t>Granite stone slab of colour black, Cherry/Ruby red</t>
  </si>
  <si>
    <t>8.2.2.1</t>
  </si>
  <si>
    <t>8.2.2.2</t>
  </si>
  <si>
    <t>8.2.3</t>
  </si>
  <si>
    <t>Granite stone slab of all colour and texture except black, Cherry/Ruby red</t>
  </si>
  <si>
    <t>8.2.3.1</t>
  </si>
  <si>
    <t>8.2.3.2</t>
  </si>
  <si>
    <t>8.3</t>
  </si>
  <si>
    <t>Providing edge moulding to 18 mm thick marble stone counters, Vanities etc., including machine polishing to edge to give high gloss finish etc. complete as per design approved by Engineer-in-Charge.</t>
  </si>
  <si>
    <t>8.3.1</t>
  </si>
  <si>
    <t>Marble work</t>
  </si>
  <si>
    <t>8.3.2</t>
  </si>
  <si>
    <t>Granite work</t>
  </si>
  <si>
    <t>8.4</t>
  </si>
  <si>
    <t>Extra for fixing marble /granite stone, over and above corresponding basic item, in facia and drops of width upto 150 mm with epoxy resin based adhesive, including cleaning etc. complete.</t>
  </si>
  <si>
    <t>8.5</t>
  </si>
  <si>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</si>
  <si>
    <t>8.6</t>
  </si>
  <si>
    <t>Mirror polishing on marble work/Granite work/stone work where ever required to give high gloss finish complete.</t>
  </si>
  <si>
    <t>8.7</t>
  </si>
  <si>
    <t>Providing and fixing cramps of required size &amp; shape in RCC/ CC / Brick masonry backing with cement mortar 1:2 ( 1 cement :2 coarse sand), including drilling necessary hole in stones and embedding the cramp in the hole (fastener to be paid separately).</t>
  </si>
  <si>
    <t>8.7.1</t>
  </si>
  <si>
    <t>Gunmetal cramps</t>
  </si>
  <si>
    <t>8.7.2</t>
  </si>
  <si>
    <t>Stainless steel cramps</t>
  </si>
  <si>
    <t>8.8</t>
  </si>
  <si>
    <t>Providing and fixing expansion hold fasteners on C.C. /R.C.C./Brick masonry surface backing including drilling necessary holes and the cost of bolt etc complete.</t>
  </si>
  <si>
    <t>8.8.1</t>
  </si>
  <si>
    <t>Wedge expansion type</t>
  </si>
  <si>
    <t>8.8.1.1</t>
  </si>
  <si>
    <t>Fastener with threaded dia 6 mm</t>
  </si>
  <si>
    <t>8.8.1.2</t>
  </si>
  <si>
    <t>Fastener with threaded dia 10 mm</t>
  </si>
  <si>
    <t>8.8.1.3</t>
  </si>
  <si>
    <t>Fastener with threaded dia 12 mm</t>
  </si>
  <si>
    <t>8.9</t>
  </si>
  <si>
    <t>Stone tile (polished) work for wall lining over 12 mm thick bed of cement mortar 1:3 (1 cement : 3 coarse sand) and cement slurry @ 3.3 kg/sqm including pointing in white cement complete.</t>
  </si>
  <si>
    <t>8.9.1</t>
  </si>
  <si>
    <t>8mm thick</t>
  </si>
  <si>
    <t>8.9.1.1</t>
  </si>
  <si>
    <t>Raj nagar plain white marble/ Udaipur green marble/ Zebra black marble</t>
  </si>
  <si>
    <t>8.9.1.2</t>
  </si>
  <si>
    <t>Granite of any colour and shade</t>
  </si>
  <si>
    <t>8.10</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</si>
  <si>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t>
  </si>
  <si>
    <t>8.10.1</t>
  </si>
  <si>
    <t>White Agaria Marble Stone</t>
  </si>
  <si>
    <t>8.10.2</t>
  </si>
  <si>
    <t>Granite Stone of approved shade</t>
  </si>
  <si>
    <t>8.11</t>
  </si>
  <si>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t>
  </si>
  <si>
    <t>8.11.1</t>
  </si>
  <si>
    <t>18 mm thick Italian Marble stone slab,Perlato, Rosso verona, Fire Red or Dark Emperadore etc.</t>
  </si>
  <si>
    <t>8.14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</si>
  <si>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</si>
  <si>
    <t>8.14.1</t>
  </si>
  <si>
    <t>Red sand stone - exposed face fine dressed with rough backing.</t>
  </si>
  <si>
    <t>7.23.1</t>
  </si>
  <si>
    <t>8.14.1.1</t>
  </si>
  <si>
    <t>70 mm thick</t>
  </si>
  <si>
    <t>7.23.1.1</t>
  </si>
  <si>
    <t>8.14.1.2</t>
  </si>
  <si>
    <t>60 mm thick</t>
  </si>
  <si>
    <t>7.23.1.2</t>
  </si>
  <si>
    <t>8.14.1.3</t>
  </si>
  <si>
    <t>7.23.1.3</t>
  </si>
  <si>
    <t>8.14.1.4</t>
  </si>
  <si>
    <t>7.23.1.4</t>
  </si>
  <si>
    <t>8.14.1.5</t>
  </si>
  <si>
    <t>30 mm thick</t>
  </si>
  <si>
    <t>7.23.1.5</t>
  </si>
  <si>
    <t>8.14.2</t>
  </si>
  <si>
    <t>Red sand stone - Exposed face machine cut and table rubbed with rough backing.</t>
  </si>
  <si>
    <t>7.23.2</t>
  </si>
  <si>
    <t>8.14.2.1</t>
  </si>
  <si>
    <t>7.23.2.1</t>
  </si>
  <si>
    <t>8.14.2.2</t>
  </si>
  <si>
    <t>7.23.2.2</t>
  </si>
  <si>
    <t>8.14.2.3</t>
  </si>
  <si>
    <t>7.23.2.3</t>
  </si>
  <si>
    <t>8.14.2.4</t>
  </si>
  <si>
    <t>7.23.2.4</t>
  </si>
  <si>
    <t>8.14.2.5</t>
  </si>
  <si>
    <t>7.23.2.5</t>
  </si>
  <si>
    <t>8.14.3</t>
  </si>
  <si>
    <t>White sand stone - exposed face fine dressed with rough backing .</t>
  </si>
  <si>
    <t>7.23.3</t>
  </si>
  <si>
    <t>8.14.3.1</t>
  </si>
  <si>
    <t>7.23.3.1</t>
  </si>
  <si>
    <t>8.14.3.2</t>
  </si>
  <si>
    <t>7.23.3.2</t>
  </si>
  <si>
    <t>8.14.3.3</t>
  </si>
  <si>
    <t>7.23.3.3</t>
  </si>
  <si>
    <t>8.14.3.4</t>
  </si>
  <si>
    <t>7.23.3.4</t>
  </si>
  <si>
    <t>8.14.3.5</t>
  </si>
  <si>
    <t>7.23.3.5</t>
  </si>
  <si>
    <t>8.14.4</t>
  </si>
  <si>
    <t>White sand stone - Exposed face machine cut and table rubbed with rough backing.</t>
  </si>
  <si>
    <t>7.23.4</t>
  </si>
  <si>
    <t>8.14.4.1</t>
  </si>
  <si>
    <t>7.23.4.1</t>
  </si>
  <si>
    <t>8.14.4.2</t>
  </si>
  <si>
    <t>7.23.4.2</t>
  </si>
  <si>
    <t>8.14.4.3</t>
  </si>
  <si>
    <t>7.23.4.3</t>
  </si>
  <si>
    <t>8.14.4.4</t>
  </si>
  <si>
    <t>7.23.4.4</t>
  </si>
  <si>
    <t>8.14.4.5</t>
  </si>
  <si>
    <t>7.23.4.5</t>
  </si>
  <si>
    <t>8.14.5</t>
  </si>
  <si>
    <t>Gang saw cut stone</t>
  </si>
  <si>
    <t>7.23.5</t>
  </si>
  <si>
    <t>8.14.5.1</t>
  </si>
  <si>
    <t>30mm thick White sand stone</t>
  </si>
  <si>
    <t>7.23.5.1</t>
  </si>
  <si>
    <t>8.14.5.2</t>
  </si>
  <si>
    <t>30mm thick Red sand stone</t>
  </si>
  <si>
    <t>7.23.5.2</t>
  </si>
  <si>
    <t>8.15</t>
  </si>
  <si>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</si>
  <si>
    <t>8.16</t>
  </si>
  <si>
    <t>Providing and fixing copper pins 7.5 cm long 6 mm diameter for securing adjacent stones in stone wall lining in cement mortar 1:2 (1 cement : 2 coarse sand), including making the necessary chases.</t>
  </si>
  <si>
    <t>8.17</t>
  </si>
  <si>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t>
  </si>
  <si>
    <t>8.18</t>
  </si>
  <si>
    <t>Stone work (machine cut edges in veneer work) for wall lining upto 10 m height, backing filled with a grout of 12 mm thick cement mortar 1:3 (1 Cement : 3 coarse sand) and jointed with Cement mortar 1:2 (1 cement : 2 stone dust), including grinding with hand grinder on joints, rubbing and polishing complete. (To be secured to the backing and the sides by means of cramps and pins which shall be paid for separately).</t>
  </si>
  <si>
    <t>8.18.1</t>
  </si>
  <si>
    <t>Prepolished kota stone slabs on exposed face.</t>
  </si>
  <si>
    <t>7.37.1</t>
  </si>
  <si>
    <t>8.18.1.1</t>
  </si>
  <si>
    <t>7.37.1.1</t>
  </si>
  <si>
    <t>8.19</t>
  </si>
  <si>
    <t>Extra for stone work for wall lining on exterior walls of height more than 10 m from ground level for every additional height of 3 m or part there of.</t>
  </si>
  <si>
    <t>STONE WORK DRY CLADDING</t>
  </si>
  <si>
    <t>8.20</t>
  </si>
  <si>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</si>
  <si>
    <t>8.20.1</t>
  </si>
  <si>
    <t>Red sand stone - 30mm thick gang saw cut stone</t>
  </si>
  <si>
    <t>7.40.1</t>
  </si>
  <si>
    <t>8.20.2</t>
  </si>
  <si>
    <t>White sand stone - 30mm thick gang saw cut stone</t>
  </si>
  <si>
    <t>7.40.2</t>
  </si>
  <si>
    <t>8.21</t>
  </si>
  <si>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t>
  </si>
  <si>
    <t>8.22</t>
  </si>
  <si>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t>
  </si>
  <si>
    <t>8.23</t>
  </si>
  <si>
    <t>Providing 50x50x50 mm 2nd class teak wood plugs including cutting brick work and fixing in cement mortar 1:3 (1 cement : 3 fine sand) and making good the walls etc.</t>
  </si>
  <si>
    <t>8.24</t>
  </si>
  <si>
    <t>Providing and fixing expandable fasteners of specified size with necessary plastic sleeves and galvanised M.S. screws including drilling holes in masonry work /CC/ R.C.C. and making good etc. complete.</t>
  </si>
  <si>
    <t>8.24.1</t>
  </si>
  <si>
    <t>25 mm long</t>
  </si>
  <si>
    <t>9.33.1</t>
  </si>
  <si>
    <t>8.24.2</t>
  </si>
  <si>
    <t>32 mm long</t>
  </si>
  <si>
    <t>9.33.2</t>
  </si>
  <si>
    <t>8.24.3</t>
  </si>
  <si>
    <t>40 mm long</t>
  </si>
  <si>
    <t>9.33.3</t>
  </si>
  <si>
    <t>8.24.4</t>
  </si>
  <si>
    <t>50 mm long</t>
  </si>
  <si>
    <t>9.33.4</t>
  </si>
  <si>
    <t>8.25</t>
  </si>
  <si>
    <t>Providing and fixing 2nd class teak wood plain lining tongued and grooved, including wooden plugs complete with necessary screws and priming coat on unexposed surface.</t>
  </si>
  <si>
    <t>8.25.1</t>
  </si>
  <si>
    <t>9.34.1</t>
  </si>
  <si>
    <t>8.25.2</t>
  </si>
  <si>
    <t>9.34.2</t>
  </si>
  <si>
    <t>8.25.3</t>
  </si>
  <si>
    <t>20 mm thick</t>
  </si>
  <si>
    <t>9.34.3</t>
  </si>
  <si>
    <t>8.25.4</t>
  </si>
  <si>
    <t>12 mm thick</t>
  </si>
  <si>
    <t>9.34.4</t>
  </si>
  <si>
    <t>8.26</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</si>
  <si>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</si>
  <si>
    <t>8.26.1</t>
  </si>
  <si>
    <t>9.35.1</t>
  </si>
  <si>
    <t>8.26.2</t>
  </si>
  <si>
    <t>18 mm thick</t>
  </si>
  <si>
    <t>9.35.2</t>
  </si>
  <si>
    <t>8.26.3</t>
  </si>
  <si>
    <t>9.35.3</t>
  </si>
  <si>
    <t>8.27</t>
  </si>
  <si>
    <t>Providing and fixing specified wood frame work consisting of battens 50x25mm fixed with rawl plug and drilling necessary holes for rawl plug etc. including priming coat complete.</t>
  </si>
  <si>
    <t>8.27.1</t>
  </si>
  <si>
    <t>Kiln seasoned and chemically treated hollock wood</t>
  </si>
  <si>
    <t>9.36.1</t>
  </si>
  <si>
    <t>8.28</t>
  </si>
  <si>
    <t>Providing and fixing plywood 4 mm thick, one side decorative veneer conforming to IS: 1328 (type-1), for plain lining / cladding with necessary screws, including priming coat on unexposed surface with :</t>
  </si>
  <si>
    <t>8.28.1</t>
  </si>
  <si>
    <t>Decorative veneer facings of approved manufacture</t>
  </si>
  <si>
    <t>9.37.1</t>
  </si>
  <si>
    <t>8.29</t>
  </si>
  <si>
    <t>Providing and fixing 4mm thick coir veneer board, ISI marked IS : 14842, plain lining with necessary screws, priming coat on unexposed surface etc., complete.</t>
  </si>
  <si>
    <t>8.30</t>
  </si>
  <si>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</si>
  <si>
    <t>8.30.1</t>
  </si>
  <si>
    <t>9.39.1</t>
  </si>
  <si>
    <t>8.30.2</t>
  </si>
  <si>
    <t>9.39.2</t>
  </si>
  <si>
    <t>8.31</t>
  </si>
  <si>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</si>
  <si>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8.32</t>
  </si>
  <si>
    <t>Designing, fabricating, testing, installing and fixing in position Curtain Wall with Aluminium Composite Panel Cladding, with open grooves for linear as well as curvilinear portions of the building , for all heights and all levels etc. including:</t>
  </si>
  <si>
    <t>(a) Structural analysis &amp; design and preparation of shop drawings for pressure equalisation or rain screen principle as required, proper drainage of water to make it watertight including checking of all the structural and functional design.</t>
  </si>
  <si>
    <t>(b)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t>
  </si>
  <si>
    <t>(c) The fastening brackets of Aluminium alloy 6005 T5 / MS with Hot Dip Galvanised with serrations and serrated washers to arrest the wind load movement, fasteners, SS 316 Pins and anchor bolts of approved make in SS 316, Nos.</t>
  </si>
  <si>
    <t>9.0 WOOD AND P.V.C. WORK</t>
  </si>
  <si>
    <t>FRAMES AND TRUSSES</t>
  </si>
  <si>
    <t>9.1</t>
  </si>
  <si>
    <t>Providing wood work in frames of doors, windows, clerestory windows and other frames, wrought framed and fixed in position with hold fast lugs or with dash fasteners of required dia &amp; length (hold fast lugs or dash fastener shall be paid for separately).</t>
  </si>
  <si>
    <t>9.1.1</t>
  </si>
  <si>
    <t>Second class teak wood</t>
  </si>
  <si>
    <t>9.1.2</t>
  </si>
  <si>
    <t>Sal wood</t>
  </si>
  <si>
    <t>9.1.3</t>
  </si>
  <si>
    <t>9.2</t>
  </si>
  <si>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</si>
  <si>
    <t>9.3</t>
  </si>
  <si>
    <t>Providing wood work in frames of false ceiling, partitions etc. sawn and fixed in position with necessary stainless steel screws etc.</t>
  </si>
  <si>
    <t>9.3.1</t>
  </si>
  <si>
    <t>9.3.2</t>
  </si>
  <si>
    <t>9.4</t>
  </si>
  <si>
    <t>Extra for additional labour for circular works, such as in frames of fan light</t>
  </si>
  <si>
    <t>9.4.1</t>
  </si>
  <si>
    <t>9.4.2</t>
  </si>
  <si>
    <t>9.4.3</t>
  </si>
  <si>
    <t>9.5</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</si>
  <si>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</si>
  <si>
    <t>9.5.1</t>
  </si>
  <si>
    <t>9.5.1.1</t>
  </si>
  <si>
    <t>35 mm thick shutters</t>
  </si>
  <si>
    <t>9.5.1.2</t>
  </si>
  <si>
    <t>30 mm thick shutters</t>
  </si>
  <si>
    <t>9.5.2</t>
  </si>
  <si>
    <t>9.5.2.1</t>
  </si>
  <si>
    <t>9.5.2.2</t>
  </si>
  <si>
    <t>9.5.3</t>
  </si>
  <si>
    <t>Kiln seasoned selected planks of sheesham wood</t>
  </si>
  <si>
    <t>9.5.3.1</t>
  </si>
  <si>
    <t>9.5.3.2</t>
  </si>
  <si>
    <t>9.6</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</si>
  <si>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</si>
  <si>
    <t>9.6.1</t>
  </si>
  <si>
    <t>12 mm thick plain grade -1, medium density flat pressed three layer particle board FPT - I or graded wood particle board FPT- I, IS : 3087 marked, bonded with BWP type synthetic resin adhesive as per IS : 848 :</t>
  </si>
  <si>
    <t>9.6.2</t>
  </si>
  <si>
    <t>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t>
  </si>
  <si>
    <t>9.6.3</t>
  </si>
  <si>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 :</t>
  </si>
  <si>
    <t>9.7</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</si>
  <si>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</si>
  <si>
    <t>9.7.1</t>
  </si>
  <si>
    <t>9.7.2</t>
  </si>
  <si>
    <t>9.7.3</t>
  </si>
  <si>
    <t>Ply wood 5 ply, 9 mm thick</t>
  </si>
  <si>
    <t>9.7.3.1</t>
  </si>
  <si>
    <t>Decorative plywood both side decorative veneer (Type - I) conforming to IS 1328 BWR type</t>
  </si>
  <si>
    <t>9.7.3.2</t>
  </si>
  <si>
    <t>Decorative plywood one side decorative veneer and commercial veneer on other face (Type 1) conforming to IS 1328 BWR Type</t>
  </si>
  <si>
    <t>9.7.4</t>
  </si>
  <si>
    <t>Ply wood 7 ply, 9 mm thick</t>
  </si>
  <si>
    <t>9.7.4.1</t>
  </si>
  <si>
    <t>9.7.5</t>
  </si>
  <si>
    <t>Particle Board 12 mm thick</t>
  </si>
  <si>
    <t>9.7.5.1</t>
  </si>
  <si>
    <t>Plain particle board flat pressed, 3 layer or graded wood particle board medium density Grade I, IS : 3087 marked</t>
  </si>
  <si>
    <t>9.7.5.2</t>
  </si>
  <si>
    <t>Veneered flat pressed three layer or graded wood particle board with commercial veneering on both sides conforming to IS:3097, grade I</t>
  </si>
  <si>
    <t>9.7.5.3</t>
  </si>
  <si>
    <t>Pre-laminated particle board with decorative lamination on one side and balancing lamination on other side, Grade I, Type II IS: 12823 marked</t>
  </si>
  <si>
    <t>9.7.5.4</t>
  </si>
  <si>
    <t>Pre-laminated particle board with decorative lamination on both sides, Grade I, Type II, IS:12823 marked</t>
  </si>
  <si>
    <t>9.7.6</t>
  </si>
  <si>
    <t>Coir Veneer Board (conforming to IS 14842)</t>
  </si>
  <si>
    <t>9.7.6.1</t>
  </si>
  <si>
    <t>9.7.7</t>
  </si>
  <si>
    <t>Float glass panes</t>
  </si>
  <si>
    <t>9.7.7.1</t>
  </si>
  <si>
    <t>4 mm thick glass pane (weight not less than 10kg/sqm).</t>
  </si>
  <si>
    <t>9.7.7.2</t>
  </si>
  <si>
    <t>5.0 mm thick glass panes (weight not less than 12.50 kg/sqm).</t>
  </si>
  <si>
    <t>9.7.8</t>
  </si>
  <si>
    <t>Fly proof stainless steel grade 304 wire gauge with 0.5 mm dia. wire and 1.4mm wide aperture with matching wood beading</t>
  </si>
  <si>
    <t>9.9</t>
  </si>
  <si>
    <t>Providing and fixing glazed shutters for doors, windows and clerestory windows using 4 mm thick float glass panes (weight not less than 10 kg per sqm) fixing with ISI marked M.S. pressed butt hinges bright finished of required size with necessary screws.</t>
  </si>
  <si>
    <t>9.9.1</t>
  </si>
  <si>
    <t>9.9.1.1</t>
  </si>
  <si>
    <t>35 mm thick</t>
  </si>
  <si>
    <t>9.9.1.2</t>
  </si>
  <si>
    <t>9.9.2</t>
  </si>
  <si>
    <t>9.9.2.1</t>
  </si>
  <si>
    <t>9.9.2.2</t>
  </si>
  <si>
    <t>9.9.3</t>
  </si>
  <si>
    <t>9.9.3.1</t>
  </si>
  <si>
    <t>9.9.3.2</t>
  </si>
  <si>
    <t>9.10</t>
  </si>
  <si>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t>
  </si>
  <si>
    <t>9.10.1</t>
  </si>
  <si>
    <t>9.11</t>
  </si>
  <si>
    <t>Extra for providing heavy sheet float glass panes instead of ordinary float glass in glazed doors, windows and clerestory window shutters. (Area of opening for glass panes excluding portion inside rebate shall be measured)</t>
  </si>
  <si>
    <t>9.11.1</t>
  </si>
  <si>
    <t>5.0 mm thick  (weight not less than 12.50 kg per sqm) instead of 4 mm thick  (weight not less than 10 kg per sqm).</t>
  </si>
  <si>
    <t>9.12</t>
  </si>
  <si>
    <t>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t>
  </si>
  <si>
    <t>9.13</t>
  </si>
  <si>
    <t>Deduct for providing pin headed glass panes instead of ordinary float glass panes weighing 4 mm thick  (weight not less than 10 kg per sqm) in doors, windows and clerestory windows shutters (Area of opening for glass panes excluding portion inside rebate shall be measured).</t>
  </si>
  <si>
    <t>9.14</t>
  </si>
  <si>
    <t>Extra for providing ISI marked Stainless Steel butt hinges instead of M.S. pressed butt hinges bright finished of required size with necessary screws. (Shutter area to be measured).</t>
  </si>
  <si>
    <t>9.15</t>
  </si>
  <si>
    <t>Deduct for not providing hinges in doors, windows or clerestory window shutters with :</t>
  </si>
  <si>
    <t>9.15.1</t>
  </si>
  <si>
    <t xml:space="preserve"> ISI marked Stainless steel butt hinges with stainless steel screws :</t>
  </si>
  <si>
    <t>9.15.1.1</t>
  </si>
  <si>
    <t>For 2nd class teak wood and other class of wood shutters</t>
  </si>
  <si>
    <t>9.15.2</t>
  </si>
  <si>
    <t>ISI marked M.S. pressed butt hinges bright finished of required size with necessary screws.</t>
  </si>
  <si>
    <t>9.15.2.1</t>
  </si>
  <si>
    <t>9.16</t>
  </si>
  <si>
    <t>Providing and fixing 25 mm thick shutters for cup board etc. :</t>
  </si>
  <si>
    <t>9.16.1</t>
  </si>
  <si>
    <t>Panelled or panelled &amp; glazed shutters :</t>
  </si>
  <si>
    <t>9.16.1.1</t>
  </si>
  <si>
    <t>Second class teak wood including ISI marked anodised aluminium butt hinges with necessary screws</t>
  </si>
  <si>
    <t>9.16.1.2</t>
  </si>
  <si>
    <t>Second class teak wood including ISI marked nickel plated bright finished M.S. piano hinges with necessary screws</t>
  </si>
  <si>
    <t>9.16.2</t>
  </si>
  <si>
    <t>Glazed shutters :</t>
  </si>
  <si>
    <t>9.16.2.1</t>
  </si>
  <si>
    <t>Second class teak wood including ISI marked anodized aluminium butt hinges with necessary screws</t>
  </si>
  <si>
    <t>9.16.2.2</t>
  </si>
  <si>
    <t>9.17</t>
  </si>
  <si>
    <t>Providing and fixing flat pressed three layer particle or graded  plain wood board medium density exterior grade (Grade I) FPT-I, conforming and marked  to frame, backing or studding with screws etc. complete (Frames, backing or studding to be paid separately):</t>
  </si>
  <si>
    <t>9.17.1</t>
  </si>
  <si>
    <t>9.17.2</t>
  </si>
  <si>
    <t>9.18</t>
  </si>
  <si>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</si>
  <si>
    <t>9.18.1</t>
  </si>
  <si>
    <t>9.18.2</t>
  </si>
  <si>
    <t>9.20</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</si>
  <si>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</si>
  <si>
    <t>9.20.1</t>
  </si>
  <si>
    <t>35 mm thick including ISI marked Stainless Steel butt hinges with necessary screws</t>
  </si>
  <si>
    <t>9.20.2</t>
  </si>
  <si>
    <t>30 mm thick including ISI marked Stainless Steel butt hinges with necessary screws</t>
  </si>
  <si>
    <t>9.20.3</t>
  </si>
  <si>
    <t>25 mm thick (for cupboard) including ISI marked nickel plated bright finished M.S. Piano hinges IS : 3818 marked with necessary screws</t>
  </si>
  <si>
    <t>9.21</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</si>
  <si>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</si>
  <si>
    <t>9.21.1</t>
  </si>
  <si>
    <t>9.21.2</t>
  </si>
  <si>
    <t>9.21.3</t>
  </si>
  <si>
    <t>25 mm thick (for cupboard) including ISI marked nickel plated bright finished M.S. piano hinges with necessary screws</t>
  </si>
  <si>
    <t>9.22</t>
  </si>
  <si>
    <t>Extra for Providing and fixing flush doors with decorative veneering instead of non decorative ISI marked flush door shutters conforming to IS: 2202 (Part I)</t>
  </si>
  <si>
    <t>9.22.1</t>
  </si>
  <si>
    <t>On one side only</t>
  </si>
  <si>
    <t>9.23</t>
  </si>
  <si>
    <t>Extra for providing lipping with 2nd class teak wood battens 25 mm minimum depth on all edges of flush door shutters (over all area of door shutter to be measured).</t>
  </si>
  <si>
    <t>9.24</t>
  </si>
  <si>
    <t>Extra for providing vision panel not exceeding 0.1 sqm in all type of flush doors (cost of glass excluded) (overall area of door shutter to be measured):</t>
  </si>
  <si>
    <t>9.24.1</t>
  </si>
  <si>
    <t>Rectangular or square</t>
  </si>
  <si>
    <t>9.24.2</t>
  </si>
  <si>
    <t>Circular</t>
  </si>
  <si>
    <t>9.25</t>
  </si>
  <si>
    <t>Extra if louvers (not exceeding 0.2 sqm) are provided in flush door shutters (overall area of door shutters to be measured).</t>
  </si>
  <si>
    <t>9.25.1</t>
  </si>
  <si>
    <t>Decorative type door</t>
  </si>
  <si>
    <t>9.26</t>
  </si>
  <si>
    <t>Extra for cutting rebate in flush door shutters (Total area of the shutter to be measured).</t>
  </si>
  <si>
    <t>9.27</t>
  </si>
  <si>
    <t>Providing and fixing wire gauge shutters using galvanized M.S. wire gauge of average width of aperture 1.4 mm in both directions with wire of dia 0.63 mm, for doors, windows and clerestory windows with hinges and necessary screws :</t>
  </si>
  <si>
    <t>9.27.1</t>
  </si>
  <si>
    <t>9.27.1.1</t>
  </si>
  <si>
    <t>with ISI marked M.S. pressed butt hinges bright finished of required size</t>
  </si>
  <si>
    <t>9.27.1.1.1</t>
  </si>
  <si>
    <t>9.27.1.1.2</t>
  </si>
  <si>
    <t>9.27.1.1.3</t>
  </si>
  <si>
    <t>Kiln seasoned selected class of sheesham wood</t>
  </si>
  <si>
    <t>9.27.1.2</t>
  </si>
  <si>
    <t>With ISI marked stainless steel butt hinges of required size</t>
  </si>
  <si>
    <t>9.27.1.2.1</t>
  </si>
  <si>
    <t>9.27.1.2.2</t>
  </si>
  <si>
    <t>9.27.1.2.3</t>
  </si>
  <si>
    <t>9.27.2</t>
  </si>
  <si>
    <t>9.27.2.1</t>
  </si>
  <si>
    <t>9.27.2.1.1</t>
  </si>
  <si>
    <t>9.27.2.1.2</t>
  </si>
  <si>
    <t>9.27.2.1.3</t>
  </si>
  <si>
    <t>9.27.2.2</t>
  </si>
  <si>
    <t>9.27.2.2.1</t>
  </si>
  <si>
    <t>9.27.2.2.2</t>
  </si>
  <si>
    <t>9.27.2.2.3</t>
  </si>
  <si>
    <t>9.31</t>
  </si>
  <si>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t>
  </si>
  <si>
    <t>9.31.1</t>
  </si>
  <si>
    <t>9.31.2</t>
  </si>
  <si>
    <t>MISCELLANEOUS-WOOD WORK</t>
  </si>
  <si>
    <t>9.40</t>
  </si>
  <si>
    <t>Providing and fixing wooden moulded beading to door and window frames with iron screws, plugs and priming coat on unexposed surface etc. complete :</t>
  </si>
  <si>
    <t>9.40.1</t>
  </si>
  <si>
    <t>2nd class teak wood</t>
  </si>
  <si>
    <t>9.40.1.1</t>
  </si>
  <si>
    <t>50x12 mm</t>
  </si>
  <si>
    <t>9.40.1.2</t>
  </si>
  <si>
    <t>50 x 20 mm</t>
  </si>
  <si>
    <t>9.40.2</t>
  </si>
  <si>
    <t>9.40.2.1</t>
  </si>
  <si>
    <t>9.40.2.2</t>
  </si>
  <si>
    <t>50x20 mm</t>
  </si>
  <si>
    <t>9.41</t>
  </si>
  <si>
    <t>Providing and fixing plain jaffri of 35x10 mm laths placed 35 mm apart (frames to be paid separately), including fixing 50x12 mm beading complete with :</t>
  </si>
  <si>
    <t>9.41.1</t>
  </si>
  <si>
    <t>9.42</t>
  </si>
  <si>
    <t>Providing and fixing 18 mm thick, 150 mm wide pelmet of flat pressed three layer or graded plain wood particle board medium density grade I, ISI marked and conforming to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</si>
  <si>
    <t>9.43</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</si>
  <si>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</si>
  <si>
    <t>9.44</t>
  </si>
  <si>
    <t>Extra for using veneered particle board conforming to IS 3097 Grade I, in item of pelmet 18mm thick 150mm wide.</t>
  </si>
  <si>
    <t>9.44.1</t>
  </si>
  <si>
    <t>Non decorative veneer on both sides</t>
  </si>
  <si>
    <t>9.44.2</t>
  </si>
  <si>
    <t>Particle board with decorative veneering on both sides</t>
  </si>
  <si>
    <t>9.45</t>
  </si>
  <si>
    <t>Providing and fixing teak wood lipping of size 25x3 mm in pelmet.</t>
  </si>
  <si>
    <t>9.46</t>
  </si>
  <si>
    <t>Providing and fixing chromium plated brass curtain rod having wall thickness of 1.25mm with two chromium plated brass brackets fixed with C.P. brass screws and  PVC sleeves etc., wherever necessary complete :</t>
  </si>
  <si>
    <t>9.46.1</t>
  </si>
  <si>
    <t>12 mm dia</t>
  </si>
  <si>
    <t>9.46.2</t>
  </si>
  <si>
    <t>20 mm dia</t>
  </si>
  <si>
    <t>9.46.3</t>
  </si>
  <si>
    <t>25 mm dia</t>
  </si>
  <si>
    <t>9.47</t>
  </si>
  <si>
    <t>Providing and fixing nickel plated M.S. pipe curtain rods with nickel plated brackets :</t>
  </si>
  <si>
    <t>9.47.1</t>
  </si>
  <si>
    <t>20 mm dia (heavy type)</t>
  </si>
  <si>
    <t>9.47.2</t>
  </si>
  <si>
    <t>25 mm dia (heavy type)</t>
  </si>
  <si>
    <t>9.48</t>
  </si>
  <si>
    <t>Providing and fixing M.S. grills of required pattern in frames of windows etc. with M.S. flats, square or round bars etc. including priming coat with approved steel primer all complete.</t>
  </si>
  <si>
    <t>9.48.1</t>
  </si>
  <si>
    <t>Fixed to steel windows by welding</t>
  </si>
  <si>
    <t>9.48.2</t>
  </si>
  <si>
    <t>Fixed to openings /wooden frames with rawl plugs screws etc.</t>
  </si>
  <si>
    <t>9.49</t>
  </si>
  <si>
    <t>Providing and fixing expanded metal 20x60 mm strands 3.25 mm wide and 1.6mm thick for windows etc. including 62 x19 mm beading of second  class teak wood and priming coat with approved steel primer all complete.</t>
  </si>
  <si>
    <t>9.50</t>
  </si>
  <si>
    <t>Providing and fixing hard drawn steel wire fabric 75x25 mm mesh of weight not less than 7.75 Kg per sqm to window frames etc. including 62x19 mm beading of second class teak wood and priming coat with approved steel primer all complete.</t>
  </si>
  <si>
    <t>9.51</t>
  </si>
  <si>
    <t>Providing and fixing fly proof galvanized M.S. wire gauge to windows and clerestory windows using wire gauge with average width of aperture 1.4 mm in both directions with wire of dia 0.63 mm all complete.</t>
  </si>
  <si>
    <t>9.51.1</t>
  </si>
  <si>
    <t>With second class teak wood beading 62X19 mm</t>
  </si>
  <si>
    <t>9.51.2</t>
  </si>
  <si>
    <t>With 12 mm mild steel U beading</t>
  </si>
  <si>
    <t>9.52</t>
  </si>
  <si>
    <t>Deduct for fixing 75x25 mm hard drawn steel wire fabric of weight not less than 7.75 Kg per sqm in panelled and glazed door and window shutter instead of glass sheet 4 mm thick (weight not less than 10 kg per sqm)</t>
  </si>
  <si>
    <t>9.53</t>
  </si>
  <si>
    <t>Providing 40x5 mm flat iron hold fast 400 mm long including fixing to frame with 10 mm diameter bolts, nuts and wooden plugs and embedding in cement concrete block 300x100x150mm 1:3:6 mix (1 cement : 3 coarse sand : 6 graded stone aggregate 20mm nominal size).</t>
  </si>
  <si>
    <t>9.54</t>
  </si>
  <si>
    <t>Providing beams including hoisting, fixing in position and applying wood preservative for the unexposed surfaces, etc. complete with :</t>
  </si>
  <si>
    <t>9.54.1</t>
  </si>
  <si>
    <t>9.54.2</t>
  </si>
  <si>
    <t>Hollock wood</t>
  </si>
  <si>
    <t>BRIGHT FINISHED M.S. FITTINGS</t>
  </si>
  <si>
    <t>9.55</t>
  </si>
  <si>
    <t>Providing and fixing ISI marked IS:1341 M.S. pressed butt hinges bright finished with necessary screws etc. complete :</t>
  </si>
  <si>
    <t>9.55.1</t>
  </si>
  <si>
    <t>125x65x2.12 mm</t>
  </si>
  <si>
    <t>9.55.2</t>
  </si>
  <si>
    <t>100x58x1.90 mm</t>
  </si>
  <si>
    <t>9.55.3</t>
  </si>
  <si>
    <t>75x47x1.70 mm</t>
  </si>
  <si>
    <t>9.55.4</t>
  </si>
  <si>
    <t>50x37x1.50 mm</t>
  </si>
  <si>
    <t>9.56</t>
  </si>
  <si>
    <t>Providing and fixing ISI marked, IS : 1341, M.S. heavy weight bright finished butt hinges with necessary screws etc. complete :</t>
  </si>
  <si>
    <t>9.56.1</t>
  </si>
  <si>
    <t>125x90x4.00 mm</t>
  </si>
  <si>
    <t>9.56.2</t>
  </si>
  <si>
    <t>100x75x3.50 mm</t>
  </si>
  <si>
    <t>9.56.3</t>
  </si>
  <si>
    <t>75x60x3.10 mm</t>
  </si>
  <si>
    <t>9.56.4</t>
  </si>
  <si>
    <t>50x40x2.50 mm</t>
  </si>
  <si>
    <t>Note: - In coastal areas, M.S. heavy weight butt hinges or stainless steel hinges shall be used.</t>
  </si>
  <si>
    <t>COPER OXIDISED MILD STEEL FITTINGS (COPPER OXIDISED AS PER IS: 1378)</t>
  </si>
  <si>
    <t>9.57</t>
  </si>
  <si>
    <t>Providing and fixing ISI marked IS:1341 oxidised M.S. pressed butt hinges with necessary screws etc. complete. (Copper oxidised as per IS 1378)</t>
  </si>
  <si>
    <t>9.57.1</t>
  </si>
  <si>
    <t>9.57.2</t>
  </si>
  <si>
    <t>9.57.3</t>
  </si>
  <si>
    <t>9.57.4</t>
  </si>
  <si>
    <t>9.58</t>
  </si>
  <si>
    <t>Providing and fixing ISI marked  IS: 1341 oxidised M.S. pressed Parliamentary hinges with necessary screws etc. complete (Copper oxidised as per IS 1378)</t>
  </si>
  <si>
    <t>9.58.1</t>
  </si>
  <si>
    <t>150x125x27x2.80 mm</t>
  </si>
  <si>
    <t>9.58.2</t>
  </si>
  <si>
    <t>125x125x27x2.80 mm</t>
  </si>
  <si>
    <t>9.58.3</t>
  </si>
  <si>
    <t>100x125x27x2.80 mm</t>
  </si>
  <si>
    <t>9.58.4</t>
  </si>
  <si>
    <t>75x100x20x2.24 mm</t>
  </si>
  <si>
    <t>9.59</t>
  </si>
  <si>
    <t>Providing and fixing ISI marked oxidised M.S. single acting spring hinges with necessary screws etc. complete (Copper oxidised as per IS 1378)</t>
  </si>
  <si>
    <t>9.59.1</t>
  </si>
  <si>
    <t>150 mm</t>
  </si>
  <si>
    <t>9.59.2</t>
  </si>
  <si>
    <t>125 mm</t>
  </si>
  <si>
    <t>9.59.3</t>
  </si>
  <si>
    <t>100 mm</t>
  </si>
  <si>
    <t>9.60</t>
  </si>
  <si>
    <t>Providing and fixing  ISI marked IS: 453 oxidised M.S. double acting spring hinges with necessary screws etc. complete (Copper oxidised as per IS 1378)</t>
  </si>
  <si>
    <t>9.60.1</t>
  </si>
  <si>
    <t>9.60.2</t>
  </si>
  <si>
    <t>9.60.3</t>
  </si>
  <si>
    <t>9.61</t>
  </si>
  <si>
    <t>Providing M.S. Piano hinges ISI marked IS : 3818 finished with nickel chromium plating grade 1 as per IS: 1068 and fixing with necessary screws etc., complete.</t>
  </si>
  <si>
    <t>9.61.1</t>
  </si>
  <si>
    <t>Overall width 35 mm</t>
  </si>
  <si>
    <t>9.61.2</t>
  </si>
  <si>
    <t>Overall width 50 mm</t>
  </si>
  <si>
    <t>9.61.3</t>
  </si>
  <si>
    <t>Overall width 65 mm</t>
  </si>
  <si>
    <t>9.62</t>
  </si>
  <si>
    <t>Providing and fixing ISI marked oxidised M.S. sliding door bolts with nuts and screws etc. complete (Copper oxidised as per IS 1378)</t>
  </si>
  <si>
    <t>9.62.1</t>
  </si>
  <si>
    <t>300x16 mm</t>
  </si>
  <si>
    <t>9.62.2</t>
  </si>
  <si>
    <t>250x16 mm</t>
  </si>
  <si>
    <t>9.63</t>
  </si>
  <si>
    <t>Providing and fixing ISI marked oxidised M.S. tower bolt black finish, (Barrel type) with necessary screws etc. complete (Copper oxidised as per IS 1378)</t>
  </si>
  <si>
    <t>9.63.1</t>
  </si>
  <si>
    <t>250x10 mm</t>
  </si>
  <si>
    <t>9.63.2</t>
  </si>
  <si>
    <t>200x10 mm</t>
  </si>
  <si>
    <t>9.63.3</t>
  </si>
  <si>
    <t>150x10 mm</t>
  </si>
  <si>
    <t>9.63.4</t>
  </si>
  <si>
    <t>100x10 mm</t>
  </si>
  <si>
    <t>9.64</t>
  </si>
  <si>
    <t>Providing and fixing ISI marked 85x42 mm oxidised M.S. pull bolt lock conforming to IS : 7534 with necessary screws bolts, nut and washers etc. complete (Copper oxidised as per IS 1378).</t>
  </si>
  <si>
    <t>9.65</t>
  </si>
  <si>
    <t>Providing and fixing ISI marked oxidised M.S. door latches conforming to IS:5930 with screws etc. complete (Copper oxidised as per IS 1378)</t>
  </si>
  <si>
    <t>9.65.1</t>
  </si>
  <si>
    <t>300x20x6 mm</t>
  </si>
  <si>
    <t>9.65.2</t>
  </si>
  <si>
    <t>250x20x6 mm</t>
  </si>
  <si>
    <t>9.66</t>
  </si>
  <si>
    <t>Providing and fixing ISI marked oxidised M.S. handles conforming to IS:4992 with necessary screws etc. complete (Copper oxidised as per IS 1378)</t>
  </si>
  <si>
    <t>9.66.1</t>
  </si>
  <si>
    <t>9.66.2</t>
  </si>
  <si>
    <t>9.66.3</t>
  </si>
  <si>
    <t>75 mm</t>
  </si>
  <si>
    <t>9.67</t>
  </si>
  <si>
    <t>Providing and fixing oxidised M.S. hasp and staple (safety type) conforming to IS : 363 with necessary screws etc. complete (Copper oxidised as per IS 1378)</t>
  </si>
  <si>
    <t>9.67.1</t>
  </si>
  <si>
    <t>9.67.2</t>
  </si>
  <si>
    <t>115 mm</t>
  </si>
  <si>
    <t>9.67.3</t>
  </si>
  <si>
    <t>90 mm</t>
  </si>
  <si>
    <t>9.68</t>
  </si>
  <si>
    <t>Providing and fixing oxidised M.S. casement stays (straight peg type) with necessary screws etc. complete (Copper oxidised as per IS 1378)</t>
  </si>
  <si>
    <t>9.68.1</t>
  </si>
  <si>
    <t>300 mm weighing not less than 330 grams</t>
  </si>
  <si>
    <t>9.68.2</t>
  </si>
  <si>
    <t>250 mm weighing not less than 280 grams</t>
  </si>
  <si>
    <t>9.68.3</t>
  </si>
  <si>
    <t>200 mm weighing not less than 240 grams</t>
  </si>
  <si>
    <t>9.69</t>
  </si>
  <si>
    <t>Providing and fixing oxidised M.S. Safety chain with necessary fixtures for doors, (weighting not less than 450 gms) and Copper oxidised as per IS 1378</t>
  </si>
  <si>
    <t>STAINLESS STEEL FITTINGS</t>
  </si>
  <si>
    <t>9.70</t>
  </si>
  <si>
    <t>Providing and fixing IS : 12817 marked stainless steel butt hinges with stainless steel screws etc. complete :</t>
  </si>
  <si>
    <t>9.70.1</t>
  </si>
  <si>
    <t>125x64x1.90 mm</t>
  </si>
  <si>
    <t>9.70.2</t>
  </si>
  <si>
    <t>100X58X1.90 mm</t>
  </si>
  <si>
    <t>9.70.3</t>
  </si>
  <si>
    <t>75x47x1.80 mm</t>
  </si>
  <si>
    <t>9.70.4</t>
  </si>
  <si>
    <t>9.71</t>
  </si>
  <si>
    <t>Providing and fixing IS : 12817 marked stainless steel butt hinges (heavy weight) with stainless steel screws etc. complete :</t>
  </si>
  <si>
    <t>9.71.1</t>
  </si>
  <si>
    <t>125x64x2.50 mm</t>
  </si>
  <si>
    <t>9.71.2</t>
  </si>
  <si>
    <t>100x60x2.50 mm</t>
  </si>
  <si>
    <t>9.71.3</t>
  </si>
  <si>
    <t>75x50x2.50 mm</t>
  </si>
  <si>
    <t>BRASS FITTINGS</t>
  </si>
  <si>
    <t>9.72</t>
  </si>
  <si>
    <t>Providing and fixing bright finished brass butt hinges with necessary screws etc. complete :</t>
  </si>
  <si>
    <t>9.72.1</t>
  </si>
  <si>
    <t>125x85x5.5 mm (heavy type)</t>
  </si>
  <si>
    <t>9.72.2</t>
  </si>
  <si>
    <t>125x70x4 mm (ordinary type)</t>
  </si>
  <si>
    <t>9.72.3</t>
  </si>
  <si>
    <t>100x85x5.5 mm (heavy type)</t>
  </si>
  <si>
    <t>9.72.4</t>
  </si>
  <si>
    <t>100x70x4 mm (ordinary type)</t>
  </si>
  <si>
    <t>9.72.5</t>
  </si>
  <si>
    <t>75x65x4 mm (heavy type)</t>
  </si>
  <si>
    <t>9.72.6</t>
  </si>
  <si>
    <t>75x40x2.5 mm (ordinary type)</t>
  </si>
  <si>
    <t>9.72.7</t>
  </si>
  <si>
    <t>50x40x2.5 mm (ordinary type)</t>
  </si>
  <si>
    <t>9.73</t>
  </si>
  <si>
    <t>Providing and fixing bright finished brass parliamentary hinges with necessary screws etc. complete :</t>
  </si>
  <si>
    <t>9.73.1</t>
  </si>
  <si>
    <t>150x125x27x5 mm</t>
  </si>
  <si>
    <t>9.73.2</t>
  </si>
  <si>
    <t>125x125x27x5 mm</t>
  </si>
  <si>
    <t>9.73.3</t>
  </si>
  <si>
    <t>100x125x27x5 mm</t>
  </si>
  <si>
    <t>9.73.4</t>
  </si>
  <si>
    <t>75x100x20x3.2 mm</t>
  </si>
  <si>
    <t>9.74</t>
  </si>
  <si>
    <t>Providing and fixing bright finished brass tower bolts (barrel type) with necessary screws etc. complete :</t>
  </si>
  <si>
    <t>9.74.1</t>
  </si>
  <si>
    <t>9.74.2</t>
  </si>
  <si>
    <t>9.74.3</t>
  </si>
  <si>
    <t>9.74.4</t>
  </si>
  <si>
    <t>9.75</t>
  </si>
  <si>
    <t>Providing and fixing bright finished brass door latch with necessary screws etc. complete :</t>
  </si>
  <si>
    <t>9.75.1</t>
  </si>
  <si>
    <t>300x16x5 mm</t>
  </si>
  <si>
    <t>9.75.2</t>
  </si>
  <si>
    <t>250x16x5 mm</t>
  </si>
  <si>
    <t>9.76</t>
  </si>
  <si>
    <t>Providing and fixing bright finished brass 100 mm mortice latch and lock with 6 levers and a pair of lever handles of approved quality with necessary screws etc. complete.</t>
  </si>
  <si>
    <t>9.77</t>
  </si>
  <si>
    <t>Providing and fixing bright finished brass 100 mm mortice latch with one dead bolt and a pair of lever handles of approved quality with necessary screws etc. complete.</t>
  </si>
  <si>
    <t>9.78</t>
  </si>
  <si>
    <t>Providing and fixing bright finished brass night latch of approved quality including necessary screws etc. complete.</t>
  </si>
  <si>
    <t>9.79</t>
  </si>
  <si>
    <t>Providing and fixing special quality bright finished brass cupboard or ward robe locks with four levers of approved quality including necessary screws etc. complete.</t>
  </si>
  <si>
    <t>9.79.1</t>
  </si>
  <si>
    <t>40 mm</t>
  </si>
  <si>
    <t>9.79.2</t>
  </si>
  <si>
    <t>50 mm</t>
  </si>
  <si>
    <t>9.79.3</t>
  </si>
  <si>
    <t>65 mm</t>
  </si>
  <si>
    <t>9.79.4</t>
  </si>
  <si>
    <t>9.80</t>
  </si>
  <si>
    <t>Providing and fixing 50 mm bright finished brass cup board or wardrobe knob of approved quality with necessary screws.</t>
  </si>
  <si>
    <t>9.81</t>
  </si>
  <si>
    <t>Providing and fixing bright finished brass handles with screws etc. complete:</t>
  </si>
  <si>
    <t>9.81.1</t>
  </si>
  <si>
    <t>9.81.2</t>
  </si>
  <si>
    <t>9.81.3</t>
  </si>
  <si>
    <t>9.82</t>
  </si>
  <si>
    <t>Providing and fixing bright finished brass hanging type floor door stopper with necessary screws, etc. complete.</t>
  </si>
  <si>
    <t>9.83</t>
  </si>
  <si>
    <t>Providing and fixing aluminium die cast body tubular type universal hydraulic door closer (having brand logo with ISI, IS : 3564, embossed on the body, door weight upto 35 kg and door width upto 700 mm), with necessary accessories and screws etc. complete.</t>
  </si>
  <si>
    <t>9.84</t>
  </si>
  <si>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</si>
  <si>
    <t>9.85</t>
  </si>
  <si>
    <t>Providing and fixing bright finished brass casement window fastener with necessary screws etc. complete.</t>
  </si>
  <si>
    <t>9.86</t>
  </si>
  <si>
    <t>Providing and fixing bright finished brass casement stays (straight peg type) with necessary screws etc. complete :</t>
  </si>
  <si>
    <t>9.86.1</t>
  </si>
  <si>
    <t>300 mm weighing not less than 330 gms</t>
  </si>
  <si>
    <t>9.86.2</t>
  </si>
  <si>
    <t>250 mm weighing not less than 280 gms</t>
  </si>
  <si>
    <t>9.86.3</t>
  </si>
  <si>
    <t>200 mm weighing not less than 240 gms</t>
  </si>
  <si>
    <t>9.87</t>
  </si>
  <si>
    <t>Providing and fixing bright finished brass hasp and staple (safety type) with necessary screws etc. complete :</t>
  </si>
  <si>
    <t>9.87.1</t>
  </si>
  <si>
    <t>9.87.2</t>
  </si>
  <si>
    <t>9.87.3</t>
  </si>
  <si>
    <t>CHROMIUM PLATED BRASS FITTINGS</t>
  </si>
  <si>
    <t>9.88</t>
  </si>
  <si>
    <t>Providing and fixing chromium plated brass 100 mm mortice latch and lock with 6 levers and a pair of lever handles of approved quality with necessary screws etc. complete.</t>
  </si>
  <si>
    <t>9.89</t>
  </si>
  <si>
    <t>Providing and fixing chromium plated brass night latch of approved quality including necessary screws etc. complete.</t>
  </si>
  <si>
    <t>9.90</t>
  </si>
  <si>
    <t>Providing and fixing special quality chromium plated brass cupboard locks with six levers of approved quality including necessary screws etc. complete.</t>
  </si>
  <si>
    <t>9.90.1</t>
  </si>
  <si>
    <t>Size 40 mm</t>
  </si>
  <si>
    <t>9.90.2</t>
  </si>
  <si>
    <t>Size 50 mm</t>
  </si>
  <si>
    <t>9.90.3</t>
  </si>
  <si>
    <t>Size 65 mm</t>
  </si>
  <si>
    <t>9.90.4</t>
  </si>
  <si>
    <t>Size 75 mm</t>
  </si>
  <si>
    <t>9.91</t>
  </si>
  <si>
    <t>Providing and fixing chromium plated brass 50 mm cupboard or wardrobe knobs with nuts complete.</t>
  </si>
  <si>
    <t>9.92</t>
  </si>
  <si>
    <t>Providing and fixing chromium plated brass handles with necessary screws etc. complete:</t>
  </si>
  <si>
    <t>9.92.1</t>
  </si>
  <si>
    <t>9.92.2</t>
  </si>
  <si>
    <t>9.92.3</t>
  </si>
  <si>
    <t>9.93</t>
  </si>
  <si>
    <t>Providing and fixing chromium plated brass casement window fastener with necessary screws etc. complete.</t>
  </si>
  <si>
    <t>9.94</t>
  </si>
  <si>
    <t>Providing and fixing chromium plated brass casement stays (straight peg type) with necessary screws etc. complete :</t>
  </si>
  <si>
    <t>9.94.1</t>
  </si>
  <si>
    <t>9.94.2</t>
  </si>
  <si>
    <t>9.94.3</t>
  </si>
  <si>
    <t>ANODISED ALUMINIUM FITTINGS (ALL FITTINGS SHALL BE ISI MARKED)</t>
  </si>
  <si>
    <t>9.95</t>
  </si>
  <si>
    <t>Providing and fixing ISI marked aluminium butt hinges anodised (anodic coating not less than grade AC 10 as per IS: 1868) transparent or dyed to required colour or shade with necessary screws etc. complete:</t>
  </si>
  <si>
    <t>9.95.1</t>
  </si>
  <si>
    <t>125x75x4 mm</t>
  </si>
  <si>
    <t>9.95.2</t>
  </si>
  <si>
    <t>125x63x4 mm</t>
  </si>
  <si>
    <t>9.95.3</t>
  </si>
  <si>
    <t>100x75x4 mm</t>
  </si>
  <si>
    <t>9.95.4</t>
  </si>
  <si>
    <t>100x63x4 mm</t>
  </si>
  <si>
    <t>9.95.5</t>
  </si>
  <si>
    <t>100x63x3.2 mm</t>
  </si>
  <si>
    <t>9.95.6</t>
  </si>
  <si>
    <t>75x63x4 mm</t>
  </si>
  <si>
    <t>9.95.7</t>
  </si>
  <si>
    <t>75x63x3.2 mm</t>
  </si>
  <si>
    <t>9.95.8</t>
  </si>
  <si>
    <t>75x45x3.2 mm</t>
  </si>
  <si>
    <t>Note :- Aluminum hinges shall not be used in wooden shutters, stainless steel hinges shall be preferred.</t>
  </si>
  <si>
    <t>9.96</t>
  </si>
  <si>
    <t>Providing and fixing aluminium sliding door bolts, ISI marked anodised (anodic coating not less than grade AC 10 as per IS : 1868), transparent or dyed to required colour or shade, with nuts and screws etc. complete :</t>
  </si>
  <si>
    <t>9.96.1</t>
  </si>
  <si>
    <t>9.96.2</t>
  </si>
  <si>
    <t>9.97</t>
  </si>
  <si>
    <t>Providing and fixing aluminium tower bolts, ISI marked, anodised (anodic coating not less than grade AC 10 as per IS : 1868 ) transparent or dyed to required colour or shade, with necessary screws etc. complete :</t>
  </si>
  <si>
    <t>9.97.1</t>
  </si>
  <si>
    <t>300x10 mm</t>
  </si>
  <si>
    <t>9.97.2</t>
  </si>
  <si>
    <t>9.97.3</t>
  </si>
  <si>
    <t>9.97.4</t>
  </si>
  <si>
    <t>9.97.5</t>
  </si>
  <si>
    <t>9.98</t>
  </si>
  <si>
    <t>Providing and fixing aluminium pull bolt lock, ISI marked, anodised (anodic coating not less than grade AC 10 as per IS : 1868) transparent or dyed to required colour and shade, with necessary screws bolts, nut and washers etc. complete.</t>
  </si>
  <si>
    <t>9.99</t>
  </si>
  <si>
    <t>Providing and fixing 50 cm long aluminium kicking plate of size 100x3.15 mm, anodised (anodic coating not less than grade AC 10 as per IS : 1868) transparent or dyed to required colour or shade, with necessary screws etc. complete.</t>
  </si>
  <si>
    <t>9.100</t>
  </si>
  <si>
    <t>Providing and fixing aluminium handles, ISI marked, anodised (anodic coating not less than grade AC 10 as per IS : 1868) transparent or dyed to required colour or shade, with necessary screws etc. complete :</t>
  </si>
  <si>
    <t>9.100.1</t>
  </si>
  <si>
    <t>9.100.2</t>
  </si>
  <si>
    <t>9.100.3</t>
  </si>
  <si>
    <t>9.101</t>
  </si>
  <si>
    <t>Providing and fixing aluminium hanging floor door stopper, ISI marked, anodised (anodic coating not less than grade AC 10 as per IS : 1868) transparent or dyed to required colour and shade, with necessary screws etc. complete.</t>
  </si>
  <si>
    <t>9.101.1</t>
  </si>
  <si>
    <t>Single rubber stopper</t>
  </si>
  <si>
    <t>9.101.2</t>
  </si>
  <si>
    <t>Twin rubber stopper</t>
  </si>
  <si>
    <t>9.102</t>
  </si>
  <si>
    <t>Providing and fixing aluminium casement stays, ISI marked, anodised (anodic coating not less than grade AC 10 as per IS : 1868) transparent or dyed to required colour and shade, with necessary screws etc. complete.</t>
  </si>
  <si>
    <t>9.103</t>
  </si>
  <si>
    <t>Providing and fixing bright finished brass 100 mm mortice latch and lock, ISI marked, with six levers and a pair of anodised (anodic coating not less than grade AC 10 as per IS : 1868) aluminium lever handles of approved quality with necessary screws etc. complete.</t>
  </si>
  <si>
    <t>9.104</t>
  </si>
  <si>
    <t>Providing and fixing aluminium tee channels (heavy duty) with rollers &amp; stop end in pelmets as curtain rod.</t>
  </si>
  <si>
    <t>GYPSUM BOARD PARTITIONS</t>
  </si>
  <si>
    <t>9.105</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</si>
  <si>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metre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t>
  </si>
  <si>
    <t>9.105.1</t>
  </si>
  <si>
    <t>75 mm overall thickness partition with 12.5 mm thick double skin fire rated Glass Reinforced Gypsum (GRG) plaster board conforming to IS: 2095: part 3 (Board with BIS certification marks)</t>
  </si>
  <si>
    <t>9.105.2</t>
  </si>
  <si>
    <t>75mm overall thickness partition with 12.5 mm thick double skin tapered edged plain Gypsum plaster board conforming to IS: 2095: (part I): 2011 (Board with BIS certification marks)</t>
  </si>
  <si>
    <t>9.105.3</t>
  </si>
  <si>
    <t>66mm overall thickness Partition with 8mm thick double skin Calcium Silicate Board made with Calcareous &amp; Siliceous materials reinforced with cellulose fiber manufactured through autoclaving process with Compressive Strength 225 kg/sq.cm, Bending Strength 100 kg./ sq.cm</t>
  </si>
  <si>
    <t>9.105.4</t>
  </si>
  <si>
    <t>66mm overall thickness partition using 8mm thick, double skin multipurpose cement board Type-B, Category-III as per IS: 14862 : 2000 reinforced with cellulose fibre manufactured through autoclaving process (High pressure steam cured)  with suitable fibre cement screws</t>
  </si>
  <si>
    <t>9.105.5</t>
  </si>
  <si>
    <t>66 mm overall thickness partition using 8 mm thick double skin multipurpose cement bonded wood particle board manufactured as per IS: 14276 with suitable cement bonded  board screws</t>
  </si>
  <si>
    <t>9.106</t>
  </si>
  <si>
    <t>Providing and fixing PTMT handles with necessary screws etc. complete.</t>
  </si>
  <si>
    <t>9.106.1</t>
  </si>
  <si>
    <t>125x34x24 mm weighing not less than 23 gms</t>
  </si>
  <si>
    <t>9.106.2</t>
  </si>
  <si>
    <t>150x34x24 mm weighing not less than 26 gms</t>
  </si>
  <si>
    <t>9.107</t>
  </si>
  <si>
    <t>Providing and fixing PTMT Butt hinges with necessary screws etc. complete.</t>
  </si>
  <si>
    <t>9.107.1</t>
  </si>
  <si>
    <t>75x60x10 mm fitted with 5.5 mm dia M.S. Bright Bar Rod weighing not less than 34 gms</t>
  </si>
  <si>
    <t>9.107.2</t>
  </si>
  <si>
    <t>100x75x10 mm fitted with 5.5 mm dia MS Bright Bar Rod weighing not less than 53 gms</t>
  </si>
  <si>
    <t>9.108</t>
  </si>
  <si>
    <t>Providing and fixing PTMT Tower Bolts with 12 mm one piece rod inside and necessary screws etc., complete.</t>
  </si>
  <si>
    <t>9.108.1</t>
  </si>
  <si>
    <t>152x42x18 mm weighing not less than 60 gms</t>
  </si>
  <si>
    <t>9.108.2</t>
  </si>
  <si>
    <t>202x42x18 mm weighing not less than 78 gms</t>
  </si>
  <si>
    <t>9.109</t>
  </si>
  <si>
    <t>Providing and fixing PTMT door catcher of length 72 mm and dia. of 42 mm with suitable washers weighing not less than 33 gms</t>
  </si>
  <si>
    <t>9.110</t>
  </si>
  <si>
    <t>Providing and fixing Bamboo jaffery/ fencing consisting of superior quality 25mm dia (Average) half cut bamboo placed vertically and fixed together with three numbers horizontal running members of hollock wood in scantling of section 50X25 mm, fixed with nails and G.I wire on existing support complete as per direction of Engineer-in-charge.</t>
  </si>
  <si>
    <t>9.111</t>
  </si>
  <si>
    <t>Providing and fixing wooden moulded corner beading of triangular shape to the junction of panelling etc. with iron screws, plugs and priming coat on unexposed surface etc. complete 2nd class teak wood.</t>
  </si>
  <si>
    <t>9.111.1</t>
  </si>
  <si>
    <t>50x50 mm (base and height)</t>
  </si>
  <si>
    <t>9.112</t>
  </si>
  <si>
    <t>Providing and fixing 2nd class teak wood lipping/ moulded beading or taj beading of size 18X5 mm fixed with wooden adhesive of approved quality and screws/nails on the edges of the Pre-laminated particle board as per direction of Engineer-in-charge.</t>
  </si>
  <si>
    <t>9.113</t>
  </si>
  <si>
    <t>Providing and fixing bright finished 100 mm mortice lock with 6 levers without pair of handles of approved quality for aluminium door, with necessary screws etc complete as per direction of Engineer- in-charge.</t>
  </si>
  <si>
    <t>9.114</t>
  </si>
  <si>
    <t>Providing and fixing magnetic catcher of approved quality in cupboard / ward robe shutters, including fixing with necessary screws etc. complete.</t>
  </si>
  <si>
    <t>9.114.1</t>
  </si>
  <si>
    <t>Triple strip vertical type</t>
  </si>
  <si>
    <t>9.114.2</t>
  </si>
  <si>
    <t>Double strip (horizontal type)</t>
  </si>
  <si>
    <t>9.115</t>
  </si>
  <si>
    <t>Providing and fixing powder coated telescopic drawer channels 300 mm long with necessary screws etc. complete as per directions of Engineer- in-charge.</t>
  </si>
  <si>
    <t>one set</t>
  </si>
  <si>
    <t>9.116</t>
  </si>
  <si>
    <t>Providing and fixing sliding arrangement in racks/ cupboards/cabinets shutter by with stainless steel rollers to run inside C or E aluminium channel section (The payment of C or E channel shall be made separately)</t>
  </si>
  <si>
    <t>9.117</t>
  </si>
  <si>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</si>
  <si>
    <t>9.117.1</t>
  </si>
  <si>
    <t>Extruded section profile size 48x40 mm</t>
  </si>
  <si>
    <t>9.117.2</t>
  </si>
  <si>
    <t>Extruded section profile size 42x50 mm</t>
  </si>
  <si>
    <t>9.118</t>
  </si>
  <si>
    <t>Providing and fixing to existing door frames.</t>
  </si>
  <si>
    <t>9.118.1</t>
  </si>
  <si>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t>
  </si>
  <si>
    <t>9.118.2</t>
  </si>
  <si>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multi-chambered single panel of size not less than 620 mm, having over all thickness of 20 mm and 1 mm (± 0.1 mm) wall thickness . The panels filled vertically and tie bar at two places by inserting horizontally 6 mm galvanised M.S. rod and fastened with nuts and washers, complete as per manufacturer's specification and direction of Engineer-in-charge.</t>
  </si>
  <si>
    <t>9.118.3</t>
  </si>
  <si>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</si>
  <si>
    <t>9.119</t>
  </si>
  <si>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</si>
  <si>
    <t>9.120</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</si>
  <si>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t>
  </si>
  <si>
    <t>9.120.1</t>
  </si>
  <si>
    <t>30 mm thick plain PVC door shutters</t>
  </si>
  <si>
    <t>9.120.2</t>
  </si>
  <si>
    <t>30 mm thick pre laminated PVC door shutters</t>
  </si>
  <si>
    <t>9.121</t>
  </si>
  <si>
    <t>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t>
  </si>
  <si>
    <t>9.122</t>
  </si>
  <si>
    <t>9.122.1</t>
  </si>
  <si>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</si>
  <si>
    <t>9.122.2</t>
  </si>
  <si>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parametres of F.R.P. laminate conforming to table - 3 of IS: 14856, complete as per direction of Engineer-in-charge.</t>
  </si>
  <si>
    <t>9.123</t>
  </si>
  <si>
    <t xml:space="preserve">Providing and fixing factory made door frame (single rebate) made out of solid foam PVC extruded profile of minimum 60mm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Engineer-in-Charge.
</t>
  </si>
  <si>
    <t>9.123A</t>
  </si>
  <si>
    <t>Providing PVC moulding / architrave for door frame made up of extruded solid foam PVC profile having homogenous fine cellular structure with smooth outer integral skin, minimum 30 mm width and minimum 12 mm thick  suitable for fixing to frame. The molding shall be snap fitted in the groove provided in the frame &amp; fixed with PVC solvent adhesive / cement and self tapping screws (of required size) complete as per direction of Engineer-in-Charge.</t>
  </si>
  <si>
    <t>9.124</t>
  </si>
  <si>
    <t>Providing and fixing factory made PVC door shutter made of solid foam PVC profiles of thikness 5mm and 15mm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10mm and 2 Nos. SS handles 125mm, shall be fixed to frame with 3 Nos. stainless steel hinges of minimum size 100x58x1.9mm and stainless steel screws of required size complete as per direction of the Engineer-in-Charge. (Cost of above hardware is inclusive in rates)</t>
  </si>
  <si>
    <t xml:space="preserve"> </t>
  </si>
  <si>
    <t>9.124.1</t>
  </si>
  <si>
    <t>5mm thick solid foam PVC panel of required size with moulded/ extruded beading of appropriate design shape and size as per manufacturer's specifications ( to secure the panel insert tight in place within the style and rails of shutter) matching the colour and shade of shutter frame. 
Non decorative type.</t>
  </si>
  <si>
    <t>9.124.2</t>
  </si>
  <si>
    <t>5mm thick solid foam PVC panel of required size with moulded/ extruded beading of appropriate design shape and size as per manufacturer's specifications ( to secure the panel insert tight in place within the style and rails of shutter) matching the colour and shade of shutter frame. Decorative type.</t>
  </si>
  <si>
    <t>9.124.3</t>
  </si>
  <si>
    <t>3mm thick  high pressure laminate (decorative type) with moulded/ extruded beading of appropriate design shape and size as per manufacturer's specifications ( to secure the panel insert tight in place within the style and rails of shutter) matching the colour and shade of shutter frame. Non decorative type.</t>
  </si>
  <si>
    <t>9.126</t>
  </si>
  <si>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</si>
  <si>
    <t>9.126.1</t>
  </si>
  <si>
    <t>Marine plywood conforming to IS: 710</t>
  </si>
  <si>
    <t>9.126.2</t>
  </si>
  <si>
    <t>Fire retardant plywood conforming to IS: 5509</t>
  </si>
  <si>
    <t>9.127</t>
  </si>
  <si>
    <t>Providing &amp; Fixing decorative high pressure laminated sheet of plain / wood grain in gloss / matt/ suede finish with high density protective surface layer and reverse side of adhesive bonding quality conforming to IS : 2046 Type S, including cost of adhesive of approved quality.</t>
  </si>
  <si>
    <t>9.127.1</t>
  </si>
  <si>
    <t>1.5 mm thick</t>
  </si>
  <si>
    <t>9.127.2</t>
  </si>
  <si>
    <t>1.0 mm thick</t>
  </si>
  <si>
    <t>9.128</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</si>
  <si>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t>
  </si>
  <si>
    <t>9.129</t>
  </si>
  <si>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</si>
  <si>
    <t>9.130</t>
  </si>
  <si>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</si>
  <si>
    <t>9.130.1</t>
  </si>
  <si>
    <t>With decorative veneering on one side and commercial veneering on other side</t>
  </si>
  <si>
    <t>9.130.2</t>
  </si>
  <si>
    <t>With non decorative veneering on both sides</t>
  </si>
  <si>
    <t>9.131</t>
  </si>
  <si>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Engineer-in-Charge (Cost of 'U' beading and hinges will be paid for separately).</t>
  </si>
  <si>
    <t>9.131.1</t>
  </si>
  <si>
    <t>9.132</t>
  </si>
  <si>
    <t>Providing and fixing aluminum U beading of required size to Pre-laminated/flush door shutter, including fixing etc. complete as per direction of Engineer-in-charge.</t>
  </si>
  <si>
    <t>9.133</t>
  </si>
  <si>
    <t>Providing and fixing, in position concealed G.I. section for wall paneling using board of required thickness fixed on the 'W' profile (0.55 mm thick) having a knurled web of 51.55 mm and two flanges of 26 mm each with lips of 10.55 mm, placed @ 610 mm C/C in perimetre channel having one flange of 20 mm and another flange of 30 mm with thickness of  0.55 mm and web of length 27 mm. Perimetre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</si>
  <si>
    <t>9.133.1</t>
  </si>
  <si>
    <t>Tapered edge calcium silicate board made with calcareous &amp; siliceous materials reinforced with cellulose fiber manufactured through autoclaving process to give stable crystalline structure with compressive strength 225 kg/ sq.cm, Bending strength 100 kg/sq.cm.</t>
  </si>
  <si>
    <t>9.133.1.1</t>
  </si>
  <si>
    <t>10mm thick</t>
  </si>
  <si>
    <t>9.133.2</t>
  </si>
  <si>
    <t>Multipurpose cement board reinforced with suitable fibre cement screw.</t>
  </si>
  <si>
    <t>9.133.2.1</t>
  </si>
  <si>
    <t>8 mm thick cement fibre board, Type- B, Category- III  as per IS: 14862 : 2000</t>
  </si>
  <si>
    <t>9.133.2.2</t>
  </si>
  <si>
    <t>8 mm thick Cement bonded wood particle board as per IS:14276</t>
  </si>
  <si>
    <t>9.133.3</t>
  </si>
  <si>
    <t>Plain Gypsum plaster board conforming to IS: 2095 Part -1:2011 (Board with BIS certification marks)</t>
  </si>
  <si>
    <t>9.133.3.1</t>
  </si>
  <si>
    <t>12.5 mm thick</t>
  </si>
  <si>
    <t>9.134</t>
  </si>
  <si>
    <t>Providing and fixing wire gauge shutters using stainless steel grade 304 wire gauge with wire of dia 0.5 mm and average width of aperture 1.4 mm in both directions for doors, windows and clerestory windows with necessary screws :</t>
  </si>
  <si>
    <t>9.134.1</t>
  </si>
  <si>
    <t>9.134.1.1</t>
  </si>
  <si>
    <t>9.134.1.1.1</t>
  </si>
  <si>
    <t>9.134.1.1.2</t>
  </si>
  <si>
    <t>9.134.1.1.3</t>
  </si>
  <si>
    <t>9.134.1.2</t>
  </si>
  <si>
    <t>9.134.1.2.1</t>
  </si>
  <si>
    <t>9.134.1.2.2</t>
  </si>
  <si>
    <t>9.134.1.2.3</t>
  </si>
  <si>
    <t>9.134.2</t>
  </si>
  <si>
    <t>9.134.2.1</t>
  </si>
  <si>
    <t>with ISI marked M.S. pressed butt hinges bright
finished of required size</t>
  </si>
  <si>
    <t>9.134.2.1.1</t>
  </si>
  <si>
    <t>9.134.2.1.2</t>
  </si>
  <si>
    <t xml:space="preserve"> Kiln seasoned and chemically treated hollock wood</t>
  </si>
  <si>
    <t>9.134.2.1.3</t>
  </si>
  <si>
    <t>9.134.2.2</t>
  </si>
  <si>
    <t>9.134.2.2.1</t>
  </si>
  <si>
    <t>9.134.2.2.2</t>
  </si>
  <si>
    <t>9.134.2.2.3</t>
  </si>
  <si>
    <t>9.135</t>
  </si>
  <si>
    <t>Providing and fixing fly proof stainless steel grade 304 wire gauge, to windows and clerestory windows using wire gauge with average width of aperture 1.4 mm in both directions with wire of dia. 0.50 mm all complete.</t>
  </si>
  <si>
    <t>9.135.1</t>
  </si>
  <si>
    <t>With 2nd class teak wood beading 62X19 mm</t>
  </si>
  <si>
    <t>9.135.2</t>
  </si>
  <si>
    <t>9.136</t>
  </si>
  <si>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</si>
  <si>
    <t>9.137</t>
  </si>
  <si>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gm/sqm) duly filled FR insulation material and fixing with necessary stainless steel ball bearing hinges of approved make, including applying a coat of approved fire resistant primer etc. all complete as per direction of Engineer-in-charge (panneling to be paid for separately).</t>
  </si>
  <si>
    <t>9.138</t>
  </si>
  <si>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</si>
  <si>
    <t>9.139</t>
  </si>
  <si>
    <t>Providing and fixing panic bar / latch (Double point) fitted with a single body, Trim Latch &amp; Lock on back side of the Panic Latch of reputed brand and manufacture to be approved by the Engineer- in- charge, all complete.</t>
  </si>
  <si>
    <t>9.140</t>
  </si>
  <si>
    <t>Providing and fixing plain lining with necessary screws/nuts &amp; bolts/ nails, including a coat of approved primer on one face, and fixed on wooden /steel frame work, complete as per direction of Engineer-in- charge (Frame work shall be paid for separately).</t>
  </si>
  <si>
    <t>9.140.1</t>
  </si>
  <si>
    <t>12mm thick commercial ply conforming to IS : 1328 BWR type</t>
  </si>
  <si>
    <t>9.141</t>
  </si>
  <si>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t>
  </si>
  <si>
    <t>9.142</t>
  </si>
  <si>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t>
  </si>
  <si>
    <t>9.142.1</t>
  </si>
  <si>
    <t>Non decorative finish (matt finish)</t>
  </si>
  <si>
    <t>9.142.2</t>
  </si>
  <si>
    <t>Decorative finish (wood grained finish)</t>
  </si>
  <si>
    <t>9.143</t>
  </si>
  <si>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</si>
  <si>
    <t>9.144</t>
  </si>
  <si>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t>
  </si>
  <si>
    <t>9.145</t>
  </si>
  <si>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</si>
  <si>
    <t>9.146</t>
  </si>
  <si>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</si>
  <si>
    <t>9.147A</t>
  </si>
  <si>
    <t xml:space="preserve">Providing and fixing factory made uPVC glazed/wire mesh windows/doors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t>
  </si>
  <si>
    <t>Note:- Structural design proof checked from a Government Engineering Institute,  to be provided by the manufacturer for :
(i) Sites  with basic wind speed &gt; 45 m/sec as per IS 875 – Part 3 
(ii)  Sites with structure height more than 20m for all wind speeds</t>
  </si>
  <si>
    <t>9.147.A1</t>
  </si>
  <si>
    <t xml:space="preserve">Two track two panels sliding window with Aluminium channel for roller track, wool pile, nylon rollers with SS 304 body. </t>
  </si>
  <si>
    <t>9.147.A1.1</t>
  </si>
  <si>
    <t>Using R2 series with frame (40mm &amp; above) x (40mm &amp; above) &amp; sash (25mm &amp; above) x (50mm &amp; above) with zinc alloy (zamak) powder coated touch locks with hook (Height upto 1.2 metre).</t>
  </si>
  <si>
    <t>9.147.A1.2</t>
  </si>
  <si>
    <t>Using R3 series with frame (55mm &amp; above) x (40mm &amp; above) &amp; sash (30mm &amp; above) x (55mm &amp; above) with zinc alloy (zamak) powder coated handle on every panel along with multi-point locking system (Height upto 1.8m).</t>
  </si>
  <si>
    <t>9.147.A1.3</t>
  </si>
  <si>
    <t>Using R4 series with frame (64mm &amp; above) x (45mm &amp; above) &amp; sash (44mm &amp; above) x (55mm &amp; above) with zinc alloy (zamak) powder coated handle on every panel along with multi-point locking system (Height above 1.8m).</t>
  </si>
  <si>
    <t>9.147.A2</t>
  </si>
  <si>
    <t xml:space="preserve">Two track four panels sliding windows with Aluminium channel for roller track, wool pile, zinc alloy (zamak) powder coated handle on three panels along with multi-point locking system, nylon rollers with SS 304 body.          </t>
  </si>
  <si>
    <t>9.147.A2.1</t>
  </si>
  <si>
    <t>Using R3 series with frame (55mm &amp; above) x (40mm &amp; above) &amp; sash (30mm &amp; above) x (55mm &amp; above) (Height upto 1.8m).</t>
  </si>
  <si>
    <t>9.147.A2.2</t>
  </si>
  <si>
    <t>Using R4 series with frame (64mm &amp; above) x (45mm &amp; above) &amp; sash (44mm &amp; above) x (55mm &amp; above) (Height above 1.8m).</t>
  </si>
  <si>
    <t>9.147.A3</t>
  </si>
  <si>
    <t xml:space="preserve">Two and half track three panels sliding window with two  glazed &amp; one  wire mesh panels with Aluminium channel for roller track, wool pile, nylon rollers with SS 304 body. </t>
  </si>
  <si>
    <t>9.147.A3.1</t>
  </si>
  <si>
    <t xml:space="preserve">Using R2 series with frame (65mm &amp; above) x (40mm &amp; above) &amp; glazed sash (25mm &amp; above) x (50mm &amp; above) &amp; fly screen sash (18mm &amp; above) x (40mm &amp; above) with zinc alloy (zamak) powder coated touch locks with hook (Height upto 1.2 metre).  </t>
  </si>
  <si>
    <t>9.147.A3.2</t>
  </si>
  <si>
    <t xml:space="preserve">Using R3 series with frame (85mm &amp; above) x (40mm &amp; above) &amp; glazed sash (30mm &amp; above) x (55mm &amp; above) &amp; fly screen sash (20mm &amp; above) x (50mm &amp; above) with zinc alloy (zamak) powder coated handle on every glazed panel along with multi-point locking system. (Height upto 1.8 metre).  </t>
  </si>
  <si>
    <t>9.147.A4</t>
  </si>
  <si>
    <t xml:space="preserve">Three track three panels sliding window with two glazed &amp; one wire mesh panels with Aluminium channel for roller track, wool pile, nylon rollers with SS 304 body. </t>
  </si>
  <si>
    <t>9.147.A4.1</t>
  </si>
  <si>
    <t xml:space="preserve">Using R2 series with frame (70mm &amp; above) x (40mm &amp; above) &amp; both glazed and fly screen sash (25mm &amp; above) x (50mm &amp; above) with zinc alloy (zamak) powder coated touch locks with hook. (Height upto 1.2 metre).  </t>
  </si>
  <si>
    <t>9.147.A4.2</t>
  </si>
  <si>
    <t>Using R3 series with frame (98mm &amp; above) x (40mm &amp; above) &amp; both glazed and fly screen sash (30mm &amp; above) x (55mm &amp; above) with zinc alloy (zamak) powder coated handle on every glazed panel along with multi-point locking system. (Height upto 1.8m).</t>
  </si>
  <si>
    <t>9.147.A4.3</t>
  </si>
  <si>
    <t>Using R4 series with frame (115mm &amp; above) x (45mm &amp; above) &amp; both glazed and fly screen sash (44mm &amp; above) x (55mm &amp; above) with zinc alloy (zamak) powder coated handle on every glazed panel along with multi-point locking system.  (Height above 1.8m)</t>
  </si>
  <si>
    <t>9.147.A5</t>
  </si>
  <si>
    <t xml:space="preserve">Three track three panels sliding window with  Aluminium channel for roller track, wool pile, nylon rollers with SS 304 body. </t>
  </si>
  <si>
    <t>9.147.A5.1</t>
  </si>
  <si>
    <t xml:space="preserve">Using R2 series with frame (70mm &amp; above) x (40mm &amp; above) &amp; sash (25mm &amp; above) x (50mm &amp; above) with zinc alloy (zamak) powder coated touch locks with hook. (Height upto 1.2 metre).  </t>
  </si>
  <si>
    <t>9.147.A5.2</t>
  </si>
  <si>
    <t xml:space="preserve">Using R3 series with frame (98mm &amp; above) x (40mm &amp; above) &amp; sash (30mm &amp; above) x (55mm &amp; above) with zinc alloy (zamak) powder coated handle on two end panels along with multi-point locking system (Height upto 1.8 metre).  </t>
  </si>
  <si>
    <t>9.147.A5.3</t>
  </si>
  <si>
    <t xml:space="preserve">Using R4 series with frame (115mm &amp; above) x (45mm &amp; above) &amp; sash (44mm &amp; above) x (55mm &amp; above) with zinc alloy (zamak) powder coated handle on two end panels along with multi-point locking system. (Height above 1.8 metre).  </t>
  </si>
  <si>
    <t>9.147.B1</t>
  </si>
  <si>
    <t xml:space="preserve">Two track two panels sliding door with Aluminium channel for roller track, wool pile, zinc alloy (zamak) powder coated handle on every panel along with multi-point locking system, adjustable nylon rollers with SS 304 body. </t>
  </si>
  <si>
    <t>9.147.B1.1</t>
  </si>
  <si>
    <t>Using R3 series with frame (55mm &amp; above) x (40mm &amp; above) &amp; sash (30mm &amp; above) x (74mm &amp; above). (Height upto 2.5 metre).</t>
  </si>
  <si>
    <t>9.147.B1.2</t>
  </si>
  <si>
    <t>Using R4 series with frame (64mm &amp; above) x (45mm &amp; above) &amp; sash (44mm &amp; above) x (85mm  &amp; above). (Height above 2.5 metre).</t>
  </si>
  <si>
    <t>9.147.B2</t>
  </si>
  <si>
    <t xml:space="preserve">Two track four panels sliding door with Aluminium channel for roller track, wool pile, zinc alloy (zamak) powder coated handle on three panels along with multi-point locking system, adjustable nylon rollers with SS 304 body. </t>
  </si>
  <si>
    <t>9.147.B2.1</t>
  </si>
  <si>
    <t>9.147.B2.2</t>
  </si>
  <si>
    <t>9.147.B3</t>
  </si>
  <si>
    <t xml:space="preserve">Three track three panels sliding door with two glazed &amp; one  wire mesh panels with Aluminium channel for roller track, wool pile, zinc alloy (zamak) powder coated handle on two panels along with multi-point locking system, adjustable nylon rollers with SS 304 body. </t>
  </si>
  <si>
    <t>9.147.B3.1</t>
  </si>
  <si>
    <t xml:space="preserve">Using R3 series with frame (98mm &amp; above) x (40mm &amp; above) &amp; both glazed and fly screen sash (30mm &amp; above) x (74mm  &amp; above). (Height upto 2.5 metre).  </t>
  </si>
  <si>
    <t>9.147.B3.2</t>
  </si>
  <si>
    <t xml:space="preserve">Using R4 series with frame (115mm &amp; above) x (45mm &amp; above) &amp; both glazed and fly screen sash (44mm &amp; above) x (85mm  &amp; above). (Height above 2.5 metre). </t>
  </si>
  <si>
    <t>9.147.B4</t>
  </si>
  <si>
    <t xml:space="preserve">Three track three panels sliding door with Aluminium channel for roller track, wool pile, zinc alloy (zamak) powder coated handle on two panels along with multi-point locking system, adjustable nylon rollers with SS 304 body. </t>
  </si>
  <si>
    <t>9.147.B4.1</t>
  </si>
  <si>
    <t>Using R3 series with frame (98mm &amp; above) x (40mm &amp; above) &amp; sash (30mm &amp; above) x (74mm  &amp; above). (Height upto 2.5 metre).</t>
  </si>
  <si>
    <t>9.147.B4.2</t>
  </si>
  <si>
    <t>Using R4 series with frame (115mm &amp; above) x (45mm &amp; above) &amp; sash (44mm &amp; above) x (85mm  &amp; above). (Height above 2.5 metre).</t>
  </si>
  <si>
    <t>9.147.C1</t>
  </si>
  <si>
    <t xml:space="preserve">Fixed window / ventilator without mullion / transom. </t>
  </si>
  <si>
    <t>9.147.C1.1</t>
  </si>
  <si>
    <t>Using R1 series with frame (33mm &amp; above ) x (35mm  &amp; above). (Height upto 0.90 metre)</t>
  </si>
  <si>
    <t>9.147.C1.2</t>
  </si>
  <si>
    <t>Using R2 series with frame (39mm  &amp; above ) x (39mm  &amp; above). (Height upto 1.2 metre)</t>
  </si>
  <si>
    <t>9.147.C1.3</t>
  </si>
  <si>
    <t>Using R3 series with frame (55mm  &amp; above ) x (45mm  &amp; above). (Height upto 2.5 metre)</t>
  </si>
  <si>
    <t>9.147.C1.4</t>
  </si>
  <si>
    <t>Using R4 series with frame (64mm  &amp; above ) x (50mm  &amp; above). (Height above 2.5 metre)</t>
  </si>
  <si>
    <t>9.147.C2</t>
  </si>
  <si>
    <t>Fixed window / ventilator with mullion / transom.</t>
  </si>
  <si>
    <t>9.147.C2.1</t>
  </si>
  <si>
    <t>Using R1 series with frame (33mm  &amp; above ) x (35mm  &amp; above) &amp; mullion (33mm &amp; above) x (50mm &amp; above). (Height upto 0.90 metre)</t>
  </si>
  <si>
    <t>9.147.C2.2</t>
  </si>
  <si>
    <t>Using R2 series with frame (39mm  &amp; above ) x (39mm  &amp; above) &amp; mullion (39mm &amp; above) x (60mm &amp; above). (Height upto 1.2 metre)</t>
  </si>
  <si>
    <t>9.147.C2.3</t>
  </si>
  <si>
    <t>Using R3 series with frame (55mm  &amp; above ) x (45mm  &amp; above) &amp; mullion (55mm &amp; above) x (65mm &amp; above). (Height upto 2.5  metre)</t>
  </si>
  <si>
    <t>9.147.C2.4</t>
  </si>
  <si>
    <t>Using R4 series with frame (64mm  &amp; above ) x (50mm  &amp; above) &amp; mullion (64mm &amp; above) x (70mm &amp; above). (Height above 2.5 metre)</t>
  </si>
  <si>
    <t>9.147.D1</t>
  </si>
  <si>
    <t>Ventilator Casement window single panel with or without fixed panel with S.S. 304 friction hinges as per size and weight of sash, single point locking zinc alloy (zamak) powder coated handles.</t>
  </si>
  <si>
    <t>9.147.D1.1</t>
  </si>
  <si>
    <t>Using R1 series with frame (33mm  &amp; above ) x (35mm  &amp; above) &amp; sash /mullion (33mm &amp; above) x (50 mm &amp; above). (Height upto 0.90 metre).</t>
  </si>
  <si>
    <t>9.147.D1.2</t>
  </si>
  <si>
    <t xml:space="preserve">Using R2 series with frame (39mm &amp; above ) x (39mm  &amp; above) &amp; sash /mullion (39mm &amp; above) x (60mm &amp; above). (Height upto 1.2 metre) </t>
  </si>
  <si>
    <t>9.147.D1.3</t>
  </si>
  <si>
    <t xml:space="preserve">Using R3 series with frame (55mm  &amp; above ) x (45mm  &amp; above) &amp; sash /mullion (55mm &amp; above) x (65mm &amp; above). (Height above 1.2 metre) </t>
  </si>
  <si>
    <t>9.147.E1</t>
  </si>
  <si>
    <t>Casement window single panel with S.S. 304 friction hinges as per size and weight of sash, multi-point locking system, zinc alloy (zamak) powder coated handles.</t>
  </si>
  <si>
    <t>9.147.E1.1</t>
  </si>
  <si>
    <t>Using R2 series with frame (39mm &amp; above) x (39mm  &amp; above) &amp; sash (39mm &amp; above) x (60mm &amp; above). (Height upto 1.2 metre)</t>
  </si>
  <si>
    <t>9.147.E1.2</t>
  </si>
  <si>
    <t>Using R3 series with frame (55mm &amp; above ) x (45mm  &amp; above) &amp; sash (55mm &amp; above) x (65mm &amp; above). (Height upto 1.8 metre)</t>
  </si>
  <si>
    <t>9.147.E1.3</t>
  </si>
  <si>
    <t>Using R4 series with frame (64mm &amp; above) x (50mm  &amp; above) &amp; sash (64mm &amp; above) x (70mm &amp; above). (Height above 1.8 metre)</t>
  </si>
  <si>
    <t>9.147.E2</t>
  </si>
  <si>
    <t xml:space="preserve">Casement window double panels with fixed mullion with S.S. 304 friction hinges as per size and weight of sash, multi-point locking system, zinc alloy (zamak) powder coated handles. </t>
  </si>
  <si>
    <t>9.147.E2.1</t>
  </si>
  <si>
    <t xml:space="preserve">Using R2 series with frame (39mm &amp; above) x (39mm  &amp; above) &amp; sash (39mm &amp; above) x (60mm &amp; above) &amp; mullion (39mm &amp; above) x (60mm &amp; above). (Height upto 1.2 metre).  </t>
  </si>
  <si>
    <t>9.147.E2.2</t>
  </si>
  <si>
    <t xml:space="preserve">Using R3 series with frame (55mm &amp; above) x (45mm  &amp; above) &amp; sash (55mm &amp; above) x (65mm &amp; above) &amp; mullion (55mm &amp; above) x (65mm &amp; above). (Height upto 1.8 metre).  </t>
  </si>
  <si>
    <t>9.147.E2.3</t>
  </si>
  <si>
    <t xml:space="preserve">Using R4 series with frame (64mm  &amp; above) x (50mm  &amp; above) &amp; sash (64mm &amp; above) x (70mm &amp; above) &amp; mullion (64mm &amp; above) x (70mm &amp; above). (Height above 1.8 metre).  </t>
  </si>
  <si>
    <t>9.147.E3</t>
  </si>
  <si>
    <t xml:space="preserve">Casement window double panels with French (False) Mullion with S.S. 304 friction hinges as per size and weight of sash, multi-point locking system, zinc alloy (zamak) powder coated handles. </t>
  </si>
  <si>
    <t>9.147.E3.1</t>
  </si>
  <si>
    <t xml:space="preserve">Using R2 series with frame (39mm &amp; above) x (39mm  &amp; above) &amp; sash (39mm &amp; above) x (60mm &amp; above) &amp; French (False) mullion (39mm &amp; above) x (60mm &amp; above). (Height upto 1.2 metre).  </t>
  </si>
  <si>
    <t>9.147.E3.2</t>
  </si>
  <si>
    <t xml:space="preserve">Using R3 series with frame (55mm  &amp; above) x (45mm  &amp; above) &amp; sash (55mm &amp; above) x (65mm &amp; above) &amp; French (False) mullion (55mm &amp; above) x (60mm &amp; above). (Height upto 1.8 metre).  </t>
  </si>
  <si>
    <t>9.147.E3.3</t>
  </si>
  <si>
    <t xml:space="preserve">Using R4 series with frame (64mm  &amp; above) x (50mm  &amp; above) &amp; sash (64mm &amp; above) x (70mm &amp; above) &amp; French (False) mullion (64mm &amp; above) x (60mm &amp; above) . (Height above 1.8 metre).  </t>
  </si>
  <si>
    <t>9.147.E4</t>
  </si>
  <si>
    <t>Casement cum fixed panel window having one single casement panel &amp; one fixed panel with S.S 304 friction hinges as per size and weight of sash, multi-point locking system, zinc alloy (zamak) powder coated handles.</t>
  </si>
  <si>
    <t>9.147.E4.1</t>
  </si>
  <si>
    <t>Using R2 series with frame (39mm &amp; above ) x (39mm  &amp; above) &amp; sash (39mm &amp; above) x (60mm &amp; above) &amp; mullion (39mm &amp; above) x (60mm &amp; above). (Height upto 1.2 metre; each openable shutter upto 0.8m width)</t>
  </si>
  <si>
    <t>9.147.E4.2</t>
  </si>
  <si>
    <t>Using R3 series with frame (55mm &amp; above ) x (45mm  &amp; above) &amp; sash (55mm &amp; above) x (65mm &amp; above) &amp; mullion (55mm &amp; above) x (65mm &amp; above). (Height upto 1.8 metre; each openable shutter upto 0.8m width)</t>
  </si>
  <si>
    <t>9.147.E4.3</t>
  </si>
  <si>
    <t>Using R4 series with frame (64mm &amp; above) x (50mm  &amp; above) &amp; sash (64mm &amp; above) x (70mm &amp; above) &amp; mullion (64mm &amp; above) x (70mm &amp; above). (Height above 1.8 metre; each openable shutter upto 0.8m width)</t>
  </si>
  <si>
    <t>9.147.E5</t>
  </si>
  <si>
    <t>Casement cum fixed panel window having single casement panel at both ends &amp; middle fixed panel with S.S 304 friction hinges as per size and weight of sash, multi-point locking system, zinc alloy (zamak) powder coated handles.</t>
  </si>
  <si>
    <t>9.147.E5.1</t>
  </si>
  <si>
    <t>Using R2 series with frame (39mm &amp; above) x (39mm  &amp; above) &amp; sash (39mm &amp; above) x (60mm &amp; above) &amp; mullion (39mm &amp; above) x (60mm &amp; above). (Height upto 1.2 metre; each openable shutter upto 0.8m width)</t>
  </si>
  <si>
    <t>9.147.E5.2</t>
  </si>
  <si>
    <t>Using R3 series with frame (55mm &amp; above) x (45mm  &amp; above) &amp; sash (55mm &amp; above) x (65mm &amp; above) &amp; mullion (55mm &amp; above) x (65mm &amp; above). (Height upto 1.8 metre; each openable shutter upto 0.8m width)</t>
  </si>
  <si>
    <t>9.147.E5.3</t>
  </si>
  <si>
    <t>Using R4 series with frame (64mm  &amp; above ) x (50mm  &amp; above) &amp; sash (64mm &amp; above) x (70mm &amp; above) &amp; mullion (64mm &amp; above) x (70mm &amp; above). (Height above 1.8 metre; each openable shutter upto 0.8m width)</t>
  </si>
  <si>
    <t>9.147.E6</t>
  </si>
  <si>
    <t>Casement Window with Double Rebate Frame with one Side Hung Glazed Panel and one Side Hung wire mesh Panel with S.S. 304 friction hinges as per size and weight of sash,  multi-point locking system, zinc alloy (zamak) powder coated handles on both glazed and fly screen panel</t>
  </si>
  <si>
    <t>9.147.E6.1</t>
  </si>
  <si>
    <t>Using R3 series with frame (110mm &amp; above) x (45mm  &amp; above) &amp; glazed sash (55mm &amp; above) x (65mm &amp; above) &amp; fly screen sash (30mm &amp; above) x (55mm &amp; above) &amp;  metal grill (if required to be paid separately). (Height upto 1.8 metre)</t>
  </si>
  <si>
    <t>9.147.E7</t>
  </si>
  <si>
    <t>Casement Window with Double Rebate Frame with two Side Hung Glazed Panel and two Side Hung wire mesh Panel and Fixed Mullion with S.S. 304 friction hinges as per size and weight of sash,  multi-point locking system, zinc alloy (zamak) powder coated handles on both glazed and fly screen panel.</t>
  </si>
  <si>
    <t>9.147.E7.1</t>
  </si>
  <si>
    <t>Using R3 series with frame (110mm &amp; above) x (45mm  &amp; above) &amp; glazed sash (55mm &amp; above) x (65mm &amp; above) &amp; fly screen sash (30mm &amp; above) x (55mm &amp; above) &amp; mullion (55mm &amp; above) x (65mm &amp; above) &amp;  metal grill (if required to be paid separately). (Height upto 1.8 metre)</t>
  </si>
  <si>
    <t>9.147.E8</t>
  </si>
  <si>
    <t>Casement Window with Double Rebate Frame with two Side Hung Glazed Panel on outside and two Side Hung wire mesh Panel on inside and French (False) Mullion with S.S. 304 friction hinges as per size and weight of sash,  multi-point locking system, zinc alloy (zamak) powder coated handles with shoot bolt on both glazed and fly screen panel.</t>
  </si>
  <si>
    <t>9.147.E8.1</t>
  </si>
  <si>
    <t>Using R3 series with frame (110mm &amp; above) x (45mm  &amp; above) &amp; glazed sash (55mm &amp; above) x (65mm &amp; above) &amp; fly screen sash (30mm &amp; above) x (55mm &amp; above) &amp; French (False) mullion (55mm &amp; above) x (60mm &amp; above) &amp;  metal grill (if required to be paid separately). (Height upto 1.8 metre).</t>
  </si>
  <si>
    <t>9.147.F1</t>
  </si>
  <si>
    <t xml:space="preserve">Casement door single panel with zinc alloy (zamak) 3D hinges, multi-point locking system with cylinder, zinc alloy (zamak) powder coated handles on both sides. </t>
  </si>
  <si>
    <t>9.147.F1.1</t>
  </si>
  <si>
    <t xml:space="preserve">Using R3 series with frame (55 mm &amp; above) x (50mm &amp; above) &amp; sash (55 mm &amp; above) x (85mm &amp; above) (Height upto 2.5 metre). </t>
  </si>
  <si>
    <t>9.147.F1.2</t>
  </si>
  <si>
    <t>Using R4 series with frame (64 mm &amp; above) x (55mm &amp; above) &amp; sash (64 mm &amp; above) x (100mm &amp; above). (Height above 2.5 metre).</t>
  </si>
  <si>
    <t>9.147.F2</t>
  </si>
  <si>
    <t xml:space="preserve">Casement door double panel with French (False) Mullion with zinc alloy (zamak) 3D hinges, multi-point locking system with cylinder, zinc alloy (zamak) powder coated handles on both sides. </t>
  </si>
  <si>
    <t>9.147.F2.1</t>
  </si>
  <si>
    <t>Using R3 series with frame (55 mm &amp; above) x (50mm &amp; above) &amp; sash (55 mm &amp; above) x (85mm &amp; above) &amp; French (False) mullion (55 mm &amp; above) x (60mm &amp; above). (Height upto 2.5 metre).</t>
  </si>
  <si>
    <t>9.147.F2.2</t>
  </si>
  <si>
    <t>Using R4 series with frame (64 mm &amp; above) x (55mm &amp; above) &amp; sash (64 mm &amp; above) x (100mm &amp; above) &amp; French (False) mullion (64 mm &amp; above) x (60mm &amp; above). (Height above 2.5 metre).</t>
  </si>
  <si>
    <t>9.147.F3</t>
  </si>
  <si>
    <t>Casement Door with Double Rebate Frame with one Side Hung Glazed Panel and one Side Hung wire mesh Panel with  zinc alloy (zamak) 3D hinges, multi-point locking system with cylinder, zinc alloy (zamak) powder coated handles on both sides of glazed panel and zinc alloy (Zamak) powder coated handle along with multi-point locking system on one side of fly screen panel.</t>
  </si>
  <si>
    <t>9.147.F3.1</t>
  </si>
  <si>
    <t>Using R3 series with frame (110mm &amp; above) x (45mm &amp; above) &amp; glazed sash (55mm &amp; above) x (85mm &amp; above) &amp; fly screen sash (55mm &amp; above) x (65mm &amp; above). (Height upto 2.5 metre).</t>
  </si>
  <si>
    <t>9.148</t>
  </si>
  <si>
    <t>Providing and fixing stainless steel (SS-304 grade) friction hinges to the side/top hung uPVC windows, of approved quality, with necessary stainless steel screws etc. as per direction of Engineer-in-charge.</t>
  </si>
  <si>
    <t>9.148.1</t>
  </si>
  <si>
    <t>200 x 19 x 1.9 mm</t>
  </si>
  <si>
    <t>9.148.2</t>
  </si>
  <si>
    <t>250 x 19 x 1.9 mm</t>
  </si>
  <si>
    <t>9.148.3</t>
  </si>
  <si>
    <t>300 x 19 x 1.9 mm</t>
  </si>
  <si>
    <t>9.148.4</t>
  </si>
  <si>
    <t>350 x 19 x 1.9 mm</t>
  </si>
  <si>
    <t>9.148.5</t>
  </si>
  <si>
    <t>400 x 19 x 1.9 mm</t>
  </si>
  <si>
    <t>9.149</t>
  </si>
  <si>
    <t>Providing and fixing casement handle made of zinc alloyed (white powder coated) for uPVC casement window with necessary screws etc. complete.</t>
  </si>
  <si>
    <t>9.150</t>
  </si>
  <si>
    <t>Providing and fixing zinc alloyed (white powder coated) touch lock for uPVC sliding window with necessary screws etc. complete.</t>
  </si>
  <si>
    <t>9.151</t>
  </si>
  <si>
    <t>Providing and fixing steel roller for uPVC sliding window with necessary screws etc. complete.</t>
  </si>
  <si>
    <t>9.152</t>
  </si>
  <si>
    <t>Providing and fixing steel roller for uPVC sliding door with necessary screws etc. complete.</t>
  </si>
  <si>
    <t>9.153</t>
  </si>
  <si>
    <t>Providing and fixing steel (white power coated) crescent lock for uPVC sliding window/ door with necessary screws etc. complete.</t>
  </si>
  <si>
    <t>9.154</t>
  </si>
  <si>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</si>
  <si>
    <t>9.155</t>
  </si>
  <si>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t>
  </si>
  <si>
    <t>9.156</t>
  </si>
  <si>
    <t>Providing and fixing Pre -laminated medium density fibre board exterior grade (Grade-I) IS:14587:1998 marked, to frame, backing or studding with screws etc. complete ( Frames, backing or studding to be paid separately).</t>
  </si>
  <si>
    <t>9.156.1</t>
  </si>
  <si>
    <t>Pre-laminated with decorative lamination on both side exterior Grade - I MDF Board 12 mm thick confirming to IS:14587</t>
  </si>
  <si>
    <t>9.156.2</t>
  </si>
  <si>
    <t>Pre-laminated with decorative lamination on both side exterior Grade - I MDF Board 18 mm thick confirming to IS:14587</t>
  </si>
  <si>
    <t>9.157</t>
  </si>
  <si>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</si>
  <si>
    <t>9.157.1</t>
  </si>
  <si>
    <t>Pre-laminated with decorative lamination one side and other side balancing lamination exterior Grade - I MDF Board 18 mm thick confirming to IS:14587</t>
  </si>
  <si>
    <t>9.157.2</t>
  </si>
  <si>
    <t>Pre-laminated with decorative lamination one side and other side balancing lamination exterior Grade - I MDF Board 25 mm thick confirming to IS:14587</t>
  </si>
  <si>
    <t>9.158</t>
  </si>
  <si>
    <t>Providing and fixing in wall lining medium density fibre board IS: 14587:1998 marked, Pre-laminated one side decorative lamination and other side balancing lamination, with necessary fixing arrangement and screws etc. complete.</t>
  </si>
  <si>
    <t>9.158.1</t>
  </si>
  <si>
    <t>12 mm thick.</t>
  </si>
  <si>
    <t>9.158.2</t>
  </si>
  <si>
    <t>18 mm thick.</t>
  </si>
  <si>
    <t>9.158.3</t>
  </si>
  <si>
    <t>25 mm thick.</t>
  </si>
  <si>
    <t>9.159</t>
  </si>
  <si>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</si>
  <si>
    <t>9.160</t>
  </si>
  <si>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</si>
  <si>
    <t>9.160.1</t>
  </si>
  <si>
    <t>9.160.2</t>
  </si>
  <si>
    <t>9.161</t>
  </si>
  <si>
    <t>Providing and fixing fire resistant door frame of section  50 x 60 mm on horizontal side &amp; 35 x 60 mm on vertical sides having built in rebate made out of 1.6 mm thick GI sheet ( Zinc coating not less than 120gm/sqm) suitable for mounting 120 minutes Fire Rated Glazed Door Shutters. The frame shall be filled with mineral wool Insulation having density minimum 96Kg/sqm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t>
  </si>
  <si>
    <t>9.162</t>
  </si>
  <si>
    <t>Providing and fixing 60 mm thick glazed fire resistant door shutters of 120 minutes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120gm/sqm) duly filled mineral wool insulation having density minimum 96 kg/cum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t>
  </si>
  <si>
    <t>9.163</t>
  </si>
  <si>
    <t xml:space="preserve"> 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</si>
  <si>
    <t>9.164</t>
  </si>
  <si>
    <t xml:space="preserve">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t>
  </si>
  <si>
    <t>9.165</t>
  </si>
  <si>
    <t>Providing and fixing bright /matt finished Stainless Steel handles of approved quality &amp; make with necessary screws etc all complete.</t>
  </si>
  <si>
    <t>9.165.1</t>
  </si>
  <si>
    <t>9.165.2</t>
  </si>
  <si>
    <t>100mm</t>
  </si>
  <si>
    <t>9.165.3</t>
  </si>
  <si>
    <t>9.166</t>
  </si>
  <si>
    <t>Providing and fixing 18mm thick both sides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t>
  </si>
  <si>
    <t>9.166.1</t>
  </si>
  <si>
    <t>9.167</t>
  </si>
  <si>
    <t>Providing and fixing 6mm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Engineer-in-charge.</t>
  </si>
  <si>
    <t>9.168</t>
  </si>
  <si>
    <t xml:space="preserve">Providing and fixing cupboard shutter with 19mm thick one side decorative and other side balancing lamination factory pressed BWP grade marine ply as per IS 710 of approved brand including 2mm thick PVC edge banding tape with hot glue by edge bending machine etc. with auto closing spring loaded hinges (hydraulic type) etc. complete as per direction of Engineer-in-charge.(Payment of providing and fixing auto closing hinges shall be paid separately) </t>
  </si>
  <si>
    <t>9.169</t>
  </si>
  <si>
    <t xml:space="preserve">Providing and fixing 19mm thick both side balancing lamination factory pressed BWP grade marine ply as per IS 710 of approved brand boxes,shelves,racks,almirah,cupboard and drawer etc. including necessary nails,screws etc.  complete as per direction of Engineer-in-charge. </t>
  </si>
  <si>
    <t>9.170</t>
  </si>
  <si>
    <t>Providing and fixing stainless steel fancy handle of approved make fixed with SS screws etc. complete as per direction of Engineer-in-charge.</t>
  </si>
  <si>
    <t>9.170.1</t>
  </si>
  <si>
    <t>200 mm</t>
  </si>
  <si>
    <t>9.171</t>
  </si>
  <si>
    <t>Providing and fixing stainless steel soft closing spring hinges at 0 degree hinges (hydraulic type) of approved make/brand to cupboard shutters with full threaded steel screws including making necessary recess in board and finished etc. complete as per direction of Engineer-in-charge.</t>
  </si>
  <si>
    <t>9.172</t>
  </si>
  <si>
    <t>Providing and fixing stainless steel soft closing heavy type telescopic drawer channels of approved make 500 mm long with screws etc. complete as per directions of Engineer- in-charge.</t>
  </si>
  <si>
    <t>9.173</t>
  </si>
  <si>
    <t>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bolts, Stainless Steel screws &amp; telescopic channel etc. as per direction of Engineer-in-charge. (For payment purpose only weight of Stainless steel basket shall be considered excluding weight of all fixing accessories such as nuts, bolts, fasteners telescopic basket channels etc. Payment of providing and fixing telescopic channel shall be paid separately)</t>
  </si>
  <si>
    <t>9.174</t>
  </si>
  <si>
    <t>Providing and fixing 2mm thick 16 to 19mm wide PVC edge binding tape of approved quality for cupboard/wardrobe shutters including necessary synthetic resin hot pressed to edges on binding machine etc. complete as per directions of Engineer- in-charge.</t>
  </si>
  <si>
    <t>10.0 STEEL WORK</t>
  </si>
  <si>
    <t>10.1</t>
  </si>
  <si>
    <t>Structural steel work in single section, fixed with or without connecting plate, including cutting, hoisting, fixing in position and applying a priming coat of approved steel primer all complete.</t>
  </si>
  <si>
    <t>10.2</t>
  </si>
  <si>
    <t>Structural steel work riveted, bolted or welded in built up sections, trusses and framed work, including cutting, hoisting, fixing in position and applying a priming coat of approved steel primer all complete.</t>
  </si>
  <si>
    <t>10.3</t>
  </si>
  <si>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</si>
  <si>
    <t>10.4</t>
  </si>
  <si>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</si>
  <si>
    <t>10.5</t>
  </si>
  <si>
    <t>Providing and fixing 1mm thick M.S. sheet door with frame of 40x40x6 mm angle iron and 3 mm M.S. gusset plates at the junctions and corners, all necessary fittings complete, including applying a priming coat of approved steel primer.</t>
  </si>
  <si>
    <t>10.5.1</t>
  </si>
  <si>
    <t>Using M.S. angels 40x40x6 mm for diagonal braces</t>
  </si>
  <si>
    <t>10.5.2</t>
  </si>
  <si>
    <t>Using flats 30x6mm for diagonal braces and central cross piece</t>
  </si>
  <si>
    <t>10.6</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</si>
  <si>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</si>
  <si>
    <t>10.6.1</t>
  </si>
  <si>
    <t>80x1.25 mm M.S. laths with 1.25 mm thick top cover</t>
  </si>
  <si>
    <t>10.6.2</t>
  </si>
  <si>
    <t>80x1.20 mm M.S. laths with 1.20 mm thick top cover</t>
  </si>
  <si>
    <t>10.6.3</t>
  </si>
  <si>
    <t>80x0.90 mm M.S. laths with 0.90 mm thick top cover</t>
  </si>
  <si>
    <t>10.7</t>
  </si>
  <si>
    <t>Providing and fixing ball bearing for rolling shutters.</t>
  </si>
  <si>
    <t>10.8</t>
  </si>
  <si>
    <t>Extra for providing mechanical device chain and crank operation for operating rolling shutters.</t>
  </si>
  <si>
    <t>10.8.1</t>
  </si>
  <si>
    <t>Exceeding 10.00 sqm and upto 16.80 sqm in the area</t>
  </si>
  <si>
    <t>10.8.2</t>
  </si>
  <si>
    <t>Exceeding 16.80 sqm in area</t>
  </si>
  <si>
    <t>10.9</t>
  </si>
  <si>
    <t>Extra for providing grilled rolling shutters manufactured out of 8 mm dia M.S. bar instead of laths as per design approved by Engineer-in- charge, (area of grill to be measured).</t>
  </si>
  <si>
    <t>10.10</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</si>
  <si>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t>
  </si>
  <si>
    <t>10.10.1</t>
  </si>
  <si>
    <t>Fixing with 15x3 mm lugs 10 cm long embedded in cement concrete block 15x10x10 cm of C.C. 1:3:6 (1 Cement : 3 coarse sand : 6 graded stone aggregate 20 mm nominal size)</t>
  </si>
  <si>
    <t>10.10.2</t>
  </si>
  <si>
    <t>Fixing with carbon steel galvanised dash fastener of required dia and size (to be paid for separately)</t>
  </si>
  <si>
    <t>10.11</t>
  </si>
  <si>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t>
  </si>
  <si>
    <t>10.11.1</t>
  </si>
  <si>
    <t>10.11.2</t>
  </si>
  <si>
    <t>10.12</t>
  </si>
  <si>
    <t>Extra for providing and fixing steel beading of size 10 x 10 x 1.6 mm (box type), approved shape and section with screws instead of glazing clips and metal sash putty, in steel doors, windows, ventilators and composite units.</t>
  </si>
  <si>
    <t>10.13</t>
  </si>
  <si>
    <t>Providing and fixing T-iron frames for doors, windows and ventilators of mild steel Tee-sections, joints mitred and welded, including fixing of necessary butt hinges and screws and applying a priming coat of approved steel primer.</t>
  </si>
  <si>
    <t>10.13.1</t>
  </si>
  <si>
    <t>Fixing with 15x3 mm lugs 10 cm long embedded in cement concrete block 15x10x10 cm of C.C. 1:3:6 (1 Cement : 3 coarse sand : 6 graded stone aggregate 20 mm nominal size).</t>
  </si>
  <si>
    <t>10.13.2</t>
  </si>
  <si>
    <t>10.14</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</si>
  <si>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t>
  </si>
  <si>
    <t>10.14.1</t>
  </si>
  <si>
    <t>Profile B</t>
  </si>
  <si>
    <t>10.14.1.1</t>
  </si>
  <si>
    <t>Fixing with adjustable lugs with split end tail to each jamb</t>
  </si>
  <si>
    <t>10.14.1.2</t>
  </si>
  <si>
    <t>10.14.2</t>
  </si>
  <si>
    <t>Profile C</t>
  </si>
  <si>
    <t>10.14.2.1</t>
  </si>
  <si>
    <t>10.14.2.2</t>
  </si>
  <si>
    <t>10.14.3</t>
  </si>
  <si>
    <t>Profile E</t>
  </si>
  <si>
    <t>10.14.3.1</t>
  </si>
  <si>
    <t>10.14.3.2</t>
  </si>
  <si>
    <t>10.15</t>
  </si>
  <si>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</si>
  <si>
    <t>10.15.1</t>
  </si>
  <si>
    <t>10.15.2</t>
  </si>
  <si>
    <t>10.16</t>
  </si>
  <si>
    <t>Steel work in built up tubular (round, square or rectangular hollow tubes etc.) trusses etc., including cutting, hoisting, fixing in position and applying a priming coat of approved steel primer, including welding and bolted with special shaped washers etc. complete.</t>
  </si>
  <si>
    <t>10.16.1</t>
  </si>
  <si>
    <t>Hot finished welded type tubes</t>
  </si>
  <si>
    <t>10.16.2</t>
  </si>
  <si>
    <t>Hot finished seamless type tubes</t>
  </si>
  <si>
    <t>10.16.3</t>
  </si>
  <si>
    <t>Electric resistance or induction butt welded tubes</t>
  </si>
  <si>
    <t>10.17</t>
  </si>
  <si>
    <t>Providing and fixing M.S. fan clamp type I or II of 16 mm dia M.S. bar, bent to shape with hooked ends in R.C.C. slabs or beams during laying, including painting the exposed portion of loop, all as per standard design complete.</t>
  </si>
  <si>
    <t>10.18</t>
  </si>
  <si>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t>
  </si>
  <si>
    <t>10.19</t>
  </si>
  <si>
    <t>Providing and fixing mild steel round holding down bolts with nuts and washer plates complete.</t>
  </si>
  <si>
    <t>10.20</t>
  </si>
  <si>
    <t>Providing and fixing bolts including nuts and washers complete.</t>
  </si>
  <si>
    <t>10.21</t>
  </si>
  <si>
    <t>Providing and fixing M.S. rivets of sizes in position.</t>
  </si>
  <si>
    <t>10.22</t>
  </si>
  <si>
    <t>Welding by gas or electric plant including transportation of plant at site etc. complete.</t>
  </si>
  <si>
    <t>cm</t>
  </si>
  <si>
    <t>10.25</t>
  </si>
  <si>
    <t>Steel work welded in built up sections/ framed work, including cutting, hoisting, fixing in position and applying a priming coat of approved steel primer using structural steel etc. as required.</t>
  </si>
  <si>
    <t>10.25.1</t>
  </si>
  <si>
    <t>In stringers, treads, landings etc. of stair cases, including use of chequered plate wherever required, all complete</t>
  </si>
  <si>
    <t>10.25.2</t>
  </si>
  <si>
    <t>In gratings, frames, guard bar, ladder, railings, brackets, gates and similar works</t>
  </si>
  <si>
    <t>10.26</t>
  </si>
  <si>
    <t>Providing and fixing hand rail of approved size by welding etc. to steel ladder railing, balcony railing, staircase railing and similar works, including applying priming coat of approved steel primer.</t>
  </si>
  <si>
    <t>10.26.1</t>
  </si>
  <si>
    <t>M.S. tube</t>
  </si>
  <si>
    <t>10.26.2</t>
  </si>
  <si>
    <t>E.R.W. tubes</t>
  </si>
  <si>
    <t>10.26.3</t>
  </si>
  <si>
    <t>G.I. pipes</t>
  </si>
  <si>
    <t>10.27</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</si>
  <si>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t>
  </si>
  <si>
    <t>10.27.1</t>
  </si>
  <si>
    <t>10 x 60 mm</t>
  </si>
  <si>
    <t>10.27.2</t>
  </si>
  <si>
    <t>10 x 80 mm</t>
  </si>
  <si>
    <t>10.27.3</t>
  </si>
  <si>
    <t>10 x 120 mm</t>
  </si>
  <si>
    <t>10.27.4</t>
  </si>
  <si>
    <t>10 x 140 mm</t>
  </si>
  <si>
    <t>10.27.5</t>
  </si>
  <si>
    <t>10 x 160 mm</t>
  </si>
  <si>
    <t>10.28</t>
  </si>
  <si>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</si>
  <si>
    <t>10.29</t>
  </si>
  <si>
    <t>Providing &amp; fixing fly proof wire gauze to windows, clerestory windows &amp; doors with M.S. Flat 15x3 mm and nuts &amp; bolts complete.</t>
  </si>
  <si>
    <t>10.29.1</t>
  </si>
  <si>
    <t>Galvanised M.S. Wire gauze with 0.63 mm dia wire and 1.4 mm aperture on both sides</t>
  </si>
  <si>
    <t>10.29.2</t>
  </si>
  <si>
    <t>Stainless steel (grade 304) wire gauze of 0.5 mm dia wire and 1.4 mm aperture on both sides</t>
  </si>
  <si>
    <t>10.30</t>
  </si>
  <si>
    <t>Providing &amp; fixing glass panes with putty and glazing clips in steel doors, windows, clerestory windows, all complete with :</t>
  </si>
  <si>
    <t>10.30.1</t>
  </si>
  <si>
    <t>4.0 mm thick glass panes</t>
  </si>
  <si>
    <t>10.30.2</t>
  </si>
  <si>
    <t>5.5 mm thick glass panes</t>
  </si>
  <si>
    <t>10.31</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</si>
  <si>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t>
  </si>
  <si>
    <t>11.0 FLOORING</t>
  </si>
  <si>
    <t>11.1</t>
  </si>
  <si>
    <t>Brick on edge flooring with bricks of class designation 7.5 on a bed of 12 mm cement mortar, including filling the joints with same mortar, with common burnt clay non modular bricks:</t>
  </si>
  <si>
    <t>11.1.1</t>
  </si>
  <si>
    <t>1:4 (1 cement : 4 coarse sand)</t>
  </si>
  <si>
    <t>11.1.2</t>
  </si>
  <si>
    <t>1:6 (1cement : 6 coarse sand)</t>
  </si>
  <si>
    <t>11.2</t>
  </si>
  <si>
    <t>Dry brick on edge flooring in required pattern with bricks of class designation 7.5 on a bed of 12 mm mud mortar, including filling joints with Jamuna sand, with common burnt clay non modular bricks.</t>
  </si>
  <si>
    <t>11.3</t>
  </si>
  <si>
    <t>Cement concrete flooring 1:2:4 (1 cement : 2 coarse sand : 4 graded stone aggregate) finished with a floating coat of neat cement, including cement slurry, but excluding the cost of nosing of steps etc. complete.</t>
  </si>
  <si>
    <t>11.3.1</t>
  </si>
  <si>
    <t>40 mm thick with 20 mm nominal size stone aggregate</t>
  </si>
  <si>
    <t>11.4</t>
  </si>
  <si>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</si>
  <si>
    <t>11.5</t>
  </si>
  <si>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</si>
  <si>
    <t>11.6</t>
  </si>
  <si>
    <t>Cement plaster skirting up to 30 cm height, with cement mortar 1:3 (1 cement : 3 coarse sand), finished with a floating coat of neat cement.</t>
  </si>
  <si>
    <t>11.6.1</t>
  </si>
  <si>
    <t>11.7</t>
  </si>
  <si>
    <t>Cement concrete pavement with 1:2:4 (1 cement : 2 coarse sand : 4 graded stone aggregate 20 mm nominal size), including finishing complete.</t>
  </si>
  <si>
    <t>11.8</t>
  </si>
  <si>
    <t>Extra for making chequers of approved pattern on cement concrete floors, steps, landing, pavements etc.</t>
  </si>
  <si>
    <t>TERRAZO FLOORING</t>
  </si>
  <si>
    <t>11.9</t>
  </si>
  <si>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</si>
  <si>
    <t>11.9.1</t>
  </si>
  <si>
    <t>Dark shade pigment with ordinary cement</t>
  </si>
  <si>
    <t>11.9.2</t>
  </si>
  <si>
    <t>Light shade pigment with white cement</t>
  </si>
  <si>
    <t>11.9.3</t>
  </si>
  <si>
    <t>Medium shade pigment with 50% white cement and 50% ordinary cement</t>
  </si>
  <si>
    <t>11.9.4</t>
  </si>
  <si>
    <t>White cement without any pigment</t>
  </si>
  <si>
    <t>11.9.5</t>
  </si>
  <si>
    <t>Light shade pigment with ordinary cement</t>
  </si>
  <si>
    <t>11.9.6</t>
  </si>
  <si>
    <t>Ordinary cement without any pigment</t>
  </si>
  <si>
    <t>11.10</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</si>
  <si>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</si>
  <si>
    <t>11.10.1</t>
  </si>
  <si>
    <t>Dark shade pigment with Ordinary cement</t>
  </si>
  <si>
    <t>11.10.2</t>
  </si>
  <si>
    <t>11.10.3</t>
  </si>
  <si>
    <t>11.10.4</t>
  </si>
  <si>
    <t>11.10.5</t>
  </si>
  <si>
    <t>11.10.6</t>
  </si>
  <si>
    <t>11.11</t>
  </si>
  <si>
    <t xml:space="preserve">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</si>
  <si>
    <t>11.11.1</t>
  </si>
  <si>
    <t>11.11.2</t>
  </si>
  <si>
    <t>11.11.3</t>
  </si>
  <si>
    <t>11.11.4</t>
  </si>
  <si>
    <t>11.11.5</t>
  </si>
  <si>
    <t>11.11.6</t>
  </si>
  <si>
    <t>11.12</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</si>
  <si>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</si>
  <si>
    <t>11.12.1</t>
  </si>
  <si>
    <t>18 mm thick with under layer 12 mm thick in cement plaster 1:3 (1 cement : 3 coarse sand) :</t>
  </si>
  <si>
    <t>11.12.1.1</t>
  </si>
  <si>
    <t>11.12.1.2</t>
  </si>
  <si>
    <t>11.12.1.3</t>
  </si>
  <si>
    <t>11.12.1.4</t>
  </si>
  <si>
    <t>11.12.1.5</t>
  </si>
  <si>
    <t>11.12.1.6</t>
  </si>
  <si>
    <t>11.13</t>
  </si>
  <si>
    <t>Providing and fixing glass strips in joints of terrazo/ cement concrete floors.</t>
  </si>
  <si>
    <t>11.13.1</t>
  </si>
  <si>
    <t>40 mm wide and 4 mm thick</t>
  </si>
  <si>
    <t>11.14</t>
  </si>
  <si>
    <t>Extra for laying terrazo flooring on staircase treads not exceeding 30 cm in width, including cost of forming, nosing etc.</t>
  </si>
  <si>
    <t>11.15</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</si>
  <si>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t>
  </si>
  <si>
    <t>11.15.1</t>
  </si>
  <si>
    <t>18 mm thick crazy marble stone white, black or as specified</t>
  </si>
  <si>
    <t>TILE FLOORING</t>
  </si>
  <si>
    <t>11.16</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</si>
  <si>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</si>
  <si>
    <t>11.16.1</t>
  </si>
  <si>
    <t>Light shade pigment using white cement</t>
  </si>
  <si>
    <t>11.16.2</t>
  </si>
  <si>
    <t>Medium shade pigment using 50% white cement and 50% ordinary cement</t>
  </si>
  <si>
    <t>11.16.3</t>
  </si>
  <si>
    <t>Dark shade pigment using ordinary cement</t>
  </si>
  <si>
    <t>11.16.4</t>
  </si>
  <si>
    <t>11.17</t>
  </si>
  <si>
    <t>Extra if terrazo tiles are laid in treads of steps not exceeding 30 cm in width.</t>
  </si>
  <si>
    <t>11.18</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</si>
  <si>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</si>
  <si>
    <t>11.18.1</t>
  </si>
  <si>
    <t>11.18.2</t>
  </si>
  <si>
    <t>Medium shades pigment using 50% white cement and 50% ordinary cement</t>
  </si>
  <si>
    <t>11.18.3</t>
  </si>
  <si>
    <t>11.18.4</t>
  </si>
  <si>
    <t>11.19</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</si>
  <si>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</si>
  <si>
    <t>11.19.1</t>
  </si>
  <si>
    <t>11.19.2</t>
  </si>
  <si>
    <t>Medium shade pigment using 50% white cement, 50% ordinary cement</t>
  </si>
  <si>
    <t>11.19.3</t>
  </si>
  <si>
    <t>11.19.4</t>
  </si>
  <si>
    <t>11.20</t>
  </si>
  <si>
    <t>Chequerred precast cement concrete tiles 22 mm thick in footpath &amp; courtyard, jointed with neat cement slurry mixed with pigment to match the shade of tiles, including rubbing and cleaning etc. complete, on 20 mm thick bed of cement mortar 1:4 (1 cement: 4 coarse sand).</t>
  </si>
  <si>
    <t>11.20.1</t>
  </si>
  <si>
    <t>11.20.2</t>
  </si>
  <si>
    <t>Medium shade pigment using 50% white cement 50% Grey cement</t>
  </si>
  <si>
    <t>11.20.3</t>
  </si>
  <si>
    <t>11.20.4</t>
  </si>
  <si>
    <t>11.21</t>
  </si>
  <si>
    <t>Providing and fixing 10 mm thick acid and/or alkali resistant tiles of approved make and colour using acid and/or alkali resisting mortar bedding, and joints filled with acid and/or alkali resisting cement as per IS : 4457, complete as per the direction of Engineer-in- Charge.</t>
  </si>
  <si>
    <t>11.21.1</t>
  </si>
  <si>
    <t>In flooring on a bed of 10 mm thick mortar 1:4 (1 acid proof cement : 4 coarse sand)</t>
  </si>
  <si>
    <t>11.21.1.1</t>
  </si>
  <si>
    <t>Acid and alkali resistant tile</t>
  </si>
  <si>
    <t>11.21.2</t>
  </si>
  <si>
    <t>In dado/skirting on 12 mm thick mortar 1:4 (1 acid proof cement : 4 coarse sand)</t>
  </si>
  <si>
    <t>11.21.2.1</t>
  </si>
  <si>
    <t>11.22</t>
  </si>
  <si>
    <t>Tile work in skirting, risers of steps and dado up to 2 m height over 12 mm thick bed of cement mortar 1:3 (1 cement :3 coarse sand) and jointed with grey cement slurry @ 3.3 kg/sqm, including pointing in white cement mixed with pigment of matching shade complete.</t>
  </si>
  <si>
    <t>11.22.1</t>
  </si>
  <si>
    <t>Marble tiles (polished) Raj Nagar</t>
  </si>
  <si>
    <t>11.22.1.1</t>
  </si>
  <si>
    <t>8 mm thick</t>
  </si>
  <si>
    <t>STONE FLOORING</t>
  </si>
  <si>
    <t>11.23</t>
  </si>
  <si>
    <t>Marble stone flooring with 18 mm thick marble stone, as per sample of marble approved by Engineer-in-charge, over 20 mm (average) thick base of cement mortar 1:4 (1 cement : 4 coarse sand) laid and jointed with grey cement slurry, including rubbing and polishing complete with :</t>
  </si>
  <si>
    <t>11.23.1</t>
  </si>
  <si>
    <t>Makrana white second quality</t>
  </si>
  <si>
    <t>11.23.2</t>
  </si>
  <si>
    <t>Raj Nagar plain</t>
  </si>
  <si>
    <t>11.23.3</t>
  </si>
  <si>
    <t>Agaria White</t>
  </si>
  <si>
    <t>11.23.4</t>
  </si>
  <si>
    <t>Black Zebra</t>
  </si>
  <si>
    <t>11.23.5</t>
  </si>
  <si>
    <t>Udaipur green marble</t>
  </si>
  <si>
    <t>11.23.6</t>
  </si>
  <si>
    <t>Pink plain marble</t>
  </si>
  <si>
    <t>11.24</t>
  </si>
  <si>
    <t>Extra for pre finished nosing to treads of steps of marble stone.</t>
  </si>
  <si>
    <t>11.25</t>
  </si>
  <si>
    <t>Extra for marble stone flooring in treads of steps and risers using single length up to 2.00 metre.</t>
  </si>
  <si>
    <t>KOTA STONE FLOORING</t>
  </si>
  <si>
    <t>11.26</t>
  </si>
  <si>
    <t>Kota stone slab flooring over 20 mm (average) thick base laid over and jointed with grey cement slurry mixed with pigment to match the shade of the slab, including rubbing and polishing complete with base of cement mortar 1 : 4 (1 cement : 4 coarse sand) :</t>
  </si>
  <si>
    <t>11.26.1</t>
  </si>
  <si>
    <t>11.27</t>
  </si>
  <si>
    <t>Kota stone slabs 20 mm thick in risers of steps, skirting, dado and pillars laid on 12 mm (average) thick cement mortar 1:3 (1 cement: 3 coarse sand) and jointed with grey cement slurry mixed with pigment to match the shade of the slabs, including rubbing and polishing complete.</t>
  </si>
  <si>
    <t>SAND STONE FLOORING</t>
  </si>
  <si>
    <t>11.28</t>
  </si>
  <si>
    <t>40 mm thick fine dressed stone flooring over 20 mm (average) thick base of cement mortar 1:5 (1 cement : 5 coarse sand) with joints finished flush.</t>
  </si>
  <si>
    <t>11.28.1</t>
  </si>
  <si>
    <t>11.28.2</t>
  </si>
  <si>
    <t>11.29</t>
  </si>
  <si>
    <t>40 mm thick fine dressed stone flooring over 20 mm (average) thick base of cement mortar 1:5 (1 cement : 5 coarse sand), including pointing with cement mortar 1:2 (1 cement : 2 stone dust) with an admixture of pigment to match the shade of stone.</t>
  </si>
  <si>
    <t>11.29.1</t>
  </si>
  <si>
    <t>11.29.2</t>
  </si>
  <si>
    <t>11.30</t>
  </si>
  <si>
    <t>40 mm thick rubbed stone flooring over 20 mm (average) thick base of cement mortar 1:5 (1 cement : 5 coarse sand) with joints 3 mm thick, side buttered with cement mortar 1:2 (1 cement : 2 stone dust) admixed with pigment to match the shade of stone and pointing with same mortar.</t>
  </si>
  <si>
    <t>11.30.1</t>
  </si>
  <si>
    <t>11.30.2</t>
  </si>
  <si>
    <t>11.31</t>
  </si>
  <si>
    <t>Extra for pre finished nosing in treads of steps of Kota stone/ sand stone slab.</t>
  </si>
  <si>
    <t>11.32</t>
  </si>
  <si>
    <t>Extra for Kota stone/ sand stone in treads of steps and risers using single length above normal size up to 2.00 metre.</t>
  </si>
  <si>
    <t>WOODEN FLOORING</t>
  </si>
  <si>
    <t>11.33</t>
  </si>
  <si>
    <t>25 mm wooden planking, tongued and grooved in flooring, including fixing with iron screws complete with :</t>
  </si>
  <si>
    <t>11.33.1</t>
  </si>
  <si>
    <t>11.33.2</t>
  </si>
  <si>
    <t>Second class deodar wood</t>
  </si>
  <si>
    <t>11.34</t>
  </si>
  <si>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</si>
  <si>
    <t>11.35</t>
  </si>
  <si>
    <t>Providing and fixing M.S. angle 50x50x5 mm to act as nosing with lugs of M.S. flat 10x5 mm, 10 cm long, forked at end 60cm apart (minimum three lugs to be provided), including necessary welding and applying a priming coat of approved primer on exposed surface etc. complete.</t>
  </si>
  <si>
    <t>CERAMIC GLAZED TILES</t>
  </si>
  <si>
    <t>11.37</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</si>
  <si>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</si>
  <si>
    <t>11.37A</t>
  </si>
  <si>
    <t>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t>
  </si>
  <si>
    <t>11.38</t>
  </si>
  <si>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</si>
  <si>
    <t>11.39</t>
  </si>
  <si>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</si>
  <si>
    <t>11.40</t>
  </si>
  <si>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t>
  </si>
  <si>
    <t>VITRIFIED FLOOR TILES</t>
  </si>
  <si>
    <t>11.41</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</si>
  <si>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</si>
  <si>
    <t>11.41.1</t>
  </si>
  <si>
    <t>Size of Tile 500x500 mm</t>
  </si>
  <si>
    <t>11.41.2</t>
  </si>
  <si>
    <t>Size of Tile 600x600 mm</t>
  </si>
  <si>
    <t>11.41.3</t>
  </si>
  <si>
    <t>Size of Tile 800x800 mm</t>
  </si>
  <si>
    <t>11.41.4</t>
  </si>
  <si>
    <t>Size of Tile 1000x1000 mm</t>
  </si>
  <si>
    <t>11.41A</t>
  </si>
  <si>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t>
  </si>
  <si>
    <t>11.41A.1</t>
  </si>
  <si>
    <t>Double charge vitrified tile polished finish of size</t>
  </si>
  <si>
    <t>11.41A.1.1</t>
  </si>
  <si>
    <t>Size of Tile 600 x 600 mm</t>
  </si>
  <si>
    <t>11.41A.1.2</t>
  </si>
  <si>
    <t>Size of Tile  800 x 800 mm</t>
  </si>
  <si>
    <t>11.41A.1.3</t>
  </si>
  <si>
    <t>Size of Tile  600 x 1200 mm</t>
  </si>
  <si>
    <t>11.41A.1.4</t>
  </si>
  <si>
    <t>Size of Tile  800 x 1600 mm</t>
  </si>
  <si>
    <t>11.41A.1.5</t>
  </si>
  <si>
    <t>Size of Tile  1000 x 1000 mm</t>
  </si>
  <si>
    <t>11.41A.2</t>
  </si>
  <si>
    <t>Glazed vitrified floor tiles polished finish of size</t>
  </si>
  <si>
    <t>11.41A.2.1</t>
  </si>
  <si>
    <t>Size of Tile  600 x 600 mm</t>
  </si>
  <si>
    <t>11.41A.2.2</t>
  </si>
  <si>
    <t>11.41A.2.3</t>
  </si>
  <si>
    <t>11.41A.2.4</t>
  </si>
  <si>
    <t>Size of Tile  800 x 1200 mm</t>
  </si>
  <si>
    <t>11.41A.2.5</t>
  </si>
  <si>
    <t>Size of Tile  1200 x 1200 mm</t>
  </si>
  <si>
    <t>11.41A.3</t>
  </si>
  <si>
    <t>Glazed Vitrified tiles Matt/Antiskid finish of size</t>
  </si>
  <si>
    <t>11.41A.3.1</t>
  </si>
  <si>
    <t>11.41A.3.2</t>
  </si>
  <si>
    <t>11.41A.3.3</t>
  </si>
  <si>
    <t>11.41A.3.4</t>
  </si>
  <si>
    <t>11.41A.3.5</t>
  </si>
  <si>
    <t>11.42</t>
  </si>
  <si>
    <t>Deduct for not using 20 mm thick cement mortar 1:4 (1 cement : 4 coarse sand) bedding in laying of floor tiles and jointing with grey cement slurry @ 3.3 kg/ sqm</t>
  </si>
  <si>
    <t>11.43</t>
  </si>
  <si>
    <t>Fixing glazed/ Ceramic/ Vitrified floor tiles with cement based high polymer modified quick-set tile adhesive (Water based) conforming to IS: 15477, in average 3mm thickness.</t>
  </si>
  <si>
    <t>11.44</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</si>
  <si>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</si>
  <si>
    <t>11.45</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</si>
  <si>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</si>
  <si>
    <t>11.46</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</si>
  <si>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</si>
  <si>
    <t>11.46.1</t>
  </si>
  <si>
    <t>11.46.2</t>
  </si>
  <si>
    <t>11.46.3</t>
  </si>
  <si>
    <t>11.46.4</t>
  </si>
  <si>
    <t>11.46A</t>
  </si>
  <si>
    <t>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t>
  </si>
  <si>
    <t>11.47</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</si>
  <si>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</si>
  <si>
    <t>11.47.1</t>
  </si>
  <si>
    <t>11.47.2</t>
  </si>
  <si>
    <t>11.47.3</t>
  </si>
  <si>
    <t>11.47.4</t>
  </si>
  <si>
    <t>11.48</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</si>
  <si>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t>
  </si>
  <si>
    <t>11.48.1</t>
  </si>
  <si>
    <t>11.48.2</t>
  </si>
  <si>
    <t>11.48.3</t>
  </si>
  <si>
    <t>11.48.4</t>
  </si>
  <si>
    <t>11.49</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</si>
  <si>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</si>
  <si>
    <t>11.49.1</t>
  </si>
  <si>
    <t>11.49.2</t>
  </si>
  <si>
    <t>11.49.3</t>
  </si>
  <si>
    <t>11.49.4</t>
  </si>
  <si>
    <t>11.49A</t>
  </si>
  <si>
    <t xml:space="preserve">Providing and laying full body vitrified tile in floor of minimum thickness 15 mm with water absorption less than 0.06% and conforming to IS:15622,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Size of tile 800x2400mm of all colours and shades.
</t>
  </si>
  <si>
    <t>11.50</t>
  </si>
  <si>
    <t>Deduct for not grouting the joints with white cement and matching pigment in the items of fixing of vitrified tiles.</t>
  </si>
  <si>
    <t>11.51</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</si>
  <si>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</si>
  <si>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11.51.1</t>
  </si>
  <si>
    <t>18 mm thick Italian Marble stone slab, Perlato, Rosso verona, Fire Red or Dark Emperadore etc.</t>
  </si>
  <si>
    <t>11.52</t>
  </si>
  <si>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</si>
  <si>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11.52.1</t>
  </si>
  <si>
    <t>11.53</t>
  </si>
  <si>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t>
  </si>
  <si>
    <t>11.54</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</si>
  <si>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t>
  </si>
  <si>
    <t>(a)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t>
  </si>
  <si>
    <t>(b)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t>
  </si>
  <si>
    <t>(c)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t>
  </si>
  <si>
    <t>11.54.1</t>
  </si>
  <si>
    <t>300 mm Finished Floor Height (FFH)</t>
  </si>
  <si>
    <t>11.54.2</t>
  </si>
  <si>
    <t>450 mm Finished Floor Height (FFH).</t>
  </si>
  <si>
    <t>11.55</t>
  </si>
  <si>
    <t xml:space="preserve">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t>
  </si>
  <si>
    <t>11.55.1</t>
  </si>
  <si>
    <t>Flamed finish granite stone slab Jet Black, Cherry Red, Elite Brown, Cat Eye or equivalent.</t>
  </si>
  <si>
    <t>8.12.1</t>
  </si>
  <si>
    <t>11.56</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</si>
  <si>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t>
  </si>
  <si>
    <t>11.56.1</t>
  </si>
  <si>
    <t>Polished Granite stone slab colour of Black, Cherry/Ruby Red or equivalent</t>
  </si>
  <si>
    <t>8.13.1</t>
  </si>
  <si>
    <t>11.56.2</t>
  </si>
  <si>
    <t xml:space="preserve">Polished Granite stone slab of all colour and texture except Black, Cherry/Ruby Red </t>
  </si>
  <si>
    <t>12.0 ROOFING</t>
  </si>
  <si>
    <t>SHEET ROOFING</t>
  </si>
  <si>
    <t>12.1</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</si>
  <si>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</si>
  <si>
    <t>12.1.1</t>
  </si>
  <si>
    <t>1.00 mm thick with zinc coating not less than 275 gm/m²</t>
  </si>
  <si>
    <t>12.1.2</t>
  </si>
  <si>
    <t>0.80 mm thick with zinc coating not less than 275 gm/m²</t>
  </si>
  <si>
    <t>12.1.3</t>
  </si>
  <si>
    <t>0.63 mm thick with zinc coating not less than 275 gm/ m²</t>
  </si>
  <si>
    <t>12.2</t>
  </si>
  <si>
    <t>Extra for straight cutting in C.G.S. sheet roofing for making opening of area exceeding 40 sq. decimetre for chimney stacks, sky light etc.:</t>
  </si>
  <si>
    <t>12.2.1</t>
  </si>
  <si>
    <t>1.00 mm thick</t>
  </si>
  <si>
    <t>12.2.2</t>
  </si>
  <si>
    <t>0.80 mm thick</t>
  </si>
  <si>
    <t>12.2.3</t>
  </si>
  <si>
    <t>0.63 mm thick</t>
  </si>
  <si>
    <t>12.3</t>
  </si>
  <si>
    <t>Extra for circular cutting in C.G.S. sheet roofing for making opening of area exceeding 40 sq. decimetre:</t>
  </si>
  <si>
    <t>12.3.1</t>
  </si>
  <si>
    <t>12.3.2</t>
  </si>
  <si>
    <t>12.3.3</t>
  </si>
  <si>
    <t>12.4</t>
  </si>
  <si>
    <t>Providing ridges or hips of width 60 cm overall width plain G.S. sheet fixed with polymer coated J or L hooks, bolts and nuts 8 mm dia G.I. limpet and bitumen washers complete.</t>
  </si>
  <si>
    <t>12.4.1</t>
  </si>
  <si>
    <t>12.4.2</t>
  </si>
  <si>
    <t>0.63 mm thick with zinc coating not less than 275 gm/m²</t>
  </si>
  <si>
    <t>12.5</t>
  </si>
  <si>
    <t>Providing valleys of 90 cm wide overall in plain G.S. sheet fixed with polymer coated J, or L hooks, bolts and nuts 8 mm dia G.I. limpet and bitumen washers complete :</t>
  </si>
  <si>
    <t>12.5.1</t>
  </si>
  <si>
    <t>1.60 mm thick with zinc coating not less than 350 gm/m²</t>
  </si>
  <si>
    <t>12.6</t>
  </si>
  <si>
    <t>Providing and fixing of 40 cm overall width plain G.S. sheet fixed with polymer coated J or L hooks, bolts and nuts, G.l. limpet and bitumen washer complete, bent to shape and fixed in wall with cement mortar 1:3 (1 cement : 3 coarse sand).</t>
  </si>
  <si>
    <t>12.6.1</t>
  </si>
  <si>
    <t>12.7</t>
  </si>
  <si>
    <t>Providing and fixing 15 cm wide, 45 cm overall semi-circular plain G.S. sheet gutter with iron brackets 40x3mm size, bolts, nuts and washers etc., including making necessary connections with rain water pipes complete.</t>
  </si>
  <si>
    <t>12.7.1</t>
  </si>
  <si>
    <t>12.7.2</t>
  </si>
  <si>
    <t>12.8</t>
  </si>
  <si>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</si>
  <si>
    <t>12.9</t>
  </si>
  <si>
    <t xml:space="preserve">Extra for straight cutting in reinforced by organic fibres and/or inorganic synthetic fibres cement corrugated, semi corrugated 6 mm thick sheet roofing for making openings of area exceeding 40 square decimetre for chimney stacks, skylights etc.
</t>
  </si>
  <si>
    <t>12.10</t>
  </si>
  <si>
    <t>Extra for circular cutting in reinforced by organic fibres and/or inorganic synthetic fibres cement corrugated/ semi corrugated 6 mm thick sheet roofing for making openings of area exceeding 40 square decimetre.</t>
  </si>
  <si>
    <t>12.11</t>
  </si>
  <si>
    <t>Extra for providing and fixing wind ties of 40x 6 mm flat iron section.</t>
  </si>
  <si>
    <t>12.12</t>
  </si>
  <si>
    <t>Providing and fixing ridges and hips in fibre cement reinforced by organic fibres and/or inorganic synthetic fibres roofing with suitable fixing accessories or self drilling fastener and EPDM washer etc. complete.</t>
  </si>
  <si>
    <t>12.12.1</t>
  </si>
  <si>
    <t>Corrugated serrated adjustable ridges</t>
  </si>
  <si>
    <t>12.12.2</t>
  </si>
  <si>
    <t>Plain wing adjustable ridges</t>
  </si>
  <si>
    <t>12.12.3</t>
  </si>
  <si>
    <t>Close fitting adjustable ridges</t>
  </si>
  <si>
    <t>12.12.4</t>
  </si>
  <si>
    <t>Unserrated adjustable hips</t>
  </si>
  <si>
    <t>12.13</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</si>
  <si>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</si>
  <si>
    <t>12.13.1</t>
  </si>
  <si>
    <t>Corrugated apron pieces</t>
  </si>
  <si>
    <t>12.13.2</t>
  </si>
  <si>
    <t>Eave's filler pieces</t>
  </si>
  <si>
    <t>12.13.3</t>
  </si>
  <si>
    <t>North light curves</t>
  </si>
  <si>
    <t>12.13.4</t>
  </si>
  <si>
    <t>Ventilator curves</t>
  </si>
  <si>
    <t>12.13.5</t>
  </si>
  <si>
    <t>Barge boards</t>
  </si>
  <si>
    <t>12.13.6</t>
  </si>
  <si>
    <t>Ridge finials</t>
  </si>
  <si>
    <t>pair</t>
  </si>
  <si>
    <t>12.13.7</t>
  </si>
  <si>
    <t>Special north light curves</t>
  </si>
  <si>
    <t>12.13.8</t>
  </si>
  <si>
    <t>S type louvers</t>
  </si>
  <si>
    <t>12.14</t>
  </si>
  <si>
    <t>Providing flat iron brackets 50x3 mm size with necessary bolts, nuts and washers etc. for fixing G.S. sheets gutters with purlins.</t>
  </si>
  <si>
    <t>12.15</t>
  </si>
  <si>
    <t>Painting top of roofs with bitumen of approved quality @ 17kg per 10 sqm impregnated with a coat of coarse sand at 60 cudm per 10 sqm, including cleaning the slab surface with brushes and finally with a piece of cloth lightly soaked in kerosene oil complete :</t>
  </si>
  <si>
    <t>12.15.1</t>
  </si>
  <si>
    <t>With residual type petroleum bitumen of grade VG -10</t>
  </si>
  <si>
    <t>12.16</t>
  </si>
  <si>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t>
  </si>
  <si>
    <t>12.16.1</t>
  </si>
  <si>
    <t>With common burnt clay F.P.S.(non modular) brick tile of class designation 10</t>
  </si>
  <si>
    <t>12.17</t>
  </si>
  <si>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t>
  </si>
  <si>
    <t>12.17.1</t>
  </si>
  <si>
    <t>With machine moulded common burnt clay F.P.S. (non modular) brick tiles of class designation 12.5, conforming to IS 2690</t>
  </si>
  <si>
    <t>12.18</t>
  </si>
  <si>
    <t>Extra for every additional 1 cm thickness of mud phaska.</t>
  </si>
  <si>
    <t>12.19</t>
  </si>
  <si>
    <t>Providing and laying brick tiles over mumty roofs, grouted with cement mortar 1:3 (1 cement : 3 fine sand) mixed with 2% of integral water proofing compound by weight of cement, over 12 mm layer of cement mortar 1:3 (1 cement : 3 fine sand) and finished neat:</t>
  </si>
  <si>
    <t>12.19.1</t>
  </si>
  <si>
    <t>With common burnt clay F.P.S. (non modular) brick tiles of class designation 10</t>
  </si>
  <si>
    <t>12.20</t>
  </si>
  <si>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</si>
  <si>
    <t>12.21</t>
  </si>
  <si>
    <t>Providing gola 75x75 mm in cement concrete 1:2:4 (1 cement : 2 coarse sand : 4 stone aggregate 10 mm and down gauge), including finishing with cement mortar 1:3 (1 cement : 3 fine sand) as per standard design :</t>
  </si>
  <si>
    <t>12.21.1</t>
  </si>
  <si>
    <t>In 75x75 mm deep chase</t>
  </si>
  <si>
    <t>12.22</t>
  </si>
  <si>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</si>
  <si>
    <t>12.23</t>
  </si>
  <si>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</si>
  <si>
    <t>12.23.1</t>
  </si>
  <si>
    <t>Red sand stone slab</t>
  </si>
  <si>
    <t>12.23.1.1</t>
  </si>
  <si>
    <t>40 to 50 mm thick</t>
  </si>
  <si>
    <t>12.23.2</t>
  </si>
  <si>
    <t>White sand stone slab</t>
  </si>
  <si>
    <t>12.23.2.1</t>
  </si>
  <si>
    <t>CEILING</t>
  </si>
  <si>
    <t>12.24</t>
  </si>
  <si>
    <t>Providing and fixing insulating board ceiling of approved quality with necessary nails etc. complete (frame work to be paid separately) :</t>
  </si>
  <si>
    <t>12.24.1</t>
  </si>
  <si>
    <t>Natural colour insulating board</t>
  </si>
  <si>
    <t>12.24.1.1</t>
  </si>
  <si>
    <t>12.24.2</t>
  </si>
  <si>
    <t>White face insulating board</t>
  </si>
  <si>
    <t>12.24.2.1</t>
  </si>
  <si>
    <t>12.24.3</t>
  </si>
  <si>
    <t>Flame retardant face insulating board</t>
  </si>
  <si>
    <t>12.24.3.1</t>
  </si>
  <si>
    <t>12.25</t>
  </si>
  <si>
    <t>Providing and fixing flat pressed 3 layer medium density particle board or graded particle board (Grade I) IS: 3087 marked, in ceiling with necessary nails etc. complete (frame work to be paid separately):</t>
  </si>
  <si>
    <t>12.25.1</t>
  </si>
  <si>
    <t>12.26</t>
  </si>
  <si>
    <t>Providing and fixing plain multipurpose cement board(Hight pressure steam cured) with suitable screws for cement particle board in ceiling etc. complete (frame work to be paid seperatately).</t>
  </si>
  <si>
    <t>12.26.1</t>
  </si>
  <si>
    <t>6 mm thick Cement fiber board, Type-B, Category-III as per IS: 14862 : 2000</t>
  </si>
  <si>
    <t>12.26.2</t>
  </si>
  <si>
    <t>6 mm thick Cement bonded wood particle board as per IS:14276</t>
  </si>
  <si>
    <t>12.27</t>
  </si>
  <si>
    <t>Extra for Circular cutting including wastages in ceiling with:</t>
  </si>
  <si>
    <t>12.27.1</t>
  </si>
  <si>
    <t>2nd class teak wood planks 20 mm thick</t>
  </si>
  <si>
    <t>12.27.2</t>
  </si>
  <si>
    <t>12.27.2.1</t>
  </si>
  <si>
    <t>12.27.3</t>
  </si>
  <si>
    <t>White face insulating board:</t>
  </si>
  <si>
    <t>12.27.3.1</t>
  </si>
  <si>
    <t>12.27.4</t>
  </si>
  <si>
    <t>Flame retardant face insulating board:</t>
  </si>
  <si>
    <t>12.27.4.1</t>
  </si>
  <si>
    <t>12.27.5</t>
  </si>
  <si>
    <t>Standard quality hard board sheet:</t>
  </si>
  <si>
    <t>12.27.5.1</t>
  </si>
  <si>
    <t>3 mm thick</t>
  </si>
  <si>
    <t>12.27.5.2</t>
  </si>
  <si>
    <t>4.5 mm thick</t>
  </si>
  <si>
    <t>12.28</t>
  </si>
  <si>
    <t>Extra for providing and fixing ceiling to curved surfaces in narrow widths</t>
  </si>
  <si>
    <t>12.31</t>
  </si>
  <si>
    <t>Providing 10 mm thick plaster of Paris (gypsum anhydrous) ceiling up to a height of 5 m above floor level, over first class kail wood strips 25x6 mm with 10 mm gap in between and reinforced with rabbit wire mesh fixed to wooden frame (frame work to be paid separately):</t>
  </si>
  <si>
    <t>12.31.1</t>
  </si>
  <si>
    <t>Flat surfaces</t>
  </si>
  <si>
    <t>12.31.2</t>
  </si>
  <si>
    <t>Curved surfaces</t>
  </si>
  <si>
    <t>12.32</t>
  </si>
  <si>
    <t>Extra for sunk or raised mouldings in the plaster of Paris (Gypsum anhydrous) ceiling.</t>
  </si>
  <si>
    <t>12.33</t>
  </si>
  <si>
    <t>Extra for providing plaster of Paris (Gypsum anhydrous) ceiling above 5 metres height from floor level.</t>
  </si>
  <si>
    <t>sqm per metre height</t>
  </si>
  <si>
    <t>12.34</t>
  </si>
  <si>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t>
  </si>
  <si>
    <t>12.35</t>
  </si>
  <si>
    <t>Providing and fixing thermal insulation with Resin Bonded Fibre glass wool conforming to IS: 8183. Density 16 kg/m³, 50 mm thick, wrapped in 200G Virgin Polythene bags placed over existing false ceiling and held in position by criss-crossing GI wire.</t>
  </si>
  <si>
    <t>12.36</t>
  </si>
  <si>
    <t>Thermal Insulation of roofing with Expanded polystyrene fixed with suitable adhesive to the false ceiling as per the directions of the Engineer-in-charge:</t>
  </si>
  <si>
    <t>12.36.1</t>
  </si>
  <si>
    <t>With Type N - Normal 50 mm thick</t>
  </si>
  <si>
    <t>12.36.2</t>
  </si>
  <si>
    <t>With Type SE - Self Extinguishing type 50 mm thick</t>
  </si>
  <si>
    <t>RAIN WATER SPOUT AND PIPE</t>
  </si>
  <si>
    <t>12.37</t>
  </si>
  <si>
    <t>Providing and fixing 100 mm diameter and 60 cm long rain water spout in cement mortar 1:4 (1 cement : 4 fine sand).</t>
  </si>
  <si>
    <t>12.37.1</t>
  </si>
  <si>
    <t>Stone ware spout</t>
  </si>
  <si>
    <t>12.38</t>
  </si>
  <si>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</si>
  <si>
    <t>12.38.1</t>
  </si>
  <si>
    <t>100 mm diameter</t>
  </si>
  <si>
    <t>12.38.2</t>
  </si>
  <si>
    <t>150 mm diameter</t>
  </si>
  <si>
    <t>12.39</t>
  </si>
  <si>
    <t>Providing lead caulked joints to sand cast iron rain water pipes and fittings:</t>
  </si>
  <si>
    <t>12.39.1</t>
  </si>
  <si>
    <t>100 mm dia Pipe</t>
  </si>
  <si>
    <t>12.39.2</t>
  </si>
  <si>
    <t>150 mm dia Pipe</t>
  </si>
  <si>
    <t>12.40</t>
  </si>
  <si>
    <t>Providing, fixing and embedding sand cast iron accessories for rain water pipes in the masonry surrounded with 12 mm thick cement mortar of the same mix, as that of masonry (lead caulking will be paid for separately):</t>
  </si>
  <si>
    <t>12.40.1</t>
  </si>
  <si>
    <t>Sand cast iron plain shoes :</t>
  </si>
  <si>
    <t>12.40.1.1</t>
  </si>
  <si>
    <t>12.41</t>
  </si>
  <si>
    <t>Providing and fixing on wall face unplasticised Rigid PVC rain water pipes conforming to IS : 13592 Type A, including jointing with seal ring conforming to IS : 5382, leaving 10 mm gap for thermal expansion, (i) Single socketed pipes.</t>
  </si>
  <si>
    <t>12.41.1</t>
  </si>
  <si>
    <t>75 mm diameter</t>
  </si>
  <si>
    <t>12.41.2</t>
  </si>
  <si>
    <t>110 mm diameter</t>
  </si>
  <si>
    <t>12.42</t>
  </si>
  <si>
    <t>Providing and fixing on wall face unplasticised - PVC moulded fittings/ accessories for unplasticised Rigid PVC rain water pipes conforming to IS : 13592 Type A, including jointing with seal ring conforming to IS : 5382, leaving 10 mm gap for thermal expansion.</t>
  </si>
  <si>
    <t>12.42.1</t>
  </si>
  <si>
    <t>Coupler</t>
  </si>
  <si>
    <t>12.42.1.1</t>
  </si>
  <si>
    <t>12.42.1.2</t>
  </si>
  <si>
    <t>110 mm</t>
  </si>
  <si>
    <t>12.42.2</t>
  </si>
  <si>
    <t>Single pushfit Coupler</t>
  </si>
  <si>
    <t>12.42.2.1</t>
  </si>
  <si>
    <t>12.42.2.2</t>
  </si>
  <si>
    <t>12.42.3</t>
  </si>
  <si>
    <t>Single tee with door</t>
  </si>
  <si>
    <t>12.42.3.1</t>
  </si>
  <si>
    <t>75x75x75 mm</t>
  </si>
  <si>
    <t>12.42.3.2</t>
  </si>
  <si>
    <t>110x110x110 mm</t>
  </si>
  <si>
    <t>12.42.4</t>
  </si>
  <si>
    <t>Single tee without door</t>
  </si>
  <si>
    <t>12.42.4.1</t>
  </si>
  <si>
    <t>12.42.4.2</t>
  </si>
  <si>
    <t>12.42.5</t>
  </si>
  <si>
    <t>Bend 87.5°</t>
  </si>
  <si>
    <t>12.42.5.1</t>
  </si>
  <si>
    <t>75 mm bend</t>
  </si>
  <si>
    <t>12.42.5.2</t>
  </si>
  <si>
    <t>110 mm bend</t>
  </si>
  <si>
    <t>12.42.6</t>
  </si>
  <si>
    <t>Shoe (Plain)</t>
  </si>
  <si>
    <t>12.42.6.1</t>
  </si>
  <si>
    <t>75 mm Shoe</t>
  </si>
  <si>
    <t>12.42.6.2</t>
  </si>
  <si>
    <t>110 mm Shoe</t>
  </si>
  <si>
    <t>12.43</t>
  </si>
  <si>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</si>
  <si>
    <t>12.43.1</t>
  </si>
  <si>
    <t>12.43.2</t>
  </si>
  <si>
    <t>12.44</t>
  </si>
  <si>
    <t>Providing and fixing to the inlet mouth of rain water pipe cast iron grating 15 cm diameter and weighing not less than 440 grams.</t>
  </si>
  <si>
    <t>12.45</t>
  </si>
  <si>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perimetre channels 0.5 mm thick 27 mm high having flanges of 20 mm and 30 mm long, the perimetre of ceiling fixed to wall/partition with the help of rawl plugs at 450 mm centre, with 25mm long dry wall screws @ 230 mm interval, including fixing of gypsum board to ceiling section and perimetre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perimetre channels suitably fixed, all complete as per drawings, specification and direction of the Engineer in Charge but excluding the cost of painting with :</t>
  </si>
  <si>
    <t>12.45.1</t>
  </si>
  <si>
    <t>12.5 mm thick tapered edge gypsum plain board conforming to IS: 2095- (Part I) :2011 (Board with BIS certification marks)</t>
  </si>
  <si>
    <t>12.45.2</t>
  </si>
  <si>
    <t>12.5 mm thick tapered edge Glass Reinforced Gypsum  (GRG) board conforming to IS: 2095- (Part 3):1996 (Boards with BIS certification marks)</t>
  </si>
  <si>
    <t>12.45.3</t>
  </si>
  <si>
    <t>12.5 mm thick tapered edge gypsum moisture resistant board</t>
  </si>
  <si>
    <t>12.45.4</t>
  </si>
  <si>
    <t>Fully Perforated Gypsum Plaster Board of size 1200 x 2400x12.5 mm having approx. 15 % perforated area with perforation size and pattern as approved by the Engineer-in-charge and as per manufacturer's specification, with all 4 side tapered and backed by acoustical tissue with NRC value not less than 0.60</t>
  </si>
  <si>
    <t>12.46</t>
  </si>
  <si>
    <t>Providing and fixing to the inlet mouth of rain water pipe PTMT (an Engineering Thermoplastic) grating square (Slit) 150 mm square with a height of 8 mm and weighing not less than 100 gms.</t>
  </si>
  <si>
    <t>12.47</t>
  </si>
  <si>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</si>
  <si>
    <t>12.47.1</t>
  </si>
  <si>
    <t>2 mm thick corrugated (2.5" or 4.2" or 6") or step-down (2" or 3" or 6" ) as specified</t>
  </si>
  <si>
    <t>12.47.2</t>
  </si>
  <si>
    <t>2 mm thick flat</t>
  </si>
  <si>
    <t>12.48</t>
  </si>
  <si>
    <t>Providing &amp; fixing on roof pressed clay tile (Mangalore tile) of 20 mm nominal thickness and of approved size and as per approved pattern on steel frame work complete (steel frame work to be paid separately).</t>
  </si>
  <si>
    <t>12.49</t>
  </si>
  <si>
    <t>Providing &amp; laying on roof pressed clay tile ridge (Mangalore tile) of 20mm thickness and of approved pattern on steel frame work complete (steel frame work to be paid separately).</t>
  </si>
  <si>
    <t>12.50</t>
  </si>
  <si>
    <t>Providing and fixing precoated galvanised iron profile sheets (size, shape and pitch of corrugation as approved by Engineer-in-Charge) of total coated thickness 0.50mm (base metal of minimum 0.45mm thickness with total coating thickness of 0.05mm)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</si>
  <si>
    <t>12.51</t>
  </si>
  <si>
    <t>Providing and fixing precoated galvanised steel sheet roofing accessories of total coated thickness 0.50mm (base metal of minimum 0.45mm thickness with total coating thickness of 0.05mm) with Zinc coating 120 grams per sqm as per IS: 277, in 240 mpa steel grade, 5-7 microns epoxy primer on both side of the sheet and polyester top coat 15-18 microns using self drilling/ self tapping screws complete :</t>
  </si>
  <si>
    <t>12.51.1</t>
  </si>
  <si>
    <t>Ridges plain (500 - 600mm)</t>
  </si>
  <si>
    <t>12.51.2</t>
  </si>
  <si>
    <t>Flashings/ Aprons.( Upto 600 mm)</t>
  </si>
  <si>
    <t>12.51.3</t>
  </si>
  <si>
    <t>12.51.4</t>
  </si>
  <si>
    <t>Barge board (Upto 300 mm)</t>
  </si>
  <si>
    <t>12.51.5</t>
  </si>
  <si>
    <t>Crimp curve</t>
  </si>
  <si>
    <t>12.51.6</t>
  </si>
  <si>
    <t>Gutter (600 mm over all girth)</t>
  </si>
  <si>
    <t>12.52</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</si>
  <si>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</si>
  <si>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12.52.1</t>
  </si>
  <si>
    <t>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</si>
  <si>
    <t>12.52.2</t>
  </si>
  <si>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</si>
  <si>
    <t>12.52.3</t>
  </si>
  <si>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t>
  </si>
  <si>
    <t>12.52.4</t>
  </si>
  <si>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</si>
  <si>
    <t>12.53</t>
  </si>
  <si>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Perimetre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t>
  </si>
  <si>
    <t>Note :- Only calcium silicate false ceiling area will be measured from wall to wall. No deduction shall be made for exposed frames/opening (cut outs) having area less than 0.30 sqmThe calcium silicate ceiling tile shall have NRC value of 0.50 (Minimum), light reflection &gt; 85%, non- combustible as per B.S. 476 part IV, 100% humidity resistance and also having thermal conductivity &lt;0.043 w/mK.</t>
  </si>
  <si>
    <t>12.54</t>
  </si>
  <si>
    <t>Providing and fixing Gl Clip in Metal Ceiling System of 600x600 mm module which includes providing and fixing 'C' wall angle of size 20x30x20 mm made of 0.5 mm thick pre painted steel along the perimetre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t>
  </si>
  <si>
    <t>12.54.1</t>
  </si>
  <si>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</si>
  <si>
    <t>12.54.2</t>
  </si>
  <si>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</si>
  <si>
    <t>12.55</t>
  </si>
  <si>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</si>
  <si>
    <t>12.56</t>
  </si>
  <si>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</si>
  <si>
    <t>12.57</t>
  </si>
  <si>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</si>
  <si>
    <t>12.58</t>
  </si>
  <si>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</si>
  <si>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12.58.1</t>
  </si>
  <si>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</si>
  <si>
    <t>12.59</t>
  </si>
  <si>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 bottom wedge of 80mm with tapered flanges of 26 mm each having lips of 10.5mm, at 450mm c/c, shall be fixed in a direction perpendicular to G.I intermediate channel with connecting clip made out of 2.64mm dia x 230mm long G.I wire at every junction, including fixing perimetre channels 0.50mm thick 27mm high having flanges of 20mm and 30mm long, the perimetre of ceiling fixed to wall/ partitions with the help of Rawl plugs at 450mm centre, with 25mm long dry wall screws @ 230mm interval, including fixing of Calcium Silicate Board to ceiling section and perimetre channels with the help of dry wall screws of size 3.5 x25mm at 230mm c/c, including jointing &amp; finishing to a flush finish of tapered and square edges of the board with recommended jointing compounds, jointing tapes,finishing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perimetre channels suitably fixed, all complete as per drawings, specificaton and direction of the Engineer in charge but excluding the cost of painting with:</t>
  </si>
  <si>
    <t>12.59.1</t>
  </si>
  <si>
    <t>8 mm thick Calcium Silicate Board made with Calcareous &amp; Siliceous materials reinforced with cellulose fiber manufactured through autoclaving process.</t>
  </si>
  <si>
    <t>12.60</t>
  </si>
  <si>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t>
  </si>
  <si>
    <t>12.61</t>
  </si>
  <si>
    <t>Providing and fixing thermal insulation with Resin bonded rock wool conforming to IS: 8183, density 48 kg/m3, 50 mm thick, wrapped in 200 G virgin Polythene bags placed over existing false ceilng and held in position by criss-crossing Gl wire.</t>
  </si>
  <si>
    <t>12.62</t>
  </si>
  <si>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t>
  </si>
  <si>
    <t>12.63</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</si>
  <si>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</si>
  <si>
    <t>12.64</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</si>
  <si>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t>
  </si>
  <si>
    <t>12.64.1</t>
  </si>
  <si>
    <t>0.56 mm, Aluminium troughed profile with center to center pitch of 200 mm, depth of 32 mm, overall profile width1092 mm, cover width 1000mm.</t>
  </si>
  <si>
    <t>12.64.2</t>
  </si>
  <si>
    <t>0.71mm, Aluminium troughed profile with centre to centre pitch of 200mm, depth of 32mm, overall profile width 1092mm, cover width 1000mm.</t>
  </si>
  <si>
    <t>12.64.3</t>
  </si>
  <si>
    <t>0.91 mm, troughed profile with center to center pitch of 200 mm, depth of 32 mm, overall profile width1092 mm, cover width 1000mm.</t>
  </si>
  <si>
    <t>12.64.4</t>
  </si>
  <si>
    <t>0.56mm Aluminium profile with center to center pitch of 175 mm, depth of 46mm, top crest width of 41mm, bottom valley width of 80mm, overall profile width of 1144mm, cover width 1050mm.</t>
  </si>
  <si>
    <t>12.64.5</t>
  </si>
  <si>
    <t>0.71mm Aluminium profile with center to center pitch of 175 mm, depth of 46mm, top crest width of 41mm, bottom valley width of 80mm, overall profile width of 1144mm, cover width 1050mm.</t>
  </si>
  <si>
    <t>12.64.6</t>
  </si>
  <si>
    <t>0.91mm Aluminium profile with center to center pitch of 175 mm, depth of 46mm, top crest width of 41mm, bottom valley width of 80mm, overall profile width of 1144mm, cover width 1050mm.</t>
  </si>
  <si>
    <t>12.64.7</t>
  </si>
  <si>
    <t>0.56mm Aluminium Circular (sinusoidal) profile with center to center pitch of 75 mm, depth of 19 mm, overall profile width 1250mm,cover width 1150mm.</t>
  </si>
  <si>
    <t>12.64.8</t>
  </si>
  <si>
    <t>0.71mm Aluminium Circular (sinusoidal) profile with center to center pitch of 75 mm, depth of 19 mm, overall profile width 1250mm,cover width 1150mm.</t>
  </si>
  <si>
    <t>12.64.9</t>
  </si>
  <si>
    <t>0.91mm Aluminium Circular (sinusoidal) profile with center to center pitch of 75 mm, depth of 19 mm, overall profile width 1250mm,cover width 1150mm.</t>
  </si>
  <si>
    <t>12.65</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</si>
  <si>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t>
  </si>
  <si>
    <t>12.65.1</t>
  </si>
  <si>
    <t>0.56 mm, Aluminium Color coated troughed profile with center to center pitch of 200 mm, depth of 32 mm, overall profile width1092 mm, cover width 1000mm.</t>
  </si>
  <si>
    <t>12.65.2</t>
  </si>
  <si>
    <t>0.71 mm, Aluminium Color coated troughed profile with center to center pitch of 200 mm, depth of 32 mm, overall profile width1092 mm, cover width 1000mm.</t>
  </si>
  <si>
    <t>12.65.3</t>
  </si>
  <si>
    <t>0.91 mm, Aluminium Color coated troughed profile with center to center pitch of 200 mm, depth of 32 mm, overall profile width1092 mm, cover width 1000mm.</t>
  </si>
  <si>
    <t>12.65.4</t>
  </si>
  <si>
    <t>0.56mm Aluminium color profile with center to center pitch of 175 mm, depth of 46mm, top crest width of 41mm, bottom valley width of 80mm, overall profile width of 1144mm, cover width 1050mm.</t>
  </si>
  <si>
    <t>12.65.5</t>
  </si>
  <si>
    <t>0.71mm Aluminium color coated profile with center to center pitch of 175 mm, depth of 46mm, top crest width of 41mm, bottom valley width of 80mm, overall profile width of 1144mm, cover width 1050mm.</t>
  </si>
  <si>
    <t>12.65.6</t>
  </si>
  <si>
    <t>0.91mm Aluminium color coated profile with center to center pitch of 175 mm, depth of 46mm, top crest width of 41mm, bottom valley width of 80mm, overall profile width of 1144mm, cover width 1050mm.</t>
  </si>
  <si>
    <t>12.65.7</t>
  </si>
  <si>
    <t>0.56 mm Aluminium profile with center to center pitch of 177.5 mm, depth of 28.5 mm, 987mm overall profile width, cover width 900mm</t>
  </si>
  <si>
    <t>12.65.8</t>
  </si>
  <si>
    <t>0.71 mm Aluminium profile with center to center pitch of 177.5 mm, depth of 28.5 mm, 987mm overall profile width, cover width 900mm</t>
  </si>
  <si>
    <t>12.66</t>
  </si>
  <si>
    <t>Providing and fixing of Pre-coated colour or mill finish  Aluminium Roofing Accessories in 0.71 mm thickness ,Alloy 31500 (IS designation) [Aluminium Alloy (AA) 3004 (ISO designation)]  For color, coating shall be 5-7 microns epoxy primer on both sides of the sheet and polyester top coat 15-18 microns, using self drilling/tapping SS screws of size 6 x 50mm with 3mm thick EPDM seal and SS plain washer complete :</t>
  </si>
  <si>
    <t>12.66.1</t>
  </si>
  <si>
    <t>Precoated/mill finish aluminium Ridges plain (500- 600mm)</t>
  </si>
  <si>
    <t>12.66.2</t>
  </si>
  <si>
    <t>Precoated/mill finish aluminium Flashings/ Aprons (Upto 600 mm)</t>
  </si>
  <si>
    <t>12.66.3</t>
  </si>
  <si>
    <t>Precoated/mill finish aluminium North light curves</t>
  </si>
  <si>
    <t>12.66.4</t>
  </si>
  <si>
    <t>Precoated/mill finish aluminium Barge board (Upto 200 mm)</t>
  </si>
  <si>
    <t>12.66.5</t>
  </si>
  <si>
    <t>Precoated/mill finish aluminium Crimp curve</t>
  </si>
  <si>
    <t>12.66.6</t>
  </si>
  <si>
    <t>Precoated/mill finish aluminium Gutter (600 mm over all girth)</t>
  </si>
  <si>
    <t>13.0 FINISHING</t>
  </si>
  <si>
    <t>Note :- Rates for external plastic are for height upto 10m from ground level in less otherwise stated.</t>
  </si>
  <si>
    <t>CEMENT PLASTER (IN FINE SAND)</t>
  </si>
  <si>
    <t>13.1</t>
  </si>
  <si>
    <t>12 mm cement plaster of mix :</t>
  </si>
  <si>
    <t>13.1.1</t>
  </si>
  <si>
    <t>1:4 (1 cement: 4 fine sand)</t>
  </si>
  <si>
    <t>13.1.2</t>
  </si>
  <si>
    <t>1:6 (1 cement: 6 fine sand)</t>
  </si>
  <si>
    <t>13.2</t>
  </si>
  <si>
    <t>15 mm cement plaster on the rough side of single or half brick wall of mix :</t>
  </si>
  <si>
    <t>13.2.1</t>
  </si>
  <si>
    <t>13.2.2</t>
  </si>
  <si>
    <t>13.3</t>
  </si>
  <si>
    <t>20 mm cement plaster of mix :</t>
  </si>
  <si>
    <t>13.3.1</t>
  </si>
  <si>
    <t>13.3.2</t>
  </si>
  <si>
    <t>CEMENT PLASTER (IN COARSE SAND)</t>
  </si>
  <si>
    <t>13.4</t>
  </si>
  <si>
    <t>13.4.1</t>
  </si>
  <si>
    <t>1:4 (1 cement: 4 coarse sand)</t>
  </si>
  <si>
    <t>13.4.2</t>
  </si>
  <si>
    <t>1:6 (1 cement: 6 coarse sand)</t>
  </si>
  <si>
    <t>13.5</t>
  </si>
  <si>
    <t>15 mm cement plaster on rough side of single or half brick wall of mix:</t>
  </si>
  <si>
    <t>13.5.1</t>
  </si>
  <si>
    <t>13.5.2</t>
  </si>
  <si>
    <t>13.6</t>
  </si>
  <si>
    <t>13.6.1</t>
  </si>
  <si>
    <t>13.6.2</t>
  </si>
  <si>
    <t>CEMENT PLASTER WITH A FLOATING COAT OF NEAT CEMENT</t>
  </si>
  <si>
    <t>13.7</t>
  </si>
  <si>
    <t>12 mm cement plaster finished with a floating coat of neat cement of mix :</t>
  </si>
  <si>
    <t>13.7.1</t>
  </si>
  <si>
    <t>1:3 (1 cement: 3 fine sand)</t>
  </si>
  <si>
    <t>13.7.2</t>
  </si>
  <si>
    <t>13.8</t>
  </si>
  <si>
    <t>15 mm cement plaster on rough side of single or half brick wall finished with a floating coat of neat cement of mix :</t>
  </si>
  <si>
    <t>13.8.1</t>
  </si>
  <si>
    <t>13.8.2</t>
  </si>
  <si>
    <t>13.9</t>
  </si>
  <si>
    <t>Cement plaster 1:3 (1 cement: 3 coarse sand) finished with a floating coat of neat cement.</t>
  </si>
  <si>
    <t>13.9.1</t>
  </si>
  <si>
    <t>12 mm cement plaster</t>
  </si>
  <si>
    <t>13.9.2</t>
  </si>
  <si>
    <t>20 mm cement plaster</t>
  </si>
  <si>
    <t>13.10</t>
  </si>
  <si>
    <t>15 mm cement plaster 1:3 (1 cement: 3 coarse sand) finished with a floating coat of neat cement on the rough side of single or half brick wall.</t>
  </si>
  <si>
    <t>CEMENT PLASTER IN TWO COATS</t>
  </si>
  <si>
    <t>13.11</t>
  </si>
  <si>
    <t>18 mm cement plaster in two coats under layer 12 mm thick cement plaster 1:5 (1 cement : 5 coarse sand) finished with a top layer 6 mm thick cement plaster 1:6 (1 cement : 6 fine sand).</t>
  </si>
  <si>
    <t>13.12</t>
  </si>
  <si>
    <t>18 mm cement plaster in two coats under layer 12 mm thick cement plaster 1:5 (1 cement : 5 coarse sand) and a top layer 6 mm thick cement plaster 1:3 (1 cement : 3 coarse sand) finished rough with sponge.</t>
  </si>
  <si>
    <t>13.13</t>
  </si>
  <si>
    <t>12 mm cement plaster 1:2 (1 cement : 2 stone dust).</t>
  </si>
  <si>
    <t>13.14</t>
  </si>
  <si>
    <t>15 mm cement plaster 1:2 (1 cement : 2 stone dust) on the rough side of single or half brick wall.</t>
  </si>
  <si>
    <t>13.15</t>
  </si>
  <si>
    <t>20 mm cement plaster 1:2 (1 cement : 2 stone dust).</t>
  </si>
  <si>
    <t>6MM CEMENT PLASTER</t>
  </si>
  <si>
    <t>13.16</t>
  </si>
  <si>
    <t>6 mm cement plaster of mix :</t>
  </si>
  <si>
    <t>13.16.1</t>
  </si>
  <si>
    <t>1:3 (1 cement : 3 fine sand)</t>
  </si>
  <si>
    <t>13.17</t>
  </si>
  <si>
    <t>6 mm cement plaster 1:3 (1 cement : 3 fine sand) finished with a floating coat of neat cement and thick coat of Lime wash on top of walls when dry for bearing of R.C.C. slabs and beams.</t>
  </si>
  <si>
    <t>13.18</t>
  </si>
  <si>
    <t>Neat cement punning.</t>
  </si>
  <si>
    <t>ROUGH CAST PLASTER</t>
  </si>
  <si>
    <t>13.19</t>
  </si>
  <si>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t>
  </si>
  <si>
    <t>13.19.1</t>
  </si>
  <si>
    <t>Ordinary cement finish using ordinary cement</t>
  </si>
  <si>
    <t>PEBBLE DASH PLASTER</t>
  </si>
  <si>
    <t>13.20</t>
  </si>
  <si>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t>
  </si>
  <si>
    <t>13.21</t>
  </si>
  <si>
    <t>Extra for providing and mixing water proofing material in cement plaster work in proportion recommended by the manufacturers.</t>
  </si>
  <si>
    <t>per bag of 50kg cement used in the mix</t>
  </si>
  <si>
    <t>13.22</t>
  </si>
  <si>
    <t>Extra for plastering exterior walls of height more than 10 m from ground level for every additional height of 3 m or part thereof.</t>
  </si>
  <si>
    <t>13.23</t>
  </si>
  <si>
    <t>Extra for plastering on circular work not exceeding 6 m in radius:</t>
  </si>
  <si>
    <t>13.23.1</t>
  </si>
  <si>
    <t>In one coat</t>
  </si>
  <si>
    <t>13.23.2</t>
  </si>
  <si>
    <t>In two coats</t>
  </si>
  <si>
    <t>13.24</t>
  </si>
  <si>
    <t>Extra for plastering done on moulding, cornices or architraves including neat finish to line and level:</t>
  </si>
  <si>
    <t>13.24.1</t>
  </si>
  <si>
    <t>13.24.2</t>
  </si>
  <si>
    <t>13.25</t>
  </si>
  <si>
    <t>Extra for plastering:</t>
  </si>
  <si>
    <t>13.25.1</t>
  </si>
  <si>
    <t>Spherical ceiling</t>
  </si>
  <si>
    <t>13.25.2</t>
  </si>
  <si>
    <t>Groined ceiling</t>
  </si>
  <si>
    <t>13.25.3</t>
  </si>
  <si>
    <t>Flewing soffits</t>
  </si>
  <si>
    <t>13.26</t>
  </si>
  <si>
    <t>Providing and applying plaster of paris putty of 2 mm thickness over plastered surface to prepare the surface even and smooth complete.</t>
  </si>
  <si>
    <t>ARTIFICIAL STONE PLASTER</t>
  </si>
  <si>
    <t>13.27</t>
  </si>
  <si>
    <t>Extra for lining out plaster to imitate stone or concrete blocks walling.</t>
  </si>
  <si>
    <t>PLAIN CEMENT MORTAR BANDS</t>
  </si>
  <si>
    <t>13.28</t>
  </si>
  <si>
    <t>12 mm thick plain cement mortar bands in cement mortar 1:4 (1 cement : 4 fine sand):</t>
  </si>
  <si>
    <t>13.28.1</t>
  </si>
  <si>
    <t>Flush Band</t>
  </si>
  <si>
    <t>cm per metre</t>
  </si>
  <si>
    <t>13.28.2</t>
  </si>
  <si>
    <t>Sunk Band</t>
  </si>
  <si>
    <t>13.28.3</t>
  </si>
  <si>
    <t>Raised Band</t>
  </si>
  <si>
    <t>13.28.4</t>
  </si>
  <si>
    <t>Moulded Band</t>
  </si>
  <si>
    <t>13.29</t>
  </si>
  <si>
    <t>18 mm thick plain cement mortar band in cement mortar 1:4 (1 cement : 4 fine sand):</t>
  </si>
  <si>
    <t>13.29.1</t>
  </si>
  <si>
    <t>13.29.2</t>
  </si>
  <si>
    <t>13.29.3</t>
  </si>
  <si>
    <t>13.29.4</t>
  </si>
  <si>
    <t>13.30</t>
  </si>
  <si>
    <t>18 mm thick moulded cement mortar band in two coats under layer 12 mm thick with cement mortar 1:5 (1 cement : 5 coarse sand) top layer 6 mm thick with cement mortar 1:4 (1 cement : 4 fine sand).</t>
  </si>
  <si>
    <t>POINTING ON BRICK WORK</t>
  </si>
  <si>
    <t>13.31</t>
  </si>
  <si>
    <t>Pointing on brick work or brick flooring with cement mortar 1:3 (1 cement : 3 fine sand):</t>
  </si>
  <si>
    <t>13.31.1</t>
  </si>
  <si>
    <t>Flush / Ruled/ Struck or weathered pointing</t>
  </si>
  <si>
    <t>13.31.2</t>
  </si>
  <si>
    <t>Raised and cut pointing</t>
  </si>
  <si>
    <t>POINTING ON TILE BRICK WORK</t>
  </si>
  <si>
    <t>13.32</t>
  </si>
  <si>
    <t>Pointing on tile brick work with cement mortar 1:3 (1 cement : 3 fine sand):</t>
  </si>
  <si>
    <t>13.32.1</t>
  </si>
  <si>
    <t>Flush/ Ruled/ Struck or weathered pointing</t>
  </si>
  <si>
    <t>POINTING ON STONE WORK</t>
  </si>
  <si>
    <t>13.33</t>
  </si>
  <si>
    <t>Pointing on stone work with cement mortar 1:3 (1 cement : 3 fine sand) :</t>
  </si>
  <si>
    <t>13.33.1</t>
  </si>
  <si>
    <t>Flush/ Ruled pointing</t>
  </si>
  <si>
    <t>13.33.2</t>
  </si>
  <si>
    <t>13.34</t>
  </si>
  <si>
    <t>Raised and cut pointing on stone work in white cement mortar 1:3 (1 white cement : 3 marble dust).</t>
  </si>
  <si>
    <t>13.35</t>
  </si>
  <si>
    <t>Pointing on stone slab ceiling with cement mortar 1:2 (1 cement : 2 fine sand):</t>
  </si>
  <si>
    <t>13.35.1</t>
  </si>
  <si>
    <t>13.36</t>
  </si>
  <si>
    <t>Extra for pointing on walls on the outside at height more than 10 m from ground level for every additional height of 3 m or part there of.</t>
  </si>
  <si>
    <t>INTERIOR FINISHING</t>
  </si>
  <si>
    <t>13.37</t>
  </si>
  <si>
    <t>White washing with lime to give an even shade :</t>
  </si>
  <si>
    <t>13.37.1</t>
  </si>
  <si>
    <t>New work (three or more coats)</t>
  </si>
  <si>
    <t>A/R Modified</t>
  </si>
  <si>
    <t>13.38</t>
  </si>
  <si>
    <t>Satna lime wash on walls with one coat.</t>
  </si>
  <si>
    <t>13.39</t>
  </si>
  <si>
    <t>Colour washing such as green, blue or buff to give an even shade :</t>
  </si>
  <si>
    <t>13.39.1</t>
  </si>
  <si>
    <t>New work (two or more coats) with a base coat of white washing with lime</t>
  </si>
  <si>
    <t>13.39.2</t>
  </si>
  <si>
    <t>New work (two or more coats) with a base coat of whiting</t>
  </si>
  <si>
    <t>13.41</t>
  </si>
  <si>
    <t>Distempering with 1st quality acrylic distemper (ready mixed) having VOC content less than 50 gram/litre, of approved manufacturer and of required shade and colour all complete to achieve even shade and colour :</t>
  </si>
  <si>
    <t>13.41.1</t>
  </si>
  <si>
    <t>New work (two or more coats) over and including water thinnable priming coat with cement primer having VOC content less than  50 gram/litre</t>
  </si>
  <si>
    <t>13.42</t>
  </si>
  <si>
    <t>13.43</t>
  </si>
  <si>
    <t>EXTERIOR FINISHING</t>
  </si>
  <si>
    <t>13.44</t>
  </si>
  <si>
    <t>Finishing walls with water proofing cement paint of required shade :</t>
  </si>
  <si>
    <t>13.44.1</t>
  </si>
  <si>
    <t>New work (Two or more coats applied @ 3.84 kg/10 sqm)</t>
  </si>
  <si>
    <t>13.45</t>
  </si>
  <si>
    <t>Finishing walls with textured exterior paint of required shade :</t>
  </si>
  <si>
    <t>13.45.1</t>
  </si>
  <si>
    <t>New work (Two or more coats applied @ 3.28 ltr/10 sqm) over and including priming coat of exterior primer applied @ 2.20kg/10 sqm</t>
  </si>
  <si>
    <t>13.46</t>
  </si>
  <si>
    <t>Finishing walls with Acrylic Smooth exterior paint of required shade :</t>
  </si>
  <si>
    <t>13.46.1</t>
  </si>
  <si>
    <t>New work (Two or more coat applied @ 1.67 ltr/10 sqm over and including priming coat of exterior primer applied @ 0.90 litre/10 sqm)</t>
  </si>
  <si>
    <t>13.47</t>
  </si>
  <si>
    <t>Finishing walls with Premium Acrylic Smooth exterior paint with Silicone additives of required shade:</t>
  </si>
  <si>
    <t>13.47.1</t>
  </si>
  <si>
    <t>New work (Two or more coats applied @ 1.43 ltr/10 sqm over and including priming coat of exterior primer applied @ 0.90 litre/10 sqm)</t>
  </si>
  <si>
    <t>13.48</t>
  </si>
  <si>
    <t>Finishing with Deluxe Multi surface paint system for interiors and exteriors using Primer as per manufacturers specifications :</t>
  </si>
  <si>
    <t>13.48.1</t>
  </si>
  <si>
    <t>Two or more coats applied on walls @ 1.25 ltr/10 sqm over and including one coat of Special primer applied @ 0.75 ltr /10 sqm</t>
  </si>
  <si>
    <t>13.48.2</t>
  </si>
  <si>
    <t>Painting wood work with Deluxe Multi Surface Paint of required shade. Two or more coat applied @ 0.90 ltr/10 sqm over an under coat of primer applied @0.75 ltr/10 sqm of approved brand and manufacture</t>
  </si>
  <si>
    <t>13.48.3</t>
  </si>
  <si>
    <t>Painting Steel work with Deluxe Multi Surface Paint to give an even shade. Two or more coat applied @ 0.90 ltr/10 sqm over an under coat of primer applied @ 0.80 ltr/10 sqm of approved brand and manufacture</t>
  </si>
  <si>
    <t>13.48A</t>
  </si>
  <si>
    <t>Finishing walls with ready mixed Premium acrylic emulsion paint (Company Depot Tinted) having VOC less than 50 gm/litre and UV resistance as per IS 15489:2004, Alkali &amp; fungal resistance, dirt resistance exterior paint of required shade  with silicon additives.</t>
  </si>
  <si>
    <t>13.48A.1</t>
  </si>
  <si>
    <t>New work (Two or more coats applied @ 1.43 litre/ 10 sqm over and including priming coat of exterior primer applied @ 0.90 litre/10 sqm</t>
  </si>
  <si>
    <t>13.50</t>
  </si>
  <si>
    <t>Applying priming coat:</t>
  </si>
  <si>
    <t>13.50.1</t>
  </si>
  <si>
    <t>13.50.2</t>
  </si>
  <si>
    <t>With ready mixed aluminium primer of approved brand and manufacture on resinous wood and plywood</t>
  </si>
  <si>
    <t>13.50.3</t>
  </si>
  <si>
    <t>With ready mixed red oxide zinc chromate primer of approved brand and manufacture on steel galvanised iron/ steel works</t>
  </si>
  <si>
    <t>13.50.4</t>
  </si>
  <si>
    <t>With ready mixed red oxide zinc chromate primer of approved brand and manufacture on steel work (second coat)</t>
  </si>
  <si>
    <t>13.51</t>
  </si>
  <si>
    <t>Painting with silicon &amp; acrylic emulsion based water thinnable sealer of approved brand and manufacture on wet or patchy portion of plastered surfaces :</t>
  </si>
  <si>
    <t>13.51.1</t>
  </si>
  <si>
    <t>One coat</t>
  </si>
  <si>
    <t>13.51.2</t>
  </si>
  <si>
    <t>Two coats</t>
  </si>
  <si>
    <t>13.52</t>
  </si>
  <si>
    <t>Finishing with Epoxy paint (two or more coats) at all locations prepared and applied as per manufacturer's specifications including appropriate priming coat, preparation of surface, etc. complete.</t>
  </si>
  <si>
    <t>13.52.1</t>
  </si>
  <si>
    <t>On steel work</t>
  </si>
  <si>
    <t>13.52.2</t>
  </si>
  <si>
    <t>On concrete work</t>
  </si>
  <si>
    <t>13.53</t>
  </si>
  <si>
    <t>Painting on G.S. sheet with synthetic enamel paint of approved brand and manufacture of required colour to give an even shade :</t>
  </si>
  <si>
    <t>13.53.1</t>
  </si>
  <si>
    <t>New work (two or more coats) including a coat of approved steel primer but excluding a coat of mordant solution</t>
  </si>
  <si>
    <t>13.54</t>
  </si>
  <si>
    <t>Applying a coat of mordant solution on G.S. sheet:</t>
  </si>
  <si>
    <t>13.54.1</t>
  </si>
  <si>
    <t>With a solution of 38 gms of copper acetate in a litre of soft water</t>
  </si>
  <si>
    <t>13.54.2</t>
  </si>
  <si>
    <t>With a solution made of 13 gms of hydrochloric acid in a solution of 13 gms each of copper chloride, copper nitrate and ammonium chloride dissolved in a litre of soft water</t>
  </si>
  <si>
    <t>13.55</t>
  </si>
  <si>
    <t>Painting (two or more coats) on rain water, soil waste and vent pipes and fittings with black anticorrosive bitumastic paint of approved brand and manufacture, over and including a priming of ready mixed zinc chromate yellow primer on new work:</t>
  </si>
  <si>
    <t>13.55.1</t>
  </si>
  <si>
    <t>100 mm diameter pipes</t>
  </si>
  <si>
    <t>13.55.2</t>
  </si>
  <si>
    <t>150 mm diameter pipes</t>
  </si>
  <si>
    <t>13.56</t>
  </si>
  <si>
    <t>Painting (two or more coats) on rain water, soil waste and vent pipes and fittings with synthetic enamel paint of approved brand and manufacture and required colour over a priming coat of approved steel primer on new work.</t>
  </si>
  <si>
    <t>13.56.1</t>
  </si>
  <si>
    <t>13.56.2</t>
  </si>
  <si>
    <t>13.57</t>
  </si>
  <si>
    <t>30 mm thick Factory made PVC rigid foam panelled shutter as per IS : 4020(Both side laminated) i/c carriage</t>
  </si>
  <si>
    <t>13.57.1</t>
  </si>
  <si>
    <t>New work (two or more coats)</t>
  </si>
  <si>
    <t>13.58</t>
  </si>
  <si>
    <t>Providing and applying two coats of fire retardant paint on cleaned wood / ply surface @ 3.5 sqm per litre per coat including preparation of base surface as per recommendations of manufacturer to make the surface fire retardant.</t>
  </si>
  <si>
    <t>13.59</t>
  </si>
  <si>
    <t>Coal tarring two coats on new work using 0.16 Litre and 0.12 litre coal tar per sqm in the first coat and second coat respectively.</t>
  </si>
  <si>
    <t>13.60</t>
  </si>
  <si>
    <t>13.61</t>
  </si>
  <si>
    <t>Factory made 50mmx47mm with a wall thickness of 5mm door frame PVC extruded sheet i/c carriage</t>
  </si>
  <si>
    <t>13.61.1</t>
  </si>
  <si>
    <t>Two or more coats on new work</t>
  </si>
  <si>
    <t>13.62</t>
  </si>
  <si>
    <t>Painting with synthetic enamel paint of approved brand and manufacture of required colour to give an even shade :</t>
  </si>
  <si>
    <t>13.62.1</t>
  </si>
  <si>
    <t>Two or more coats on new work over an under coat of suitable shade with ordinary paint of approved brand and manufacture</t>
  </si>
  <si>
    <t>13.63</t>
  </si>
  <si>
    <t>Painting with aluminium paint of approved brand and manufacture to give an even shade .</t>
  </si>
  <si>
    <t>13.63.1</t>
  </si>
  <si>
    <t>13.64</t>
  </si>
  <si>
    <t>Painting with acid proof paint of approved brand and manufacture of required colour to give an even shade :</t>
  </si>
  <si>
    <t>13.64.1</t>
  </si>
  <si>
    <t>13.65</t>
  </si>
  <si>
    <t>Painting with black anti-corrosive bitumastic paint of approved brand and manufacture to give an even shade :</t>
  </si>
  <si>
    <t>13.65.1</t>
  </si>
  <si>
    <t>13.67</t>
  </si>
  <si>
    <t>Varnishing with varnish of approved brand and manufacture :</t>
  </si>
  <si>
    <t>13.67.1</t>
  </si>
  <si>
    <t>Two or more coats of glue sizing with copal varnish over an under coat of flatting varnish</t>
  </si>
  <si>
    <t>13.67.2</t>
  </si>
  <si>
    <t>Two or more coats glue sizing with spar varnish or an under coat of flatting varnish</t>
  </si>
  <si>
    <t>13.68</t>
  </si>
  <si>
    <t>French spirit polishing :</t>
  </si>
  <si>
    <t>13.68.1</t>
  </si>
  <si>
    <t>Two or more coats on new works including a coat of wood filler</t>
  </si>
  <si>
    <t>13.69</t>
  </si>
  <si>
    <t>Polishing on wood work with ready mixed wax polish of approved brand and manufacture :</t>
  </si>
  <si>
    <t>13.69.1</t>
  </si>
  <si>
    <t>New work</t>
  </si>
  <si>
    <t>13.70</t>
  </si>
  <si>
    <t>Floor polishing on masonry or concrete floors with wax polish of approved brand and manufacture.</t>
  </si>
  <si>
    <t>13.71</t>
  </si>
  <si>
    <t>Lettering with black Japan paint of approved brand and manufacture</t>
  </si>
  <si>
    <t>per letter per cm height</t>
  </si>
  <si>
    <t>13.72</t>
  </si>
  <si>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t>
  </si>
  <si>
    <t>13.73</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</si>
  <si>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t>
  </si>
  <si>
    <t>13.73.1</t>
  </si>
  <si>
    <t>15 mm wide and 15 mm deep groove</t>
  </si>
  <si>
    <t>13.73.2</t>
  </si>
  <si>
    <t>20 mm wide and 15 mm deep groove</t>
  </si>
  <si>
    <t>13.74</t>
  </si>
  <si>
    <t>Extra for washed grit plaster on exterior walls of height more than 10 m from ground level for every additional height of 3 m or part thereof.</t>
  </si>
  <si>
    <t>13.75</t>
  </si>
  <si>
    <t>Extra for washed stone grit plaster on circular work not exceeding 6 m in radius (in two coats).</t>
  </si>
  <si>
    <t>13.76</t>
  </si>
  <si>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t>
  </si>
  <si>
    <t>13.77</t>
  </si>
  <si>
    <t>Extra for using white cement in place of ordinary cement in the top layer of the item of washed stone grit plaster.</t>
  </si>
  <si>
    <t>13.78</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</si>
  <si>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</si>
  <si>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13.79</t>
  </si>
  <si>
    <t>Extra for addition of synthetic Polyester triangular fibre of length 6 mm, effective diameter 10-40 microns and specific gravity of 1.34 to 1.40 in cement plaster/mortar by using 125 gms. of synthetic Polyester triangular fibre for 50 Kgs. cement used in cement mortar as per directions of Engineer-in-Charge.</t>
  </si>
  <si>
    <t>13.80</t>
  </si>
  <si>
    <t>Providing and applying white cement based putty of average thickness 1 mm, of approved brand and manufacturer, over the plastered wall surface to prepare the surface even and smooth complete.</t>
  </si>
  <si>
    <t>13.81</t>
  </si>
  <si>
    <t xml:space="preserve">Distempering with 1st quality acrylic distemper (ready mixed) having VOC (Volatile Organic Compound ) content less than 50 gram/ litre, of approved brand and manufacturer  including applying additional coats wherever required to achieve even shade and colour </t>
  </si>
  <si>
    <t>13.81.1</t>
  </si>
  <si>
    <t>Old work (one or more coats)</t>
  </si>
  <si>
    <t>13.81.2</t>
  </si>
  <si>
    <t>13.82</t>
  </si>
  <si>
    <t>Wall painting with acrylic emulsion paint, having VOC (Volatile Organic Compound ) content less than 50 grams/ litre, of approved brand and manufacture, including applying additional coats wherever required, to achieve even shade and colour.</t>
  </si>
  <si>
    <t>13.82.1</t>
  </si>
  <si>
    <t>13.82.2</t>
  </si>
  <si>
    <t>13.83</t>
  </si>
  <si>
    <t>Wall painting with premium acrylic emulsion paint of interior grade, having VOC (Volatile Organic Compound ) content less than 50 grams/ litre of approved brand and manufacture, including applying additional coats wherever required to achieve even shade and colour.</t>
  </si>
  <si>
    <t>13.83.1</t>
  </si>
  <si>
    <t>13.83.2</t>
  </si>
  <si>
    <t>13.85</t>
  </si>
  <si>
    <t>Applying priming coats with primer of approved brand and manufacture, having low VOC (Volatile Organic Compound ) content.</t>
  </si>
  <si>
    <t>13.85.1</t>
  </si>
  <si>
    <t>With ready mixed pink or grey primer on wood work (hard and soft wood) having VOC content less than 50 grams/ litre</t>
  </si>
  <si>
    <t>13.85.3</t>
  </si>
  <si>
    <t>With water thinnable cement primer on wall surface having VOC content less than 50 grams/litre</t>
  </si>
  <si>
    <t>13.86</t>
  </si>
  <si>
    <t>6 mm plaster on cement concrete or reinforced cement concrete work with white cement based polymer modified self curing mortar of approved make as per the direction of Engineer-In-Charge.</t>
  </si>
  <si>
    <t>13.87</t>
  </si>
  <si>
    <t>13.87.1</t>
  </si>
  <si>
    <t>Old work (two or more coats)</t>
  </si>
  <si>
    <t>13.87.2</t>
  </si>
  <si>
    <t>13.88</t>
  </si>
  <si>
    <t>Removing white or colour wash by scrapping and sand papering and preparing the surface smooth including necessary repairs to scratches etc. complete</t>
  </si>
  <si>
    <t>13.90</t>
  </si>
  <si>
    <t>13.90.1</t>
  </si>
  <si>
    <t>13.91</t>
  </si>
  <si>
    <t>Removing dry or oil bound distemper, water proofing cement paint and the like by scrapping, sand papering and preparing the surface smooth including necessary repairs to scratches etc. complete.</t>
  </si>
  <si>
    <t>13.92</t>
  </si>
  <si>
    <t>13.92.1</t>
  </si>
  <si>
    <t>13.93</t>
  </si>
  <si>
    <t>Painting (two or more coats) on rain water, soil, waste and vent pipes and fittings with black anticorrosive bitumastic paint of approved brand and manufacture over and including a priming coat of ready mixed zinc chromate yellow primer on new work :</t>
  </si>
  <si>
    <t>13.93.1</t>
  </si>
  <si>
    <t>75 mm diameter pipes</t>
  </si>
  <si>
    <t>13.94</t>
  </si>
  <si>
    <t>Painting (one or more coats) on rain water, soil waste and vent pipes and fittings with black anticorrosive bitumastic paint of approved brand and manufacture on old work :</t>
  </si>
  <si>
    <t>13.94.1</t>
  </si>
  <si>
    <t>13.94.2</t>
  </si>
  <si>
    <t>13.94.3</t>
  </si>
  <si>
    <t>13.95</t>
  </si>
  <si>
    <t>Painting (two or more coats) on rain water, soil waste and vent pipes and fittings with aluminium paint of approved brand and manufacture over a priming coat of ready mixed zinc chromate yellow primer on new work :</t>
  </si>
  <si>
    <t>13.95.1</t>
  </si>
  <si>
    <t>13.95.2</t>
  </si>
  <si>
    <t>13.95.3</t>
  </si>
  <si>
    <t>13.96</t>
  </si>
  <si>
    <t>Painting (one or more coats) on rain water, soil waste and vent pipes and fittings with synthetic enamel paint of approved brand and manufacture and required colour on old work :</t>
  </si>
  <si>
    <t>13.96.1</t>
  </si>
  <si>
    <t>13.96.2</t>
  </si>
  <si>
    <t>13.96.3</t>
  </si>
  <si>
    <t>13.97</t>
  </si>
  <si>
    <t>Painting with oil type wood preservative of approved brand and manufacture:</t>
  </si>
  <si>
    <t>13.97.1</t>
  </si>
  <si>
    <t>13.98</t>
  </si>
  <si>
    <t>13.98.1</t>
  </si>
  <si>
    <t>13.99</t>
  </si>
  <si>
    <t>13.99.1</t>
  </si>
  <si>
    <t>One or more coats on old work</t>
  </si>
  <si>
    <t>13.100</t>
  </si>
  <si>
    <t>Painting with aluminium paint of approved brand and manufacture to give an even shade:</t>
  </si>
  <si>
    <t>13.100.1</t>
  </si>
  <si>
    <t>13.101</t>
  </si>
  <si>
    <t>13.101.1</t>
  </si>
  <si>
    <t>13.102</t>
  </si>
  <si>
    <t>13.102.1</t>
  </si>
  <si>
    <t>13.103</t>
  </si>
  <si>
    <t>13.103.1</t>
  </si>
  <si>
    <t>13.104</t>
  </si>
  <si>
    <t>Polishing on wood work with ready made wax polish of approved brand and manufacture :</t>
  </si>
  <si>
    <t>13.104.1</t>
  </si>
  <si>
    <t>Old work</t>
  </si>
  <si>
    <t>13.105</t>
  </si>
  <si>
    <t>Re-lettering with black Japan paint of approved brand and manufacture.</t>
  </si>
  <si>
    <t>13.106</t>
  </si>
  <si>
    <t>Painting (one or more coats) with black Japan paint of approved brand and manufacture to give an even shade.</t>
  </si>
  <si>
    <t>13.107</t>
  </si>
  <si>
    <t>Providing and fixing C.P. brass chain and rubber plug complete for sink or wash basin:</t>
  </si>
  <si>
    <t>13.107.1</t>
  </si>
  <si>
    <t>32 mm dia</t>
  </si>
  <si>
    <t>13.107.2</t>
  </si>
  <si>
    <t>40 mm dia</t>
  </si>
  <si>
    <t>13.108</t>
  </si>
  <si>
    <t>13.108.1</t>
  </si>
  <si>
    <t>13.109</t>
  </si>
  <si>
    <t>13.109.1</t>
  </si>
  <si>
    <t>Old work (one or more coats applied @ 2.20 kg/10 sqm) over priming coat of primer applied @ 0.80 litrs/10 sqm complete including cost of Priming coat.</t>
  </si>
  <si>
    <t>13.109.2</t>
  </si>
  <si>
    <t>Old work (one or more coats @ 2.20 kg/10 sqm) complete.</t>
  </si>
  <si>
    <t>13.110</t>
  </si>
  <si>
    <t>13.110.1</t>
  </si>
  <si>
    <t>Old work (Two or more coats on existing cement paint surface applied @ 3.28 ltr/10 sqm</t>
  </si>
  <si>
    <t>13.110.2</t>
  </si>
  <si>
    <t>Old work (One or more coats) applied @ 1.82 ltr/10 sqm</t>
  </si>
  <si>
    <t>13.111</t>
  </si>
  <si>
    <t>13.111.1</t>
  </si>
  <si>
    <t>Old work (Two or more coat applied @ 1.67 ltr/ 10 sqm) on existing cement paint surface</t>
  </si>
  <si>
    <t>13.111.2</t>
  </si>
  <si>
    <t>Old work (One or more coat applied @ 0.90 ltr/10 sqm).</t>
  </si>
  <si>
    <t>13.112</t>
  </si>
  <si>
    <t>Finishing walls with Premium Acrylic Smooth exterior paint with Silicone additives of required shade</t>
  </si>
  <si>
    <t>13.112.1</t>
  </si>
  <si>
    <t>Old work (Two or more coats applied @ 1.43 ltr/ 10 sqm) over existing cement paint surface</t>
  </si>
  <si>
    <t>13.112.2</t>
  </si>
  <si>
    <t>Old work (one or more coats applied @ 0.83 ltr/10 sqm).</t>
  </si>
  <si>
    <t>13.113</t>
  </si>
  <si>
    <t>Varnishing with varnish of approved brand and manufacture:</t>
  </si>
  <si>
    <t>13.113.1</t>
  </si>
  <si>
    <t>One or more coats with copal varnish</t>
  </si>
  <si>
    <t>13.113.2</t>
  </si>
  <si>
    <t>One or more coats with spar varnish</t>
  </si>
  <si>
    <t>13.114</t>
  </si>
  <si>
    <t>Melamine polishing on wood work (one or more coat).</t>
  </si>
  <si>
    <t>13.115</t>
  </si>
  <si>
    <t>Varnishing with flatting varnish of approved brand and manufacture one or more coats on old work.</t>
  </si>
  <si>
    <t>13.116</t>
  </si>
  <si>
    <t xml:space="preserve">Polishing in high gloss/matt finish melamine clear polish on wood work in required color/wooden shade texture with following process in the sequence as detailed below:
1.  The surface to be polished is rubbed with sand paper 80/120 no. and then with sand paper of 160/180 Nos.
2. Applying two coats of sealer with spray gun and allowing sufficient drying time for 1st coat and 2nd coat is allowed to dry for 8 to 12 hrs.
3. On drying of sealer coat, wet rubbing with emery cloth of finer grading with ample water to remove excess sealer layer and make the surface further smooth after this wet rubbing, then surface is applied with special grade melamine fillers to fill all the small and big holes/grooves etc. Filler coat to be allowed to dry for 4 to 6 hrs on which again a light wet rubbing is done this surface is further allowed to dry for 12 hrs.
4. On this, 1st coat of melamine polish is applied with spray gun using melamine clear polish and melamine thinner in required proportion. This 1st coat is allowed to dry for 24 hrs then this dry surface is again fine wet rubbed smooth, which is further allowed to dry for 12 hrs. The final melamine polish is applied with compressor pressure spray gun using melamine clear polish and melamine thinner mixed in required proportion complete as per direction of Engineer-in-Charge. (Final coat to be done in 1 or 2 layers without gap of time.)
</t>
  </si>
  <si>
    <t>14.0 REPAIRS TO BUILDING</t>
  </si>
  <si>
    <t>14.1</t>
  </si>
  <si>
    <t>Repairs to plaster of thickness 12 mm to 20 mm in patches of area 2.5 sq.metres and under, including cutting the patch in proper shape, raking out joints and preparing and plastering the surface of the walls complete, including disposal of rubbish to the dumping ground, all complete as per direction of Engineer-in-Charge.</t>
  </si>
  <si>
    <t>14.1.1</t>
  </si>
  <si>
    <t>With cement mortar 1:4 (1 cement : 4 fine sand)</t>
  </si>
  <si>
    <t>14.1.2</t>
  </si>
  <si>
    <t>With cement mortar 1:4 (1cement: 4 coarse sand)</t>
  </si>
  <si>
    <t>14.2</t>
  </si>
  <si>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</si>
  <si>
    <t>14.2.1</t>
  </si>
  <si>
    <t>Door chowkhats</t>
  </si>
  <si>
    <t>14.2.2</t>
  </si>
  <si>
    <t>Window chowkhats</t>
  </si>
  <si>
    <t>14.2.3</t>
  </si>
  <si>
    <t>Clerestory window chowkhats</t>
  </si>
  <si>
    <t>14.3</t>
  </si>
  <si>
    <t>Fixing chowkhat in existing opening in brick/ RCC wall with dash fasteners/Chemical fasteners of appropriate size (3 nos on each vertical member of door chowkhat and 2 nos on each vertical member of window chowkhats), including Cost of dash fasteners/ chemical fastener.</t>
  </si>
  <si>
    <t>14.4</t>
  </si>
  <si>
    <t>Making the opening in brick masonry including dismantling in floor or walls by cutting masonry and making good the damages to walls, flooring and jambs complete, to match existing surface i/c disposal of mulba/ rubbish to the nearest municipal dumping ground, all complete as per direction of Engineer-in-Charge.</t>
  </si>
  <si>
    <t>14.4.1</t>
  </si>
  <si>
    <t>For door/ window/ clerestory window</t>
  </si>
  <si>
    <t>14.5</t>
  </si>
  <si>
    <t>Renewing glass panes, with putty and nails wherever necessary including racking out the old putty:</t>
  </si>
  <si>
    <t>14.5.1</t>
  </si>
  <si>
    <t>Float glass panes of nominal thickness 4 mm (weight not less than 10kg/sqm)</t>
  </si>
  <si>
    <t>14.5.2</t>
  </si>
  <si>
    <t>Float glass panes of nominal thickness 5 mm (weight not less than 12.5kg/sqm)</t>
  </si>
  <si>
    <t>14.6</t>
  </si>
  <si>
    <t>Renewing glass panes, with wooden fillets wherever necessary:</t>
  </si>
  <si>
    <t>14.6.1</t>
  </si>
  <si>
    <t>14.6.2</t>
  </si>
  <si>
    <t>14.7</t>
  </si>
  <si>
    <t>Renewing glass panes and refixing existing wooden fillets:</t>
  </si>
  <si>
    <t>14.7.1</t>
  </si>
  <si>
    <t>14.7.2</t>
  </si>
  <si>
    <t>14.8</t>
  </si>
  <si>
    <t>Supplying and fixing new wooden fillets wherever necessary:</t>
  </si>
  <si>
    <t>14.8.1</t>
  </si>
  <si>
    <t>2nd class teak wood fillets</t>
  </si>
  <si>
    <t>14.8.2</t>
  </si>
  <si>
    <t>Hollock wood fillets</t>
  </si>
  <si>
    <t>14.9</t>
  </si>
  <si>
    <t>Renewal of old putty of glass panes (length)</t>
  </si>
  <si>
    <t>14.10</t>
  </si>
  <si>
    <t>Refixing old glass panes with putty and nails</t>
  </si>
  <si>
    <t>14.11</t>
  </si>
  <si>
    <t>Fixing old glass panes with wooden fillets (excluding cost of fillets)</t>
  </si>
  <si>
    <t>14.12</t>
  </si>
  <si>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t>
  </si>
  <si>
    <t>14.13</t>
  </si>
  <si>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Engineer-in-Charge.</t>
  </si>
  <si>
    <t>14.14</t>
  </si>
  <si>
    <t>Replacing sand stone slabs in roofing, laid in cement mortar 1:4 (1 cement : 4 coarse sand), including necessary repairs and cement pointing with same mortar complete, including disposal of rubbish to dumping ground, all complete as per direction of Engineer-in-Charge.</t>
  </si>
  <si>
    <t>14.14.1</t>
  </si>
  <si>
    <t>Red/ white sand stone slabs 30 to 50 mm thick</t>
  </si>
  <si>
    <t>14.15</t>
  </si>
  <si>
    <t>Renewing wooden battens in roofs, including making good the holes in wall and painting with oil type wood preservative of approved brand and manufacture complete, including removal of rubbish to the dumping ground, all complete as per direction of Engineer-in-Charge.</t>
  </si>
  <si>
    <t>14.15.1</t>
  </si>
  <si>
    <t>Sal wood battens</t>
  </si>
  <si>
    <t>14.16</t>
  </si>
  <si>
    <t>Renewing wooden beams in roofs including making good the holes in walls and painting with oil type wood preservative of approved brand and manufacture complete, including removal of rubbish to the dumping ground, all complete as per direction of Engineer-in-Charge.</t>
  </si>
  <si>
    <t>14.16.1</t>
  </si>
  <si>
    <t>Not exceeding 4.00 metres in length.</t>
  </si>
  <si>
    <t>14.16.1.1</t>
  </si>
  <si>
    <t>Sal wood beams</t>
  </si>
  <si>
    <t>14.16.1.2</t>
  </si>
  <si>
    <t>Hollock wood beams</t>
  </si>
  <si>
    <t>14.16.2</t>
  </si>
  <si>
    <t>Above 4.00 metres and upto 5.00 metres length.</t>
  </si>
  <si>
    <t>14.16.2.1</t>
  </si>
  <si>
    <t>14.16.2.2</t>
  </si>
  <si>
    <t>14.17</t>
  </si>
  <si>
    <t>Raking out joints in lime or cement mortar and preparing the surface for re-pointing or replastering, including disposal of rubbish to the dumping ground, all complete as per direction of Engineer-in-Charge.</t>
  </si>
  <si>
    <t>14.18</t>
  </si>
  <si>
    <t>Flush pointing with cement mortar 1:3 (1 cement : 3 fine sand) mixed with 2% of integral water proofing compound by weight of cement for flat tile bricks on top of mud phaska :</t>
  </si>
  <si>
    <t>14.18.1</t>
  </si>
  <si>
    <t>With F.P.S. brick tiles</t>
  </si>
  <si>
    <t>14.18.2</t>
  </si>
  <si>
    <t>With modular brick tiles</t>
  </si>
  <si>
    <t>14.19</t>
  </si>
  <si>
    <t>Taking out wind ties from roof including cutting out rusted bolts, nuts etc. and removing materials to any distance within compound and stacking.</t>
  </si>
  <si>
    <t>14.20</t>
  </si>
  <si>
    <t>Fixing of old wind tie with new fittings including painting two or more coats with anticorrosive bitumastic paint of approved brand &amp; manufacturer over and including priming coat of ready mixed zinc chromate yellow primer of approved brand.</t>
  </si>
  <si>
    <t>14.21</t>
  </si>
  <si>
    <t>Renewing bottom rail and/or top runner of collapsible gate including making good all damages and applying priming coat of zinc chromate yellow primer of approved brand and manufacturer.</t>
  </si>
  <si>
    <t>14.22</t>
  </si>
  <si>
    <t>Renewing Wrought iron or M.S. Wheel or roller of steel door or gate and fitting and fixing the same with necessary clamps, nuts and bolts/welding and erection etc. complete.</t>
  </si>
  <si>
    <t>14.22.1</t>
  </si>
  <si>
    <t>Wheel 50 mm dia and below</t>
  </si>
  <si>
    <t>per wheel</t>
  </si>
  <si>
    <t>14.22.2</t>
  </si>
  <si>
    <t>Wheel above 50 mm dia</t>
  </si>
  <si>
    <t>EARTH WORK</t>
  </si>
  <si>
    <t>14.23</t>
  </si>
  <si>
    <t>Pumping out water caused by springs, tidal or river seepage, broken water mains or drains and the like.</t>
  </si>
  <si>
    <t>kilo litre</t>
  </si>
  <si>
    <t>14.24</t>
  </si>
  <si>
    <t>DELETED</t>
  </si>
  <si>
    <t>BRICK WORK</t>
  </si>
  <si>
    <t>14.25</t>
  </si>
  <si>
    <t>Brick work with common burnt clay bricks of class designation 7.5 in mud mortar</t>
  </si>
  <si>
    <t>WOOD WORK</t>
  </si>
  <si>
    <t>14.26</t>
  </si>
  <si>
    <t>14.26.1</t>
  </si>
  <si>
    <t>14.26.1.1</t>
  </si>
  <si>
    <t>Superior class teak wood including nickel plated bright finished M.S. piano hinges with necessary screws.</t>
  </si>
  <si>
    <t>14.26.1.2</t>
  </si>
  <si>
    <t>Ist class teak wood including nickel plated bright finished M.S. piano hinges with necessary screws.</t>
  </si>
  <si>
    <t>14.26.2</t>
  </si>
  <si>
    <t>14.26.2.1</t>
  </si>
  <si>
    <t>14.26.2.2</t>
  </si>
  <si>
    <t>14.27</t>
  </si>
  <si>
    <t>Providing and fixing plain jaffri door and window shutters including bright or/and black enamelled M.S. butt hinges with necessary screws 35x10 mm laths placed 35 mm apart (frames to be paid separately), including fixing 50x12 mm beading complete with :</t>
  </si>
  <si>
    <t>14.27.1</t>
  </si>
  <si>
    <t>14.28</t>
  </si>
  <si>
    <t>Providing and fixing brass curtain rods of  wall thickness 1.25 mm with two brass brackets fixed with brass screws and wooden plugs etc. wherever necessary complete.</t>
  </si>
  <si>
    <t>14.28.1</t>
  </si>
  <si>
    <t>20 mm diameter.</t>
  </si>
  <si>
    <t>14.28.2</t>
  </si>
  <si>
    <t>25 mm diameter.</t>
  </si>
  <si>
    <t>14.29</t>
  </si>
  <si>
    <t>Providing and fixing M.S. round or square bars with M.S. flats at required spacing in wooden frames of windows and clerestory windows.</t>
  </si>
  <si>
    <t>14.30</t>
  </si>
  <si>
    <t>Providing joists (karries) including hoisting, fixing in position and applying wood preservative on unexposed surface etc. complete with :</t>
  </si>
  <si>
    <t>14.30.1</t>
  </si>
  <si>
    <t>14.30.2</t>
  </si>
  <si>
    <t>14.31</t>
  </si>
  <si>
    <t>Providing and fixing bright finished brass single acting spring hinges with necessary brass screws etc. complete :</t>
  </si>
  <si>
    <t>14.31.1</t>
  </si>
  <si>
    <t>14.31.2</t>
  </si>
  <si>
    <t>14.31.3</t>
  </si>
  <si>
    <t>14.32</t>
  </si>
  <si>
    <t>Providing and fixing bright finished brass double acting spring hinges with necessary brass screws etc. complete :</t>
  </si>
  <si>
    <t>14.32.1</t>
  </si>
  <si>
    <t>14.32.2</t>
  </si>
  <si>
    <t>14.32.3</t>
  </si>
  <si>
    <t>14.33</t>
  </si>
  <si>
    <t>Providing and fixing bright finished brass flush bolts with necessary brass screws etc. complete :</t>
  </si>
  <si>
    <t>14.33.1</t>
  </si>
  <si>
    <t>250 mm</t>
  </si>
  <si>
    <t>14.33.2</t>
  </si>
  <si>
    <t>14.33.3</t>
  </si>
  <si>
    <t>14.34</t>
  </si>
  <si>
    <t>Providing and fixing 150 mm bright finished floor brass door stopper with rubber cushion, necessary brass screws etc. to suit shutter thickness complete</t>
  </si>
  <si>
    <t>14.35</t>
  </si>
  <si>
    <t>Providing and fixing bright finished brass hard drawn hooks and eyes :</t>
  </si>
  <si>
    <t>14.35.1</t>
  </si>
  <si>
    <t>300 mm</t>
  </si>
  <si>
    <t>14.35.2</t>
  </si>
  <si>
    <t>14.35.3</t>
  </si>
  <si>
    <t>14.35.4</t>
  </si>
  <si>
    <t>14.35.5</t>
  </si>
  <si>
    <t>14.36</t>
  </si>
  <si>
    <t>Providing and fixing bright finished brass fan light pivot with necessary brass screws etc. complete.</t>
  </si>
  <si>
    <t>14.37</t>
  </si>
  <si>
    <t>Providing and fixing 300 mm long bright finished brass chain with hook for fan light including necessary brass screws etc. complete.</t>
  </si>
  <si>
    <t>14.38</t>
  </si>
  <si>
    <t>Providing and fixing bright finished brass quadrant stay 300 mm long with necessary brass screws etc. complete.</t>
  </si>
  <si>
    <t>14.39</t>
  </si>
  <si>
    <t>Providing and fixing bright finished brass helical door spring (superior quality).</t>
  </si>
  <si>
    <t>14.40</t>
  </si>
  <si>
    <t>Providing and fixing chromium plated brass butt hinges with necessary chromium plated brass screws etc. complete.</t>
  </si>
  <si>
    <t>14.40.1</t>
  </si>
  <si>
    <t>14.40.2</t>
  </si>
  <si>
    <t>14.40.3</t>
  </si>
  <si>
    <t>14.40.4</t>
  </si>
  <si>
    <t>14.40.5</t>
  </si>
  <si>
    <t>14.41</t>
  </si>
  <si>
    <t>Providing and fixing 85x42 mm chromium plated brass pull bolt lock with necessary chromium plated brass screws, nuts, bolts and washers etc. complete.</t>
  </si>
  <si>
    <t>FINISHING</t>
  </si>
  <si>
    <t>14.72</t>
  </si>
  <si>
    <t xml:space="preserve">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 </t>
  </si>
  <si>
    <t>Note: - This item to be used for maintenance work judicially, necessary deduction for scaffolding in the existing item to be done.</t>
  </si>
  <si>
    <t>14.73</t>
  </si>
  <si>
    <t>Providing and fixing bright finished brass casement window fasteners or peg stays to windows/ ventilators with necessary welding and machine screws etc. complete.</t>
  </si>
  <si>
    <t>14.74</t>
  </si>
  <si>
    <t>Providing and fixing 14 mm bright finished brass spring catch to steel centre hung ventilators with necessary welding and machine screws etc. complete.</t>
  </si>
  <si>
    <t>14.75</t>
  </si>
  <si>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t>
  </si>
  <si>
    <t>ROUTINE MAINTENANCE WORK</t>
  </si>
  <si>
    <t>14.75A</t>
  </si>
  <si>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t>
  </si>
  <si>
    <t>14.76</t>
  </si>
  <si>
    <t>Cleaning and desilting of gully trap chamber, including removal of rubbish mixed with earth etc. and disposal of same, all as per the direction of Engineer-in-charge.</t>
  </si>
  <si>
    <t>14.77</t>
  </si>
  <si>
    <t xml:space="preserve">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t>
  </si>
  <si>
    <t>14.78</t>
  </si>
  <si>
    <t>Cleaning of under ground sump, Over Head R.C.C. Tank ( independent staging) including disposal of slit and rubbish, all as per direction of Engineer-in-Charge. The cleaning shall consist  following operations:-</t>
  </si>
  <si>
    <t>(i)Tank shall be emptied of water by pumping &amp; bottom shall be cleaned of silt and other  deposits.</t>
  </si>
  <si>
    <t>(ii) Entire surface area of the sump shall then scrubbed thoroughly with wire brush etc. and pressure washed with water.</t>
  </si>
  <si>
    <t>(iii) Chlorination of RCC internal surface by liquid chlorine.</t>
  </si>
  <si>
    <t>(iv) The treated surface shall be dried using air jetting and all loose particles shall be removal from the surface.</t>
  </si>
  <si>
    <t>(v) Finally the surface shall be treated with ultraviolet radiation etc. as per direction of Engineer-in-Charge.</t>
  </si>
  <si>
    <t>14.79</t>
  </si>
  <si>
    <t>Disconnecting damaged overhead/terrace PVC water storage tank  of any size from water supply line and removing from the terrace including shifting at ground level as per direction of Engineer-in-charge.</t>
  </si>
  <si>
    <t>14.80</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</si>
  <si>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t>
  </si>
  <si>
    <t>14.80.1</t>
  </si>
  <si>
    <t>Long pattern W.C Pan of size 580x440 mm</t>
  </si>
  <si>
    <t>14.80.2</t>
  </si>
  <si>
    <t>Orissa pattern W.C Pan of size 580x440 mm</t>
  </si>
  <si>
    <t>14.81</t>
  </si>
  <si>
    <t>Cutting holes of required size in brick masonry wall for fixing of exhaust fan including providing and fixing 300 mm dia PVC pipe conforming BIS-12818 and making good the same etc. complete as per direction of Engineer-in-charge.</t>
  </si>
  <si>
    <t>14.82</t>
  </si>
  <si>
    <t>Dismantling  W.C.  Pan of all sizes including disposal of dismantled materials i/c malba all complete as per directions of Engineer-in-Charge.</t>
  </si>
  <si>
    <t>14.83</t>
  </si>
  <si>
    <t>Hacking of CC flooring including cleaning for surface etc. complete as per direction of the Engineer-in-Charge.</t>
  </si>
  <si>
    <t>14.84</t>
  </si>
  <si>
    <t>Dismantling 15 to 40 mm dia G.I. pipe including stacking of dismantled pipes (within 50 metres lead) as per direction of Engineer-in-Charge. (a) Internal Work- Exposed on wall</t>
  </si>
  <si>
    <t>14.85</t>
  </si>
  <si>
    <t>Taking out existing wooden door shutter, repair by cutting, painting etc. and refixing of repaired door shutters to existing door frames, including replacement of hinges with screws, etc. as required, all complete as per the direction of the Engineer-in-charge.</t>
  </si>
  <si>
    <t>14.86</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</si>
  <si>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t>
  </si>
  <si>
    <t>14.87</t>
  </si>
  <si>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t>
  </si>
  <si>
    <t>14.88</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</si>
  <si>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t>
  </si>
  <si>
    <t>14.89</t>
  </si>
  <si>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parametres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t>
  </si>
  <si>
    <t>14.89.1</t>
  </si>
  <si>
    <t>2mm (for corrugated roof sheets)</t>
  </si>
  <si>
    <t>14.90</t>
  </si>
  <si>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parametres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t>
  </si>
  <si>
    <t>14.90.1</t>
  </si>
  <si>
    <t>14.91</t>
  </si>
  <si>
    <t>Providing and laying APP (Atactic Polypropylene Polymer) modified prefabricated five layer 3 mm thick water proofing membrane, black finished reinforced with non-woven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parametres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t>
  </si>
  <si>
    <t>14.91.1</t>
  </si>
  <si>
    <t>14.92</t>
  </si>
  <si>
    <t>Extra for covering top of membrane with Geotextile, 120 gsm non woven, 100% polyester of thickness 1 to 1.25 mm bonded to the membrane with intermittent touch by heating the membrane by Butane Torch as per manufactures recommendation.</t>
  </si>
  <si>
    <t>14.93</t>
  </si>
  <si>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t>
  </si>
  <si>
    <t>each job</t>
  </si>
  <si>
    <t>14.94</t>
  </si>
  <si>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t>
  </si>
  <si>
    <t>15.0 DISMANTLING AND DEMOLISHING</t>
  </si>
  <si>
    <t>15.1</t>
  </si>
  <si>
    <t>Demolishing lime concrete manually/ by mechanical means and disposal of material within 50 metres lead as per direction of Engineer- in-charge.</t>
  </si>
  <si>
    <t>15.2</t>
  </si>
  <si>
    <t>Demolishing cement concrete manually/ by mechanical means including disposal of material within 50 metres lead as per direction of Engineer - in - charge.</t>
  </si>
  <si>
    <t>15.2.1</t>
  </si>
  <si>
    <t>Nominal concrete 1:3:6 or richer mix (i/c equivalent design mix)</t>
  </si>
  <si>
    <t>15.2.2</t>
  </si>
  <si>
    <t>Nominal concrete 1:4:8 or leaner mix (i/c equivalent design mix)</t>
  </si>
  <si>
    <t>15.3</t>
  </si>
  <si>
    <t>Demolishing R.C.C. work manually/ by mechanical means including stacking of steel bars and disposal of unserviceable material within 50 metres lead as per direction of Engineer - in- charge.</t>
  </si>
  <si>
    <t>15.4</t>
  </si>
  <si>
    <t>Demolishing R.B. work manually/ by mechanical means including stacking of steel bars and disposal of unserviceable material within 50 metres lead as per direction of Engineer-in- charge.</t>
  </si>
  <si>
    <t>15.5</t>
  </si>
  <si>
    <t>Extra for cutting reinforcement bars manually/ by mechanical means in R.C.C. or R.B. work (Payment shall be made on the cross sectional area of R.C.C. or R.B. work) as per direction of Engineer-in-charge.</t>
  </si>
  <si>
    <t>15.6</t>
  </si>
  <si>
    <t>Extra for scrapping, cleaning and straightening reinforcement from R.C.C. or R.B. work.</t>
  </si>
  <si>
    <t>15.7</t>
  </si>
  <si>
    <t>Demolishing brick work manually/ by mechanical means including stacking of serviceable material and disposal of unserviceable material within 50 metres lead as per direction of Engineer-in-charge.</t>
  </si>
  <si>
    <t>15.7.1</t>
  </si>
  <si>
    <t>In mud mortar</t>
  </si>
  <si>
    <t>15.7.2</t>
  </si>
  <si>
    <t>In lime mortar with old mughal bricks</t>
  </si>
  <si>
    <t>15.7.3</t>
  </si>
  <si>
    <t>In lime mortar</t>
  </si>
  <si>
    <t>15.7.4</t>
  </si>
  <si>
    <t>In cement mortar</t>
  </si>
  <si>
    <t>15.8</t>
  </si>
  <si>
    <t>Removing mortar from bricks and cleaning bricks including stacking within a lead of 50 m (stacks of cleaned bricks shall be measured):</t>
  </si>
  <si>
    <t>15.8.1</t>
  </si>
  <si>
    <t>From brick work in mud mortar</t>
  </si>
  <si>
    <t>1000 Nos</t>
  </si>
  <si>
    <t>15.8.2</t>
  </si>
  <si>
    <t>From brick work in lime mortar</t>
  </si>
  <si>
    <t>15.8.3</t>
  </si>
  <si>
    <t>From brick work in cement mortar</t>
  </si>
  <si>
    <t>15.9</t>
  </si>
  <si>
    <t>Demolishing stone rubble masonry manually/ by mechanical means including stacking of serviceable material and disposal of unserviceable material within 50 metres lead as per direction of Engineer-in-charge :</t>
  </si>
  <si>
    <t>15.9.1</t>
  </si>
  <si>
    <t>15.9.2</t>
  </si>
  <si>
    <t>15.10</t>
  </si>
  <si>
    <t>Dismantling dressed stone work ashlar face stone work, marble work or precast concrete work manually/ by mechanical means including stacking of serviceable and disposal of unserviceable material within 50 metres lead as per direction of Engineer-in-charge :</t>
  </si>
  <si>
    <t>15.10.1</t>
  </si>
  <si>
    <t>15.10.2</t>
  </si>
  <si>
    <t>15.11</t>
  </si>
  <si>
    <t>Removing mortar from and cleaning stones and concrete articles (net quantity of stacks of cleaned materials will be measured):</t>
  </si>
  <si>
    <t>15.11.1</t>
  </si>
  <si>
    <t>15.11.2</t>
  </si>
  <si>
    <t>15.12</t>
  </si>
  <si>
    <t>Dismantling doors, windows and clerestory windows (steel or wood) shutter including chowkhats, architrave, holdfasts etc. complete and stacking within 50 metres lead :</t>
  </si>
  <si>
    <t>15.12.1</t>
  </si>
  <si>
    <t>Of area 3 sq. metres and below</t>
  </si>
  <si>
    <t>15.12.2</t>
  </si>
  <si>
    <t>Of area beyond 3 sq. metres</t>
  </si>
  <si>
    <t>15.13</t>
  </si>
  <si>
    <t>Taking out doors, windows and clerestory window shutters (steel or wood) including stacking within 50 metres lead :</t>
  </si>
  <si>
    <t>15.13.1</t>
  </si>
  <si>
    <t>15.13.2</t>
  </si>
  <si>
    <t>15.14</t>
  </si>
  <si>
    <t>Dismantling wood work in frames, trusses, purlins and rafters up to 10 metres span and 5 metres height including stacking the material within 50 metres lead :</t>
  </si>
  <si>
    <t>15.14.1</t>
  </si>
  <si>
    <t>Of sectional area 40 square centimetres and above</t>
  </si>
  <si>
    <t>15.14.2</t>
  </si>
  <si>
    <t>Of sectional area below 40 square centimetres</t>
  </si>
  <si>
    <t>15.15</t>
  </si>
  <si>
    <t>Extra for dismantling trusses, rafters, purlins etc. of wood work for every additional span of one metre or part thereof beyond 10 metres :</t>
  </si>
  <si>
    <t>15.15.1</t>
  </si>
  <si>
    <t>cum per metre span</t>
  </si>
  <si>
    <t>15.15.2</t>
  </si>
  <si>
    <t>metre per metre span</t>
  </si>
  <si>
    <t>15.16</t>
  </si>
  <si>
    <t>Extra for dismantling trusses, rafters, purlins etc. of wood work for every additional height of one metre or part thereof beyond 5 metres :</t>
  </si>
  <si>
    <t>15.16.1</t>
  </si>
  <si>
    <t>15.16.2</t>
  </si>
  <si>
    <t>15.17</t>
  </si>
  <si>
    <t>Dismantling steel work in single sections including dismembering and stacking within 50 metres lead in:</t>
  </si>
  <si>
    <t>15.17.1</t>
  </si>
  <si>
    <t>R.S. Joists</t>
  </si>
  <si>
    <t>15.17.2</t>
  </si>
  <si>
    <t>Channels, angles, tees and flats</t>
  </si>
  <si>
    <t>15.18</t>
  </si>
  <si>
    <t>Dismantling steel work in built up sections in angles, tees, flats and channels including all gusset plates, bolts, nuts, cutting rivets, welding etc. including dismembering and stacking within 50 metres lead.</t>
  </si>
  <si>
    <t>15.19</t>
  </si>
  <si>
    <t>Dismantling steel work manually/ by mechanical means in built up sections without dismembering and stacking within 50 metres lead as per direction of Engineer-in-charge.</t>
  </si>
  <si>
    <t>15.20</t>
  </si>
  <si>
    <t>Extra for dismantling trusses, rafters, purlins etc. of steel work for every additional span of one metre or part thereof beyond 10 metres</t>
  </si>
  <si>
    <t>kg per metre span</t>
  </si>
  <si>
    <t>15.21</t>
  </si>
  <si>
    <t>Extra for dismantling trusses, rafters, purlins etc. of steel work for every additional height of one metre or part thereof beyond 5 metres.</t>
  </si>
  <si>
    <t>kg per metre height</t>
  </si>
  <si>
    <t>15.22</t>
  </si>
  <si>
    <t>Extra for marking of structural steel work required to be re-erected.</t>
  </si>
  <si>
    <t>15.23</t>
  </si>
  <si>
    <t>Dismantling tile work in floors and roofs laid in cement mortar including stacking material within 50 metres lead.</t>
  </si>
  <si>
    <t>15.23.1</t>
  </si>
  <si>
    <t>For thickness of tiles 10 mm to 25 mm</t>
  </si>
  <si>
    <t>15.23.2</t>
  </si>
  <si>
    <t>For thickness of tiles above 25 mm and up to 40 mm</t>
  </si>
  <si>
    <t>15.24</t>
  </si>
  <si>
    <t>Demolishing dry brick pitching in floors, drains etc. including stacking of serviceable material and disposal of unserviceable material within 50 metres lead :</t>
  </si>
  <si>
    <t>15.25</t>
  </si>
  <si>
    <t>Dismantling stone slab flooring laid in cement mortar including stacking of serviceable material and disposal of unserviceable material within 50 metres lead.</t>
  </si>
  <si>
    <t>15.26</t>
  </si>
  <si>
    <t>Demolishing brick tile covering in terracing including stacking of serviceable material and disposal of unserviceable material within 50 metres lead.</t>
  </si>
  <si>
    <t>15.27</t>
  </si>
  <si>
    <t>Demolishing mud phaska in terracing and disposal of material within 50 metres lead.</t>
  </si>
  <si>
    <t>15.28</t>
  </si>
  <si>
    <t>Dismantling roofing including ridges, hips, valleys and gutters etc., and stacking the material within 50 metres lead of:</t>
  </si>
  <si>
    <t>15.28.1</t>
  </si>
  <si>
    <t>G.S. Sheet</t>
  </si>
  <si>
    <t>15.28.2</t>
  </si>
  <si>
    <t>Asbestos Cement sheet</t>
  </si>
  <si>
    <t>15.29</t>
  </si>
  <si>
    <t>Dismantling stone slab roofing over wooden karries or R.C.C. battens (dismantling karries and battens to be paid for separately), including stacking of serviceable material and disposal of unserviceable material within 50 metres lead.</t>
  </si>
  <si>
    <t>15.30</t>
  </si>
  <si>
    <t>Dismantling jack arch roofing and floors including stacking of serviceable material and disposal of unserviceable material within 50 metres lead.</t>
  </si>
  <si>
    <t>15.31</t>
  </si>
  <si>
    <t>Dismantling tiled roofing with battens, boarding etc. complete including stacking of serviceable material and disposal of unserviceable material within 50 metres lead.</t>
  </si>
  <si>
    <t>15.32</t>
  </si>
  <si>
    <t>Demolishing thatch roofing including mats, bamboo, jaffari etc. complete including stacking of serviceable material and disposal of unserviceable material within 50 metres lead.</t>
  </si>
  <si>
    <t>15.33</t>
  </si>
  <si>
    <t>Dismantling wooden ballies in posts and struts including stacking within 50metres lead.</t>
  </si>
  <si>
    <t>15.34</t>
  </si>
  <si>
    <t>Dismantling and stacking within 50 metres lead, fencing posts or struts including all earth work and dismantling of concrete etc. in base of:</t>
  </si>
  <si>
    <t>15.34.1</t>
  </si>
  <si>
    <t>T' or 'L' iron or pipe</t>
  </si>
  <si>
    <t>15.34.2</t>
  </si>
  <si>
    <t>R.C.C.</t>
  </si>
  <si>
    <t>15.35</t>
  </si>
  <si>
    <t>Cutting ballies or wooden posts of fencing at the point of projection above the concrete or ground and stacking the same within 50 metres lead.</t>
  </si>
  <si>
    <t>15.36</t>
  </si>
  <si>
    <t>Dismantling barbed wire or flexible wire rope in fencing including making rolls and stacking within 50 metres lead.</t>
  </si>
  <si>
    <t>15.37</t>
  </si>
  <si>
    <t>Dismantling wooden trellis work excluding frames but including stacking the  serviceable material within 50 metres lead.</t>
  </si>
  <si>
    <t>15.38</t>
  </si>
  <si>
    <t>Dismantling expanded metal or I.R.C. fabrics with necessary battens and beading including stacking the serviceable material within 50 metres lead.</t>
  </si>
  <si>
    <t>15.39</t>
  </si>
  <si>
    <t>Dismantling wooden boardings in lining of walls and partitions, excluding supporting members but including stacking within 50 metres lead :</t>
  </si>
  <si>
    <t>15.39.1</t>
  </si>
  <si>
    <t>Up to 10 mm thick</t>
  </si>
  <si>
    <t>15.39.2</t>
  </si>
  <si>
    <t>Thickness above 10 mm up to 25 mm</t>
  </si>
  <si>
    <t>15.39.3</t>
  </si>
  <si>
    <t>Thickness above 25 mm up to 40 mm</t>
  </si>
  <si>
    <t>15.40</t>
  </si>
  <si>
    <t>Dismantling precast concrete or stone slabs in walls, partition walls etc. including stacking within 50 metres lead :</t>
  </si>
  <si>
    <t>15.40.1</t>
  </si>
  <si>
    <t>Thickness up to 40 mm</t>
  </si>
  <si>
    <t>15.40.2</t>
  </si>
  <si>
    <t>Thickness above 40 mm up to 75 mm</t>
  </si>
  <si>
    <t>15.41</t>
  </si>
  <si>
    <t>Dismantling cement asbestos or other hard board ceiling or partition walls including stacking of serviceable materials and disposal of unserviceable materials within 50 metres lead.</t>
  </si>
  <si>
    <t>15.42</t>
  </si>
  <si>
    <t>Dismantling C.I. or asbestos rain water pipe with fittings and clamps including stacking the material within 50 metres lead :</t>
  </si>
  <si>
    <t>15.42.1</t>
  </si>
  <si>
    <t>75 to 80 mm dia pipe</t>
  </si>
  <si>
    <t>15.42.2</t>
  </si>
  <si>
    <t>100 mm dia pipe</t>
  </si>
  <si>
    <t>15.42.3</t>
  </si>
  <si>
    <t>150 mm dia pipe</t>
  </si>
  <si>
    <t>15.43</t>
  </si>
  <si>
    <t>Dismantling manually/ by mechanical means including stacking of serviceable material and disposal of unserviceable material within 50 metres lead as per direction of Engineer-in-charge :</t>
  </si>
  <si>
    <t>15.43.1</t>
  </si>
  <si>
    <t>Water bound macadam road</t>
  </si>
  <si>
    <t>15.43.2</t>
  </si>
  <si>
    <t>bituminous road</t>
  </si>
  <si>
    <t>15.44</t>
  </si>
  <si>
    <t>Dismantling G.I. pipes (external work) including excavation and refilling trenches after taking out the pipes, manually/ by mechanical means including stacking of pipes within 50 metres lead as per direction of Engineer-in-charge :</t>
  </si>
  <si>
    <t>15.44.1</t>
  </si>
  <si>
    <t>15 mm to 40 mm nominal bore</t>
  </si>
  <si>
    <t>15.44.2</t>
  </si>
  <si>
    <t>Above 40 mm nominal bore</t>
  </si>
  <si>
    <t>15.45</t>
  </si>
  <si>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</si>
  <si>
    <t>15.45.1</t>
  </si>
  <si>
    <t>Up to 150 mm diameter</t>
  </si>
  <si>
    <t>15.45.2</t>
  </si>
  <si>
    <t>Above 150 mm dia up to 300 mm dia</t>
  </si>
  <si>
    <t>15.45.3</t>
  </si>
  <si>
    <t>Above 300 mm diameter</t>
  </si>
  <si>
    <t>15.46</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</si>
  <si>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t>
  </si>
  <si>
    <t>15.46.1</t>
  </si>
  <si>
    <t>Up to 600 mm diameter</t>
  </si>
  <si>
    <t>15.46.2</t>
  </si>
  <si>
    <t>Above 600 mm diameter</t>
  </si>
  <si>
    <t>15.47</t>
  </si>
  <si>
    <t>Dismantling asbestos cement pressure pipes including excavation and refilling trenches after taking out the pipes manually/ by mechanical means and stacking the pipes within 50 metres lead as per direction of Engineer-in-charge :</t>
  </si>
  <si>
    <t>15.47.1</t>
  </si>
  <si>
    <t>15.47.2</t>
  </si>
  <si>
    <t>Above 150 mm diameter</t>
  </si>
  <si>
    <t>15.48</t>
  </si>
  <si>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t>
  </si>
  <si>
    <t>15.49</t>
  </si>
  <si>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Engineer-in-charge.</t>
  </si>
  <si>
    <t>15.50</t>
  </si>
  <si>
    <t>Dismantling of R.C.C. spun vent shaft including excavating the cement concrete pit completely, taking out the shaft, refilling the excavated gap, stacking the useful materials near the site and disposal of unserviceable materials within 50 metres lead.</t>
  </si>
  <si>
    <t>15.51</t>
  </si>
  <si>
    <t>Dismantling of road gully chamber of various sizes including C.I. grating with frame including stacking of useful materials near the site and disposal of unserviceable materials within 50 metres lead including refilling the excavated gap.</t>
  </si>
  <si>
    <t>15.52</t>
  </si>
  <si>
    <t>Dismantling of flushing cistern of all types (C.I./PVC/Vitrious China) including stacking of useful materials near the site and disposal of unserviceable materials within 50 metres lead.</t>
  </si>
  <si>
    <t>15.53</t>
  </si>
  <si>
    <t>Dismantling of C.I. sluice valve including stacking of useful materials within a lead of 50 metres</t>
  </si>
  <si>
    <t>15.53.1</t>
  </si>
  <si>
    <t>15.53.2</t>
  </si>
  <si>
    <t>15.54</t>
  </si>
  <si>
    <t>Dismantling of spindle fire hydrant including stacking of useful materials within 50 metres lead.</t>
  </si>
  <si>
    <t>15.55</t>
  </si>
  <si>
    <t>Dismantling of cement concrete platform along with curtain walls and base concrete etc. including stacking of useful materials near the site and disposal of unserviceable materials within 50 metres lead :</t>
  </si>
  <si>
    <t>15.55.1</t>
  </si>
  <si>
    <t>120 x 120 cm (outside to outside)</t>
  </si>
  <si>
    <t>15.55.2</t>
  </si>
  <si>
    <t>210 x 120 cm (outside to outside)</t>
  </si>
  <si>
    <t>15.55.3</t>
  </si>
  <si>
    <t>320 x 120 cm (outside to outside)</t>
  </si>
  <si>
    <t>15.56</t>
  </si>
  <si>
    <t>Dismantling old plaster or skirting raking out joints and cleaning the surface for plaster including disposal of rubbish to the dumping ground within 50 metres lead.</t>
  </si>
  <si>
    <t>15.57</t>
  </si>
  <si>
    <t>Dismantling aluminium/ Gypsum partitions, doors, windows, fixed glazing and false ceiling including disposal of unserviceable material and stacking of serviceable material with in 50 metres lead as directed by Engineer-in-charge.</t>
  </si>
  <si>
    <t>15.58</t>
  </si>
  <si>
    <t>Demolishing R.C.C. work by mechanical means and stockpiling at designated locations and disposal of dismantled materials up to a lead of 1 kilometre, stacking serviceable and unserviceable material separately including cutting reinforcement bars.</t>
  </si>
  <si>
    <t>15.59</t>
  </si>
  <si>
    <t>Dismantling of flexible pavement (bituminous courses) by mechanical means and disposal of dismantled material up to a lead of 1 kilometre, as per direction of Engineer-in-charge.</t>
  </si>
  <si>
    <t>15.60</t>
  </si>
  <si>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t>
  </si>
  <si>
    <t>16.0 ROAD WORK</t>
  </si>
  <si>
    <t>ROADS</t>
  </si>
  <si>
    <t>16.1</t>
  </si>
  <si>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t>
  </si>
  <si>
    <t>16.2</t>
  </si>
  <si>
    <t>Extra for compaction of earth work in embankment under optimum moisture conditions to give at least 95% of the maximum dry density (proctor density).</t>
  </si>
  <si>
    <t>16.3</t>
  </si>
  <si>
    <t>Supplying and stacking at site.</t>
  </si>
  <si>
    <t>16.3.1</t>
  </si>
  <si>
    <t>90 mm to 45 mm size stone aggregate</t>
  </si>
  <si>
    <t>16.3.2</t>
  </si>
  <si>
    <t>63 mm to 45 mm size stone aggregate</t>
  </si>
  <si>
    <t>16.3.3</t>
  </si>
  <si>
    <t>53 mm to 22.4 mm size stone aggregate</t>
  </si>
  <si>
    <t>16.3.4</t>
  </si>
  <si>
    <t>Over burnt (Jhama) brick aggregate 120 mm to 40 mm</t>
  </si>
  <si>
    <t>16.3.5</t>
  </si>
  <si>
    <t>Over burnt (Jhama) brick aggregate 90 mm to 45 mm</t>
  </si>
  <si>
    <t>16.3.6</t>
  </si>
  <si>
    <t>Stone screening 13.2 mm nominal size (Type A)</t>
  </si>
  <si>
    <t>16.3.7</t>
  </si>
  <si>
    <t>Stone screening 11.2 mm nominal size (Type B)</t>
  </si>
  <si>
    <t>16.3.8</t>
  </si>
  <si>
    <t>Red bajri</t>
  </si>
  <si>
    <t>16.3.9</t>
  </si>
  <si>
    <t>Good earth</t>
  </si>
  <si>
    <t>16.3.10</t>
  </si>
  <si>
    <t>Moorum</t>
  </si>
  <si>
    <t>16.4</t>
  </si>
  <si>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 watering and compacting to the required density .</t>
  </si>
  <si>
    <t>16.5</t>
  </si>
  <si>
    <t>Laying water bound macadam sub-base with brick aggregate and binding material, earth etc. including screening, sorting and spreading to template and consolidation with light power road-roller etc. complete.(payment for brick aggregate and moorum etc. to be made separately)</t>
  </si>
  <si>
    <t>16.5.1</t>
  </si>
  <si>
    <t>16.5.2</t>
  </si>
  <si>
    <t>16.6</t>
  </si>
  <si>
    <t>Supplying, stacking and Spreading 6 mm thick red bajri, watering and rolling complete including preparation of the surface and rolling.</t>
  </si>
  <si>
    <t>16.6.1</t>
  </si>
  <si>
    <t>With road roller/ hand roller</t>
  </si>
  <si>
    <t>16.7</t>
  </si>
  <si>
    <t>Brick edging in full brick width and half brick depth including excavation, refilling and disposal of surplus earth lead upto 50 metres.</t>
  </si>
  <si>
    <t>16.7.1</t>
  </si>
  <si>
    <t>With common burnt clay F.P.S. (non modular) bricks of class designation 7.5</t>
  </si>
  <si>
    <t>16.8</t>
  </si>
  <si>
    <t>Brick edging laid lengthwise with half brick depth including excavation, refilling and disposal of surplus earth lead upto 50 metres :</t>
  </si>
  <si>
    <t>16.8.1</t>
  </si>
  <si>
    <t>16.9</t>
  </si>
  <si>
    <t>Scarifying metalled (water-bound) road surface including disposal of rubbish, lead upto 50 m and consolidation of the aggregate received from scarifying with power road roller of 8 to 10 tonne capacity.</t>
  </si>
  <si>
    <t>16.10</t>
  </si>
  <si>
    <t>Making bajri path including preparation of subgrade, supplying and laying brick aggregate of 50 mm nominal size 7.5 cm deep with blinding material consisting of 12 mm moorum and 12 mm red bajri consolidated with road roller.</t>
  </si>
  <si>
    <t>16.11</t>
  </si>
  <si>
    <t>Dry stone pitching 22.5 cm thick including supply of stones and preparing surface complete.</t>
  </si>
  <si>
    <t>16.12</t>
  </si>
  <si>
    <t>Dry brick pitching half brick thick in drains including supply of bricks and preparing the surface complete :</t>
  </si>
  <si>
    <t>16.12.1</t>
  </si>
  <si>
    <t>16.13</t>
  </si>
  <si>
    <t>Cutting road and making good the same including supply of extra quantities of materials i.e. aggregate, moorum screening, red bajri and labour required.</t>
  </si>
  <si>
    <t>16.13.1</t>
  </si>
  <si>
    <t>bituminous portion</t>
  </si>
  <si>
    <t>16.13.2</t>
  </si>
  <si>
    <t>Water bound macadam</t>
  </si>
  <si>
    <t>16.14</t>
  </si>
  <si>
    <t>Cutting bajri paths and making good the same including supply of extra quantities of brick aggregate, moorum and red bajri required.</t>
  </si>
  <si>
    <t>FENCING</t>
  </si>
  <si>
    <t>16.15</t>
  </si>
  <si>
    <t>Supplying at site :</t>
  </si>
  <si>
    <t>16.15.1</t>
  </si>
  <si>
    <t>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t>
  </si>
  <si>
    <t>16.15.2</t>
  </si>
  <si>
    <t>Welded steel wire fabric of required width having rectangular mesh painted with two or more coats of enamel paint of approved shade over a coat of primer (Priming &amp; Painting to be paid for separately).</t>
  </si>
  <si>
    <t>16.16</t>
  </si>
  <si>
    <t>Supplying and fixing turn buckles and straining bolts for barbed wire fencing.</t>
  </si>
  <si>
    <t>16.17</t>
  </si>
  <si>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t>
  </si>
  <si>
    <t>16.17.1</t>
  </si>
  <si>
    <t>With G.I. barbed wire</t>
  </si>
  <si>
    <t>16.18</t>
  </si>
  <si>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t>
  </si>
  <si>
    <t>16.18.1</t>
  </si>
  <si>
    <t>16.19</t>
  </si>
  <si>
    <t>Supplying at site Angle iron post &amp; strut of required size including bottom to be split and bent at right angle in opposite direction for 10 cm length and drilling holes upto 10 mm dia. etc. complete.</t>
  </si>
  <si>
    <t>16.20</t>
  </si>
  <si>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t>
  </si>
  <si>
    <t>ROAD SIGNS</t>
  </si>
  <si>
    <t>16.21</t>
  </si>
  <si>
    <t>Engraving letters in hard stone</t>
  </si>
  <si>
    <t>per cm height per letter</t>
  </si>
  <si>
    <t>16.22</t>
  </si>
  <si>
    <t>Providing and fixing 15x15x90 cm boundary stone of hard stone with top 30 cm chisel dressed on all four sides including top (cost of excavation, refilling and concrete etc. to be paid for separately).</t>
  </si>
  <si>
    <t>16.23</t>
  </si>
  <si>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t>
  </si>
  <si>
    <t>16.24</t>
  </si>
  <si>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</si>
  <si>
    <t>16.24.1</t>
  </si>
  <si>
    <t>35x111x25 cm size</t>
  </si>
  <si>
    <t>16.24.2</t>
  </si>
  <si>
    <t>50x152.5x25 cm size</t>
  </si>
  <si>
    <t>16.24.3</t>
  </si>
  <si>
    <t>35x93.5x18 cm size</t>
  </si>
  <si>
    <t>SURFACE DRESSING</t>
  </si>
  <si>
    <t>16.25</t>
  </si>
  <si>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t>
  </si>
  <si>
    <t>16.26</t>
  </si>
  <si>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t>
  </si>
  <si>
    <t>16.27</t>
  </si>
  <si>
    <t>Surface dressing on old surface with hot bitumen of grade VG - 10 of approved quality using 1.95 kg of bitumen per sqm with 1.50 cum of stone chippings 11.2 mm nominal size per 100 sqm of road surface, including consolidation with road roller of 6 to 8 tonne capacity, etc. complete.</t>
  </si>
  <si>
    <t>16.28</t>
  </si>
  <si>
    <t>Surface dressing one coat on new surface with bitumen of specified grade at a rate of 1.95 kg/sqm of surface area with 1.5 cum of stone chippings 13.2 mm nominal size per 100 sqm of road surface, including consolidation with road roller of 6 to 8 tonne capacity , etc. complete :</t>
  </si>
  <si>
    <t>16.28.1</t>
  </si>
  <si>
    <t>Using bitumen emulsion (minimum 50% bitumen content- RS grade conforming to IS : 8887)</t>
  </si>
  <si>
    <t>16.29</t>
  </si>
  <si>
    <t>Surface dressing one coat on old surface with bitumen of specified grade at the rate of 1.22 kg/ sqm of surface area with 1.10 cum of stone chippings 11.2 mm nominal size per 100 sqm of road surface, including consolidation with road roller of 6 to 8 tonne capacity etc. complete :</t>
  </si>
  <si>
    <t>16.29.1</t>
  </si>
  <si>
    <t>PREMIX CARPET</t>
  </si>
  <si>
    <t>16.30</t>
  </si>
  <si>
    <t>Providing and applying tack coat using hot straight run bitumen of grade VG - 10, including heating the bitumen, spraying the bitumen with mechanically operated spray unit fitted on bitumen boiler, cleaning and preparing the existing road surface as per specifications :</t>
  </si>
  <si>
    <t>16.30.1</t>
  </si>
  <si>
    <t>On W.B.M. @ 0.75 Kg / sqm</t>
  </si>
  <si>
    <t>16.30.2</t>
  </si>
  <si>
    <t>On bituminous surface @ 0.50 Kg / sqm</t>
  </si>
  <si>
    <t>16.31</t>
  </si>
  <si>
    <t>Providing and applying tack coat using bitumen emulsion conforming to IS:8887, using emulsion pressure distributer including preparing the surface &amp; cleaning with mechanical broom.</t>
  </si>
  <si>
    <t>16.31.1</t>
  </si>
  <si>
    <t>With rapid setting bitumen emulsion</t>
  </si>
  <si>
    <t>16.31.1.1</t>
  </si>
  <si>
    <t>On W.B.M / W.M.M. @ 0.4kg/sqm</t>
  </si>
  <si>
    <t>16.31.1.2</t>
  </si>
  <si>
    <t>On bituminous surface @ 0.25kg/sqm</t>
  </si>
  <si>
    <t>16.31.2</t>
  </si>
  <si>
    <t>With medium setting bitumen emulsion</t>
  </si>
  <si>
    <t>16.31.2.1</t>
  </si>
  <si>
    <t>16.31.2.2</t>
  </si>
  <si>
    <t>16.32</t>
  </si>
  <si>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</si>
  <si>
    <t>16.32.1</t>
  </si>
  <si>
    <t>With paving Asphalt grade VG - 10 heated and then mixed with solvent at the rate of 70 grams per kg of asphalt</t>
  </si>
  <si>
    <t>16.32.2</t>
  </si>
  <si>
    <t>With paving Asphalt grade VG - 30 with no solvent</t>
  </si>
  <si>
    <t>16.32.3</t>
  </si>
  <si>
    <t>With Refinery Modified Bitumen CRMB 55 conforming to IRC: SP: 53</t>
  </si>
  <si>
    <t>16.33</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</si>
  <si>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</si>
  <si>
    <t>16.33.1</t>
  </si>
  <si>
    <t>16.33.2</t>
  </si>
  <si>
    <t>16.33.3</t>
  </si>
  <si>
    <t>16.34</t>
  </si>
  <si>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t>
  </si>
  <si>
    <t>16.35</t>
  </si>
  <si>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</si>
  <si>
    <t>16.36</t>
  </si>
  <si>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t>
  </si>
  <si>
    <t>16.36.1</t>
  </si>
  <si>
    <t>For 50mm compacted thickness using coarse aggregate of size 50-20 mm graded @ 0.60 cum per 10 sqm key aggregate of size 12.5 mm graded @ 0.15 cum per 10 sqm With paving asphalt grade VG - 10 @ 50 kg/ 10 sqm</t>
  </si>
  <si>
    <t>16.36.2</t>
  </si>
  <si>
    <t>For 75 mm compacted thickness in two layers using stone aggregate of size 63-41 mm graded @ 0.90 cum per 10 sqm key aggregate of size 20.0 mm graded @ 0.18 cum per 10 sqm With paving asphalt grade VG - 10 @ 68 kg/10 sqm</t>
  </si>
  <si>
    <t>16.37</t>
  </si>
  <si>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t>
  </si>
  <si>
    <t>16.37.1</t>
  </si>
  <si>
    <t>16.37.2</t>
  </si>
  <si>
    <t>16.38</t>
  </si>
  <si>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t>
  </si>
  <si>
    <t>16.38.1</t>
  </si>
  <si>
    <t>16.38.2</t>
  </si>
  <si>
    <t>With paving Asphalt grade VG - 30</t>
  </si>
  <si>
    <t>16.38.3</t>
  </si>
  <si>
    <t>With Refinery Modified Bitumen CRMB 55 conforming to IRC: SP : 53</t>
  </si>
  <si>
    <t>16.39</t>
  </si>
  <si>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t>
  </si>
  <si>
    <t>16.39.1</t>
  </si>
  <si>
    <t>16.39.2</t>
  </si>
  <si>
    <t>With paving asphalt grade VG - 30 with no solvent</t>
  </si>
  <si>
    <t>16.39.3</t>
  </si>
  <si>
    <t>SEAL COAT</t>
  </si>
  <si>
    <t>16.40</t>
  </si>
  <si>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t>
  </si>
  <si>
    <t>16.41</t>
  </si>
  <si>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t>
  </si>
  <si>
    <t>Note: Seal coat items to be operated only with the prior approval of chief Engineer concerned.</t>
  </si>
  <si>
    <t>CONCRETE PAVEMENTS</t>
  </si>
  <si>
    <t>16.42</t>
  </si>
  <si>
    <t>Cement concrete 1:2:4 (1 cement : 2 coarse sand : 4 graded stone aggregate 40 mm nominal size) in pavements, laid to required slope and camber in panels as required including consolidation finishing and tamping complete.</t>
  </si>
  <si>
    <t>16.43</t>
  </si>
  <si>
    <t xml:space="preserve">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t>
  </si>
  <si>
    <t xml:space="preserve">Note:- Cement content considered in M-30 is @ 340 kg/cum. Excess/ less cement used as per design mix is payable/ recoverable separately. </t>
  </si>
  <si>
    <t>16.43.1</t>
  </si>
  <si>
    <t>Cement concrete prepared with batch mixing machine</t>
  </si>
  <si>
    <t>16.43.2</t>
  </si>
  <si>
    <t>Cement concrete manufactured in automatic batching plant (RMC plant) i/c transportation to site in transit mixer</t>
  </si>
  <si>
    <t>16.44</t>
  </si>
  <si>
    <t>Extra for providing and mixing hardening compound of approved quality as per manufacturer's specification in cement concrete.</t>
  </si>
  <si>
    <t>16.45</t>
  </si>
  <si>
    <t>Providing and fixing pre-moulded joint filler in expansion joints of RCC roads / CC pavements after making the joints dust free with high pressure air jet cleaners, all complete as per direction of the Engineer-in-Charge. (Pre-moulded joint fillers shall be made of bitumen hot sealing compound impregnated fibre board having impregnation more than 35%, conforming to IS:1838 for fibre board and IS: 1834 for hot sealing bitumen compound grade A.)</t>
  </si>
  <si>
    <t>per cm depth per cm width per metre length</t>
  </si>
  <si>
    <t>16.46</t>
  </si>
  <si>
    <t>Providing and filling in position rubberized bitumen hot sealing compound for sealing of expansion joints  in roads / pavements all complete as per direction of the Engineer-in-Charge.</t>
  </si>
  <si>
    <t>16.46.1</t>
  </si>
  <si>
    <t>PAINTING AREA/RUNWAY MARKING</t>
  </si>
  <si>
    <t>16.47</t>
  </si>
  <si>
    <t>Painting runway/taxi track/apron marking with adequate nos of coats to give uniform finish with road marking paint of superior make as approved by the Engineer-in-charge, i/c cleaning the surface of ail dirt, scales, oil, grease and other foreign material etc. and lining out complete.</t>
  </si>
  <si>
    <t>16.47.1</t>
  </si>
  <si>
    <t>New work (Two or more coats)</t>
  </si>
  <si>
    <t>16.47.2</t>
  </si>
  <si>
    <t>Old work (One or more coats)</t>
  </si>
  <si>
    <t>16.48</t>
  </si>
  <si>
    <t>Painting road surface marking with adequate nos of coats to give uniform finish with ready mixed road marking paint conforming to IS : 164, on bituminous surface in white/yellow shade, including cleaning the surface of all dirt, scales, oil, grease and foreign material etc. complete.</t>
  </si>
  <si>
    <t>16.48.1</t>
  </si>
  <si>
    <t>16.48.2</t>
  </si>
  <si>
    <t>16.49</t>
  </si>
  <si>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t>
  </si>
  <si>
    <t>16.50</t>
  </si>
  <si>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t>
  </si>
  <si>
    <t>16.51</t>
  </si>
  <si>
    <t>Preparation of sub-base road pavement with commercial dry lime (slaked), fly ash stabilised soil with a mix of 3% lime, 12% fly ash and 85% local suitable soil by weight, so as to achieve minimum field C.B.R. of 20, including mixing, rolling with road roller curing etc. all complete.</t>
  </si>
  <si>
    <t>16.51.1</t>
  </si>
  <si>
    <t>Minimum thickness 15 cm</t>
  </si>
  <si>
    <t>16.52</t>
  </si>
  <si>
    <t>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t>
  </si>
  <si>
    <t>16.53</t>
  </si>
  <si>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Engineer-in-charge, with reinforced barbed tape(R.B.T.) / Spring core (2.5mm thick) wire of high tensile strength of 165 kg/ sq.mm with tape (0.52 mm thick) and weight 43.478 gm/ metre (cost of M.S. angle, C.C. blocks shall be paid separately)</t>
  </si>
  <si>
    <t>16.54</t>
  </si>
  <si>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</si>
  <si>
    <t>16.54.1</t>
  </si>
  <si>
    <t>50 to 100 mm average compacted thickness with bitumen of grade VG-30 @ 5% (percentage by weight of total mix) and lime filler @ 2% (percentage by weight of Aggregate) prepared in Batch Type Hot Mix Plant of 100-120 TPH capacity.</t>
  </si>
  <si>
    <t>16.54.2</t>
  </si>
  <si>
    <t>50 to 100 mm average compacted thickness with bitumen of grade VG-30 @ 5% (percentage by weight of total mix) and lime filler @ 2% (percentage by weight of Aggregate) prepared in Drum Type Hot Mix Plant of 60-90 TPH capacity.</t>
  </si>
  <si>
    <t>16.55</t>
  </si>
  <si>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</si>
  <si>
    <t>16.55.1</t>
  </si>
  <si>
    <t>50 to 100 mm average compacted thickness with bitumen of grade VG-30 @ 3.50% (percentage by weight of  total mix) prepared in Batch Type Hot Mix Plant of 100-120 TPH capacity.</t>
  </si>
  <si>
    <t>16.55.2</t>
  </si>
  <si>
    <t>50 to 100 mm average compacted thickness with bitumen of grade VG-30 @ 3.50% (percentage by weight of   total mix) prepared in  Drum Type Hot Mix Plant of 60-90 TPH capacity.</t>
  </si>
  <si>
    <t>16.56</t>
  </si>
  <si>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</si>
  <si>
    <t>16.56.1</t>
  </si>
  <si>
    <t>25 mm compacted thickness with bitumen of grade VG-30 @ 5% (percentage by weight of total mix) and lime filler @ 2% (percentage by weight of Aggregate) prepared in Batch Type Hot Mix Plant of 100-120 TPH capacity.</t>
  </si>
  <si>
    <t>16.56.2</t>
  </si>
  <si>
    <t>25 mm compacted thickness with bitumen of grade VG-30 @ 5% (percentage by weight of total mix) and lime filler @ 2% (percentage by weight of Aggregate) prepared in Drum Type Hot Mix Plant of 60-90 TPH capacity.</t>
  </si>
  <si>
    <t>16.57</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</si>
  <si>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</si>
  <si>
    <t>16.57.1</t>
  </si>
  <si>
    <t>40/50 mm compacted thickness with bitumen of grade VG-30 @ 5.5% (percentage by weight of total mix) and lime filler @ 3% (percentage by weight of Aggregate) prepared in Batch Type Hot Mix Plant of 100-120 TPH capacity.</t>
  </si>
  <si>
    <t>16.57.2</t>
  </si>
  <si>
    <t>40/50 mm compacted thickness with bitumen of grade VG-30 @ 5.5% (percentage by weight of total mix) and lime filler @ 3% (percentage by weight of Aggregate) and waste plastic additive @ 8% (percentage by weight of bitumen) prepared in Batch Type Hot Mix Plant of 100- 120 TPH capacity.</t>
  </si>
  <si>
    <t>16.57.3</t>
  </si>
  <si>
    <t>40/50 mm compacted thickness with bitumen of grade PMB-40 @ 5.5% (percentage by weight of total mix) and lime filler @ 3% (percentage by weight of Aggregate) prepared in Batch Type Hot Mix Plant of 100-120 TPH capacity.</t>
  </si>
  <si>
    <t>16.57.4</t>
  </si>
  <si>
    <t>40/50 mm compacted thickness with bitumen of grade CRMB-60 @ 5.5% (percentage by weight of total mix) and lime filler @ 3% (percentage by weight of Aggregate) prepared in Batch Type Hot Mix Plant of 100-120 TPH capacity.</t>
  </si>
  <si>
    <t>16.57.5</t>
  </si>
  <si>
    <t>40/50 mm compacted thickness with bitumen of grade VG-30 @ 5.5% (percentage by weight of total mix) and lime filler @ 3% (percentage by weight of Aggregate) prepared in drum Type Hot Mix Plant of 60-90 TPH capacity.</t>
  </si>
  <si>
    <t>16.57.6</t>
  </si>
  <si>
    <t>40/50 mm compacted thickness with bitumen of grade VG-30 @ 5.5% (percentage by weight of total mix) and lime filler @ 3% (percentage by weight of Aggregate) and waste plastic additive @ 8% (percentage by weight of bitumen) prepared in drum Type Hot Mix Plant of 60-90 TPH capacity.</t>
  </si>
  <si>
    <t>16.57.7</t>
  </si>
  <si>
    <t>40/50 mm compacted thickness with bitumen of grade PMB-40 @ 5.5% (percentage by weight of total mix) and lime filler @ 3% (percentage by weight of Aggregate) prepared in drum Type Hot Mix Plant of 60-90 TPH capacity.</t>
  </si>
  <si>
    <t>16.57.8</t>
  </si>
  <si>
    <t>40/50 mm compacted thickness with bitumen of grade CRMB-60 @ 5.5% (percentage by weight of total mix) and lime filler @ 3% (percentage by weight of Aggregate) prepared in Drum Type Hot Mix Plant of 60-90 TPH capacity.</t>
  </si>
  <si>
    <t>16.59</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</si>
  <si>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t>
  </si>
  <si>
    <t>16.59.1</t>
  </si>
  <si>
    <t>Mandatory/ Regulatory sign boards of 900 mm diametre with support length of 3750 mm</t>
  </si>
  <si>
    <t>16.59.2</t>
  </si>
  <si>
    <t>Cautionary /warning sign boards of equilateral triangular shape having each side of 900 mm with support length of 3650 mm</t>
  </si>
  <si>
    <t>16.60</t>
  </si>
  <si>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engineer-in-charge.(Structural frame work including M.S. plate to be provided separately. Rectangular area of the sheet only shall be measured for payment).</t>
  </si>
  <si>
    <t>16.60.1</t>
  </si>
  <si>
    <t>Overhead informatory road signage</t>
  </si>
  <si>
    <t>16.61</t>
  </si>
  <si>
    <t>Providing Retro-reflective regulatory sign board of size 900 mm dia metre made out of 2 mm thick aluminium sheet, face to be fully covered with high intensity encapsulated lens type retro -reflective sheeting as approved by Engineer-in-charge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t>
  </si>
  <si>
    <t>16.62</t>
  </si>
  <si>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t>
  </si>
  <si>
    <t>16.63</t>
  </si>
  <si>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t>
  </si>
  <si>
    <t>16.64</t>
  </si>
  <si>
    <t>Providing and laying 75 mm thick compacted bed of dry brick aggregate of 40 mm thick nominal size including spreading, well ramming, consolidating and grouting with jamuna sand, including finishing smooth etc. complete as per direction of Engineer-in-charge.</t>
  </si>
  <si>
    <t>16.65</t>
  </si>
  <si>
    <t>Providing and fixing post delineators made of ABS round body fitted with 2 nos 100 mm dia high reflective reflectors and mounted on MS pipe of 65 mm dia duly powder coated anti-rust and anti theft steel to be installed as per direction of Engineer-in-charge.</t>
  </si>
  <si>
    <t>16.66</t>
  </si>
  <si>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t>
  </si>
  <si>
    <t>16.66.1</t>
  </si>
  <si>
    <t>All kind of soil</t>
  </si>
  <si>
    <t>16.67</t>
  </si>
  <si>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t>
  </si>
  <si>
    <t>16.68</t>
  </si>
  <si>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</si>
  <si>
    <t>16.69</t>
  </si>
  <si>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to calculate volume for payment). (Precast C.C. kerb stone shall be approved by Engineer-in-charge).</t>
  </si>
  <si>
    <t>16.70</t>
  </si>
  <si>
    <t>Providing and fixing G.I. chain link fabric fencing of required width in mesh size 50x50 mm including strengthening with 2 mm dia wire or nuts, bolts and washers as required complete as per the direction of Engineer-in-charge.</t>
  </si>
  <si>
    <t>16.70.1</t>
  </si>
  <si>
    <t>Made of G.I. wire of dia 4 mm</t>
  </si>
  <si>
    <t>16.70.2</t>
  </si>
  <si>
    <t>Made of G.I. wire of dia. 4 mm, PVC coated to achieve outer dia not less than 5 mm in required colour and shade</t>
  </si>
  <si>
    <t>16.71</t>
  </si>
  <si>
    <t>Providing and fixing G.I. chain link fabric fencing of required width in mesh size 25x25 mm made of G.I. wire of dia 3 mm including strengthening with 2 mm dia wire or nuts, bolts and washers as required complete as per the direction of Engineer-in-charge.</t>
  </si>
  <si>
    <t>16.72</t>
  </si>
  <si>
    <t>Supplying and stacking of hard stone (for stone pitching) 22.5 cm thick at site.</t>
  </si>
  <si>
    <t>16.73</t>
  </si>
  <si>
    <t>Dry stone pitching 22.5 cm thick laid in courses and required profile with hammer dressed stones having no side less than 15 cm, with minimum depth of 20 cm including preparing the bedding surface etc. all complete. (Payment for Stone to be made separately).</t>
  </si>
  <si>
    <t>16.74</t>
  </si>
  <si>
    <t>75 mm thick back filling for pitching including supplying of required materials and consolidation etc. complete with :</t>
  </si>
  <si>
    <t>16.74.1</t>
  </si>
  <si>
    <t>16.74.2</t>
  </si>
  <si>
    <t>Stone aggregate 20 mm nominal size</t>
  </si>
  <si>
    <t>16.74.3</t>
  </si>
  <si>
    <t>Stone aggregate 40 mm nominal size</t>
  </si>
  <si>
    <t>16.75</t>
  </si>
  <si>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(Note:- Cement content considered in this item is @ 330 kg/cum. Excess/less cement used as per design mix is payable/ recoverable separately).</t>
  </si>
  <si>
    <t>16.76</t>
  </si>
  <si>
    <t>Deduct for using of M-20 grade concrete instead of M-25 grade concrete in C.C. pavement.</t>
  </si>
  <si>
    <t>16.77</t>
  </si>
  <si>
    <t>Scarifying the existing bituminous road surface to a depth of 50 mm and disposal of scarified material within all lifts and lead upto 1km (by mechanical means).</t>
  </si>
  <si>
    <t>16.78</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</si>
  <si>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t>
  </si>
  <si>
    <t>16.78.1</t>
  </si>
  <si>
    <t>With material conforming to Grade-I (size range 75 mm to 0.075 mm) having CBR Value-30</t>
  </si>
  <si>
    <t>16.78.2</t>
  </si>
  <si>
    <t>With material conforming to Grade-II (size range 53 mm to 0.075 mm ) having CBR Value-25</t>
  </si>
  <si>
    <t>16.78.3</t>
  </si>
  <si>
    <t>With material conforming to Grade-III (size range 26.5 mm to 0.075 mm ) having CBR Value-20</t>
  </si>
  <si>
    <t>16.79</t>
  </si>
  <si>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t>
  </si>
  <si>
    <t>16.80</t>
  </si>
  <si>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t>
  </si>
  <si>
    <t>16.81</t>
  </si>
  <si>
    <t xml:space="preserve">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drawing/direction of Engineer-in-Charge which includes writing and painting, arrangement for traffic diversion such as traffic signals during construction at site for day and night, glow lamps, reflective signs, marking, flags, caution tape as directed by the Engineer-in-Charge.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(Note :- One time payment shall be made for providing barricading from start of work till completion of work i/c shifting. The barricading provided shall remain to be the property of the contractor on completion of the work). </t>
  </si>
  <si>
    <t>16.82</t>
  </si>
  <si>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t>
  </si>
  <si>
    <t>16.83</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</si>
  <si>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t>
  </si>
  <si>
    <t>16.84</t>
  </si>
  <si>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t>
  </si>
  <si>
    <t>16.85</t>
  </si>
  <si>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t>
  </si>
  <si>
    <t>16.86</t>
  </si>
  <si>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t>
  </si>
  <si>
    <t>16.86.1</t>
  </si>
  <si>
    <t>With granite stone of area less than 0.50 sqm</t>
  </si>
  <si>
    <t>16.87</t>
  </si>
  <si>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t>
  </si>
  <si>
    <t>16.87.1</t>
  </si>
  <si>
    <t>With granite stone of colour black, cherry/ruby red of area less than 0.50 sqm</t>
  </si>
  <si>
    <t>16.87.2</t>
  </si>
  <si>
    <t>With granite stone of all colour except black, cherry/ruby red of area less than 0.50 sqm</t>
  </si>
  <si>
    <t>16.88</t>
  </si>
  <si>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t>
  </si>
  <si>
    <t>16.89</t>
  </si>
  <si>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t>
  </si>
  <si>
    <t>16.90</t>
  </si>
  <si>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t>
  </si>
  <si>
    <t>16.91</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</si>
  <si>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t>
  </si>
  <si>
    <t>16.91.1</t>
  </si>
  <si>
    <t>60mm thick cement concrete paver block of M-35 grade with approved colour, design &amp; pattern.</t>
  </si>
  <si>
    <t>16.91.2</t>
  </si>
  <si>
    <t>80 mm thick C.C. paver block of M-35 grade with approved colour design and pattern.</t>
  </si>
  <si>
    <t>16.92</t>
  </si>
  <si>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t>
  </si>
  <si>
    <t>16.93</t>
  </si>
  <si>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t>
  </si>
  <si>
    <t>16.94</t>
  </si>
  <si>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metre of mesh perpendicular to twist, tying with lacing wire of diameter 2.2mm, supplied @ 3% by weight of Gabion boxes, filled with boulders with least dimension of 200 mm, as per drawing, all complete as per direction of Engineer-in-charge.</t>
  </si>
  <si>
    <t>16.95</t>
  </si>
  <si>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metre of mesh perpendicular to twist, tying with lacing wire of diameter 2.2/3.2mm(ID/OD), supplied @3% by weight of Gabion boxes, filled with boulders with least dimension of 200 mm,  as per drawing, all complete as per directions of Engineer-in-charge.</t>
  </si>
  <si>
    <t>16.96</t>
  </si>
  <si>
    <t>Providing &amp; making Gabion structure with Mechanically Woven Double Twisted Hexagonal Shaped Wire mesh Gabion Boxes as per IS 16014:2012,MORTH Clause 2500, of required size, Mesh Type 10x12(D=100 mm with tolerance of ±2%), Zinic+10% Al alloy+PVC coated, Mesh wire diameter 2.7/3.7mm (ID/OD), mechanically edged/selvedged with partitions at every 1m interval and shall have minimum 10 numbers of openings per metre of mesh perpendicular to twist, tying with lacing wire of diameter 2.2/3.2mm(ID/OD), supplied @3% by weight of Gabion boxes, filled with boulders with least dimension of 200 mm, as per drawing, all complete as per directions of Engineer-in-charge.</t>
  </si>
  <si>
    <t>17.0 SANITARY INSTALLATIONS</t>
  </si>
  <si>
    <t>17.1</t>
  </si>
  <si>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t>
  </si>
  <si>
    <t>17.1.1</t>
  </si>
  <si>
    <t>White Vitreous china Orissa pattern W.C. pan of size 580x440 mm with integral type foot rests</t>
  </si>
  <si>
    <t>17.1.2</t>
  </si>
  <si>
    <t>Stainless Steel AISI-304(18/8) Orissa pattern W.C. pan of size 585x480 mm with flush pipe and integrated type foot rests</t>
  </si>
  <si>
    <t>17.2</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</si>
  <si>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t>
  </si>
  <si>
    <t>17.2.1</t>
  </si>
  <si>
    <t>W.C. pan with ISI marked white solid plastic seat and lid</t>
  </si>
  <si>
    <t>17.2.2</t>
  </si>
  <si>
    <t>W.C. pan with ISI marked black solid plastic seat and lid</t>
  </si>
  <si>
    <t>17.3</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</si>
  <si>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</si>
  <si>
    <t>17.3.1</t>
  </si>
  <si>
    <t>17.3.2</t>
  </si>
  <si>
    <t>17.4</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</si>
  <si>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</si>
  <si>
    <t>17.4.1</t>
  </si>
  <si>
    <t>One urinal basin with 5 litre white P.V.C. automatic flushing cistern</t>
  </si>
  <si>
    <t>17.4.2</t>
  </si>
  <si>
    <t>Range of two urinal basins with 5 litre white P.V.C. automatic flushing cistern</t>
  </si>
  <si>
    <t>17.4.3</t>
  </si>
  <si>
    <t>Range of three urinal basins with 10litre white P.V.C. automatic flushing cistern</t>
  </si>
  <si>
    <t>17.4.4</t>
  </si>
  <si>
    <t>Range of four urinal basins with 10 litre white P.V.C. automatic flushing cistern</t>
  </si>
  <si>
    <t>17.5</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</si>
  <si>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</si>
  <si>
    <t>17.5.1</t>
  </si>
  <si>
    <t>Single half stall urinal with 5 litre P.V.C. automatic flushing cistern</t>
  </si>
  <si>
    <t>17.5.2</t>
  </si>
  <si>
    <t>Range of two half stall urinals with 5 litre P.V.C. automatic flushing cistern</t>
  </si>
  <si>
    <t>17.5.3</t>
  </si>
  <si>
    <t>Range of three half stall urinals with 10 litre P.V.C. automatic flushing cistern</t>
  </si>
  <si>
    <t>17.5.4</t>
  </si>
  <si>
    <t>Range of four half stall urinals with 10 litre P.V.C. automatic flushing cistern</t>
  </si>
  <si>
    <t>17.6</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</si>
  <si>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</si>
  <si>
    <t>17.6.1</t>
  </si>
  <si>
    <t>Single squatting plate with 5 litre P.V.C. automatic flushing cistern</t>
  </si>
  <si>
    <t>17.6.2</t>
  </si>
  <si>
    <t>Range of two squatting plates with 5 litre P.V.C. automatic flushing cistern</t>
  </si>
  <si>
    <t>17.6.3</t>
  </si>
  <si>
    <t>Range of three squatting plates with 10 litre P.V.C. automatic flushing cistern</t>
  </si>
  <si>
    <t>17.6.4</t>
  </si>
  <si>
    <t>Range of four squatting plates with 10 litre P.V.C. automatic flushing cistern</t>
  </si>
  <si>
    <t>17.7</t>
  </si>
  <si>
    <t>Providing and fixing wash basin with C.I. brackets, 15 mm C.P. brass pillar taps, 32 mm C.P. brass waste of standard pattern, including painting of fittings and brackets, cutting and making good the walls wherever require:</t>
  </si>
  <si>
    <t>17.7.1</t>
  </si>
  <si>
    <t>White Vitreous China Wash basin size 630x450 mm with a pair of 15 mm C.P. brass pillar taps</t>
  </si>
  <si>
    <t>17.7.2</t>
  </si>
  <si>
    <t>White Vitreous China Wash basin size 630x450 mm with a single 15 mm C.P. brass pillar tap</t>
  </si>
  <si>
    <t>17.7.3</t>
  </si>
  <si>
    <t>White Vitreous China Wash basin size 550x400 mm with a pair of 15 mm C.P. brass pillar taps</t>
  </si>
  <si>
    <t>17.7.4</t>
  </si>
  <si>
    <t>White Vitreous China Flat back wash basin size 550x 400 mm with single 15 mm C.P. brass pillar tap</t>
  </si>
  <si>
    <t>17.7.5</t>
  </si>
  <si>
    <t>White Vitreous China Angle back wash basin size 600 x 480 mm with single 15mm C.P. brass pillar tap</t>
  </si>
  <si>
    <t>17.7.6</t>
  </si>
  <si>
    <t>White Vitreous China Angle back wash basin size 400 x 400 mm with single 15 mm C.P. brass pillar tap</t>
  </si>
  <si>
    <t>17.7.7</t>
  </si>
  <si>
    <t>White Vitreous China Flat back wash basin size 450x 300 mm with single 15mm C.P. brass pillar tap</t>
  </si>
  <si>
    <t>17.7.8</t>
  </si>
  <si>
    <t>White Vitreous China Surgeon type wash basin of size 660x460 mm with a pair of 15 mm C.P. brass pillar taps with elbow including operated levers</t>
  </si>
  <si>
    <t>17.7.9</t>
  </si>
  <si>
    <t>White Vitreous China Surgeon type wash basin of size 660x460 mm with single 15 mm C.P. brass pillar taps with elbow operated levers ISI Marked</t>
  </si>
  <si>
    <t>17.7.10</t>
  </si>
  <si>
    <t>Stainless Steel AISI-304(18/8) Round basin 405x355 mm with single 15 mm C.P. brass pillar tap</t>
  </si>
  <si>
    <t>17.7.11</t>
  </si>
  <si>
    <t>Stainless Steel AISI-304(18/8) Wash basin 530x345 mm with single 15 mm C.P. brass pillar tap</t>
  </si>
  <si>
    <t>17.7A</t>
  </si>
  <si>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t>
  </si>
  <si>
    <t>17.7B</t>
  </si>
  <si>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t>
  </si>
  <si>
    <t>17.8</t>
  </si>
  <si>
    <t>Providing and fixing white vitreous china pedestal for wash basin completely recessed at the back for the reception of pipes and fittings.</t>
  </si>
  <si>
    <t>17.9</t>
  </si>
  <si>
    <t>Providing and fixing kitchen sink with C.I. brackets, C.P. brass chain with rubber plug, 40 mm C.P. brass waste complete, including painting the fittings and brackets, cutting and making good the walls wherever required:</t>
  </si>
  <si>
    <t>17.9.1</t>
  </si>
  <si>
    <t>White glazed fire clay kitchen sink of size 600x450x 250 mm</t>
  </si>
  <si>
    <t>17.10</t>
  </si>
  <si>
    <t>Providing and fixing Stainless Steel A ISI 304 (18/8) kitchen sink as per IS:13983 with C.I. brackets and stainless steel plug 40 mm, including painting of fittings and brackets, cutting and making good the walls wherever required :</t>
  </si>
  <si>
    <t>17.10.1</t>
  </si>
  <si>
    <t>Kitchen sink with drain board</t>
  </si>
  <si>
    <t>17.10.1.1</t>
  </si>
  <si>
    <t>510x1040 mm bowl depth 250 mm</t>
  </si>
  <si>
    <t>17.10.1.2</t>
  </si>
  <si>
    <t>510x1040 mm bowl depth 225 mm</t>
  </si>
  <si>
    <t>17.10.1.3</t>
  </si>
  <si>
    <t>510x1040 mm bowl depth 200 mm</t>
  </si>
  <si>
    <t>17.10.1.4</t>
  </si>
  <si>
    <t>510x1040 mm bowl depth 178 mm</t>
  </si>
  <si>
    <t>17.10.2</t>
  </si>
  <si>
    <t>Kitchen sink without drain board</t>
  </si>
  <si>
    <t>17.10.2.1</t>
  </si>
  <si>
    <t>610x510 mm bowl depth 200 mm</t>
  </si>
  <si>
    <t>17.10.2.2</t>
  </si>
  <si>
    <t>610x460 mm bowl depth 200 mm</t>
  </si>
  <si>
    <t>17.10.2.3</t>
  </si>
  <si>
    <t>470x420 mm bowl depth 178 mm</t>
  </si>
  <si>
    <t>17.11</t>
  </si>
  <si>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t>
  </si>
  <si>
    <t>17.11.1</t>
  </si>
  <si>
    <t>Size 450x300x150 mm</t>
  </si>
  <si>
    <t>17.11.2</t>
  </si>
  <si>
    <t>Size 600x450x200 mm</t>
  </si>
  <si>
    <t>17.12</t>
  </si>
  <si>
    <t>Providing and fixing draining board with C.I. brackets including painting of brackets, cutting and making good the walls wherever required :</t>
  </si>
  <si>
    <t>17.12.1</t>
  </si>
  <si>
    <t>White glazed fire clay draining board of size 600x450x 25 mm</t>
  </si>
  <si>
    <t>17.13</t>
  </si>
  <si>
    <t>Providing and fixing white vitreous china water closet squatting pan (Indian type) :</t>
  </si>
  <si>
    <t>17.13.1</t>
  </si>
  <si>
    <t>Long pattern W.C. pan of size 580 mm</t>
  </si>
  <si>
    <t>17.13.2</t>
  </si>
  <si>
    <t>Orissa pattern W.C. pan of size 580x440 mm</t>
  </si>
  <si>
    <t>17.14</t>
  </si>
  <si>
    <t>Extra for using coloured W.C. pan instead of white W.C. pan :</t>
  </si>
  <si>
    <t>17.14.1</t>
  </si>
  <si>
    <t>Orissa pattern W.C. pan 580x440 mm</t>
  </si>
  <si>
    <t>17.15</t>
  </si>
  <si>
    <t>Providing and fixing white vitreous china pedestal type (European type/ wash down type) water closet pan.</t>
  </si>
  <si>
    <t>17.16</t>
  </si>
  <si>
    <t>Extra for using coloured pedestal type W.C pan (European type) with low level cistern of same colour instead of white vitreous china W.C pan and cistern.</t>
  </si>
  <si>
    <t>17.16A</t>
  </si>
  <si>
    <t>Providing and fixing 8 mm dia C.P. / S.S. Jet with flexible tube upto 1 metre long with S.S. triangular plate to Eureopean type W.C. of quality and make as approved by Engineer - in - charge.</t>
  </si>
  <si>
    <t>17.17</t>
  </si>
  <si>
    <t>Providing and fixing a pair of white vitreous china foot rests of standard pattern for squatting pan water closet :</t>
  </si>
  <si>
    <t>17.17.1</t>
  </si>
  <si>
    <t>250x130x30 mm</t>
  </si>
  <si>
    <t>17.17.2</t>
  </si>
  <si>
    <t>250x125x25 mm</t>
  </si>
  <si>
    <t>17.18</t>
  </si>
  <si>
    <t>Providing and fixing P.V.C. low level flushing cistern with manually controlled device (handle lever) conforming to IS : 7231, with all fittings and fixtures complete.</t>
  </si>
  <si>
    <t>17.18.1</t>
  </si>
  <si>
    <t>10 litre capacity - White</t>
  </si>
  <si>
    <t>17.18.2</t>
  </si>
  <si>
    <t>10 litre capacity - coloured</t>
  </si>
  <si>
    <t>17.19</t>
  </si>
  <si>
    <t>Providing and fixing controlled flush, low level cistern made of vitreous china with all fittings complete.</t>
  </si>
  <si>
    <t>17.19.1</t>
  </si>
  <si>
    <t>10 litre (full flush) capacity-white</t>
  </si>
  <si>
    <t>17.19.2</t>
  </si>
  <si>
    <t>10 litre (full flush) capacity-coloured</t>
  </si>
  <si>
    <t>17.20</t>
  </si>
  <si>
    <t>Providing and fixing solid plastic seat with lid for pedestal type W.C. pan complete :</t>
  </si>
  <si>
    <t>17.20.1</t>
  </si>
  <si>
    <t>White solid plastic seat with lid</t>
  </si>
  <si>
    <t>17.20.2</t>
  </si>
  <si>
    <t>Black solid plastic seat with lid</t>
  </si>
  <si>
    <t>17.20.3</t>
  </si>
  <si>
    <t>Coloured (other than black &amp; white) solid plastic seat with lid</t>
  </si>
  <si>
    <t>17.22</t>
  </si>
  <si>
    <t>Providing and fixing G.I. inlet connection for flush pipe connecting with W.C. pan.</t>
  </si>
  <si>
    <t>17.22A</t>
  </si>
  <si>
    <t>Providing and fixing CP Brass 32mm size Bottle Trap of approved quality &amp; make and as per the direction of Engineer-in-charge.</t>
  </si>
  <si>
    <t>17.22B</t>
  </si>
  <si>
    <t>Providing and fixing CP Brass Single lever telephonic wall mixer of quality &amp; make   as approved by Engineer in charge. (a) 15 mm nominal dia</t>
  </si>
  <si>
    <t>17.23</t>
  </si>
  <si>
    <t>Providing and fixing white vitreous china flat back or wall corner type lipped front urinal basin of 430x260x350 mm or 340x410x265 mm sizes respectively.</t>
  </si>
  <si>
    <t>17.24</t>
  </si>
  <si>
    <t>Providing and fixing white vitreous china squatting plate urinal with integral rim longitudinal flush pipe.</t>
  </si>
  <si>
    <t>17.25</t>
  </si>
  <si>
    <t>Providing and fixing white vitreous china wash basin including making all connections but excluding the cost of fittings :</t>
  </si>
  <si>
    <t>17.25.1</t>
  </si>
  <si>
    <t>Flat back wash basin of size 630x450 mm</t>
  </si>
  <si>
    <t>17.25.2</t>
  </si>
  <si>
    <t>Flat back wash basin of size 550x400 mm</t>
  </si>
  <si>
    <t>17.25.3</t>
  </si>
  <si>
    <t>Angle back wash basin of size 600x480 mm</t>
  </si>
  <si>
    <t>17.25.4</t>
  </si>
  <si>
    <t>Angle back wash basin of size 400x400 mm</t>
  </si>
  <si>
    <t>17.25.5</t>
  </si>
  <si>
    <t>Flat back wash basin of size 450x300 mm</t>
  </si>
  <si>
    <t>17.25.6</t>
  </si>
  <si>
    <t>Surgeon type wash basin of size 660x460 mm</t>
  </si>
  <si>
    <t>17.26</t>
  </si>
  <si>
    <t>Providing and fixing kitchen sink including making all connections excluding cost of fittings.</t>
  </si>
  <si>
    <t>17.26.1</t>
  </si>
  <si>
    <t>White glazed fire clay sink of size 600x450x250 mm</t>
  </si>
  <si>
    <t>17.27</t>
  </si>
  <si>
    <t>Providing and fixing white vitreous china laboratory sink including making all connections excluding cost of fittings :</t>
  </si>
  <si>
    <t>17.27.1</t>
  </si>
  <si>
    <t>17.27.2</t>
  </si>
  <si>
    <t>17.28</t>
  </si>
  <si>
    <t>Providing and fixing P.V.C. waste pipe for sink or wash basin including P.V.C. waste fittings complete.</t>
  </si>
  <si>
    <t>17.28.1</t>
  </si>
  <si>
    <t>Semi rigid pipe</t>
  </si>
  <si>
    <t>17.28.1.1</t>
  </si>
  <si>
    <t>17.28.1.2</t>
  </si>
  <si>
    <t>17.28.2</t>
  </si>
  <si>
    <t>Flexible pipe</t>
  </si>
  <si>
    <t>17.28.2.1</t>
  </si>
  <si>
    <t>17.28.2.2</t>
  </si>
  <si>
    <t>17.29</t>
  </si>
  <si>
    <t>Providing and fixing 100 mm sand cast Iron grating for gully trap.</t>
  </si>
  <si>
    <t>17.30</t>
  </si>
  <si>
    <t>Providing and fixing in position 25 mm diameter mosquito proof coupling of approved municipal design.</t>
  </si>
  <si>
    <t>17.31</t>
  </si>
  <si>
    <t>Providing and fixing 600x450 mm beveled edge mirror of superior glass (of approved quality) complete with 6 mm thick hard board ground fixed to wooden cleats with C.P. brass screws and washers complete.</t>
  </si>
  <si>
    <t>17.32</t>
  </si>
  <si>
    <t>Providing and fixing mirror of superior glass (of approved quality) and of required shape and size with plastic moulded frame of approved make and shade with 6 mm thick hard board backing :</t>
  </si>
  <si>
    <t>17.32.1</t>
  </si>
  <si>
    <t>Circular shape 450 mm dia</t>
  </si>
  <si>
    <t>17.32.2</t>
  </si>
  <si>
    <t>Rectangular shape 453x357 mm</t>
  </si>
  <si>
    <t>17.32.3</t>
  </si>
  <si>
    <t>Oval shape 450x350 mm (outer dimensions)</t>
  </si>
  <si>
    <t>17.32.4</t>
  </si>
  <si>
    <t>Rectangular shape 1500x450 mm</t>
  </si>
  <si>
    <t>17.33</t>
  </si>
  <si>
    <t>Providing and fixing 600x120x5 mm glass shelf with edges round off, supported on anodised aluminium angle frame with C.P. brass brackets and guard rail complete fixed with 40 mm long screws, rawl plugs etc., complete.</t>
  </si>
  <si>
    <t>17.34</t>
  </si>
  <si>
    <t>Providing and fixing toilet paper holder :</t>
  </si>
  <si>
    <t>17.34.1</t>
  </si>
  <si>
    <t>C.P. brass</t>
  </si>
  <si>
    <t>17.34.2</t>
  </si>
  <si>
    <t>Vitreous china</t>
  </si>
  <si>
    <t>17.35</t>
  </si>
  <si>
    <t>Providing and fixing soil, waste and vent pipes :</t>
  </si>
  <si>
    <t>17.35.1</t>
  </si>
  <si>
    <t>100 mm dia</t>
  </si>
  <si>
    <t>17.35.1.1</t>
  </si>
  <si>
    <t>Sand cast iron S&amp;S pipe as per IS: 1729</t>
  </si>
  <si>
    <t>17.35.1.2</t>
  </si>
  <si>
    <t>Centrifugally cast (spun) iron socket &amp; spigot (S&amp;S) pipe as per IS: 3989</t>
  </si>
  <si>
    <t>17.35.1.3</t>
  </si>
  <si>
    <t>Hubless  centrifugally  cast (spun)  iron  pipes  epoxy coated inside &amp; outside IS:15905</t>
  </si>
  <si>
    <t>17.35.2</t>
  </si>
  <si>
    <t>75 mm diameter :</t>
  </si>
  <si>
    <t>17.35.2.1</t>
  </si>
  <si>
    <t>17.35.2.2</t>
  </si>
  <si>
    <t>Centrifugally cast (spun) iron socketed pipe as per IS: 3989</t>
  </si>
  <si>
    <t>17.35.2.3</t>
  </si>
  <si>
    <t>Hubless  centrifugally  cast (spun)  iron  pipes epoxy coated inside &amp; outside IS:15905</t>
  </si>
  <si>
    <t>17.36</t>
  </si>
  <si>
    <t>Providing and filling the joints with spun yarn, cement slurry and cement mortar 1:2 ( 1 cement : 2 fine sand) in S.C.I./ C.I. Pipes :</t>
  </si>
  <si>
    <t>17.36.1</t>
  </si>
  <si>
    <t>75 mm dia pipe</t>
  </si>
  <si>
    <t>17.36.2</t>
  </si>
  <si>
    <t>17.37</t>
  </si>
  <si>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t>
  </si>
  <si>
    <t>17.37.1</t>
  </si>
  <si>
    <t>For 100 mm dia pipe</t>
  </si>
  <si>
    <t>17.37.2</t>
  </si>
  <si>
    <t>For 75 mm dia pipe</t>
  </si>
  <si>
    <t>17.38</t>
  </si>
  <si>
    <t>Providing and fixing bend of required degree with access door, insertion rubber washer 3 mm thick, bolts and nuts complete.</t>
  </si>
  <si>
    <t>17.38.1</t>
  </si>
  <si>
    <t>17.38.1.1</t>
  </si>
  <si>
    <t>Sand cast iron S&amp;S as per IS - 1729</t>
  </si>
  <si>
    <t>17.38.1.2</t>
  </si>
  <si>
    <t>Sand cast iron S&amp;S as per IS - 3989</t>
  </si>
  <si>
    <t>17.38.1.3</t>
  </si>
  <si>
    <t>Hubless centrifugally cast (spun) iron epoxy coated inside &amp; outside as per IS:15905</t>
  </si>
  <si>
    <t>17.38.2</t>
  </si>
  <si>
    <t>75 mm dia</t>
  </si>
  <si>
    <t>17.38.2.1</t>
  </si>
  <si>
    <t>17.38.2.2</t>
  </si>
  <si>
    <t>Sand cast iron S&amp;S as per IS- 3989</t>
  </si>
  <si>
    <t>17.38.2.3</t>
  </si>
  <si>
    <t>17.39</t>
  </si>
  <si>
    <t>Providing and fixing plain bend of required degree.</t>
  </si>
  <si>
    <t>17.39.1</t>
  </si>
  <si>
    <t>17.39.1.1</t>
  </si>
  <si>
    <t>17.39.1.2</t>
  </si>
  <si>
    <t>Sand cast iron S&amp;S as per IS : 3989</t>
  </si>
  <si>
    <t>17.39.1.3</t>
  </si>
  <si>
    <t>17.39.2</t>
  </si>
  <si>
    <t>17.39.2.1</t>
  </si>
  <si>
    <t>Sand cast iron S&amp;S as per IS -1729</t>
  </si>
  <si>
    <t>17.39.2.2</t>
  </si>
  <si>
    <t>17.39.2.3</t>
  </si>
  <si>
    <t>17.40</t>
  </si>
  <si>
    <t>Providing and fixing heel rest sanitary bend</t>
  </si>
  <si>
    <t>17.40.1</t>
  </si>
  <si>
    <t>17.40.1.1</t>
  </si>
  <si>
    <t>17.40.1.2</t>
  </si>
  <si>
    <t>17.40.2</t>
  </si>
  <si>
    <t>17.40.2.1</t>
  </si>
  <si>
    <t>17.40.2.2</t>
  </si>
  <si>
    <t>17.41</t>
  </si>
  <si>
    <t>Providing and fixing double equal junction of required degree with access door, insertion rubber washer 3 mm thick, bolts and nuts complete :</t>
  </si>
  <si>
    <t>17.41.1</t>
  </si>
  <si>
    <t>100x100x100x100 mm</t>
  </si>
  <si>
    <t>17.41.1.1</t>
  </si>
  <si>
    <t>17.41.1.2</t>
  </si>
  <si>
    <t>17.41.2</t>
  </si>
  <si>
    <t>75x75x75x75 mm</t>
  </si>
  <si>
    <t>17.41.2.1</t>
  </si>
  <si>
    <t>17.41.2.2</t>
  </si>
  <si>
    <t>17.42</t>
  </si>
  <si>
    <t>Providing and fixing double equal plain junction of required degree.</t>
  </si>
  <si>
    <t>17.42.1</t>
  </si>
  <si>
    <t>17.42.1.1</t>
  </si>
  <si>
    <t>17.42.1.2</t>
  </si>
  <si>
    <t>17.42.1.3</t>
  </si>
  <si>
    <t>17.42.2</t>
  </si>
  <si>
    <t>17.42.2.1</t>
  </si>
  <si>
    <t>17.42.2.2</t>
  </si>
  <si>
    <t>17.42.2.3</t>
  </si>
  <si>
    <t>17.43</t>
  </si>
  <si>
    <t>Providing and fixing single equal plain junction of required degree with access door, insertion rubber washer 3 mm thick, bolts and nuts complete.</t>
  </si>
  <si>
    <t>17.43.1</t>
  </si>
  <si>
    <t>100x100x100 mm</t>
  </si>
  <si>
    <t>17.43.1.1</t>
  </si>
  <si>
    <t>17.43.1.2</t>
  </si>
  <si>
    <t>17.43.2</t>
  </si>
  <si>
    <t>17.43.2.1</t>
  </si>
  <si>
    <t>17.43.2.2</t>
  </si>
  <si>
    <t>17.44</t>
  </si>
  <si>
    <t>Providing and fixing single equal plain junction of required degree :</t>
  </si>
  <si>
    <t>17.44.1</t>
  </si>
  <si>
    <t>17.44.1.1</t>
  </si>
  <si>
    <t>17.44.1.2</t>
  </si>
  <si>
    <t>17.44.1.3</t>
  </si>
  <si>
    <t>Hubless   centrifugally   cast (spun)   iron   epoxy coated inside &amp; outside as per   IS:15905</t>
  </si>
  <si>
    <t>17.44.2</t>
  </si>
  <si>
    <t>17.44.2.1</t>
  </si>
  <si>
    <t>17.44.2.2</t>
  </si>
  <si>
    <t>17.44.2.3</t>
  </si>
  <si>
    <t>17.45</t>
  </si>
  <si>
    <t>Providing and fixing double unequal junction of required degree with access door, insertion rubber washer 3 mm thick, bolts and nuts complete:</t>
  </si>
  <si>
    <t>17.45.1</t>
  </si>
  <si>
    <t>100x100x75x75 mm</t>
  </si>
  <si>
    <t>17.45.1.1</t>
  </si>
  <si>
    <t>17.45.1.2</t>
  </si>
  <si>
    <t>17.46</t>
  </si>
  <si>
    <t>Providing and fixing double unequal plain junction of required degree :</t>
  </si>
  <si>
    <t>17.46.1</t>
  </si>
  <si>
    <t>17.46.1.1</t>
  </si>
  <si>
    <t>17.46.1.2</t>
  </si>
  <si>
    <t>17.46.1.3</t>
  </si>
  <si>
    <t>17.47</t>
  </si>
  <si>
    <t>Providing and fixing single unequal junction of required degree with access door, insertion rubber washer 3 mm thick, bolts and nuts complete :</t>
  </si>
  <si>
    <t>17.47.1</t>
  </si>
  <si>
    <t>100x100x75 mm</t>
  </si>
  <si>
    <t>17.47.1.1</t>
  </si>
  <si>
    <t>17.47.1.2</t>
  </si>
  <si>
    <t>17.48</t>
  </si>
  <si>
    <t>Providing and fixing single unequal plain junction of required degree :</t>
  </si>
  <si>
    <t>17.48.1</t>
  </si>
  <si>
    <t>17.48.1.1</t>
  </si>
  <si>
    <t>17.48.1.2</t>
  </si>
  <si>
    <t>17.48.1.3</t>
  </si>
  <si>
    <t>17.49</t>
  </si>
  <si>
    <t>Providing and fixing double equal plain invert branch of required degree:</t>
  </si>
  <si>
    <t>17.49.1</t>
  </si>
  <si>
    <t>17.49.1.1</t>
  </si>
  <si>
    <t>17.49.1.2</t>
  </si>
  <si>
    <t>Sand cast iron S&amp;S as per IS 3989</t>
  </si>
  <si>
    <t>17.49.1.3</t>
  </si>
  <si>
    <t>17.49.2</t>
  </si>
  <si>
    <t>17.49.2.1</t>
  </si>
  <si>
    <t>17.49.2.2</t>
  </si>
  <si>
    <t>17.50</t>
  </si>
  <si>
    <t>Providing and fixing single equal plain invert branch of required degree :</t>
  </si>
  <si>
    <t>17.50.1</t>
  </si>
  <si>
    <t>17.50.1.1</t>
  </si>
  <si>
    <t>Sand cast iron S&amp;S as per iron 1729</t>
  </si>
  <si>
    <t>17.50.1.2</t>
  </si>
  <si>
    <t>17.50.1.3</t>
  </si>
  <si>
    <t>17.50.2</t>
  </si>
  <si>
    <t>17.50.2.1</t>
  </si>
  <si>
    <t>17.50.2.2</t>
  </si>
  <si>
    <t>17.50.2.3</t>
  </si>
  <si>
    <t>17.51</t>
  </si>
  <si>
    <t>Providing and fixing double unequal invert branch of required degree :</t>
  </si>
  <si>
    <t>17.51.1</t>
  </si>
  <si>
    <t>17.51.1.1</t>
  </si>
  <si>
    <t>17.51.1.2</t>
  </si>
  <si>
    <t>17.52</t>
  </si>
  <si>
    <t>Providing and fixing single unequal plain invert branch of required degree :</t>
  </si>
  <si>
    <t>17.52.1</t>
  </si>
  <si>
    <t>17.52.1.1</t>
  </si>
  <si>
    <t>17.52.1.2</t>
  </si>
  <si>
    <t>17.52.1.3</t>
  </si>
  <si>
    <t>17.53</t>
  </si>
  <si>
    <t>Providing and fixing sand cast iron S&amp;S off sets as per IS: 1729</t>
  </si>
  <si>
    <t>17.53.1</t>
  </si>
  <si>
    <t>76 mm off sets</t>
  </si>
  <si>
    <t>17.53.1.1</t>
  </si>
  <si>
    <t>With 75 mm dia pipe</t>
  </si>
  <si>
    <t>17.53.1.2</t>
  </si>
  <si>
    <t>With 100 mm dia pipe</t>
  </si>
  <si>
    <t>17.53.2</t>
  </si>
  <si>
    <t>114 mm off sets</t>
  </si>
  <si>
    <t>17.53.2.1</t>
  </si>
  <si>
    <t>17.53.2.2</t>
  </si>
  <si>
    <t>17.53.3</t>
  </si>
  <si>
    <t>152 mm off sets</t>
  </si>
  <si>
    <t>17.53.3.1</t>
  </si>
  <si>
    <t>17.53.3.2</t>
  </si>
  <si>
    <t>17.53A</t>
  </si>
  <si>
    <t>Providing and fixing Hubless centrifugally cast iron offsets epoxy coated inside &amp; outside as per IS:15905</t>
  </si>
  <si>
    <t>17.53A.1</t>
  </si>
  <si>
    <t>65 mm offsets</t>
  </si>
  <si>
    <t>17.53A.1.1</t>
  </si>
  <si>
    <t>17.53A.1.2</t>
  </si>
  <si>
    <t>17.54</t>
  </si>
  <si>
    <t>Providing and fixing sand cast iron S&amp;S off sets as per IS: 3989 :</t>
  </si>
  <si>
    <t>17.54.1</t>
  </si>
  <si>
    <t>75 mm off sets</t>
  </si>
  <si>
    <t>17.54.1.1</t>
  </si>
  <si>
    <t>17.54.2</t>
  </si>
  <si>
    <t>150 mm off sets</t>
  </si>
  <si>
    <t>17.54.2.1</t>
  </si>
  <si>
    <t>17.54.2.2</t>
  </si>
  <si>
    <t>17.54A</t>
  </si>
  <si>
    <t>17.54A.1</t>
  </si>
  <si>
    <t>130 mm offsets</t>
  </si>
  <si>
    <t>17.54A.1.1</t>
  </si>
  <si>
    <t>With 100 mm dia</t>
  </si>
  <si>
    <t>17.54A.1.2</t>
  </si>
  <si>
    <t>With 75 mm dia</t>
  </si>
  <si>
    <t>17.55</t>
  </si>
  <si>
    <t>Providing and fixing door piece, insertion rubber washer 3mm thick, bolts &amp; nuts complete :</t>
  </si>
  <si>
    <t>17.55.1</t>
  </si>
  <si>
    <t>17.55.1.1</t>
  </si>
  <si>
    <t>17.55.1.2</t>
  </si>
  <si>
    <t>17.55.2</t>
  </si>
  <si>
    <t>17.55.2.1</t>
  </si>
  <si>
    <t>17.55.2.2</t>
  </si>
  <si>
    <t>17.56</t>
  </si>
  <si>
    <t>Providing and fixing terminal guard :</t>
  </si>
  <si>
    <t>17.56.1</t>
  </si>
  <si>
    <t>17.56.1.1</t>
  </si>
  <si>
    <t>17.56.1.2</t>
  </si>
  <si>
    <t>17.56.1.3</t>
  </si>
  <si>
    <t>17.56.2</t>
  </si>
  <si>
    <t>17.56.2.1</t>
  </si>
  <si>
    <t>17.56.2.2</t>
  </si>
  <si>
    <t>17.57</t>
  </si>
  <si>
    <t>Providing and fixing collar :</t>
  </si>
  <si>
    <t>17.57.1</t>
  </si>
  <si>
    <t>17.57.1.1</t>
  </si>
  <si>
    <t>17.57.1.2</t>
  </si>
  <si>
    <t>17.57.2</t>
  </si>
  <si>
    <t>17.57.2.1</t>
  </si>
  <si>
    <t>17.57.2.2</t>
  </si>
  <si>
    <t>17.57A</t>
  </si>
  <si>
    <t>Providing and fixing shielded coupling for Hubless centrifugally cast iron pipe</t>
  </si>
  <si>
    <t>17.57A.1</t>
  </si>
  <si>
    <t>17.57A.1.1</t>
  </si>
  <si>
    <t>SS 304 grade coupling with EPDM rubber gasket</t>
  </si>
  <si>
    <t>17.57A.2</t>
  </si>
  <si>
    <t>17.57A.2.1</t>
  </si>
  <si>
    <t>17.58</t>
  </si>
  <si>
    <t>Providing lead caulked joints to sand cast iron/centrifugally cast (spun) iron pipes and fittings of diameter :</t>
  </si>
  <si>
    <t>17.58.1</t>
  </si>
  <si>
    <t>17.58.2</t>
  </si>
  <si>
    <t>17.58.3</t>
  </si>
  <si>
    <t>17.59</t>
  </si>
  <si>
    <t>Providing and fixing M.S. stays and clamps for sand cast iron/ centrifugally cast (spun) iron pipes of diameter :</t>
  </si>
  <si>
    <t>17.59.1</t>
  </si>
  <si>
    <t>17.59.2</t>
  </si>
  <si>
    <t>17.59.3</t>
  </si>
  <si>
    <t>17.60</t>
  </si>
  <si>
    <t>Providing and fixing trap of self cleansing design with screwed down or hinged grating with or without vent arm complete, including cost of cutting and making good the walls and floors :</t>
  </si>
  <si>
    <t>17.60.1</t>
  </si>
  <si>
    <t>100 mm inlet and 100 mm outlet</t>
  </si>
  <si>
    <t>17.60.1.1</t>
  </si>
  <si>
    <t>Sand cast iron S&amp;S as per IS: 3989</t>
  </si>
  <si>
    <t>17.60.1.2</t>
  </si>
  <si>
    <t>Sand Cast Iron S&amp;S as per IS: 1729</t>
  </si>
  <si>
    <t>17.60.1.3</t>
  </si>
  <si>
    <t>17.60.2</t>
  </si>
  <si>
    <t>100 mm inlet and 75 mm outlet</t>
  </si>
  <si>
    <t>17.60.2.1</t>
  </si>
  <si>
    <t>17.60.2.2</t>
  </si>
  <si>
    <t>Sand Cast Iron S&amp;S as per IS- 1729</t>
  </si>
  <si>
    <t>17.60.2.3</t>
  </si>
  <si>
    <t>17.61</t>
  </si>
  <si>
    <t>Cutting chases in brick masonry walls for following diameter sand cast iron/centrifugally cast (spun) iron pipes and making good the same with cement concrete 1:3:6 ( 1 cement : 3 coarse sand :6 graded stone aggregate 12.5 mm nominal size), including necessary plaster and pointing in cement mortar 1:4 (1 cement : 4 coarse sand) :</t>
  </si>
  <si>
    <t>17.61.1</t>
  </si>
  <si>
    <t>17.61.2</t>
  </si>
  <si>
    <t>17.61.3</t>
  </si>
  <si>
    <t>50 mm dia</t>
  </si>
  <si>
    <t>17.62</t>
  </si>
  <si>
    <t>Painting C.I. cistern with bitumastic or any other anti-corrosive paint inside and white paint over a coat of zinc chromate yellow primer (of approved quality ) on the outside surface of the cistern, flush pipe, other fittings, etc. complete for new work.</t>
  </si>
  <si>
    <t>17.63</t>
  </si>
  <si>
    <t>Re-painting C.I. cistern with bitumastic or any other anti-corrosive paint inside and white paint on the outside surface of the cistern, flush pipe, other fittings, etc. complete, including polishing of wooden seat and lid and cleaning of W.C. pan with acid wherever necessary.</t>
  </si>
  <si>
    <t>17.64</t>
  </si>
  <si>
    <t>Repainting C.I. cistern with synthetic enamel paint of approved colour, brand and manufacture on the outside surface of cistern, flush pipe, other fittings etc. complete.</t>
  </si>
  <si>
    <t>17.65</t>
  </si>
  <si>
    <t>Painting sand cast iron/ centrifugally cast (spun) iron soil, waste vent pipes and fittings with two coats of synthetic enamel paint of any colour such as chocolate grey, or buff etc. over a coat of primer (of approved quality) for new work :</t>
  </si>
  <si>
    <t>17.65.1</t>
  </si>
  <si>
    <t>100 mm diameter pipe</t>
  </si>
  <si>
    <t>17.65.2</t>
  </si>
  <si>
    <t>75 mm diameter pipe</t>
  </si>
  <si>
    <t>17.66</t>
  </si>
  <si>
    <t>Repainting sand cast iron/ centrifugally cast iron (spun) iron, soil, waste, vent pipes and fittings with one coat of synthetic enamel paint of any colour such as chocolate, grey or buff etc :</t>
  </si>
  <si>
    <t>17.66.1</t>
  </si>
  <si>
    <t>17.66.2</t>
  </si>
  <si>
    <t>17.67</t>
  </si>
  <si>
    <t>Repainting bath tub of size 1700x730x430 mm with enamel paint.</t>
  </si>
  <si>
    <t>17.68</t>
  </si>
  <si>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t>
  </si>
  <si>
    <t>17.68.1</t>
  </si>
  <si>
    <t>White vitreous china dual purpose WC pan with white solid plastic seat and lid with white vitreous china flushing cistern and C.P. flush bend.</t>
  </si>
  <si>
    <t>17.69</t>
  </si>
  <si>
    <t>Providing and fixing PTMT Waste Coupling for wash basin and sink, of approved quality and colour.</t>
  </si>
  <si>
    <t>17.69.1</t>
  </si>
  <si>
    <t>Waste coupling 31 mm dia of 79 mm length and 62mm breadth weighing not less than 45 gms</t>
  </si>
  <si>
    <t>17.69.2</t>
  </si>
  <si>
    <t>Waste coupling 38 mm dia of 83 mm length and 77mm breadth, weighing not less than 60 gms</t>
  </si>
  <si>
    <t>17.70</t>
  </si>
  <si>
    <t>Providing and fixing PTMT Bottle Trap for Wash basin and sink.</t>
  </si>
  <si>
    <t>17.70.1</t>
  </si>
  <si>
    <t>Bottle trap 31mm single piece moulded with height of 270 mm, effective length of tail pipe 260 mm from the centre of the waste coupling, 77 mm breadth with 25 mm minimum water seal, weighing not less than 260 gms</t>
  </si>
  <si>
    <t>17.70.2</t>
  </si>
  <si>
    <t>Bottle trap 38 mm single piece moulded with height of 270 mm, effective length of tail pipe 260 mm from the centre of the waste coupling, 77 mm breadth with 25 mm minimum water seal, weighing not less than 263 gms</t>
  </si>
  <si>
    <t>17.71</t>
  </si>
  <si>
    <t>Providing and fixing PTMT liquid soap container 109 mm wide, 125 mm high and 112 mm distance from wall of standard shape with bracket of the same materials with snap fittings of approved quality and colour, weighing not less than 105 gms.</t>
  </si>
  <si>
    <t>17.72</t>
  </si>
  <si>
    <t>Providing and fixing PTMT towel ring trapezoidal shape 215 mm long, 200 mm wide with minimum distances of 37 mm from wall face with concealed fittings arrangement of approved quality and colour, weighing not less than 88 gms.</t>
  </si>
  <si>
    <t>17.73</t>
  </si>
  <si>
    <t>Providing and fixing PTMT towel rail complete with brackets fixed to wooden cleats with CP brass screws with concealed fittings arrangement of approved quality and colour.</t>
  </si>
  <si>
    <t>17.73.1</t>
  </si>
  <si>
    <t>450 mm long towel rail with total length of 495 mm, 78 mm wide and effective height of 88 mm, weighing not less than 170 gms</t>
  </si>
  <si>
    <t>17.73.2</t>
  </si>
  <si>
    <t>600 mm long towel rail with total length of 645 mm, width 78 mm and effective height of 88 mm, weighing not less than 190 gms.</t>
  </si>
  <si>
    <t>17.74</t>
  </si>
  <si>
    <t>Providing and fixing PTMT shelf 440 mm long, 124 mm width and 36 mm height of approved quality and colour, weighing not less than 300 gms.</t>
  </si>
  <si>
    <t>17.75</t>
  </si>
  <si>
    <t>Providing and fixing PTMT 15 mm Urinal spreader size 95x69x100 mm with 1/2" BSP thread and shapes, weighing not less than 60 gms.</t>
  </si>
  <si>
    <t>17.76</t>
  </si>
  <si>
    <t>Providing and fixing PTMT urinal cock of approved quality and colour.</t>
  </si>
  <si>
    <t>17.76.1</t>
  </si>
  <si>
    <t>15 mm nominal bore, 80 mm long, 42 mm high and 30mm wide with BSP female threads weighing not less than 48 gms</t>
  </si>
  <si>
    <t>17.77</t>
  </si>
  <si>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</si>
  <si>
    <t>17.77.1</t>
  </si>
  <si>
    <t>Total bracket length 580 mm of approved shape and design (for single 100 mm dia pipe)</t>
  </si>
  <si>
    <t>17.77.2</t>
  </si>
  <si>
    <t>Total bracket length 810 mm of approved shape and design (for two 100 mm dia pipes)</t>
  </si>
  <si>
    <t>17.77.3</t>
  </si>
  <si>
    <t>Total bracket length 1040 mm of approved shape and design (for three 100 mm dia pipes)</t>
  </si>
  <si>
    <t>17.78</t>
  </si>
  <si>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t>
  </si>
  <si>
    <t>17.79</t>
  </si>
  <si>
    <t>Providing &amp; fixing white vitreous china water less urinal of size 600 x 330 x 315 mm having antibacterial /germs free ceramic surface, fixed with cartridge having debris catcher and hygiene seal.</t>
  </si>
  <si>
    <t>17.80</t>
  </si>
  <si>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t>
  </si>
  <si>
    <t>17.81</t>
  </si>
  <si>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t>
  </si>
  <si>
    <t>18.0 WATER SUPPLY</t>
  </si>
  <si>
    <t>PE-AL-PE COMPOSITE PRESSURE PIPE</t>
  </si>
  <si>
    <t>18.1</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</si>
  <si>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t>
  </si>
  <si>
    <t>INTERNAL WORK - EXPOSED ON WALL</t>
  </si>
  <si>
    <t>18.1.1</t>
  </si>
  <si>
    <t>1216 (16 mm OD) pipe</t>
  </si>
  <si>
    <t>18.1.2</t>
  </si>
  <si>
    <t>1620 (20 mm OD) pipe</t>
  </si>
  <si>
    <t>18.1.3</t>
  </si>
  <si>
    <t>2025 (25 mm OD) pipe</t>
  </si>
  <si>
    <t>18.1.4</t>
  </si>
  <si>
    <t>2532 (32 mm OD) pipe</t>
  </si>
  <si>
    <t>18.1.5</t>
  </si>
  <si>
    <t>3240 (40 mm OD) pipe</t>
  </si>
  <si>
    <t>18.1.6</t>
  </si>
  <si>
    <t>4050 (50 mm OD) pipe</t>
  </si>
  <si>
    <t>18.2</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</si>
  <si>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t>
  </si>
  <si>
    <t>Concealed work, including cutting chases and making good the wall etc.</t>
  </si>
  <si>
    <t>18.2.1</t>
  </si>
  <si>
    <t>18.2.2</t>
  </si>
  <si>
    <t>18.2.3</t>
  </si>
  <si>
    <t>18.2.4</t>
  </si>
  <si>
    <t>18.3</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</si>
  <si>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t>
  </si>
  <si>
    <t>External work</t>
  </si>
  <si>
    <t>18.3.1</t>
  </si>
  <si>
    <t>18.3.2</t>
  </si>
  <si>
    <t>1620 (20 mm OD ) pipe</t>
  </si>
  <si>
    <t>18.3.3</t>
  </si>
  <si>
    <t>2025 (25 mm OD ) pipe</t>
  </si>
  <si>
    <t>18.3.4</t>
  </si>
  <si>
    <t>2532 (32 mm OD ) pipe</t>
  </si>
  <si>
    <t>18.3.5</t>
  </si>
  <si>
    <t>3240 (40 mm OD ) pipe</t>
  </si>
  <si>
    <t>18.3.6</t>
  </si>
  <si>
    <t>4050 (50 mm OD ) pipe</t>
  </si>
  <si>
    <t>PP-R PIPES</t>
  </si>
  <si>
    <t>18.4</t>
  </si>
  <si>
    <t xml:space="preserve">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Engineer-in-Charge.   </t>
  </si>
  <si>
    <t>Internal Exposed on walls</t>
  </si>
  <si>
    <t>18.4.1</t>
  </si>
  <si>
    <t>PN - 16 Pipe, 20mm OD (SDR-7.4)</t>
  </si>
  <si>
    <t>18.4.2</t>
  </si>
  <si>
    <t>PN - 16 Pipe, 25mm OD (SDR-7.4)</t>
  </si>
  <si>
    <t>18.4.3</t>
  </si>
  <si>
    <t>PN - 16 Pipe, 32mm OD (SDR-7.4)</t>
  </si>
  <si>
    <t>18.4.4</t>
  </si>
  <si>
    <t>PN - 16 Pipe, 40mm OD (SDR-7.4)</t>
  </si>
  <si>
    <t>18.4.5</t>
  </si>
  <si>
    <t>PN - 10 Pipe, 50mm OD (SDR-11)</t>
  </si>
  <si>
    <t>18.5</t>
  </si>
  <si>
    <t xml:space="preserve">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t>
  </si>
  <si>
    <t>Concealed work,including cutting chases and making good the wall etc.</t>
  </si>
  <si>
    <t>18.5.1</t>
  </si>
  <si>
    <t>18.5.2</t>
  </si>
  <si>
    <t>18.5.3</t>
  </si>
  <si>
    <t>18.6</t>
  </si>
  <si>
    <t xml:space="preserve">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t>
  </si>
  <si>
    <t>18.6.1</t>
  </si>
  <si>
    <t>18.6.2</t>
  </si>
  <si>
    <t>PN - 16 Pipe, 25 mm OD (SDR-7.4)</t>
  </si>
  <si>
    <t>18.6.3</t>
  </si>
  <si>
    <t>PN - 16 Pipe, 32 mm OD (SDR-7.4)</t>
  </si>
  <si>
    <t>18.6.4</t>
  </si>
  <si>
    <t>PN - 16 Pipe, 40 mm OD (SDR-7.4)</t>
  </si>
  <si>
    <t>18.6.5</t>
  </si>
  <si>
    <t>PN - 10 Pipe, 50 mm OD (SDR-11)</t>
  </si>
  <si>
    <t>18.6.6</t>
  </si>
  <si>
    <t>PN - 10 Pipe, 63 mm OD (SDR-11)</t>
  </si>
  <si>
    <t>18.6.7</t>
  </si>
  <si>
    <t>PN - 10 Pipe, 75 mm OD (SDR-11)</t>
  </si>
  <si>
    <t>18.6.8</t>
  </si>
  <si>
    <t>PN - 10 Pipe, 90 mm OD (SDR-11)</t>
  </si>
  <si>
    <t>18.6.9</t>
  </si>
  <si>
    <t>PN - 10 Pipe, 110 mm OD (SDR-11)</t>
  </si>
  <si>
    <t>18.6.10</t>
  </si>
  <si>
    <t>PN - 10 Pipe, 160 mm OD (SDR-11)</t>
  </si>
  <si>
    <t>18.6A</t>
  </si>
  <si>
    <t>Providing and fixing PPR Unions</t>
  </si>
  <si>
    <t>18.6A.1</t>
  </si>
  <si>
    <t>PPR Union 20mm</t>
  </si>
  <si>
    <t>18.6A.2</t>
  </si>
  <si>
    <t>PPR Union 25mm</t>
  </si>
  <si>
    <t>18.6A.3</t>
  </si>
  <si>
    <t>PPR Union 32mm</t>
  </si>
  <si>
    <t>18.6A.4</t>
  </si>
  <si>
    <t>PPR Union 40mm</t>
  </si>
  <si>
    <t>18.6A.5</t>
  </si>
  <si>
    <t>PPR Union 50mm</t>
  </si>
  <si>
    <t>18.6A.6</t>
  </si>
  <si>
    <t>PPR Union 63mm</t>
  </si>
  <si>
    <t>18.6A.7</t>
  </si>
  <si>
    <t>PPR Union 75mm</t>
  </si>
  <si>
    <t>C.P.V.C. PIPES</t>
  </si>
  <si>
    <t>18.7</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</si>
  <si>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t>
  </si>
  <si>
    <t>Internal work - Exposed on wall</t>
  </si>
  <si>
    <t>18.7.1</t>
  </si>
  <si>
    <t>15 mm nominal dia Pipes</t>
  </si>
  <si>
    <t>18.7.2</t>
  </si>
  <si>
    <t>20 mm nominal dia Pipes</t>
  </si>
  <si>
    <t>18.7.3</t>
  </si>
  <si>
    <t>25 mm nominal dia Pipes</t>
  </si>
  <si>
    <t>18.7.4</t>
  </si>
  <si>
    <t>32 mm nominal dia Pipes</t>
  </si>
  <si>
    <t>18.7.5</t>
  </si>
  <si>
    <t>40 mm nominal dia Pipes</t>
  </si>
  <si>
    <t>18.7.6</t>
  </si>
  <si>
    <t>50 mm nominal dia Pipes</t>
  </si>
  <si>
    <t>18.8</t>
  </si>
  <si>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t>
  </si>
  <si>
    <t>Concealed work, including cutting chases and making good the walls etc.</t>
  </si>
  <si>
    <t>18.8.1</t>
  </si>
  <si>
    <t>18.8.2</t>
  </si>
  <si>
    <t>18.8.3</t>
  </si>
  <si>
    <t>18.8.4</t>
  </si>
  <si>
    <t>18.9</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</si>
  <si>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t>
  </si>
  <si>
    <t>18.9.1</t>
  </si>
  <si>
    <t>18.9.2</t>
  </si>
  <si>
    <t>18.9.3</t>
  </si>
  <si>
    <t>18.9.4</t>
  </si>
  <si>
    <t>18.9.5</t>
  </si>
  <si>
    <t>18.9.6</t>
  </si>
  <si>
    <t>18.9.7</t>
  </si>
  <si>
    <t>65 mm nominal dia Pipes</t>
  </si>
  <si>
    <t>18.9.8</t>
  </si>
  <si>
    <t>80 mm nominal dia Pipes</t>
  </si>
  <si>
    <t>18.9.9</t>
  </si>
  <si>
    <t>100 mm nominal dia Pipes</t>
  </si>
  <si>
    <t>18.9.10</t>
  </si>
  <si>
    <t>150 mm nominal dia Pipes</t>
  </si>
  <si>
    <t>18.10</t>
  </si>
  <si>
    <t>Providing and fixing G.I. pipes complete with G.I. fittings and clamps, i/c cutting and making good the walls etc.</t>
  </si>
  <si>
    <t>18.10.1</t>
  </si>
  <si>
    <t>15 mm dia nominal bore</t>
  </si>
  <si>
    <t>18.10.2</t>
  </si>
  <si>
    <t>20 mm dia nominal bore</t>
  </si>
  <si>
    <t>18.10.3</t>
  </si>
  <si>
    <t>25 mm dia nominal bore</t>
  </si>
  <si>
    <t>18.10.4</t>
  </si>
  <si>
    <t>32 mm dia nominal bore</t>
  </si>
  <si>
    <t>18.10.5</t>
  </si>
  <si>
    <t>40 mm dia nominal bore</t>
  </si>
  <si>
    <t>18.10.6</t>
  </si>
  <si>
    <t>50 mm dia nominal bore</t>
  </si>
  <si>
    <t>18.11</t>
  </si>
  <si>
    <t>Providing and fixing G.I. Pipes complete with G.I. fittings and clamps, i/c making good the walls etc. concealed pipe, including painting with anti corrosive bitumastic paint, cutting chases and making good the wall :</t>
  </si>
  <si>
    <t>18.11.1</t>
  </si>
  <si>
    <t>18.11.2</t>
  </si>
  <si>
    <t>18.12</t>
  </si>
  <si>
    <t>Providing and fixing G.I. pipes complete with G.I. fittings including trenching and refilling etc.</t>
  </si>
  <si>
    <t>18.12.1</t>
  </si>
  <si>
    <t>18.12.2</t>
  </si>
  <si>
    <t>18.12.3</t>
  </si>
  <si>
    <t>18.12.4</t>
  </si>
  <si>
    <t>18.12.5</t>
  </si>
  <si>
    <t>18.12.6</t>
  </si>
  <si>
    <t>18.12.7</t>
  </si>
  <si>
    <t>65 mm dia nominal bore</t>
  </si>
  <si>
    <t>18.12.8</t>
  </si>
  <si>
    <t>80 mm dia nominal bore</t>
  </si>
  <si>
    <t>18.13</t>
  </si>
  <si>
    <t>Making connection of G.I. distribution branch with G.I. main of following sizes by providing and fixing tee, including cutting and threading the pipe etc. complete :</t>
  </si>
  <si>
    <t>18.13.1</t>
  </si>
  <si>
    <t>25 to 40 mm nominal bore</t>
  </si>
  <si>
    <t>18.13.2</t>
  </si>
  <si>
    <t>50 to 80 mm nominal bore</t>
  </si>
  <si>
    <t>18.14</t>
  </si>
  <si>
    <t>Fixing water metre and stop cock in G.I. pipe line including cutting and threading the pipe and making long screws etc. complete (cost of water metre and stop cock to be paid separately).</t>
  </si>
  <si>
    <t>18.15</t>
  </si>
  <si>
    <t>Providing and fixing brass bib cock of approved quality :</t>
  </si>
  <si>
    <t>18.15.1</t>
  </si>
  <si>
    <t>15 mm nominal bore</t>
  </si>
  <si>
    <t>18.15.2</t>
  </si>
  <si>
    <t>20 mm nominal bore</t>
  </si>
  <si>
    <t>18.16</t>
  </si>
  <si>
    <t>Providing and fixing brass stop cock of approved quality :</t>
  </si>
  <si>
    <t>18.16.1</t>
  </si>
  <si>
    <t>18.16.2</t>
  </si>
  <si>
    <t>18.17</t>
  </si>
  <si>
    <t>Providing and fixing gun metal gate valve with C.I. wheel of approved quality (screwed end) :</t>
  </si>
  <si>
    <t>18.17.1</t>
  </si>
  <si>
    <t>25 mm nominal bore</t>
  </si>
  <si>
    <t>18.17.1A</t>
  </si>
  <si>
    <t>18.17.2</t>
  </si>
  <si>
    <t>32 mm nominal bore.</t>
  </si>
  <si>
    <t>18.17.3</t>
  </si>
  <si>
    <t>40 mm nominal bore</t>
  </si>
  <si>
    <t>18.17.4</t>
  </si>
  <si>
    <t>50 mm nominal bore</t>
  </si>
  <si>
    <t>18.17.5</t>
  </si>
  <si>
    <t>65 mm nominal bore</t>
  </si>
  <si>
    <t>18.17.6</t>
  </si>
  <si>
    <t>80 mm nominal bore</t>
  </si>
  <si>
    <t>18.18</t>
  </si>
  <si>
    <t>Providing and fixing ball valve (brass) of approved quality, High or low pressure, with plastic floats complete :</t>
  </si>
  <si>
    <t>18.18.1</t>
  </si>
  <si>
    <t>18.18.2</t>
  </si>
  <si>
    <t>18.18.3</t>
  </si>
  <si>
    <t>18.19</t>
  </si>
  <si>
    <t>Providing and fixing gun metal non- return valve of approved quality (screwed end) :</t>
  </si>
  <si>
    <t>18.19.1</t>
  </si>
  <si>
    <t>18.19.1.1</t>
  </si>
  <si>
    <t>Horizontal</t>
  </si>
  <si>
    <t>18.19.1.2</t>
  </si>
  <si>
    <t>Vertical</t>
  </si>
  <si>
    <t>18.19.2</t>
  </si>
  <si>
    <t>32 mm nominal bore</t>
  </si>
  <si>
    <t>18.19.2.1</t>
  </si>
  <si>
    <t>18.19.2.2</t>
  </si>
  <si>
    <t>18.19.3</t>
  </si>
  <si>
    <t>18.19.3.1</t>
  </si>
  <si>
    <t>18.19.3.2</t>
  </si>
  <si>
    <t>18.19.4</t>
  </si>
  <si>
    <t>18.19.4.1</t>
  </si>
  <si>
    <t>18.19.4.2</t>
  </si>
  <si>
    <t>18.19.5</t>
  </si>
  <si>
    <t>18.19.5.1</t>
  </si>
  <si>
    <t>18.19.5.2</t>
  </si>
  <si>
    <t>18.19.6</t>
  </si>
  <si>
    <t>18.19.6.1</t>
  </si>
  <si>
    <t>18.19.6.2</t>
  </si>
  <si>
    <t>18.20</t>
  </si>
  <si>
    <t>Providing and fixing brass ferrule with C.I. mouth cover including boring and tapping the main :</t>
  </si>
  <si>
    <t>18.20.1</t>
  </si>
  <si>
    <t>18.20.2</t>
  </si>
  <si>
    <t>18.20.3</t>
  </si>
  <si>
    <t>18.21</t>
  </si>
  <si>
    <t>Providing and fixing uplasticised PVC connection pipe with brass unions :</t>
  </si>
  <si>
    <t>18.21.1</t>
  </si>
  <si>
    <t>30 cm length</t>
  </si>
  <si>
    <t>18.21.1.1</t>
  </si>
  <si>
    <t>18.21.1.2</t>
  </si>
  <si>
    <t>18.21.2</t>
  </si>
  <si>
    <t>45 cm length</t>
  </si>
  <si>
    <t>18.21.2.1</t>
  </si>
  <si>
    <t>18.21.2.2</t>
  </si>
  <si>
    <t>18.22</t>
  </si>
  <si>
    <t>Providing and fixing C.P. brass shower rose with 15 or 20 mm inlet :</t>
  </si>
  <si>
    <t>18.22.1</t>
  </si>
  <si>
    <t>18.22.2</t>
  </si>
  <si>
    <t>C.I./DUCTILE IRON PIPES &amp; SPECIALS</t>
  </si>
  <si>
    <t>18.23</t>
  </si>
  <si>
    <t>Laying in position centrifugally cast (spun) iron S&amp;S or flanged pipes (excluding cost of pipe).</t>
  </si>
  <si>
    <t>18.24</t>
  </si>
  <si>
    <t>Laying in position S&amp;S or flanged C.I. special such as tees, bends, collars, tapers and caps etc.(excluding cost of specials).</t>
  </si>
  <si>
    <t>18.25</t>
  </si>
  <si>
    <t>Providing and laying S&amp;S C.I. standard specials such as tees, bends, collars, tapers, caps etc. (Heavy class):</t>
  </si>
  <si>
    <t>18.25.1</t>
  </si>
  <si>
    <t>Up to 300 mm dia</t>
  </si>
  <si>
    <t>18.25.2</t>
  </si>
  <si>
    <t>Over 300 mm dia</t>
  </si>
  <si>
    <t>18.26</t>
  </si>
  <si>
    <t>Providing and laying flanged C.I. standard specials such as tees, bends, collars, tapers, caps etc., suitable for flanged jointing as per IS : 1538 :</t>
  </si>
  <si>
    <t>18.26.1</t>
  </si>
  <si>
    <t>18.26.2</t>
  </si>
  <si>
    <t>18.27</t>
  </si>
  <si>
    <t>Providing and laying S&amp;S centrifugally cast (spun) iron pipes (Class LA) conforming to IS - 1536 :</t>
  </si>
  <si>
    <t>18.27.1</t>
  </si>
  <si>
    <t>18.27.2</t>
  </si>
  <si>
    <t>125 mm dia pipe</t>
  </si>
  <si>
    <t>18.27.3</t>
  </si>
  <si>
    <t>18.27.4</t>
  </si>
  <si>
    <t>200 mm dia pipe</t>
  </si>
  <si>
    <t>18.27.5</t>
  </si>
  <si>
    <t>250 mm dia pipe</t>
  </si>
  <si>
    <t>18.27.6</t>
  </si>
  <si>
    <t>300 mm dia pipe</t>
  </si>
  <si>
    <t>18.27.7</t>
  </si>
  <si>
    <t>350 mm dia pipe</t>
  </si>
  <si>
    <t>18.27.8</t>
  </si>
  <si>
    <t>400 mm dia pipe</t>
  </si>
  <si>
    <t>18.27.9</t>
  </si>
  <si>
    <t>450 mm dia pipe</t>
  </si>
  <si>
    <t>18.27.10</t>
  </si>
  <si>
    <t>500 mm dia pipe</t>
  </si>
  <si>
    <t>18.27.11</t>
  </si>
  <si>
    <t>600 mm dia pipe</t>
  </si>
  <si>
    <t>18.28</t>
  </si>
  <si>
    <t>Providing lead caulked joints to spun iron or C.I. pipes and specials, including testing of joints but excluding the cost of pig lead :</t>
  </si>
  <si>
    <t>18.28.1</t>
  </si>
  <si>
    <t>18.28.2</t>
  </si>
  <si>
    <t>125 mm diameter pipe</t>
  </si>
  <si>
    <t>18.28.3</t>
  </si>
  <si>
    <t>150 mm diameter pipe</t>
  </si>
  <si>
    <t>18.28.4</t>
  </si>
  <si>
    <t>200 mm diameter pipe</t>
  </si>
  <si>
    <t>18.28.5</t>
  </si>
  <si>
    <t>250 mm diameter pipe</t>
  </si>
  <si>
    <t>18.28.6</t>
  </si>
  <si>
    <t>300 mm diameter pipe</t>
  </si>
  <si>
    <t>18.28.7</t>
  </si>
  <si>
    <t>350 mm diameter pipe</t>
  </si>
  <si>
    <t>18.28.8</t>
  </si>
  <si>
    <t>400 mm diameter pipe</t>
  </si>
  <si>
    <t>18.28.9</t>
  </si>
  <si>
    <t>450 mm diameter pipe</t>
  </si>
  <si>
    <t>18.28.10</t>
  </si>
  <si>
    <t>500 mm diameter pipe</t>
  </si>
  <si>
    <t>18.28.11</t>
  </si>
  <si>
    <t>600 mm diameter pipe</t>
  </si>
  <si>
    <t>18.29</t>
  </si>
  <si>
    <t>Supplying pig lead at site of work.</t>
  </si>
  <si>
    <t>18.30</t>
  </si>
  <si>
    <t>Providing flanged joints to double flanged C.I./ D.I. pipes and specials, including testing of joints :</t>
  </si>
  <si>
    <t>18.30.1</t>
  </si>
  <si>
    <t>80 mm diameter pipe</t>
  </si>
  <si>
    <t>18.30.2</t>
  </si>
  <si>
    <t>18.30.3</t>
  </si>
  <si>
    <t>18.30.4</t>
  </si>
  <si>
    <t>18.30.5</t>
  </si>
  <si>
    <t>18.30.6</t>
  </si>
  <si>
    <t>18.30.7</t>
  </si>
  <si>
    <t>18.30.8</t>
  </si>
  <si>
    <t>18.30.9</t>
  </si>
  <si>
    <t>18.30.10</t>
  </si>
  <si>
    <t>18.30.11</t>
  </si>
  <si>
    <t>18.30.12</t>
  </si>
  <si>
    <t>C.I. SLUICE VALVES/ FIRE HYDRANTS &amp; FIXTURES</t>
  </si>
  <si>
    <t>18.31</t>
  </si>
  <si>
    <t>Providing and fixing C.I. sluice valves (with cap) complete with bolts, nuts, rubber insertions etc. (the tail pieces if required will be paid separately) :</t>
  </si>
  <si>
    <t>18.31.1</t>
  </si>
  <si>
    <t>18.31.1.1</t>
  </si>
  <si>
    <t>Class I</t>
  </si>
  <si>
    <t>18.31.1.2</t>
  </si>
  <si>
    <t>Class II</t>
  </si>
  <si>
    <t>18.31.2</t>
  </si>
  <si>
    <t>125 mm diameter</t>
  </si>
  <si>
    <t>18.31.2.1</t>
  </si>
  <si>
    <t>18.31.2.2</t>
  </si>
  <si>
    <t>18.31.3</t>
  </si>
  <si>
    <t>18.31.3.1</t>
  </si>
  <si>
    <t>18.31.3.2</t>
  </si>
  <si>
    <t>18.31.4</t>
  </si>
  <si>
    <t>200 mm diameter</t>
  </si>
  <si>
    <t>18.31.4.1</t>
  </si>
  <si>
    <t>18.31.4.2</t>
  </si>
  <si>
    <t>18.31.5</t>
  </si>
  <si>
    <t>250 mm diameter</t>
  </si>
  <si>
    <t>18.31.5.1</t>
  </si>
  <si>
    <t>18.31.5.2</t>
  </si>
  <si>
    <t>18.31.6</t>
  </si>
  <si>
    <t>300 mm diameter</t>
  </si>
  <si>
    <t>18.31.6.1</t>
  </si>
  <si>
    <t>18.31.6.2</t>
  </si>
  <si>
    <t>18.32</t>
  </si>
  <si>
    <t>Constructing masonry Chamber 30x30x50 cm inside, in brick work in cement mortar 1:4 (1 cement :4 coarse sand) for stop cock, with C. I. surface box 100x100 x75 mm (inside) with hinged cover fixed in reinforced cement concrete slab 1:1.5:3 mix (1 cement : 1.5 coarse sand : 3 graded stone aggregate 20 mm nominal size), i/c necessary excavation, foundation concrete 1:5:10 ( 1 cement : 5 fine sand : 10 graded stone aggregate 40mm nominal size ) and inside plastering with cement mortar 1:3 (1 cement : 3 coarse sand) 12mm thick, finished with a floating coat of neat cement complete as per standard design :</t>
  </si>
  <si>
    <t>18.32.1</t>
  </si>
  <si>
    <t>18.33</t>
  </si>
  <si>
    <t>Constructing masonry Chamber 60x60x75 cm inside, in brick work in cement mortar 1:4 (1 cement : 4 coarse sand) for sluice valve, with C.I. surface box 100mm top diameter, 160 mm bottom diameter and 180 mm deep ( inside) with chained lid and RCC top slab 1:1.5:3 mix (1 cement : 1.5 coarse sand : 3 graded stone aggregate 20mm nominal size )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</si>
  <si>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18.33.1</t>
  </si>
  <si>
    <t>18.34</t>
  </si>
  <si>
    <t>Constructing masonry Chamber 90x90x100 cm inside, in brick work in cement mortar 1:4 (1 cement : 4 coarse sand) for sluice valve, with C.I. surface box 100 mm top diameter, 160 mm bottom diameter and 180 mm deep (inside) with chained lid and RCC top slab 1:1.5:3 mix (1 cement : 1.5 coarse sand : 3 graded stone aggregate 20 mm nominal size ), i/c necessary excavation, foundation concrete 1:5:10 (1 cement : 5 fine sand : 10 graded stone aggregate 40 mm nominal size ) and inside plastering with cement mortar 1:3 (1 cement : 3 coarse sand) 12 mm thick, finished with a floating coat of neat cement complete as per standard design :</t>
  </si>
  <si>
    <t>18.34.1</t>
  </si>
  <si>
    <t>18.35</t>
  </si>
  <si>
    <t>Constructing masonry Chamber 120x120x100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</si>
  <si>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18.35.1</t>
  </si>
  <si>
    <t>18.36</t>
  </si>
  <si>
    <t>Constructing masonry Chamber 60x60x75 cm, inside in brick work in cement mortar 1:4 (1 cement : 4 coarse sand) for fire hydrants, with C.I. surface box 350x350 mm top and 165 mm deep ( inside) with chained lid and RCC top slab 1:1.5:3 mix (1 cement : 1.5 coarse sand : 3 graded stone aggregate 20 mm nominal size ) , i/c necessary excavation, foundation concrete 1:5:10 (1 cement : 5 fine sand:10 graded stone aggregate 40 mm nominal size) and inside plastering with cement mortar 1:3 (1 cement : 3 coarse sand) 12 mm thick, finished with a floating coat of neat cement complete as per standard design :</t>
  </si>
  <si>
    <t>18.36.1</t>
  </si>
  <si>
    <t>18.37</t>
  </si>
  <si>
    <t>Constructing masonry Chamber 60x45x50 cm inside, in brick work in cement mortar 1:4 (1 cement : 4 coarse sand) for water metre complete with C.I. double flap surface box 400x200x200 mm (inside) with locking arrangement and RCC top slab 1:1.5:3 mix (1 cement : 1.5 coarse sand : 3 graded stone aggregate 20 mm nominal size) , i/c necessary excavation, foundation concrete 1:5:10 ( 1 cement : 5 fine sand:10 graded stone aggregate 40 mm nominal size) and inside plastering with cement mortar 1:3 (1 cement : 3 coarse sand) 12 mm thick, finished with a floating coat of neat cement complete as per standard design :</t>
  </si>
  <si>
    <t>18.37.1</t>
  </si>
  <si>
    <t>18.38</t>
  </si>
  <si>
    <t>Painting G.I. pipes and fittings with synthetic enamel white paint with two coats over a ready mixed priming coat, both of approved quality for new work :</t>
  </si>
  <si>
    <t>18.38.1</t>
  </si>
  <si>
    <t>15 mm diameter pipe</t>
  </si>
  <si>
    <t>18.38.2</t>
  </si>
  <si>
    <t>20 mm diameter pipe</t>
  </si>
  <si>
    <t>18.38.3</t>
  </si>
  <si>
    <t>25 mm diameter pipe</t>
  </si>
  <si>
    <t>18.38.4</t>
  </si>
  <si>
    <t>32 mm diameter pipe</t>
  </si>
  <si>
    <t>18.38.5</t>
  </si>
  <si>
    <t>40 mm diameter pipe</t>
  </si>
  <si>
    <t>18.38.6</t>
  </si>
  <si>
    <t>50 mm diameter pipe</t>
  </si>
  <si>
    <t>18.39</t>
  </si>
  <si>
    <t>Repainting G.I. pipes and fittings with synthetic enamel white paint with one coat of approved quality :</t>
  </si>
  <si>
    <t>18.39.1</t>
  </si>
  <si>
    <t>18.39.2</t>
  </si>
  <si>
    <t>18.39.3</t>
  </si>
  <si>
    <t>18.39.4</t>
  </si>
  <si>
    <t>18.39.5</t>
  </si>
  <si>
    <t>18.39.6</t>
  </si>
  <si>
    <t>18.40</t>
  </si>
  <si>
    <t>Painting G.I. pipes and fittings with two coats of anti-corrosive bitumastic paint of approved quality :</t>
  </si>
  <si>
    <t>18.40.1</t>
  </si>
  <si>
    <t>18.40.2</t>
  </si>
  <si>
    <t>18.40.3</t>
  </si>
  <si>
    <t>18.40.4</t>
  </si>
  <si>
    <t>18.40.5</t>
  </si>
  <si>
    <t>18.40.6</t>
  </si>
  <si>
    <t>18.40.7</t>
  </si>
  <si>
    <t>65 mm diameter pipe</t>
  </si>
  <si>
    <t>18.40.8</t>
  </si>
  <si>
    <t>18.41</t>
  </si>
  <si>
    <t>Providing and filling sand of grading zone V or coarser grade, allround the G.I. pipes in external work :</t>
  </si>
  <si>
    <t>18.41.1</t>
  </si>
  <si>
    <t>18.41.2</t>
  </si>
  <si>
    <t>18.41.3</t>
  </si>
  <si>
    <t>18.41.4</t>
  </si>
  <si>
    <t>18.41.5</t>
  </si>
  <si>
    <t>18.41.6</t>
  </si>
  <si>
    <t>18.41.7</t>
  </si>
  <si>
    <t>18.41.8</t>
  </si>
  <si>
    <t>18.41.9</t>
  </si>
  <si>
    <t>18.41.10</t>
  </si>
  <si>
    <t>18.42</t>
  </si>
  <si>
    <t>Boring with 100 mm diameter casing pipe for hand pump / tubewell, in all soils except ordinary hard rocks requiring blasting, including removing the casing pipe after the hand pump / tube well is lowered and tested :</t>
  </si>
  <si>
    <t>18.42.1</t>
  </si>
  <si>
    <t>Up to 6 metres depth</t>
  </si>
  <si>
    <t>18.42.2</t>
  </si>
  <si>
    <t>Beyond 6 m and up to 12 m depth</t>
  </si>
  <si>
    <t>18.42.3</t>
  </si>
  <si>
    <t>Beyond 12 m and up to 18 m depth</t>
  </si>
  <si>
    <t>18.43</t>
  </si>
  <si>
    <t>Providing and placing in position filters of 40 mm diameter G.I. pipe with brass strainer of approved quality.</t>
  </si>
  <si>
    <t>18.44</t>
  </si>
  <si>
    <t>Providing and fixing to filter and lowering to proper levels 40 mm G.I. pipe for tube well including cleaning and priming the tube well.</t>
  </si>
  <si>
    <t>18.45</t>
  </si>
  <si>
    <t>Providing and placing in position hand pump of approved quality for 40 mm diameter G.I. pipe complete with all accessories.</t>
  </si>
  <si>
    <t>18.46</t>
  </si>
  <si>
    <t>Providing and fixing G.I. Union in G.I. pipe including cutting and threading the pipe and making long screws etc. complete (New work)  :</t>
  </si>
  <si>
    <t>18.46.1</t>
  </si>
  <si>
    <t>18.46.2</t>
  </si>
  <si>
    <t>18.46.3</t>
  </si>
  <si>
    <t>18.46.4</t>
  </si>
  <si>
    <t>18.46.5</t>
  </si>
  <si>
    <t>18.46.6</t>
  </si>
  <si>
    <t>18.46.7</t>
  </si>
  <si>
    <t>18.46.8</t>
  </si>
  <si>
    <t>18.47</t>
  </si>
  <si>
    <t>Providing and fixing G.I. Union in existing G.I. pipe line, cutting and threading the pipe and making long screws, including excavation, refilling the earth or cutting of wall and making good the same complete wherever required :</t>
  </si>
  <si>
    <t>18.47.1</t>
  </si>
  <si>
    <t>18.47.2</t>
  </si>
  <si>
    <t>18.47.3</t>
  </si>
  <si>
    <t>18.47.4</t>
  </si>
  <si>
    <t>18.47.5</t>
  </si>
  <si>
    <t>18.47.6</t>
  </si>
  <si>
    <t>18.47.7</t>
  </si>
  <si>
    <t>18.47.8</t>
  </si>
  <si>
    <t>18.48</t>
  </si>
  <si>
    <t>Providing and placing on terrace (at all floor levels) polyethylene water storage tank, IS : 12701 marked, with cover and suitable locking arrangement and making necessary holes for inlet, outlet and overflow pipes but without fittings and the base support for tank.</t>
  </si>
  <si>
    <t>per litre</t>
  </si>
  <si>
    <t>18.48A</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</si>
  <si>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t>
  </si>
  <si>
    <t>C.P. BRASS FITTINGS</t>
  </si>
  <si>
    <t>18.49</t>
  </si>
  <si>
    <t>Providing and fixing C.P. brass bib cock of approved quality conforming to IS:8931 :</t>
  </si>
  <si>
    <t>18.49.1</t>
  </si>
  <si>
    <t>18.50</t>
  </si>
  <si>
    <t>Providing and fixing C.P. brass long nose bib cock of approved quality conforming to IS standards and weighing not less than 810 gms.</t>
  </si>
  <si>
    <t>18.50.1</t>
  </si>
  <si>
    <t>18.51</t>
  </si>
  <si>
    <t>Providing and fixing C.P. brass long body bib cock of approved quality conforming to IS standards and weighing not less than 690 gms.</t>
  </si>
  <si>
    <t>18.51.1</t>
  </si>
  <si>
    <t>18.52</t>
  </si>
  <si>
    <t>Providing and fixing C.P. brass stop cock (concealed) of standard design and of approved make conforming to IS:8931.</t>
  </si>
  <si>
    <t>18.52.1</t>
  </si>
  <si>
    <t>18.53</t>
  </si>
  <si>
    <t>Providing and fixing C.P. brass angle valve for basin mixer and geyser points of approved quality conforming to IS:8931</t>
  </si>
  <si>
    <t>18.53.1</t>
  </si>
  <si>
    <t>15mm nominal bore</t>
  </si>
  <si>
    <t>18.53A</t>
  </si>
  <si>
    <t>Providing and fixing C.P. Brass extension nipple (size 15mmx50mm) of approved make and quality as per direction of Engineer-in-charge.</t>
  </si>
  <si>
    <t>PTMT FITTINGS</t>
  </si>
  <si>
    <t>18.54</t>
  </si>
  <si>
    <t>Providing and fixing PTMT bib cock of approved quality and colour.</t>
  </si>
  <si>
    <t>18.54.1</t>
  </si>
  <si>
    <t>15mm nominal bore, 86 mm long, weighing not less than 88 gms</t>
  </si>
  <si>
    <t>18.54.2</t>
  </si>
  <si>
    <t>15 mm nominal bore, 122mm long, weighing not less than 99 gms</t>
  </si>
  <si>
    <t>18.54.3</t>
  </si>
  <si>
    <t>15 mm nominal bore, 165 mm long, weighing not less than 110 gms</t>
  </si>
  <si>
    <t>18.54.4</t>
  </si>
  <si>
    <t>15 mm nominal bore, 90 mm long, weighing not less than 93 gms</t>
  </si>
  <si>
    <t>18.55</t>
  </si>
  <si>
    <t>Providing and fixing PTMT stop cock of approved quality and colour.</t>
  </si>
  <si>
    <t>18.55.1</t>
  </si>
  <si>
    <t>15 mm nominal bore, 86 mm long, weighing not less than 88 gms</t>
  </si>
  <si>
    <t>18.55.2</t>
  </si>
  <si>
    <t>20 mm nominal bore, 89 mm long, weighing not less than 88 gms</t>
  </si>
  <si>
    <t>18.55.3</t>
  </si>
  <si>
    <t>Concealed stop cock, 15 mm nominal bore, 108 mm long, weighing not less than 108 gms</t>
  </si>
  <si>
    <t>18.56</t>
  </si>
  <si>
    <t>Providing and fixing PTMT pillar cock of approved quality and colour.</t>
  </si>
  <si>
    <t>18.56.1</t>
  </si>
  <si>
    <t>15 mm nominal bore, 107 mm long, weighing not less than 110 gms</t>
  </si>
  <si>
    <t>18.56.2</t>
  </si>
  <si>
    <t>15 mm nominal bore, 125 mm long foam flow, weighing not less than 120 gms</t>
  </si>
  <si>
    <t>18.57</t>
  </si>
  <si>
    <t>Providing and fixing PTMT, push cock of approved quality and colour.</t>
  </si>
  <si>
    <t>18.57.1</t>
  </si>
  <si>
    <t>15 mm nominal bore, 98 mm long, weighing not less than 75 gms</t>
  </si>
  <si>
    <t>18.57.2</t>
  </si>
  <si>
    <t>15 mm nominal bore, 80 mm long, weighing not less than 46 gms</t>
  </si>
  <si>
    <t>18.58</t>
  </si>
  <si>
    <t>Providing and fixing PTMT grating of approved quality and colour.</t>
  </si>
  <si>
    <t>18.58.1</t>
  </si>
  <si>
    <t>Circular type</t>
  </si>
  <si>
    <t>18.58.1.1</t>
  </si>
  <si>
    <t>100 mm nominal dia</t>
  </si>
  <si>
    <t>18.58.1.2</t>
  </si>
  <si>
    <t>125 mm nominal dia with 25 mm waste hole</t>
  </si>
  <si>
    <t>18.58.2</t>
  </si>
  <si>
    <t>Rectangular type with openable circular lid</t>
  </si>
  <si>
    <t>18.58.2.1</t>
  </si>
  <si>
    <t>150 mm nominal size square 100 mm diameter of the inner hinged round grating</t>
  </si>
  <si>
    <t>AIR VALVE &amp; WATER metre (BULK TYPE)</t>
  </si>
  <si>
    <t>18.59</t>
  </si>
  <si>
    <t>Providing and fixing C.I. double acting air valve of approved quality with bolts, nuts, rubber insertions etc. complete (The tail pieces, tapers etc if required will be paid separately) :</t>
  </si>
  <si>
    <t>18.59.1</t>
  </si>
  <si>
    <t>18.59.2</t>
  </si>
  <si>
    <t>80 mm dia</t>
  </si>
  <si>
    <t>18.59.3</t>
  </si>
  <si>
    <t>18.60</t>
  </si>
  <si>
    <t>Providing and fixing enclosed type water metre (bulk type) conforming to IS : 2373 and tested by Municipal Board complete with bolts, nuts, rubber insertions etc. (The tail pieces if required will be paid separately) :</t>
  </si>
  <si>
    <t>18.60.1</t>
  </si>
  <si>
    <t>18.60.2</t>
  </si>
  <si>
    <t>100 mm dia nominal bore</t>
  </si>
  <si>
    <t>18.60.3</t>
  </si>
  <si>
    <t>150 mm dia nominal bore</t>
  </si>
  <si>
    <t>18.60.4</t>
  </si>
  <si>
    <t>200 mm dia nominal bore</t>
  </si>
  <si>
    <t>18.61</t>
  </si>
  <si>
    <t>Providing and fixing C.I. dirt box strainer for bulk type water metre with nuts, bolts, rubber insertions etc. complete conforming to IS : 2373 :</t>
  </si>
  <si>
    <t>18.61.1</t>
  </si>
  <si>
    <t>18.61.2</t>
  </si>
  <si>
    <t>18.61.3</t>
  </si>
  <si>
    <t>150 mm dia</t>
  </si>
  <si>
    <t>18.61.4</t>
  </si>
  <si>
    <t>200 mm dia</t>
  </si>
  <si>
    <t>18.62</t>
  </si>
  <si>
    <t>Providing and fixing PTMT Ball cock of approved quality, colour and make complete with Epoxy coated aluminium rod with L.P./ H.P.H.D. plastic ball.</t>
  </si>
  <si>
    <t>18.62.1</t>
  </si>
  <si>
    <t>15 mm nominal bore, 105 mm long, weighing not less than 138 gms</t>
  </si>
  <si>
    <t>18.62.2</t>
  </si>
  <si>
    <t>20 mm nominal bore, 120 mm long, weighing not less than 198 gms</t>
  </si>
  <si>
    <t>18.62.3</t>
  </si>
  <si>
    <t>25 mm nominal bore, 152mm long, weighing not less than 440 gms</t>
  </si>
  <si>
    <t>18.62.4</t>
  </si>
  <si>
    <t>40 mm nominal bore, 206mm long, weighing not less than 690 gms</t>
  </si>
  <si>
    <t>18.62.5</t>
  </si>
  <si>
    <t>50 mm nominal bore, 242mm long, weighing not less than 1240 gms</t>
  </si>
  <si>
    <t>18.63</t>
  </si>
  <si>
    <t>Providing and fixing PTMT angle stop cock 15 mm nominal bore, weighing not less than 85 gms</t>
  </si>
  <si>
    <t>18.64</t>
  </si>
  <si>
    <t>Providing and fixing PTMT swivelling shower, 15 mm nominal bore, weighing not less than 40 gms</t>
  </si>
  <si>
    <t>18.65</t>
  </si>
  <si>
    <t>Providing and fixing PTMT soap Dish Holder having length of 138mm, breadth 102mm, height of 75mm with concealed fitting arrangements, weighing not less than 106 gms.</t>
  </si>
  <si>
    <t>18.66</t>
  </si>
  <si>
    <t>Providing and laying S&amp;S C.I. Standard specials such as tees, bends, collars tapers and caps etc, suitable for flanged jointing as per IS : 1538 :</t>
  </si>
  <si>
    <t>18.66.1</t>
  </si>
  <si>
    <t>18.66.2</t>
  </si>
  <si>
    <t>Above 300 mm dia</t>
  </si>
  <si>
    <t>18.67</t>
  </si>
  <si>
    <t>Providing and laying S&amp;S C.I. Standard specials suitable for mechanical jointing as per IS : 13382 :</t>
  </si>
  <si>
    <t>18.67.1</t>
  </si>
  <si>
    <t>18.67.2</t>
  </si>
  <si>
    <t>18.68</t>
  </si>
  <si>
    <t>Providing and laying D.I. specials of class K-12 suitable for push-on jointing as per IS : 9523 :</t>
  </si>
  <si>
    <t>18.68.1</t>
  </si>
  <si>
    <t>Up to 600 mm dia</t>
  </si>
  <si>
    <t>18.68.2</t>
  </si>
  <si>
    <t>Above 600 mm dia</t>
  </si>
  <si>
    <t>18.68A</t>
  </si>
  <si>
    <t>Providing and laying Class K-12  Ductile Iron double chamber restrained joint (bolt less) specials such as tees, bends, collars, tapers and caps etc. conforming to IS 9523  including testing of joints all complete.</t>
  </si>
  <si>
    <t>18.68A.1</t>
  </si>
  <si>
    <t xml:space="preserve">Up to 600 mm nominal dia </t>
  </si>
  <si>
    <t>18.68A.2</t>
  </si>
  <si>
    <t xml:space="preserve">Above 600 mm nominal dia </t>
  </si>
  <si>
    <t>18.69</t>
  </si>
  <si>
    <t>Providing and laying D.I. Specials of Class K - 12 suitable for mechanical jointing as per IS : 9523 :</t>
  </si>
  <si>
    <t>18.69.1</t>
  </si>
  <si>
    <t>18.69.2</t>
  </si>
  <si>
    <t>18.70</t>
  </si>
  <si>
    <t>Providing push-on-joints to Centrifugally (Spun) Cast Iron Pipes or Ductile Iron Pipes including testing of joints and the cost of rubber gasket :</t>
  </si>
  <si>
    <t>18.70.1</t>
  </si>
  <si>
    <t>100 mm dia pipes</t>
  </si>
  <si>
    <t>joint</t>
  </si>
  <si>
    <t>18.70.2</t>
  </si>
  <si>
    <t>150 mm dia pipes</t>
  </si>
  <si>
    <t>18.70.3</t>
  </si>
  <si>
    <t>200 mm dia pipes</t>
  </si>
  <si>
    <t>18.70.4</t>
  </si>
  <si>
    <t>250 mm dia pipes</t>
  </si>
  <si>
    <t>18.70.5</t>
  </si>
  <si>
    <t>300 mm dia pipes</t>
  </si>
  <si>
    <t>18.70.6</t>
  </si>
  <si>
    <t>350 mm dia pipes</t>
  </si>
  <si>
    <t>18.70.7</t>
  </si>
  <si>
    <t>400 mm dia pipes</t>
  </si>
  <si>
    <t>18.70.8</t>
  </si>
  <si>
    <t>450 mm dia pipes</t>
  </si>
  <si>
    <t>18.70.9</t>
  </si>
  <si>
    <t>500 mm dia pipes</t>
  </si>
  <si>
    <t>18.70.10</t>
  </si>
  <si>
    <t>600 mm dia pipes</t>
  </si>
  <si>
    <t>18.70.11</t>
  </si>
  <si>
    <t>700 mm dia pipes</t>
  </si>
  <si>
    <t>18.70.12</t>
  </si>
  <si>
    <t>750 mm dia pipes</t>
  </si>
  <si>
    <t>18.70.13</t>
  </si>
  <si>
    <t>800 mm dia pipes</t>
  </si>
  <si>
    <t>18.70.14</t>
  </si>
  <si>
    <t>900 mm dia pipes</t>
  </si>
  <si>
    <t>18.70.15</t>
  </si>
  <si>
    <t>1000 mm dia pipes</t>
  </si>
  <si>
    <t>18.71</t>
  </si>
  <si>
    <t>Providing and laying Double Flanged (screwed / welded) Centrifugally (Spun) Cast Iron, Class B (IS : 1536) :</t>
  </si>
  <si>
    <t>18.71.1</t>
  </si>
  <si>
    <t>100 mm dia C.I. Double Flanged Pipe</t>
  </si>
  <si>
    <t>18.71.2</t>
  </si>
  <si>
    <t>150 mm dia C.I. Double Flanged Pipe</t>
  </si>
  <si>
    <t>18.71.3</t>
  </si>
  <si>
    <t>200 mm dia C.I. Double Flanged Pipe</t>
  </si>
  <si>
    <t>18.71.4</t>
  </si>
  <si>
    <t>250 mm dia C.I. Double Flanged Pipe</t>
  </si>
  <si>
    <t>18.71.5</t>
  </si>
  <si>
    <t>300 mm dia C.I. Double Flanged Pipe</t>
  </si>
  <si>
    <t>18.71.6</t>
  </si>
  <si>
    <t>350 mm dia C.I. Double Flanged Pipe</t>
  </si>
  <si>
    <t>18.71.7</t>
  </si>
  <si>
    <t>400 mm dia C.I. Double Flanged Pipe</t>
  </si>
  <si>
    <t>18.71.8</t>
  </si>
  <si>
    <t>450 mm dia C.I. Double Flanged Pipe</t>
  </si>
  <si>
    <t>18.71.9</t>
  </si>
  <si>
    <t>500 mm dia C.I. Double Flanged Pipe</t>
  </si>
  <si>
    <t>18.71.10</t>
  </si>
  <si>
    <t>600 mm dia C.I. Double Flanged Pipe</t>
  </si>
  <si>
    <t>18.72</t>
  </si>
  <si>
    <t>Providing and laying S&amp;S Centrifugally Cast (Spun) / Ductile Iron Pipes conforming to IS : 8329 :</t>
  </si>
  <si>
    <t>18.72.1</t>
  </si>
  <si>
    <t>100 mm dia Ductile Iron Class K-7 pipes</t>
  </si>
  <si>
    <t>18.72.2</t>
  </si>
  <si>
    <t>150 mm dia Ductile Iron Class K-7 pipes</t>
  </si>
  <si>
    <t>18.72.3</t>
  </si>
  <si>
    <t>200 mm dia Ductile Iron Class K-7 pipes</t>
  </si>
  <si>
    <t>18.72.4</t>
  </si>
  <si>
    <t>250 mm dia Ductile Iron Class K-7 pipes</t>
  </si>
  <si>
    <t>18.72.5</t>
  </si>
  <si>
    <t>300 mm dia Ductile Iron Class K-7 pipes</t>
  </si>
  <si>
    <t>18.72.6</t>
  </si>
  <si>
    <t>350 mm dia Ductile Iron Class K-7 pipes</t>
  </si>
  <si>
    <t>18.72.7</t>
  </si>
  <si>
    <t>400 mm dia Ductile Iron Class K-7 pipes</t>
  </si>
  <si>
    <t>18.72.8</t>
  </si>
  <si>
    <t>450 mm dia Ductile Iron Class K-7 pipes</t>
  </si>
  <si>
    <t>18.72.9</t>
  </si>
  <si>
    <t>500 mm dia Ductile Iron Class K-7 pipes</t>
  </si>
  <si>
    <t>18.72.10</t>
  </si>
  <si>
    <t>600 mm dia Ductile Iron Class K-7 pipes</t>
  </si>
  <si>
    <t>18.72.11</t>
  </si>
  <si>
    <t>700 mm dia Ductile Iron Class K-7 pipes</t>
  </si>
  <si>
    <t>18.72.12</t>
  </si>
  <si>
    <t>800 mm dia Ductile Iron Class K-7 pipes</t>
  </si>
  <si>
    <t>18.72.13</t>
  </si>
  <si>
    <t>900 mm dia Ductile Iron Class K-7 pipes</t>
  </si>
  <si>
    <t>18.72.14</t>
  </si>
  <si>
    <t>1000 mm dia Ductile Iron Class K-7 pipes</t>
  </si>
  <si>
    <t>18.72.15</t>
  </si>
  <si>
    <t>100 mm dia Ductile Iron Class K-9 pipes</t>
  </si>
  <si>
    <t>18.72.16</t>
  </si>
  <si>
    <t>150 mm dia Ductile Iron Class K-9 pipes</t>
  </si>
  <si>
    <t>18.72.17</t>
  </si>
  <si>
    <t>200 mm dia Ductile Iron Class K-9 pipes</t>
  </si>
  <si>
    <t>18.72.18</t>
  </si>
  <si>
    <t>250 mm dia Ductile Iron Class K-9 pipes</t>
  </si>
  <si>
    <t>18.72.19</t>
  </si>
  <si>
    <t>300 mm dia Ductile Iron Class K-9 pipes</t>
  </si>
  <si>
    <t>18.72.20</t>
  </si>
  <si>
    <t>350 mm dia Ductile Iron Class K-9 pipes</t>
  </si>
  <si>
    <t>18.72.21</t>
  </si>
  <si>
    <t>400 mm dia Ductile Iron Class K-9 pipes</t>
  </si>
  <si>
    <t>18.72.22</t>
  </si>
  <si>
    <t>450 mm dia Ductile Iron Class K-9 pipes</t>
  </si>
  <si>
    <t>18.72.23</t>
  </si>
  <si>
    <t>500 mm dia Ductile Iron Class K-9 pipes</t>
  </si>
  <si>
    <t>18.72.24</t>
  </si>
  <si>
    <t>600 mm dia Ductile Iron Class K-9 pipes</t>
  </si>
  <si>
    <t>18.72.25</t>
  </si>
  <si>
    <t>700 mm dia Ductile Iron Class K-9 pipes</t>
  </si>
  <si>
    <t>18.72.26</t>
  </si>
  <si>
    <t>750 mm dia Ductile Iron Class K-9 pipes</t>
  </si>
  <si>
    <t>18.72.27</t>
  </si>
  <si>
    <t>800 mm dia Ductile Iron Class K-9 pipes</t>
  </si>
  <si>
    <t>18.72.28</t>
  </si>
  <si>
    <t>900 mm dia Ductile Iron Class K-9 pipes</t>
  </si>
  <si>
    <t>18.72.29</t>
  </si>
  <si>
    <t>1000 mm dia Ductile Iron Class K-9 pipes</t>
  </si>
  <si>
    <t>18.72A</t>
  </si>
  <si>
    <t>Providing, laying,  jointing and testing  S&amp;S Centrifugally Cast  Ductile Iron double chamber Class K-9  pressure pipes conforming to IS 8329:2000 with restrained joints (bolt less), all complete.</t>
  </si>
  <si>
    <t>18.72A.1</t>
  </si>
  <si>
    <t>100 mm nominal dia pipe</t>
  </si>
  <si>
    <t>18.72A.2</t>
  </si>
  <si>
    <t>150 mm nominal dia pipe</t>
  </si>
  <si>
    <t>18.72A.3</t>
  </si>
  <si>
    <t>200 mm nominal dia pipe</t>
  </si>
  <si>
    <t>18.72A.4</t>
  </si>
  <si>
    <t>250 mm nominal dia pipe</t>
  </si>
  <si>
    <t>18.72A.5</t>
  </si>
  <si>
    <t>300 mm nominal dia pipe</t>
  </si>
  <si>
    <t>18.72A.6</t>
  </si>
  <si>
    <t>350 mm nominal dia pipe</t>
  </si>
  <si>
    <t>18.72A.7</t>
  </si>
  <si>
    <t>400 mm nominal dia pipe</t>
  </si>
  <si>
    <t>18.72A.8</t>
  </si>
  <si>
    <t>450 mm nominal dia pipe</t>
  </si>
  <si>
    <t>18.72A.9</t>
  </si>
  <si>
    <t>500 mm nominal dia pipe</t>
  </si>
  <si>
    <t>18.72A.10</t>
  </si>
  <si>
    <t>600 mm nominal dia pipe</t>
  </si>
  <si>
    <t>18.72A.11</t>
  </si>
  <si>
    <t>700 mm nominal dia pipe</t>
  </si>
  <si>
    <t>18.72A.12</t>
  </si>
  <si>
    <t>750 mm nominal dia pipe</t>
  </si>
  <si>
    <t>18.72A.13</t>
  </si>
  <si>
    <t>800 mm nominal dia pipe</t>
  </si>
  <si>
    <t>18.72A.14</t>
  </si>
  <si>
    <t>900 mm nominal dia pipe</t>
  </si>
  <si>
    <t>18.72A.15</t>
  </si>
  <si>
    <t>1000 mm nominal dia pipe</t>
  </si>
  <si>
    <t>18.73</t>
  </si>
  <si>
    <t>Providing and laying Double Flanged (Screwed/ Welded) Centrifugally (Spun) Ductile Iron Pipes of Class K - 9 conforming to IS : 8329 :</t>
  </si>
  <si>
    <t>18.73.1</t>
  </si>
  <si>
    <t>100 mm dia Ductile Iron Double Flanged</t>
  </si>
  <si>
    <t>18.73.2</t>
  </si>
  <si>
    <t>150 mm dia Ductile Iron Double Flanged</t>
  </si>
  <si>
    <t>18.73.3</t>
  </si>
  <si>
    <t>200 mm dia Ductile Iron Double Flanged</t>
  </si>
  <si>
    <t>18.73.4</t>
  </si>
  <si>
    <t>250 mm dia Ductile Iron Double Flanged</t>
  </si>
  <si>
    <t>18.73.5</t>
  </si>
  <si>
    <t>300 mm dia Ductile Iron Double Flanged</t>
  </si>
  <si>
    <t>18.73.6</t>
  </si>
  <si>
    <t>350 mm dia Ductile Iron Double Flanged</t>
  </si>
  <si>
    <t>18.73.7</t>
  </si>
  <si>
    <t>400 mm dia Ductile Iron Double Flanged</t>
  </si>
  <si>
    <t>18.73.8</t>
  </si>
  <si>
    <t>450 mm dia Ductile Iron Double Flanged</t>
  </si>
  <si>
    <t>18.73.9</t>
  </si>
  <si>
    <t>500 mm dia Ductile Iron Double Flanged</t>
  </si>
  <si>
    <t>18.73.10</t>
  </si>
  <si>
    <t>600 mm dia Ductile Iron Double Flanged</t>
  </si>
  <si>
    <t>18.73.11</t>
  </si>
  <si>
    <t>700 mm dia Ductile Iron Double Flanged</t>
  </si>
  <si>
    <t>18.74</t>
  </si>
  <si>
    <t>Providing and fixing unplasticised P.V.C. connection pipe with PTMT Nuts, collar and bush of approved quality and colour.</t>
  </si>
  <si>
    <t>18.74.1</t>
  </si>
  <si>
    <t>15 mm nominal bore with 30cm length</t>
  </si>
  <si>
    <t>18.74.2</t>
  </si>
  <si>
    <t>15 mm nominal bore with 45 cm length</t>
  </si>
  <si>
    <t>18.75</t>
  </si>
  <si>
    <t>Providing and fixing PTMT extension nipple for water tank pipe, fittings of approved quality and colour.</t>
  </si>
  <si>
    <t>18.75.1</t>
  </si>
  <si>
    <t>15 mm nominal bore, weighing not less than 32 gms</t>
  </si>
  <si>
    <t>18.75.2</t>
  </si>
  <si>
    <t>20 mm nominal bore, weighing not less than 40 gms</t>
  </si>
  <si>
    <t>18.75.3</t>
  </si>
  <si>
    <t>25mm nominal bore, weighing not less than 62 gms</t>
  </si>
  <si>
    <t>18.76</t>
  </si>
  <si>
    <t>Cutting holes up to 30x30 cm in walls including making good the same:</t>
  </si>
  <si>
    <t>18.76.1</t>
  </si>
  <si>
    <t>With common burnt clay F.P.S. (non modular) bricks</t>
  </si>
  <si>
    <t>18.77</t>
  </si>
  <si>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t>
  </si>
  <si>
    <t>18.78</t>
  </si>
  <si>
    <t>Making chases up to 7.5x7.5 cm in walls including making good and finishing with matching surface after housing G.I. pipe etc.</t>
  </si>
  <si>
    <t>18.79</t>
  </si>
  <si>
    <t>Making hole up to 20x20 cm and embedding pipes up to 150 mm diameter in masonry and filling with cement concrete 1:3:6 (1 cement : 3 coarse sand: 6 graded stone aggregate 20 mm nominal size) including disposal of malba.</t>
  </si>
  <si>
    <t>18.80</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</si>
  <si>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</si>
  <si>
    <t>18.80.1</t>
  </si>
  <si>
    <t>80 mm diameter C.I. pipe</t>
  </si>
  <si>
    <t>100 metre</t>
  </si>
  <si>
    <t>18.80.2</t>
  </si>
  <si>
    <t>100 mm diameter C.I. pipe</t>
  </si>
  <si>
    <t>18.80.3</t>
  </si>
  <si>
    <t>125 mm diameter C.I. pipe</t>
  </si>
  <si>
    <t>18.80.4</t>
  </si>
  <si>
    <t>150 mm diameter C.I. pipe</t>
  </si>
  <si>
    <t>18.80.5</t>
  </si>
  <si>
    <t>200 mm diameter C.I. pipe</t>
  </si>
  <si>
    <t>18.80.6</t>
  </si>
  <si>
    <t>250 mm diameter C.I. pipe</t>
  </si>
  <si>
    <t>18.80.7</t>
  </si>
  <si>
    <t>300 mm diameter C.I. pipe</t>
  </si>
  <si>
    <t>18.80.8</t>
  </si>
  <si>
    <t>350 mm diameter C.I. pipe</t>
  </si>
  <si>
    <t>18.80.9</t>
  </si>
  <si>
    <t>400 mm diameter C.I. pipe</t>
  </si>
  <si>
    <t>18.80.10</t>
  </si>
  <si>
    <t>450 mm diameter C.I. pipe</t>
  </si>
  <si>
    <t>18.80.11</t>
  </si>
  <si>
    <t>500 mm diameter C.I. pipe</t>
  </si>
  <si>
    <t>18.80.12</t>
  </si>
  <si>
    <t>600 mm diameter C.I. pipe</t>
  </si>
  <si>
    <t>18.81</t>
  </si>
  <si>
    <t>Extra for every operation of disinfecting the C.I. main by flushing with water containing bleaching powder @ 0.5 gms per litre of water and cleaning the same with fresh water, including getting the samples of water tested in the municipal laboratory :</t>
  </si>
  <si>
    <t>18.81.1</t>
  </si>
  <si>
    <t>18.81.2</t>
  </si>
  <si>
    <t>18.81.3</t>
  </si>
  <si>
    <t>18.81.4</t>
  </si>
  <si>
    <t>18.81.5</t>
  </si>
  <si>
    <t>18.81.6</t>
  </si>
  <si>
    <t>18.81.7</t>
  </si>
  <si>
    <t>18.81.8</t>
  </si>
  <si>
    <t>18.81.9</t>
  </si>
  <si>
    <t>18.81.10</t>
  </si>
  <si>
    <t>18.81.11</t>
  </si>
  <si>
    <t>18.81.12</t>
  </si>
  <si>
    <t>18.82</t>
  </si>
  <si>
    <t>Dismantling old C.I. pipes including excavation and refilling trenches after taking out the pipes, breaking lead caulked joints, melting of lead and making into blocks, including stacking of pipes at site lead up to 50 metre:</t>
  </si>
  <si>
    <t>18.82.1</t>
  </si>
  <si>
    <t>18.82.2</t>
  </si>
  <si>
    <t>18.82.3</t>
  </si>
  <si>
    <t>18.82.4</t>
  </si>
  <si>
    <t>18.82.5</t>
  </si>
  <si>
    <t>18.82.6</t>
  </si>
  <si>
    <t>18.82.7</t>
  </si>
  <si>
    <t>18.82.8</t>
  </si>
  <si>
    <t>18.82.9</t>
  </si>
  <si>
    <t>18.82.10</t>
  </si>
  <si>
    <t>18.82.11</t>
  </si>
  <si>
    <t>18.82.12</t>
  </si>
  <si>
    <t>18.83</t>
  </si>
  <si>
    <t>Labour for cutting C.I. pipe with steel saw.</t>
  </si>
  <si>
    <t>18.83.1</t>
  </si>
  <si>
    <t>each cut</t>
  </si>
  <si>
    <t>18.83.2</t>
  </si>
  <si>
    <t>18.83.3</t>
  </si>
  <si>
    <t>18.83.4</t>
  </si>
  <si>
    <t>18.83.5</t>
  </si>
  <si>
    <t>18.83.6</t>
  </si>
  <si>
    <t>18.83.7</t>
  </si>
  <si>
    <t>18.83.8</t>
  </si>
  <si>
    <t>18.83.9</t>
  </si>
  <si>
    <t>18.83.10</t>
  </si>
  <si>
    <t>18.83.11</t>
  </si>
  <si>
    <t>18.83.12</t>
  </si>
  <si>
    <t>18.84</t>
  </si>
  <si>
    <t>Providing &amp; fixing chrome plated brass battery based infrared sensor operated pillar cock, having foam flow technology.</t>
  </si>
  <si>
    <t>18.84.1</t>
  </si>
  <si>
    <t>18.85</t>
  </si>
  <si>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Engineer-in-charge. (The pipe length inserted in the fitting shall not be measured for payment)</t>
  </si>
  <si>
    <t>18.85.1</t>
  </si>
  <si>
    <t>15.88 mm outer dia pipe</t>
  </si>
  <si>
    <t>18.85.2</t>
  </si>
  <si>
    <t>22.22 mm outer dia Pipe</t>
  </si>
  <si>
    <t>18.85.3</t>
  </si>
  <si>
    <t>28.58 mm outer dia Pipe</t>
  </si>
  <si>
    <t>18.85.4</t>
  </si>
  <si>
    <t>34.00 mm outer dia Pipe</t>
  </si>
  <si>
    <t>18.85.5</t>
  </si>
  <si>
    <t>42.70 mm outer dia Pipe</t>
  </si>
  <si>
    <t>18.85.6</t>
  </si>
  <si>
    <t>48.60 mm outer dia Pipe</t>
  </si>
  <si>
    <t>18.85A</t>
  </si>
  <si>
    <t>Providing and fixing Stainless Steel pipe and fitting of grade 316L as per IS 6911:2017 and conforming to EN-10312 standards complete with press type fitting (fitting shall be paid for separately) i/c fixing of the pipe with clamps at 1.00 m spacing including cutting and making good the walls including testing of joints complete as per direction of Engineer-in-charge. (The pipe length inserted in the fitting shall not be measured for payment)</t>
  </si>
  <si>
    <t>18.85A.1</t>
  </si>
  <si>
    <t>15 mm outer dia pipe</t>
  </si>
  <si>
    <t>18.85A.2</t>
  </si>
  <si>
    <t>22 mm outer dia Pipe</t>
  </si>
  <si>
    <t>18.85A.3</t>
  </si>
  <si>
    <t>28 mm outer dia Pipe</t>
  </si>
  <si>
    <t>18.85A.4</t>
  </si>
  <si>
    <t>35 mm outer dia Pipe</t>
  </si>
  <si>
    <t>18.85A.5</t>
  </si>
  <si>
    <t>42 mm outer dia Pipe</t>
  </si>
  <si>
    <t>18.85A.6</t>
  </si>
  <si>
    <t>54 mm outer dia Pipe</t>
  </si>
  <si>
    <t>18.86</t>
  </si>
  <si>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t>
  </si>
  <si>
    <t>Internal work - Concealed Pipe</t>
  </si>
  <si>
    <t>18.86.1</t>
  </si>
  <si>
    <t>15.88 mm outer dia Pipe.</t>
  </si>
  <si>
    <t>18.86.2</t>
  </si>
  <si>
    <t>22.22 mm Outer dia pipe</t>
  </si>
  <si>
    <t>18.86A</t>
  </si>
  <si>
    <t>Providing and fixing Stainless Steel pipe and fitting of grade 316L as per IS 6911:2017 and conforming to EN-10312 standards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t>
  </si>
  <si>
    <t>18.86A.1</t>
  </si>
  <si>
    <t>15 mm outer dia Pipe.</t>
  </si>
  <si>
    <t>18.86A.2</t>
  </si>
  <si>
    <t>22 mm Outer dia pipes</t>
  </si>
  <si>
    <t>18.87</t>
  </si>
  <si>
    <t>Providing and fixing required Stainless Steel Fitting of press fit design of grade AISI 304 conforming to JWWA G116 standard with V-profile or M-profile and with O-ring sealing gasket of EPDM material of required dia as per direction of Engineer-in-charge.</t>
  </si>
  <si>
    <t>Coupling/Socket</t>
  </si>
  <si>
    <t>18.87.1</t>
  </si>
  <si>
    <t>For 15.88 mm outer dia pipe</t>
  </si>
  <si>
    <t>18.87.2</t>
  </si>
  <si>
    <t>For 22.22 mm outer dia pipe</t>
  </si>
  <si>
    <t>18.87.3</t>
  </si>
  <si>
    <t>For 28.58 mm outer dia pipe</t>
  </si>
  <si>
    <t>18.87.4</t>
  </si>
  <si>
    <t>For 34.00 mm outer dia pipe</t>
  </si>
  <si>
    <t>18.87.5</t>
  </si>
  <si>
    <t>For 42.70 mm outer dia pipe</t>
  </si>
  <si>
    <t>18.87.6</t>
  </si>
  <si>
    <t>For 48.60 mm outer dia pipe</t>
  </si>
  <si>
    <t>18.87A</t>
  </si>
  <si>
    <t>Providing and fixing required Stainless Steel Fitting of press fit design of grade 316L as per IS 6911:2017 and conforming to EN-10312 standards with V-profile and with O-ring sealing gasket of EPDM material of required dia as per direction of Engineer-in-charge.</t>
  </si>
  <si>
    <t>18.87A.1</t>
  </si>
  <si>
    <t>For 15 mm outer dia pipe</t>
  </si>
  <si>
    <t>18.87A.2</t>
  </si>
  <si>
    <t>For 22 mm outer dia pipe</t>
  </si>
  <si>
    <t>18.87A.3</t>
  </si>
  <si>
    <t>For 28 mm outer dia pipe</t>
  </si>
  <si>
    <t>18.87A.4</t>
  </si>
  <si>
    <t>For 35 mm outer dia pipe</t>
  </si>
  <si>
    <t>18.87A.5</t>
  </si>
  <si>
    <t>For 42 mm outer dia pipe</t>
  </si>
  <si>
    <t>18.87A.6</t>
  </si>
  <si>
    <t>For 54 mm outer dia pipe</t>
  </si>
  <si>
    <t>18.88</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</si>
  <si>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t>
  </si>
  <si>
    <t>Reducer</t>
  </si>
  <si>
    <t>18.88.1</t>
  </si>
  <si>
    <t>For 22.22 mm x 15.88 mm outer dia pipe</t>
  </si>
  <si>
    <t>18.88.2</t>
  </si>
  <si>
    <t>For 28.58 mm x 15.88 mm outer dia pipe</t>
  </si>
  <si>
    <t>18.88.3</t>
  </si>
  <si>
    <t>For 28.58 mm x 22.22 mm outer dia pipe</t>
  </si>
  <si>
    <t>18.88.4</t>
  </si>
  <si>
    <t>For 34.00 mm x 15.88 mm outer dia pipe</t>
  </si>
  <si>
    <t>18.88.5</t>
  </si>
  <si>
    <t>For 34.00 mm x 22.22 mm outer dia pipe</t>
  </si>
  <si>
    <t>18.88.6</t>
  </si>
  <si>
    <t>For 34.00 mm x 28.58 mm outer dia pipe</t>
  </si>
  <si>
    <t>18.88.7</t>
  </si>
  <si>
    <t>For 42.70 mm x 15.88 mm outer dia pipe</t>
  </si>
  <si>
    <t>18.88.8</t>
  </si>
  <si>
    <t>For 42.70 mm x 22.22 mm outer dia pipe</t>
  </si>
  <si>
    <t>18.88.9</t>
  </si>
  <si>
    <t>For 42.70 mm x 28.58 mm outer dia pipe</t>
  </si>
  <si>
    <t>18.88.10</t>
  </si>
  <si>
    <t>For 42.70 mm x 34.00 mm outer dia pipe</t>
  </si>
  <si>
    <t>18.88.11</t>
  </si>
  <si>
    <t>For 48.60 mm x 15.88 mm outer dia pipe</t>
  </si>
  <si>
    <t>18.88.12</t>
  </si>
  <si>
    <t>For 48.60 mm x 22.22 mm outer dia pipe</t>
  </si>
  <si>
    <t>18.88.13</t>
  </si>
  <si>
    <t>For 48.60 mm x 28.58 mm outer dia pipe</t>
  </si>
  <si>
    <t>18.88.14</t>
  </si>
  <si>
    <t>For 48.60 mm x 34.00 mm outer dia pipe</t>
  </si>
  <si>
    <t>18.88.15</t>
  </si>
  <si>
    <t>For 48.60 mm x 42.70 mm outer dia pipe</t>
  </si>
  <si>
    <t>18.88A</t>
  </si>
  <si>
    <t>Providing and fixing required Stainless Steel Fitting of press fit design of grade 316L as per IS 6911:2017 and conforming to EN-10312 standards with V-profile and with O-ring sealing gasket of EPDM material of required dia as per dirction of Engineer-in-charge.</t>
  </si>
  <si>
    <t>18.88A.1</t>
  </si>
  <si>
    <t>For 22mm x 15 mm outer dia pipe</t>
  </si>
  <si>
    <t>18.88A.2</t>
  </si>
  <si>
    <t>For 28 mm x 15 mm outer dia pipe</t>
  </si>
  <si>
    <t>18.88A.3</t>
  </si>
  <si>
    <t>For 28 mm x 22 mm outer dia pipe</t>
  </si>
  <si>
    <t>18.88A.4</t>
  </si>
  <si>
    <t>For 35 mm x 22 mm outer dia pipe</t>
  </si>
  <si>
    <t>18.88A.5</t>
  </si>
  <si>
    <t>For 35 mm x 28 mm outer dia pipe</t>
  </si>
  <si>
    <t>18.88A.6</t>
  </si>
  <si>
    <t>For 42 mm x 22 mm outer dia pipe</t>
  </si>
  <si>
    <t>18.88A.7</t>
  </si>
  <si>
    <t>For 42 mm x 28 mm outer dia pipe</t>
  </si>
  <si>
    <t>18.88A.8</t>
  </si>
  <si>
    <t>For 42 mm x 35 mm outer dia pipe</t>
  </si>
  <si>
    <t>18.88A.9</t>
  </si>
  <si>
    <t>For 54 mm x 28 mm outer dia pipe</t>
  </si>
  <si>
    <t>18.88A.10</t>
  </si>
  <si>
    <t>For 54 mm x 35 mm outer dia pipe</t>
  </si>
  <si>
    <t>18.88A.11</t>
  </si>
  <si>
    <t>For 54 mm x 42 mm outer dia pipe</t>
  </si>
  <si>
    <t>18.89</t>
  </si>
  <si>
    <t>Slip Coupling/ Socket</t>
  </si>
  <si>
    <t>18.89.1</t>
  </si>
  <si>
    <t>18.89.2</t>
  </si>
  <si>
    <t>18.89.3</t>
  </si>
  <si>
    <t>18.89.4</t>
  </si>
  <si>
    <t>18.89.5</t>
  </si>
  <si>
    <t>18.89.6</t>
  </si>
  <si>
    <t>18.89A</t>
  </si>
  <si>
    <t>Sleeve/Slip Coupling/ Socket</t>
  </si>
  <si>
    <t>18.89A.1</t>
  </si>
  <si>
    <t>18.89A.2</t>
  </si>
  <si>
    <t>18.89A.3</t>
  </si>
  <si>
    <t>18.89A.4</t>
  </si>
  <si>
    <t>18.89A.5</t>
  </si>
  <si>
    <t>18.89A.6</t>
  </si>
  <si>
    <t>18.90</t>
  </si>
  <si>
    <t>Elbow 90°</t>
  </si>
  <si>
    <t>18.90.1</t>
  </si>
  <si>
    <t>For 15.88mm outer dia pipe</t>
  </si>
  <si>
    <t>18.90.2</t>
  </si>
  <si>
    <t>18.90.3</t>
  </si>
  <si>
    <t>18.90.4</t>
  </si>
  <si>
    <t>18.90.5</t>
  </si>
  <si>
    <t>18.90.6</t>
  </si>
  <si>
    <t>18.90A</t>
  </si>
  <si>
    <t>18.90A.1</t>
  </si>
  <si>
    <t>18.90A.2</t>
  </si>
  <si>
    <t>18.90A.3</t>
  </si>
  <si>
    <t>18.90A.4</t>
  </si>
  <si>
    <t>18.90A.5</t>
  </si>
  <si>
    <t>18.90A.6</t>
  </si>
  <si>
    <t>18.91</t>
  </si>
  <si>
    <t>Reducing Elbow 90°</t>
  </si>
  <si>
    <t>18.91.1</t>
  </si>
  <si>
    <t>For22.22 mm x 15.88 mm outer dia pipe</t>
  </si>
  <si>
    <t>18.91.2</t>
  </si>
  <si>
    <t>18.91.3</t>
  </si>
  <si>
    <t>18.91.4</t>
  </si>
  <si>
    <t>18.91.5</t>
  </si>
  <si>
    <t>18.91.6</t>
  </si>
  <si>
    <t>18.92</t>
  </si>
  <si>
    <t>Equal Tee</t>
  </si>
  <si>
    <t>18.92.1</t>
  </si>
  <si>
    <t>18.92.2</t>
  </si>
  <si>
    <t>18.92.3</t>
  </si>
  <si>
    <t>18.92.4</t>
  </si>
  <si>
    <t>18.92.5</t>
  </si>
  <si>
    <t>18.92.6</t>
  </si>
  <si>
    <t>18.92A</t>
  </si>
  <si>
    <t>18.92A.1</t>
  </si>
  <si>
    <t>18.92A.2</t>
  </si>
  <si>
    <t>18.92A.3</t>
  </si>
  <si>
    <t>18.92A.4</t>
  </si>
  <si>
    <t>18.92A.5</t>
  </si>
  <si>
    <t>18.92A.6</t>
  </si>
  <si>
    <t>18.93</t>
  </si>
  <si>
    <t>Reducing Tee</t>
  </si>
  <si>
    <t>18.93.1</t>
  </si>
  <si>
    <t>18.93.2</t>
  </si>
  <si>
    <t>18.93.3</t>
  </si>
  <si>
    <t>18.93.4</t>
  </si>
  <si>
    <t>18.93.5</t>
  </si>
  <si>
    <t>18.93.6</t>
  </si>
  <si>
    <t>18.93.7</t>
  </si>
  <si>
    <t>18.93.8</t>
  </si>
  <si>
    <t>18.93.9</t>
  </si>
  <si>
    <t>18.93.10</t>
  </si>
  <si>
    <t>18.93.11</t>
  </si>
  <si>
    <t>18.93.12</t>
  </si>
  <si>
    <t>18.93.13</t>
  </si>
  <si>
    <t>18.93.14</t>
  </si>
  <si>
    <t>18.93.15</t>
  </si>
  <si>
    <t>18.93A</t>
  </si>
  <si>
    <t>18.93A.1</t>
  </si>
  <si>
    <t>For 22 mm x 15 mm outer dia pipe</t>
  </si>
  <si>
    <t>18.93A.2</t>
  </si>
  <si>
    <t>18.93A.3</t>
  </si>
  <si>
    <t>18.93A.4</t>
  </si>
  <si>
    <t>For 35 mm x 15 mm outer dia pipe</t>
  </si>
  <si>
    <t>18.93A.5</t>
  </si>
  <si>
    <t>18.93A.6</t>
  </si>
  <si>
    <t>18.93A.7</t>
  </si>
  <si>
    <t>18.93A.8</t>
  </si>
  <si>
    <t>18.93A.9</t>
  </si>
  <si>
    <t>18.93A.10</t>
  </si>
  <si>
    <t>For 54 mm x 22 mm outer dia pipe</t>
  </si>
  <si>
    <t>18.93A.11</t>
  </si>
  <si>
    <t>18.93A.12</t>
  </si>
  <si>
    <t>18.93A.13</t>
  </si>
  <si>
    <t>18.94</t>
  </si>
  <si>
    <t>Male Thread Tee</t>
  </si>
  <si>
    <t>18.94.1</t>
  </si>
  <si>
    <t>For 15.88 mm outer dia x 15 mm nominal dia threaded</t>
  </si>
  <si>
    <t>18.94.2</t>
  </si>
  <si>
    <t>For 22.22 mm outer dia x 15 mm nominal dia threaded</t>
  </si>
  <si>
    <t>18.94.3</t>
  </si>
  <si>
    <t>For 22.22 mm outer dia x 20 mm nominal dia threaded</t>
  </si>
  <si>
    <t>18.94.4</t>
  </si>
  <si>
    <t>For 28.58 mm outer dia x 15 mm nominal dia threaded</t>
  </si>
  <si>
    <t>18.94.5</t>
  </si>
  <si>
    <t>For 28.58 mm outer dia x 20 mm nominal dia threaded</t>
  </si>
  <si>
    <t>18.94.6</t>
  </si>
  <si>
    <t>For 28.58 mm outer dia x 25 mm nominal dia threaded</t>
  </si>
  <si>
    <t>18.94.7</t>
  </si>
  <si>
    <t>For 34.00 mm outer dia x 15 mm nominal dia threaded</t>
  </si>
  <si>
    <t>18.94.8</t>
  </si>
  <si>
    <t>For 34.00 mm outer dia x 20 mm nominal dia threaded</t>
  </si>
  <si>
    <t>18.94.9</t>
  </si>
  <si>
    <t>For 34.00 mm outer dia x 25 mm nominal dia threaded</t>
  </si>
  <si>
    <t>18.94.10</t>
  </si>
  <si>
    <t>For 34.00 mm outer dia x 32 mm nominal dia threaded</t>
  </si>
  <si>
    <t>18.94.11</t>
  </si>
  <si>
    <t>For 42.70 mm outer dia x 15 mm nominal dia threaded</t>
  </si>
  <si>
    <t>18.94.12</t>
  </si>
  <si>
    <t>For 42.70 mm outer dia x 20 mm nominal dia threaded</t>
  </si>
  <si>
    <t>18.94.13</t>
  </si>
  <si>
    <t>For 42.70 mm outer dia x 25 mm nominal dia threaded</t>
  </si>
  <si>
    <t>18.94.14</t>
  </si>
  <si>
    <t>For 42.70 mm outer dia x 32 mm nominal dia threaded</t>
  </si>
  <si>
    <t>18.94.15</t>
  </si>
  <si>
    <t>For 42.70 mm outer dia x 40 mm nominal dia threaded</t>
  </si>
  <si>
    <t>18.94.16</t>
  </si>
  <si>
    <t>For 48.60 mm outer dia x 15 mm nominal dia threaded</t>
  </si>
  <si>
    <t>18.94.17</t>
  </si>
  <si>
    <t>For 48.60 mm outer dia x 20 mm nominal dia threaded</t>
  </si>
  <si>
    <t>18.94.18</t>
  </si>
  <si>
    <t>For 48.60 mm outer dia x 25 mm nominal dia threaded</t>
  </si>
  <si>
    <t>18.94.19</t>
  </si>
  <si>
    <t>For 48.60 mm outer dia x 32 mm nominal dia threaded</t>
  </si>
  <si>
    <t>18.94.20</t>
  </si>
  <si>
    <t>For 48.60 mm outer dia x 40 mm nominal dia threaded</t>
  </si>
  <si>
    <t>18.94.21</t>
  </si>
  <si>
    <t>For 48.60 mm outer dia x 50 mm nominal dia threaded</t>
  </si>
  <si>
    <t>18.95</t>
  </si>
  <si>
    <t>Female Thread Tee</t>
  </si>
  <si>
    <t>18.95.1</t>
  </si>
  <si>
    <t>For 15.88 mm outer dia x15 mm nominal dia threaded</t>
  </si>
  <si>
    <t>18.95.2</t>
  </si>
  <si>
    <t>18.95.3</t>
  </si>
  <si>
    <t>18.95.4</t>
  </si>
  <si>
    <t>18.95.5</t>
  </si>
  <si>
    <t>18.95.6</t>
  </si>
  <si>
    <t>18.95.7</t>
  </si>
  <si>
    <t>18.95.8</t>
  </si>
  <si>
    <t>18.95.9</t>
  </si>
  <si>
    <t>18.95.10</t>
  </si>
  <si>
    <t>18.95.11</t>
  </si>
  <si>
    <t>18.95.12</t>
  </si>
  <si>
    <t>18.95.13</t>
  </si>
  <si>
    <t>18.95.14</t>
  </si>
  <si>
    <t>18.95.15</t>
  </si>
  <si>
    <t>18.95.16</t>
  </si>
  <si>
    <t>18.95.17</t>
  </si>
  <si>
    <t>18.95.18</t>
  </si>
  <si>
    <t>18.95.19</t>
  </si>
  <si>
    <t>18.95.20</t>
  </si>
  <si>
    <t>18.95.21</t>
  </si>
  <si>
    <t>18.95A</t>
  </si>
  <si>
    <t>18.95A.1</t>
  </si>
  <si>
    <t>For 15 mm outer dia x 1/2" nominal dia threaded</t>
  </si>
  <si>
    <t>18.95A.2</t>
  </si>
  <si>
    <t>For 22mm outer dia x 1/2" nominal dia threaded</t>
  </si>
  <si>
    <t>18.95A.3</t>
  </si>
  <si>
    <t>For 22mm outer dia x 3/4" nominal dia threaded</t>
  </si>
  <si>
    <t>18.95A.4</t>
  </si>
  <si>
    <t>For 28 mm outer dia x 1/2" nominal dia threaded</t>
  </si>
  <si>
    <t>18.95A.5</t>
  </si>
  <si>
    <t>For 28 mm outer dia x 3/4" nominal dia threaded</t>
  </si>
  <si>
    <t>18.95A.6</t>
  </si>
  <si>
    <t>For 28 mm outer dia x 1" nominal dia threaded</t>
  </si>
  <si>
    <t>18.95A.7</t>
  </si>
  <si>
    <t>For 35 mm outer dia x 1/2" nominal dia threaded</t>
  </si>
  <si>
    <t>18.95A.8</t>
  </si>
  <si>
    <t>For 35 mm outer dia x 1-1/4" nominal dia threaded</t>
  </si>
  <si>
    <t>18.95A.9</t>
  </si>
  <si>
    <t>For 42 mm outer dia x 1-1/4" nominal dia threaded</t>
  </si>
  <si>
    <t>18.95A.10</t>
  </si>
  <si>
    <t>For 54 mm outer dia x 1-1/2" nominal dia threaded</t>
  </si>
  <si>
    <t>18.95A.11</t>
  </si>
  <si>
    <t>For 54 mm outer dia x 2" nominal dia threaded</t>
  </si>
  <si>
    <t>18.96</t>
  </si>
  <si>
    <t>Female Thread Connector/ Adapter</t>
  </si>
  <si>
    <t>18.96.1</t>
  </si>
  <si>
    <t>18.96.2</t>
  </si>
  <si>
    <t>For 22.22 mm outer dia x 15 mmnominal dia threaded</t>
  </si>
  <si>
    <t>18.96.3</t>
  </si>
  <si>
    <t>18.96.4</t>
  </si>
  <si>
    <t>18.96.5</t>
  </si>
  <si>
    <t>18.96.6</t>
  </si>
  <si>
    <t>18.96.7</t>
  </si>
  <si>
    <t>18.96.8</t>
  </si>
  <si>
    <t>18.96.9</t>
  </si>
  <si>
    <t>18.96.10</t>
  </si>
  <si>
    <t>18.96.11</t>
  </si>
  <si>
    <t>18.96.12</t>
  </si>
  <si>
    <t>18.96A</t>
  </si>
  <si>
    <t>18.96A.1</t>
  </si>
  <si>
    <t>For 15 mm outer dia x 1/2" mm nominal dia threaded</t>
  </si>
  <si>
    <t>18.96A.2</t>
  </si>
  <si>
    <t>For 22 mm outer dia x 1/2" mm nominal dia threaded</t>
  </si>
  <si>
    <t>18.96A.3</t>
  </si>
  <si>
    <t>For 22 mm outer dia x 3/4" mm nominal dia threaded</t>
  </si>
  <si>
    <t>18.96A.4</t>
  </si>
  <si>
    <t>For 28 mm outer dia X 1" nominal dia threaded</t>
  </si>
  <si>
    <t>18.96A.5</t>
  </si>
  <si>
    <t>For 35 mm outer dia X 1-1/4" nominal dia threaded</t>
  </si>
  <si>
    <t>18.96A.6</t>
  </si>
  <si>
    <t>For 42 mm outer dia X 1-1/2" nominal dia threaded</t>
  </si>
  <si>
    <t>18.96A.7</t>
  </si>
  <si>
    <t>For 54 mm outer dia X 2" nominal dia threaded</t>
  </si>
  <si>
    <t>18.97</t>
  </si>
  <si>
    <t>Male Thread Connector/ Adapter</t>
  </si>
  <si>
    <t>18.97.1</t>
  </si>
  <si>
    <t>18.97.2</t>
  </si>
  <si>
    <t>18.97.3</t>
  </si>
  <si>
    <t>18.97.4</t>
  </si>
  <si>
    <t>18.97.5</t>
  </si>
  <si>
    <t>18.97.6</t>
  </si>
  <si>
    <t>18.97.7</t>
  </si>
  <si>
    <t>18.97.8</t>
  </si>
  <si>
    <t>18.97.9</t>
  </si>
  <si>
    <t>18.97.10</t>
  </si>
  <si>
    <t>18.97.11</t>
  </si>
  <si>
    <t>18.97A</t>
  </si>
  <si>
    <t>Providing and fixing required Stainless Steel Fitting of press fit design of grade 316L as per IS 6911:2017 and conforming to EN-10312 standard with V-profile and with O-ring sealing gasket of EPDM material of required dia as per direction of Engineer-in-charge.</t>
  </si>
  <si>
    <t>18.97A.1</t>
  </si>
  <si>
    <t>For 15 mm outer dia X 1/2" nominal dia threaded</t>
  </si>
  <si>
    <t>18.97A.2</t>
  </si>
  <si>
    <t>For 22 mm outer dia X 1/2" nominal dia threaded</t>
  </si>
  <si>
    <t>18.97A.3</t>
  </si>
  <si>
    <t>For 22 mm outer dia X 3/4" nominal dia threaded</t>
  </si>
  <si>
    <t>18.97A.4</t>
  </si>
  <si>
    <t>18.97A.5</t>
  </si>
  <si>
    <t>18.97A.6</t>
  </si>
  <si>
    <t>For 42 mm outer dia X 1-1/2"nominal dia threaded</t>
  </si>
  <si>
    <t>18.97A.7</t>
  </si>
  <si>
    <t>18.98</t>
  </si>
  <si>
    <t>Valve Connector</t>
  </si>
  <si>
    <t>18.98.1</t>
  </si>
  <si>
    <t>18.98.2</t>
  </si>
  <si>
    <t>18.98.3</t>
  </si>
  <si>
    <t>18.98.4</t>
  </si>
  <si>
    <t>18.98.5</t>
  </si>
  <si>
    <t>18.98.6</t>
  </si>
  <si>
    <t>18.98.7</t>
  </si>
  <si>
    <t>18.99</t>
  </si>
  <si>
    <t>Female Threaded Elbow 90°</t>
  </si>
  <si>
    <t>18.99.1</t>
  </si>
  <si>
    <t>18.99.2</t>
  </si>
  <si>
    <t>18.99.3</t>
  </si>
  <si>
    <t>18.99.4</t>
  </si>
  <si>
    <t>For 25.58 mm outer dia x 25 mm nominal dia threaded</t>
  </si>
  <si>
    <t>18.99.5</t>
  </si>
  <si>
    <t>18.99.6</t>
  </si>
  <si>
    <t>18.99.7</t>
  </si>
  <si>
    <t>18.99.8</t>
  </si>
  <si>
    <t>18.99.9</t>
  </si>
  <si>
    <t>18.99A</t>
  </si>
  <si>
    <t>18.99A.1</t>
  </si>
  <si>
    <t>18.99A.2</t>
  </si>
  <si>
    <t>18.99A.3</t>
  </si>
  <si>
    <t>For 28mm outer dia X 1" nominal dia threaded</t>
  </si>
  <si>
    <t>18.99A.4</t>
  </si>
  <si>
    <t>For 35mm outer dia X 1-1/4" nominal dia threaded</t>
  </si>
  <si>
    <t>18.99A.5</t>
  </si>
  <si>
    <t>For 42mm outer dia X 1-1/2" nominal dia threaded</t>
  </si>
  <si>
    <t>18.99A.6</t>
  </si>
  <si>
    <t>For 54mm outer dia X 2" nominal dia threaded</t>
  </si>
  <si>
    <t>18.100</t>
  </si>
  <si>
    <t>Male Threaded Elbow 90°</t>
  </si>
  <si>
    <t>18.100.1</t>
  </si>
  <si>
    <t>18.100.2</t>
  </si>
  <si>
    <t>18.100.3</t>
  </si>
  <si>
    <t>18.100.4</t>
  </si>
  <si>
    <t>18.100.5</t>
  </si>
  <si>
    <t>18.100.6</t>
  </si>
  <si>
    <t>18.100.7</t>
  </si>
  <si>
    <t>18.100.8</t>
  </si>
  <si>
    <t>18.100.9</t>
  </si>
  <si>
    <t>18.100.10</t>
  </si>
  <si>
    <t>18.100A</t>
  </si>
  <si>
    <t>18.100A.1</t>
  </si>
  <si>
    <t>For 15mm outer dia X 1/2" nominal dia threaded</t>
  </si>
  <si>
    <t>18.100A.2</t>
  </si>
  <si>
    <t>For 22mm outer dia X 3/4" nominal dia threaded</t>
  </si>
  <si>
    <t>18.100A.3</t>
  </si>
  <si>
    <t>18.100A.4</t>
  </si>
  <si>
    <t>18.100A.5</t>
  </si>
  <si>
    <t>18.100A.6</t>
  </si>
  <si>
    <t>For 54mm outer dia X 2" mm nominal dia threaded</t>
  </si>
  <si>
    <t>18.101</t>
  </si>
  <si>
    <t>Cap</t>
  </si>
  <si>
    <t>18.101.1</t>
  </si>
  <si>
    <t>18.101.2</t>
  </si>
  <si>
    <t>18.101.3</t>
  </si>
  <si>
    <t>18.101.4</t>
  </si>
  <si>
    <t>18.101.5</t>
  </si>
  <si>
    <t>18.101.6</t>
  </si>
  <si>
    <t>18.101A</t>
  </si>
  <si>
    <t>18.101A.1</t>
  </si>
  <si>
    <t>18.101A.2</t>
  </si>
  <si>
    <t>18.101A.3</t>
  </si>
  <si>
    <t>18.101A.4</t>
  </si>
  <si>
    <t>18.101A.5</t>
  </si>
  <si>
    <t>18.101A.6</t>
  </si>
  <si>
    <t>18.102</t>
  </si>
  <si>
    <t>Pipe Bridge</t>
  </si>
  <si>
    <t>18.102.1</t>
  </si>
  <si>
    <t>18.102.2</t>
  </si>
  <si>
    <t>18.102.3</t>
  </si>
  <si>
    <t>18.102A</t>
  </si>
  <si>
    <t>18.102A.1</t>
  </si>
  <si>
    <t>18.102A.2</t>
  </si>
  <si>
    <t>18.102A.3</t>
  </si>
  <si>
    <t>18.103</t>
  </si>
  <si>
    <t>Male Union</t>
  </si>
  <si>
    <t>18.103.1</t>
  </si>
  <si>
    <t>18.103.2</t>
  </si>
  <si>
    <t>For 22mm outer dia X 1/2" nominal dia threaded</t>
  </si>
  <si>
    <t>18.103.3</t>
  </si>
  <si>
    <t>18.103.4</t>
  </si>
  <si>
    <t>18.103.5</t>
  </si>
  <si>
    <t>18.103.6</t>
  </si>
  <si>
    <t>18.103.7</t>
  </si>
  <si>
    <t>18.104</t>
  </si>
  <si>
    <t>Female Union</t>
  </si>
  <si>
    <t>18.104.1</t>
  </si>
  <si>
    <t>18.104.2</t>
  </si>
  <si>
    <t>18.105</t>
  </si>
  <si>
    <t>Female Transition Elbow / FTE</t>
  </si>
  <si>
    <t>18.105.1</t>
  </si>
  <si>
    <t>18.105.2</t>
  </si>
  <si>
    <t>18.105.3</t>
  </si>
  <si>
    <t>19.0 DRAINAGE</t>
  </si>
  <si>
    <t>NOTE : - The rates given for all the items under sub-head ‘Drainage’ are applicable to work executed in soils above sub- soil water level. Extra allowance has to be made for work under sub- soil water level.</t>
  </si>
  <si>
    <t>STONE WARE PIPES AND FITTINGS</t>
  </si>
  <si>
    <t>19.1</t>
  </si>
  <si>
    <t>Providing, laying and jointing glazed stoneware pipes class SP-1 with stiff mixture of cement mortar in the proportion of 1:1 (1 cement : 1 fine sand) including testing of joints etc. complete :</t>
  </si>
  <si>
    <t>19.1.1</t>
  </si>
  <si>
    <t>19.1.2</t>
  </si>
  <si>
    <t>19.1.3</t>
  </si>
  <si>
    <t>19.1.4</t>
  </si>
  <si>
    <t>19.1.5</t>
  </si>
  <si>
    <t>19.2</t>
  </si>
  <si>
    <t>Providing and laying cement concrete 1:5:10 (1 cement : 5 coarse sand : 10 graded stone aggregate 40 mm nominal size) all-round S.W. pipes including bed concrete as per standard design :</t>
  </si>
  <si>
    <t>19.2.1</t>
  </si>
  <si>
    <t>100 mm diameter S.W. pipe</t>
  </si>
  <si>
    <t>19.2.2</t>
  </si>
  <si>
    <t>150 mm diameter S.W. pipe</t>
  </si>
  <si>
    <t>19.2.3</t>
  </si>
  <si>
    <t>200 mm diameter S.W. pipe</t>
  </si>
  <si>
    <t>19.2.4</t>
  </si>
  <si>
    <t>250 mm diameter S.W. pipe</t>
  </si>
  <si>
    <t>19.3</t>
  </si>
  <si>
    <t>Providing and laying cement concrete 1:5:10 (1 cement : 5 coarse sand : 10 graded stone aggregate 40 mm nominal size) up to haunches of S.W. pipes including bed concrete as per standard design :</t>
  </si>
  <si>
    <t>19.3.1</t>
  </si>
  <si>
    <t>19.3.2</t>
  </si>
  <si>
    <t>19.3.3</t>
  </si>
  <si>
    <t>19.3.4</t>
  </si>
  <si>
    <t>19.3.5</t>
  </si>
  <si>
    <t>300 mm diameter S.W. pipe</t>
  </si>
  <si>
    <t>19.4</t>
  </si>
  <si>
    <t>Providing and fixing square-mouth S.W. gully trap class SP-1 complete with C.I. grating brick masonry chamber with water tight C.I. cover with frame of 300 x300 mm size (inside) the weight of cover to be not less than 4.50 kg and frame to be not less than 2.70 kg as per standard design:</t>
  </si>
  <si>
    <t>19.4.1</t>
  </si>
  <si>
    <t>100x100 mm size P type</t>
  </si>
  <si>
    <t>19.4.1.1</t>
  </si>
  <si>
    <t>19.4.1.2</t>
  </si>
  <si>
    <t>With Sewer bricks conforming to IS : 4885</t>
  </si>
  <si>
    <t>19.4.2</t>
  </si>
  <si>
    <t>150 x 100 mm size P type</t>
  </si>
  <si>
    <t>19.4.2.1</t>
  </si>
  <si>
    <t>19.4.2.2</t>
  </si>
  <si>
    <t>With sewer bricks conforming to IS : 4885</t>
  </si>
  <si>
    <t>19.4.3</t>
  </si>
  <si>
    <t>180x150 mm size P type</t>
  </si>
  <si>
    <t>19.4.3.1</t>
  </si>
  <si>
    <t>19.4.3.2</t>
  </si>
  <si>
    <t>19.5</t>
  </si>
  <si>
    <t>Dismantling of old S.W. pipes including breaking of joints and bed concrete stacking of useful materials near the site within 50 m lead and disposal of unserviceable materials into municipal dumps :</t>
  </si>
  <si>
    <t>19.5.1</t>
  </si>
  <si>
    <t>19.5.2</t>
  </si>
  <si>
    <t>19.5.3</t>
  </si>
  <si>
    <t>19.5.4</t>
  </si>
  <si>
    <t>19.5.5</t>
  </si>
  <si>
    <t>19.5.6</t>
  </si>
  <si>
    <t>350 mm diameter</t>
  </si>
  <si>
    <t>19.5.7</t>
  </si>
  <si>
    <t>400 mm diameter</t>
  </si>
  <si>
    <t>19.5.8</t>
  </si>
  <si>
    <t>450 mm diameter</t>
  </si>
  <si>
    <t>19.6</t>
  </si>
  <si>
    <t>Providing and laying non-pressure NP2 class (light duty) R.C.C. pipes with collars jointed with stiff mixture of cement mortar in the proportion of 1:2 (1 cement : 2 fine sand) including testing of joints etc. complete :</t>
  </si>
  <si>
    <t>19.6.1</t>
  </si>
  <si>
    <t>100 mm dia. R.C.C. pipe</t>
  </si>
  <si>
    <t>19.6.2</t>
  </si>
  <si>
    <t>150 mm dia. R.C.C. pipe</t>
  </si>
  <si>
    <t>19.6.3</t>
  </si>
  <si>
    <t>250 mm dia. R.C.C. pipe</t>
  </si>
  <si>
    <t>19.6.4</t>
  </si>
  <si>
    <t>300 mm dia. R.C.C. pipe</t>
  </si>
  <si>
    <t>19.6.5</t>
  </si>
  <si>
    <t>450 mm dia. R.C.C. pipe</t>
  </si>
  <si>
    <t>19.6.6</t>
  </si>
  <si>
    <t>500 mm dia. R.C.C. pipe</t>
  </si>
  <si>
    <t>19.6.7</t>
  </si>
  <si>
    <t>600 mm dia. R.C.C. pipe</t>
  </si>
  <si>
    <t>19.6.8</t>
  </si>
  <si>
    <t>700 mm dia. R.C.C. pipe</t>
  </si>
  <si>
    <t>19.6.9</t>
  </si>
  <si>
    <t>800 mm dia. R.C.C. pipe</t>
  </si>
  <si>
    <t>19.6.10</t>
  </si>
  <si>
    <t>900 mm dia. R.C.C. pipe</t>
  </si>
  <si>
    <t>19.6.11</t>
  </si>
  <si>
    <t>1000 mm dia. R.C.C. pipe</t>
  </si>
  <si>
    <t>19.6.12</t>
  </si>
  <si>
    <t>1100 mm dia. R.C.C. pipe</t>
  </si>
  <si>
    <t>19.6.13</t>
  </si>
  <si>
    <t>1200 mm dia. R.C.C. pipe</t>
  </si>
  <si>
    <t>19.7</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</si>
  <si>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</si>
  <si>
    <t>19.7.1</t>
  </si>
  <si>
    <t>Inside size 90x80 cm and 45 cm deep including C.I. cover with frame (light duty) 455x610 mm internal dimensions, total weight of cover and frame to be not less than 38 kg (weight of cover 23 kg and weight of frame 15 kg) :</t>
  </si>
  <si>
    <t>19.7.1.1</t>
  </si>
  <si>
    <t>19.7.1.2</t>
  </si>
  <si>
    <t>19.7.2</t>
  </si>
  <si>
    <t>Inside size 120x90 cm and 90 cm deep including C.I. cover with frame (medium duty) 500 mm internal diameter, total weight of cover and frame to be not less than 116 kg (weight of cover 58 kg and weight of frame 58 kg) :</t>
  </si>
  <si>
    <t>19.7.2.1</t>
  </si>
  <si>
    <t>19.7.2.2</t>
  </si>
  <si>
    <t>19.7.3</t>
  </si>
  <si>
    <t>Inside size 120x90 cm and 90 cm deep including C.I. cover with frame (heavy duty) 560 mm internal diameter, total weight of cover and frame to be not less than 208 kg (weight of cover 108 kg and weight of frame 100 kg) :</t>
  </si>
  <si>
    <t>19.7.3.1</t>
  </si>
  <si>
    <t>19.7.3.2</t>
  </si>
  <si>
    <t>19.8</t>
  </si>
  <si>
    <t>Extra for depth for manholes :</t>
  </si>
  <si>
    <t>19.8.1</t>
  </si>
  <si>
    <t>Size 90x80 cm</t>
  </si>
  <si>
    <t>19.8.1.1</t>
  </si>
  <si>
    <t>19.8.1.2</t>
  </si>
  <si>
    <t>19.8.2</t>
  </si>
  <si>
    <t>Size 120x90 cm</t>
  </si>
  <si>
    <t>19.8.2.1</t>
  </si>
  <si>
    <t>19.8.2.2</t>
  </si>
  <si>
    <t>19.9</t>
  </si>
  <si>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</si>
  <si>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19.9.1</t>
  </si>
  <si>
    <t>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t>
  </si>
  <si>
    <t>19.9.1.1</t>
  </si>
  <si>
    <t>19.9.1.2</t>
  </si>
  <si>
    <t>19.10</t>
  </si>
  <si>
    <t>Extra depth for circular type manhole 0.91m internal dia (at bottom) beyond 0.91 m to 1.67 m</t>
  </si>
  <si>
    <t>19.10.1</t>
  </si>
  <si>
    <t>19.10.2</t>
  </si>
  <si>
    <t>With Sewer bricks conforming IS : 4885</t>
  </si>
  <si>
    <t>19.11</t>
  </si>
  <si>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</si>
  <si>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19.11.1</t>
  </si>
  <si>
    <t>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</si>
  <si>
    <t>19.11.1.1</t>
  </si>
  <si>
    <t>19.11.1.2</t>
  </si>
  <si>
    <t>19.12</t>
  </si>
  <si>
    <t>Extra depth for circular type manhole 1.22 m internal dia (at bottom) beyond 1.68 m to 2.29 m :</t>
  </si>
  <si>
    <t>19.12.1</t>
  </si>
  <si>
    <t>19.12.2</t>
  </si>
  <si>
    <t>19.13</t>
  </si>
  <si>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</si>
  <si>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19.13.1</t>
  </si>
  <si>
    <t>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</si>
  <si>
    <t>19.13.1.1</t>
  </si>
  <si>
    <t>19.13.1.2</t>
  </si>
  <si>
    <t>19.14</t>
  </si>
  <si>
    <t>Extra depth for circular type manhole 1.52 m internal dia (at bottom) beyond 2.30 m :</t>
  </si>
  <si>
    <t>19.14.1</t>
  </si>
  <si>
    <t>19.14.2</t>
  </si>
  <si>
    <t>19.15</t>
  </si>
  <si>
    <t>Providing M.S. foot rests including fixing in manholes with 20x20x10 cm cement concrete blocks 1:3:6 (1 cement : 3 coarse sand : 6 graded stone aggregate 20 mm nominal size) as per standard design :</t>
  </si>
  <si>
    <t>19.15.1</t>
  </si>
  <si>
    <t>With 20x20 mm square bar</t>
  </si>
  <si>
    <t>19.15.2</t>
  </si>
  <si>
    <t>With 20 mm diameter round bar</t>
  </si>
  <si>
    <t>19.16</t>
  </si>
  <si>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t>
  </si>
  <si>
    <t>19.17</t>
  </si>
  <si>
    <t>Replacement of M.S. foot rests in manholes including dismantling concrete blocks and fixing with 20x20x10 cm cement concrete blocks 1:3:6 (1 cement : 3 coarse sand : 6 graded stone aggregate 20 mm nominal size):</t>
  </si>
  <si>
    <t>19.17.1</t>
  </si>
  <si>
    <t>19.17.2</t>
  </si>
  <si>
    <t>19.18</t>
  </si>
  <si>
    <t>Supplying and fixing C.I. cover without frame for manholes :</t>
  </si>
  <si>
    <t>19.18.1</t>
  </si>
  <si>
    <t>455x610 mm rectangular C.I. cover (light duty) the weight of the cover to be not less than 23 kg</t>
  </si>
  <si>
    <t>19.18.2</t>
  </si>
  <si>
    <t>500 mm diameter C.I. cover (medium duty) the weight of the cover to be not less than 58 kg</t>
  </si>
  <si>
    <t>19.18.3</t>
  </si>
  <si>
    <t>560 mm diameter C.I. cover (heavy duty) the weight of the cover to be not less than 108 kg</t>
  </si>
  <si>
    <t>19.19</t>
  </si>
  <si>
    <t>Providing and fixing in position pre-cast R.C.C. manhole cover and frame of required shape and approved quality</t>
  </si>
  <si>
    <t>19.19.1</t>
  </si>
  <si>
    <t>L D- 2.5</t>
  </si>
  <si>
    <t>19.19.1.1</t>
  </si>
  <si>
    <t>Rectangular shape 600x450 mm internal dimensions</t>
  </si>
  <si>
    <t>19.19.1.2</t>
  </si>
  <si>
    <t>Square shape 450 mm internal dimensions</t>
  </si>
  <si>
    <t>19.19.1.3</t>
  </si>
  <si>
    <t>Circular shape 450 mm internal diameter</t>
  </si>
  <si>
    <t>19.19.2</t>
  </si>
  <si>
    <t>M D - 10</t>
  </si>
  <si>
    <t>19.19.2.1</t>
  </si>
  <si>
    <t>Square shape 450 mm internal dimension</t>
  </si>
  <si>
    <t>19.19.2.2</t>
  </si>
  <si>
    <t>Circular shape 500 mm internal diameter</t>
  </si>
  <si>
    <t>19.19.3</t>
  </si>
  <si>
    <t>H D - 20</t>
  </si>
  <si>
    <t>19.19.3.1</t>
  </si>
  <si>
    <t>Circular shape 560 mm internal diameter</t>
  </si>
  <si>
    <t>19.19.4</t>
  </si>
  <si>
    <t>EHD - 35</t>
  </si>
  <si>
    <t>19.19.4.1</t>
  </si>
  <si>
    <t>Circular shape 560 mm internal dia</t>
  </si>
  <si>
    <t>19.20</t>
  </si>
  <si>
    <t>Supplying and fixing C.I. cover 300x300 mm without frame for gully trap (standard pattern) the weight of cover to be not less than 4.5 kg</t>
  </si>
  <si>
    <t>19.21</t>
  </si>
  <si>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</si>
  <si>
    <t>19.21.1</t>
  </si>
  <si>
    <t>For pipes 100 to 250 mm diameter</t>
  </si>
  <si>
    <t>19.21.2</t>
  </si>
  <si>
    <t>For pipes 250 to 300 mm diameter</t>
  </si>
  <si>
    <t>19.21.3</t>
  </si>
  <si>
    <t>For pipes 350 to 450 mm diameter</t>
  </si>
  <si>
    <t>19.22</t>
  </si>
  <si>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t>
  </si>
  <si>
    <t>19.22.1</t>
  </si>
  <si>
    <t>100 mm dia sand cast iron drop connection</t>
  </si>
  <si>
    <t>19.22.2</t>
  </si>
  <si>
    <t>150 mm dia sand cast iron drop connection</t>
  </si>
  <si>
    <t>19.23</t>
  </si>
  <si>
    <t>Extra for depths beyond 60 cm of sand cast iron drop connection complete:</t>
  </si>
  <si>
    <t>19.23.1</t>
  </si>
  <si>
    <t>For 100 mm dia sand cast iron drop connection</t>
  </si>
  <si>
    <t>19.23.2</t>
  </si>
  <si>
    <t>For 150 mm dia sand cast iron drop connection</t>
  </si>
  <si>
    <t>19.24</t>
  </si>
  <si>
    <t>Dismantling of manhole including R.C.C. top slab, C.I. cover with frame, including stacking of useful materials near the site and disposal of unserviceable materials within 50 m lead as per direction of Engineer-in-charge:</t>
  </si>
  <si>
    <t>19.24.1</t>
  </si>
  <si>
    <t>Rectangular manhole 90x80 cm and 45 cm deep</t>
  </si>
  <si>
    <t>19.24.2</t>
  </si>
  <si>
    <t>Rectangular manhole 120x90 cm and 90 cm deep</t>
  </si>
  <si>
    <t>19.24.3</t>
  </si>
  <si>
    <t>Rectangular arch type manhole 140x90 cm and 2.45 m deep</t>
  </si>
  <si>
    <t>19.24.4</t>
  </si>
  <si>
    <t>Circular manhole 122 cm diameter and 1.68 m deep</t>
  </si>
  <si>
    <t>19.25</t>
  </si>
  <si>
    <t>Extra for depth of manholes dismantled :</t>
  </si>
  <si>
    <t>19.25.1</t>
  </si>
  <si>
    <t>Rectangular manhole 90x80 cm and beyond 45 cm depth</t>
  </si>
  <si>
    <t>19.25.2</t>
  </si>
  <si>
    <t>Rectangular manhole 120x90 cm and beyond 90 cm depth</t>
  </si>
  <si>
    <t>19.25.3</t>
  </si>
  <si>
    <t>Rectangular arch type manhole 140x90 cm and beyond 2.45 m depth (up to 4.25 m depth)</t>
  </si>
  <si>
    <t>19.25.4</t>
  </si>
  <si>
    <t>Circular manhole 122 cm diameter and beyond 1.68 m depth (up to 2.29 m depth)</t>
  </si>
  <si>
    <t>19.26</t>
  </si>
  <si>
    <t>Raising manhole cover and frame slab to required level including dismantling existing slab and making good the damage as required (Raising depth of manhole to be paid separately) :</t>
  </si>
  <si>
    <t>19.26.1</t>
  </si>
  <si>
    <t>Rectangular manhole 90x80 cm with rectangular cover 600 x 450 mm of grade LD - 2.5</t>
  </si>
  <si>
    <t>19.26.2</t>
  </si>
  <si>
    <t>Rectangular manhole 120x90 cm with circular cover 500 mm dia of grade MD - 10</t>
  </si>
  <si>
    <t>19.26.3</t>
  </si>
  <si>
    <t>Rectangular manhole 120x90 cm with circular cover 560 mm dia of grade HD - 20</t>
  </si>
  <si>
    <t>19.26.4</t>
  </si>
  <si>
    <t>Circular manhole 140 cm dia with circular cover 600 mm dia of grade EHD - 35</t>
  </si>
  <si>
    <t>19.27</t>
  </si>
  <si>
    <t>Constructing brick masonry road gully chamber 50x45x60 cm with bricks in cement mortar 1:4 (1 cement : 4 coarse sand) including 500x450 mm pre-cast R.C.C. horizontal grating with frame complete as per standard design :</t>
  </si>
  <si>
    <t>19.27.1</t>
  </si>
  <si>
    <t>19.28</t>
  </si>
  <si>
    <t>Constructing brick masonry road gully chamber 45x45x77.5 cm with bricks in cement mortar 1:4 (1 cement : 4 coarse sand ) with precast R.C.C. vertical grating complete as per standard design :</t>
  </si>
  <si>
    <t>19.28.1</t>
  </si>
  <si>
    <t>19.29</t>
  </si>
  <si>
    <t>Constructing brick masonry road gully chamber 110x50x77.5 cm with bricks in cement mortar 1:4 (1 cement : 4 coarse sand) including 500x450 mm precast R.C.C. horizontal grating with frame and vertical grating complete as per standard design :</t>
  </si>
  <si>
    <t>19.29.1</t>
  </si>
  <si>
    <t>19.30</t>
  </si>
  <si>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</si>
  <si>
    <t>19.30.1</t>
  </si>
  <si>
    <t>Inside dimensions 455x610 mm and 45 cm deep for single pipe line :</t>
  </si>
  <si>
    <t>19.30.1.1</t>
  </si>
  <si>
    <t>19.30.2</t>
  </si>
  <si>
    <t>Inside dimensions 500x700 mm and 45 cm deep for pipe line with one or two inlets :</t>
  </si>
  <si>
    <t>19.30.2.1</t>
  </si>
  <si>
    <t>19.30.3</t>
  </si>
  <si>
    <t>Inside dimensions 600x 850 mm and 45 cm deep for pipe line with three or more inlets :</t>
  </si>
  <si>
    <t>19.30.3.1</t>
  </si>
  <si>
    <t>19.31</t>
  </si>
  <si>
    <t>Extra for depth beyond 45 cm of brick masonry chamber :</t>
  </si>
  <si>
    <t>19.31.1</t>
  </si>
  <si>
    <t>For 455x610 mm size</t>
  </si>
  <si>
    <t>19.31.1.1</t>
  </si>
  <si>
    <t>19.31.2</t>
  </si>
  <si>
    <t>For 500x700 mm size</t>
  </si>
  <si>
    <t>19.31.2.1</t>
  </si>
  <si>
    <t>19.31.3</t>
  </si>
  <si>
    <t>For 600x850 mm size</t>
  </si>
  <si>
    <t>19.31.3.1</t>
  </si>
  <si>
    <t>19.32</t>
  </si>
  <si>
    <t>Making soak pit 2.5 m diameter 3.0 metre deep with 45 x 45 cm dry brick honey comb shaft with bricks and S.W. drain pipe 100 mm diameter, 1.8 m long complete as per standard design.</t>
  </si>
  <si>
    <t>19.32.1</t>
  </si>
  <si>
    <t>19.33</t>
  </si>
  <si>
    <t>Constructing soak pit 1.20x1.20x1.20 m filled with brickbats including S.W. drain pipe 100 mm diameter and 1.20 m long complete as per standard design.</t>
  </si>
  <si>
    <t>19.34</t>
  </si>
  <si>
    <t>Providing and fixing S.W. intercepting trap in manholes with stiff mixture of cement mortar 1:1 (1 cement : 1 fine sand) including testing of joints etc. complete :</t>
  </si>
  <si>
    <t>19.34.1</t>
  </si>
  <si>
    <t>19.34.2</t>
  </si>
  <si>
    <t>19.35</t>
  </si>
  <si>
    <t>Providing and laying Non Pressure NP-3 class (Medium duty) R.C.C. pipes including collars/spigot jointed with stiff mixture of cement mortar in the proportion of 1:2 (1 cement : 2 fine sand) including testing of joints etc. complete</t>
  </si>
  <si>
    <t>19.35.1</t>
  </si>
  <si>
    <t>450 mm dia RCC pipes.</t>
  </si>
  <si>
    <t>19.35.2</t>
  </si>
  <si>
    <t>600 mm dia RCC pipes.</t>
  </si>
  <si>
    <t>19.35.3</t>
  </si>
  <si>
    <t>900 mm dia RCC pipes.</t>
  </si>
  <si>
    <t>19.35.4</t>
  </si>
  <si>
    <t>1000 mm dia RCC pipes. (Laying by manual/ machanical means)</t>
  </si>
  <si>
    <t>19.35.5</t>
  </si>
  <si>
    <t>1200 mm dia RCC pipes. (Laying by manual/ machanical means)</t>
  </si>
  <si>
    <t>19.35.6</t>
  </si>
  <si>
    <t>1800 mm dia RCC pipes. (Laying by manual/ machenical means)</t>
  </si>
  <si>
    <t>19.36</t>
  </si>
  <si>
    <t>Providing and laying Non Pressure NP-4 class (Heavy duty) R.C.C. pipes including collars/spigot jointed with stiff mixture of cement mortar in the proportion of 1:2 (1 cement : 2 fine sand) including testing of joints etc. complete</t>
  </si>
  <si>
    <t>19.36.1</t>
  </si>
  <si>
    <t>19.36.2</t>
  </si>
  <si>
    <t>19.36.3</t>
  </si>
  <si>
    <t>19.36.4</t>
  </si>
  <si>
    <t>19.36.5</t>
  </si>
  <si>
    <t>19.36.6</t>
  </si>
  <si>
    <t>1800 mm dia RCC pipes. (Laying by manual/ machanical means)</t>
  </si>
  <si>
    <t>20.0 PILE WORK</t>
  </si>
  <si>
    <t>20.1</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</si>
  <si>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</si>
  <si>
    <t>20.1.1</t>
  </si>
  <si>
    <t>400 mm dia piles</t>
  </si>
  <si>
    <t>20.1.2</t>
  </si>
  <si>
    <t>450 mm dia piles</t>
  </si>
  <si>
    <t>20.1.3</t>
  </si>
  <si>
    <t>500 mm dia piles</t>
  </si>
  <si>
    <t>20.1.4</t>
  </si>
  <si>
    <t>550 mm dia piles</t>
  </si>
  <si>
    <t>20.1.5</t>
  </si>
  <si>
    <t>750 mm dia piles</t>
  </si>
  <si>
    <t>20.1.6</t>
  </si>
  <si>
    <t>1000 mm dia piles</t>
  </si>
  <si>
    <t>20.1.7</t>
  </si>
  <si>
    <t>1200 mm dia piles</t>
  </si>
  <si>
    <t>20.1.8</t>
  </si>
  <si>
    <t>1500 mm dia piles</t>
  </si>
  <si>
    <t>20.2</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</si>
  <si>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t>
  </si>
  <si>
    <t>20.2.1</t>
  </si>
  <si>
    <t>20.2.2</t>
  </si>
  <si>
    <t>20.2.3</t>
  </si>
  <si>
    <t>600 mm dia piles</t>
  </si>
  <si>
    <t>20.2.4</t>
  </si>
  <si>
    <t>20.2A</t>
  </si>
  <si>
    <t xml:space="preserve"> 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t>
  </si>
  <si>
    <t xml:space="preserve">Note: Truck Mounted rotary/TMR/Tube well boring machine shall not be used. </t>
  </si>
  <si>
    <t>20.2A.1</t>
  </si>
  <si>
    <t>20.2A.2</t>
  </si>
  <si>
    <t>20.2A.3</t>
  </si>
  <si>
    <t>20.2A.4</t>
  </si>
  <si>
    <t>20.2A.5</t>
  </si>
  <si>
    <t>20.3</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</si>
  <si>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</si>
  <si>
    <t>20.3.1</t>
  </si>
  <si>
    <t>300 mm dia piles</t>
  </si>
  <si>
    <t>20.3.2</t>
  </si>
  <si>
    <t>20.3.3</t>
  </si>
  <si>
    <t>20.3.4</t>
  </si>
  <si>
    <t>20.4</t>
  </si>
  <si>
    <t xml:space="preserve"> Extra over single under ream for providing additional bulbs in under reamed piles, under specified diameter(only the Nos. of extra bulbs are to be paid)</t>
  </si>
  <si>
    <t>20.4.1</t>
  </si>
  <si>
    <t>20.4.2</t>
  </si>
  <si>
    <t>20.4.3</t>
  </si>
  <si>
    <t>20.4.4</t>
  </si>
  <si>
    <t>20.5</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</si>
  <si>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</si>
  <si>
    <t>20.5.1</t>
  </si>
  <si>
    <t>20.5.2</t>
  </si>
  <si>
    <t>20.5.3</t>
  </si>
  <si>
    <t>20.5.4</t>
  </si>
  <si>
    <t>20.5.5</t>
  </si>
  <si>
    <t>20.5.6</t>
  </si>
  <si>
    <t>20.6</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</si>
  <si>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t>
  </si>
  <si>
    <t>Note: 1. Initial and Routine Load Test shall not be carried out by Dynamic method of testing.</t>
  </si>
  <si>
    <t>Note: 2. Testing agency shall submit the design of loading platform for the approval of Engineer-in-charge.</t>
  </si>
  <si>
    <t>20.6.1</t>
  </si>
  <si>
    <t>Single pile upto 50 tonne Safe capacity</t>
  </si>
  <si>
    <t>20.6.1.1</t>
  </si>
  <si>
    <t>Initial test (Test Load 2.5 times the Safe capacity)</t>
  </si>
  <si>
    <t>per test</t>
  </si>
  <si>
    <t>20.6.1.2</t>
  </si>
  <si>
    <t>Routine test (Test Load 1.5 times the Safe capacity)</t>
  </si>
  <si>
    <t>20.6.2</t>
  </si>
  <si>
    <t>Single pile above 50 tonne and upto 100 tonne Safe capacity</t>
  </si>
  <si>
    <t>20.6.2.1</t>
  </si>
  <si>
    <t>20.6.2.2</t>
  </si>
  <si>
    <t>20.6.3</t>
  </si>
  <si>
    <t>Group of two or more piles upto 50 tonne Safe capacity</t>
  </si>
  <si>
    <t>20.6.3.1</t>
  </si>
  <si>
    <t>20.6.3.2</t>
  </si>
  <si>
    <t>20.7</t>
  </si>
  <si>
    <t>Cyclic vertical load testing of pile in accordance with IS Code of practice IS:2911 (part IV) by Kentledge method including preparation of pile head etc for.</t>
  </si>
  <si>
    <t>20.7.1</t>
  </si>
  <si>
    <t>Single pile</t>
  </si>
  <si>
    <t>20.7.1.1</t>
  </si>
  <si>
    <t>Upto 50 tonne Safe capacity pile</t>
  </si>
  <si>
    <t>20.7.1.2</t>
  </si>
  <si>
    <t>Above 50 tonne and upto 100 tonne Safe capacity pile</t>
  </si>
  <si>
    <t>20.7.2</t>
  </si>
  <si>
    <t>Group of two or more piles</t>
  </si>
  <si>
    <t>20.7.2.1</t>
  </si>
  <si>
    <t>Upto 400 tonne Safe capacity of group</t>
  </si>
  <si>
    <t>20.8</t>
  </si>
  <si>
    <t>Lateral load testing of single pile in accordance with IS Code of practice IS : 2911 (Part IV) for determining safe allowable lateral load on pile :</t>
  </si>
  <si>
    <t>20.8.1</t>
  </si>
  <si>
    <t>Upto 50 tonne capacity pile</t>
  </si>
  <si>
    <t>20.8.2</t>
  </si>
  <si>
    <t>Above 50 tonne and upto 100 tonne capacity pile</t>
  </si>
  <si>
    <t>20.9</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</si>
  <si>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</si>
  <si>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Note :- The inclusion of the above item in the schedule of work shall be judiciously decided by the technical sanctioning authority, keeping in view the quality control, type of soil strata &amp; importance of the project.</t>
  </si>
  <si>
    <t>21.0 ALUMINIUM WORK</t>
  </si>
  <si>
    <t>21.1</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</si>
  <si>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t>
  </si>
  <si>
    <t>21.1.1</t>
  </si>
  <si>
    <t>For fixed portion</t>
  </si>
  <si>
    <t>21.1.1.1</t>
  </si>
  <si>
    <t>Anodised aluminium (anodised transparent or dyed to required shade according to IS: 1868, Minimum anodic coating of grade AC 15)</t>
  </si>
  <si>
    <t>21.1.1.2</t>
  </si>
  <si>
    <t>Powder coated aluminium (minimum thickness of powder coating 50 micron)</t>
  </si>
  <si>
    <t>Powder coated with minimum coating thickness of 50 micron</t>
  </si>
  <si>
    <t>21.1.1.3</t>
  </si>
  <si>
    <t>Polyester powder coated aluminium (minimum thickness of polyester powder coating 50 micron)</t>
  </si>
  <si>
    <t>21.1.2</t>
  </si>
  <si>
    <t>For shutters of doors, windows &amp; ventilators including providing and fixing hinges/ pivots and making provision for fixing of fittings wherever required including the cost of EPDM rubber / neoprene gasket required (Fittings shall be paid for separately)</t>
  </si>
  <si>
    <t>21.1.2.1</t>
  </si>
  <si>
    <t>21.1.2.2</t>
  </si>
  <si>
    <t>21.1.2.3</t>
  </si>
  <si>
    <t>21.2</t>
  </si>
  <si>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t>
  </si>
  <si>
    <t>21.2.1</t>
  </si>
  <si>
    <t>Pre-laminated particle board with decorative lamination on one side and balancing lamination on other side</t>
  </si>
  <si>
    <t>21.2.2</t>
  </si>
  <si>
    <t>Pre-laminated particle board with decorative lamination on both sides</t>
  </si>
  <si>
    <t>21.3</t>
  </si>
  <si>
    <t>Providing and fixing glazing in aluminium door, window, ventilator shutters and partitions etc. with EPDM rubber / neoprene gasket etc. complete as per the architectural drawings and the directions of engineer-in-charge . (Cost of aluminium snap beading shall be paid in basic item):</t>
  </si>
  <si>
    <t>21.3.1</t>
  </si>
  <si>
    <t>With float glass panes of 4.0 mm thickness (weight not less than 10kg/sqm)</t>
  </si>
  <si>
    <t>21.3.2</t>
  </si>
  <si>
    <t>With float glass panes of 5 mm thickness (weight not less than 12.50 kg/sqm)</t>
  </si>
  <si>
    <t>21.3.3</t>
  </si>
  <si>
    <t>With float glass panes of 8 mm thickness (weight not less than 20 kg/sqm)</t>
  </si>
  <si>
    <t>21.4</t>
  </si>
  <si>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t>
  </si>
  <si>
    <t>21.4.1</t>
  </si>
  <si>
    <t>With stainless steel cover plate minimum 1.25 mm thickness</t>
  </si>
  <si>
    <t>21.4.2</t>
  </si>
  <si>
    <t>With brass cover plate minimum 1.25 mm thickness</t>
  </si>
  <si>
    <t>21.5</t>
  </si>
  <si>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perimetre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t>
  </si>
  <si>
    <t>21.6</t>
  </si>
  <si>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t>
  </si>
  <si>
    <t>21.7</t>
  </si>
  <si>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Engineer-in-charge.</t>
  </si>
  <si>
    <t>21.7.1</t>
  </si>
  <si>
    <t>Anodised aluminium sheet 2.5mm thick (anodised transparent or dyed to required shade according to IS: 1868, Minimum anodic coating of grade AC 15)</t>
  </si>
  <si>
    <t>21.7.2</t>
  </si>
  <si>
    <t>Powder coated aluminium sheet 2.5mm thick (minimum thickness of powder coating 50 micron)</t>
  </si>
  <si>
    <t>21.8</t>
  </si>
  <si>
    <t>Filling the gap in between aluminium frame &amp; adjacent RCC/ Brick/ Stone work by providing weather silicon sealant over backer rod of approved quality as per architectural drawings and direction of Engineer-in-charge complete.</t>
  </si>
  <si>
    <t>21.8.1</t>
  </si>
  <si>
    <t>Upto 5mm depth and 5 mm width</t>
  </si>
  <si>
    <t>21.9</t>
  </si>
  <si>
    <t>Extra for applying additional anodic coating AC 25 instead of AC 15 to aluminium extruded sections.</t>
  </si>
  <si>
    <t>21.9.1</t>
  </si>
  <si>
    <t>21.9.2</t>
  </si>
  <si>
    <t>For shutters of doors, windows &amp; ventilators</t>
  </si>
  <si>
    <t>21.10</t>
  </si>
  <si>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t>
  </si>
  <si>
    <t>21.11</t>
  </si>
  <si>
    <t>Providing and fixing stainless steel (SS 304 grade) adjustable friction windows stays of approved quality with necessary stainless steel screws etc. to the side hung windows as per direction of Engineer-in-charge complete.</t>
  </si>
  <si>
    <t>21.11.1</t>
  </si>
  <si>
    <t>205 X 19 mm</t>
  </si>
  <si>
    <t>21.11.2</t>
  </si>
  <si>
    <t>255 X 19 mm</t>
  </si>
  <si>
    <t>21.11.3</t>
  </si>
  <si>
    <t>355 X 19 mm</t>
  </si>
  <si>
    <t>21.11.4</t>
  </si>
  <si>
    <t>510 X 19 mm</t>
  </si>
  <si>
    <t>21.11.5</t>
  </si>
  <si>
    <t>710 X 19 mm</t>
  </si>
  <si>
    <t>21.12</t>
  </si>
  <si>
    <t>Providing and fixing aluminium tubular handle bar 32 mm outer dia, 3.0 mm thick &amp; 2100 mm long with SS screws etc .complete as per direction of Engineer-in-Charge.</t>
  </si>
  <si>
    <t>21.12.1</t>
  </si>
  <si>
    <t>Anodized (AC 15 ) aluminium tubular handle bar</t>
  </si>
  <si>
    <t>21.12.2</t>
  </si>
  <si>
    <t>Powder coated minimum thickness 50 micron aluminium tubular handle bar</t>
  </si>
  <si>
    <t>21.12.3</t>
  </si>
  <si>
    <t>Polyester powder coated minimum thickness 50 micron aluminium tubular handle bar</t>
  </si>
  <si>
    <t>21.13</t>
  </si>
  <si>
    <t>Providing and fixing Brass 100mm mortice latch and lock with 6 levers without pair of handles (best make of approved quality) for aluminium doors including necessary cutting and making good etc. complete.</t>
  </si>
  <si>
    <t>21.14</t>
  </si>
  <si>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t>
  </si>
  <si>
    <t>21.15</t>
  </si>
  <si>
    <t>Providing and fixing aluminium casement windows fastener of required length for aluminium windows with necessary screws etc. complete.</t>
  </si>
  <si>
    <t>21.15.1</t>
  </si>
  <si>
    <t>Anodized (AC 15) aluminium</t>
  </si>
  <si>
    <t>21.15.2</t>
  </si>
  <si>
    <t>Powder coated minimum thickness 50 micron aluminium</t>
  </si>
  <si>
    <t>21.15.3</t>
  </si>
  <si>
    <t>Polyester powder coated minimum thickness 50 micron aluminium</t>
  </si>
  <si>
    <t>21.16</t>
  </si>
  <si>
    <t>Providing and fixing aluminium round shape handle of outer dia 100 mm with SS screws etc. complete as per direction of Engineer-in-charge</t>
  </si>
  <si>
    <t>21.16.1</t>
  </si>
  <si>
    <t>Anodized (AC 15 ) aluminium</t>
  </si>
  <si>
    <t>21.16.2</t>
  </si>
  <si>
    <t>21.16.3</t>
  </si>
  <si>
    <t>21.17</t>
  </si>
  <si>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t>
  </si>
  <si>
    <t>21.18</t>
  </si>
  <si>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t>
  </si>
  <si>
    <t>21.19</t>
  </si>
  <si>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</si>
  <si>
    <t>21.19.1</t>
  </si>
  <si>
    <t>Upto 5 mm depth and 5 mm width</t>
  </si>
  <si>
    <t>21.19.2</t>
  </si>
  <si>
    <t>Upto 10 mm depth and 10 mm width</t>
  </si>
  <si>
    <t>21.19.3</t>
  </si>
  <si>
    <t>Upto 20 mm depth and 20 mm width</t>
  </si>
  <si>
    <t>22.0 WATER PROOFING</t>
  </si>
  <si>
    <t>22.1</t>
  </si>
  <si>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including applying of twice ( at base and top of mortar ) cement slurry @ 2.2kg/m2 (each time)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 spreading @ 8 cudm/sqm thoroughly embedded in the 2nd layer.</t>
  </si>
  <si>
    <t>22.1.1</t>
  </si>
  <si>
    <t>Using rough kota stone.</t>
  </si>
  <si>
    <t>22.2</t>
  </si>
  <si>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t>
  </si>
  <si>
    <t>22.2.1</t>
  </si>
  <si>
    <t>Using rough Kota stone</t>
  </si>
  <si>
    <t>22.3</t>
  </si>
  <si>
    <t>Providing and laying water proofing treatment to vertical and horizontal surfaces of depressed portions of W.C., kitchen and the like consisting of:
(i) Ist course of applying cement slurry @ 4.4 kg/sqm mixed with water proofing compound conforming to IS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
(iv)   IVth course of 400 micron thick PVC sheet. (Overlaps at joints of PVC sheet should be 100 mm wide and pasted to each other with bitumen @ 1.7 kg/sqm).</t>
  </si>
  <si>
    <t>22.4</t>
  </si>
  <si>
    <t>Providing and Placing in position suitable PVC water stops conforming to IS:12200 for construction/ expansion joints between two RCC members and fixed to the reinforcement with binding wire before pouring concrete etc. complete :</t>
  </si>
  <si>
    <t>22.4.1</t>
  </si>
  <si>
    <t>Serrated with central bulb (225 mm wide, 8-11 mm thick)</t>
  </si>
  <si>
    <t>22.4.2</t>
  </si>
  <si>
    <t>Dumb bell with central bulb (180 mm wide, 8 mm thick)</t>
  </si>
  <si>
    <t>22.4.3</t>
  </si>
  <si>
    <t>Kickers (320 mm wide, 5 mm thick)</t>
  </si>
  <si>
    <t>22.5</t>
  </si>
  <si>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t>
  </si>
  <si>
    <t>22.6</t>
  </si>
  <si>
    <t>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t>
  </si>
  <si>
    <t>22.7</t>
  </si>
  <si>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 to IS : 2645 and approved by Engineer-in-charge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test. All above operations to be done in order and as directed and specified by the Engineer-in-Charge :</t>
  </si>
  <si>
    <t>22.7.1</t>
  </si>
  <si>
    <t>With average thickness of 120 mm and minimum thickness at khurra as 65 mm.</t>
  </si>
  <si>
    <t>22.8</t>
  </si>
  <si>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grade-I (hessian based self finished bitumen felt) and fourth and final course of stone grit 6 mm and down size or pea sized gravel spread at 6 cubic decimetre per square metre, including preparation of surface but excluding grading complete with :</t>
  </si>
  <si>
    <t>22.8.1</t>
  </si>
  <si>
    <t>Bitumen felt (hessian base) type 3 grade I conforming to IS : 1322</t>
  </si>
  <si>
    <t>22.9</t>
  </si>
  <si>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decimetre per sqm including preparation of surface but excluding grading, complete.</t>
  </si>
  <si>
    <t>22.10</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</si>
  <si>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decimetre per sqm including preparation of surface, excluding grading, compete.</t>
  </si>
  <si>
    <t>22.11</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</si>
  <si>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decimetre per sqm including preparation of surface but excluding grading, complete.</t>
  </si>
  <si>
    <t>22.12</t>
  </si>
  <si>
    <t>Supplying and applying bituminous solution primer on roof and / or wall surface at 0.24 litre per sqm</t>
  </si>
  <si>
    <t>22.13</t>
  </si>
  <si>
    <t>Deduct for omitting in water proofing treatment final course of spreading stone grit 6 mm down size or pea sized gravel :</t>
  </si>
  <si>
    <t>22.13.1</t>
  </si>
  <si>
    <t>at 6 cudm per sqm</t>
  </si>
  <si>
    <t>22.13.2</t>
  </si>
  <si>
    <t>at 8 cudm per sqm</t>
  </si>
  <si>
    <t>22.14</t>
  </si>
  <si>
    <t>Grading roof for water proofing treatment with</t>
  </si>
  <si>
    <t>22.14.1</t>
  </si>
  <si>
    <t>Cement concrete 1:2:4 (1 cement : 2 coarse sand : 4 graded stone aggregate 20mm nominal size)</t>
  </si>
  <si>
    <t>22.14.2</t>
  </si>
  <si>
    <t>22.14.3</t>
  </si>
  <si>
    <t>Cement mortar 1:4 (1cement : 4 coarse sand)</t>
  </si>
  <si>
    <t>22.22</t>
  </si>
  <si>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metre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t>
  </si>
  <si>
    <t>22.22A</t>
  </si>
  <si>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t>
  </si>
  <si>
    <t>22.23</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</si>
  <si>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engineer-in-charge. The product performance shall carry guarantee for 10 years against any leakage.</t>
  </si>
  <si>
    <t>22.23.1</t>
  </si>
  <si>
    <t>For vertical surface two coats @ 0.70 kg per sqm per coat</t>
  </si>
  <si>
    <t>22.23.2</t>
  </si>
  <si>
    <t>For horizontal surface one coat @1.10 kg per sqm</t>
  </si>
  <si>
    <t>22.23A</t>
  </si>
  <si>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t>
  </si>
  <si>
    <t>22.24</t>
  </si>
  <si>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t>
  </si>
  <si>
    <t>22.24A</t>
  </si>
  <si>
    <t>Providing &amp; Applying high quality acrylic modified resin based texture  of Dholpur/Red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t>
  </si>
  <si>
    <t>22.25</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</si>
  <si>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t>
  </si>
  <si>
    <t>22.25.1</t>
  </si>
  <si>
    <t>For sealing cracks and faulty construction joints, routed out/making U-shape groove size 25x25mm and then primed the area with integral crystalline slurry @0.05kg/running metre and while the surface is tacky filled the groove upto surface with crystalline mortar @1.50kg/running metre. Once crystalline mortar is touch dry then finally applied two coats of integral crystalline slurry @0.05kg/running metre per coat.</t>
  </si>
  <si>
    <t>22.25.2</t>
  </si>
  <si>
    <t>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t>
  </si>
  <si>
    <t>each hole</t>
  </si>
  <si>
    <t>22.26</t>
  </si>
  <si>
    <t>Providing and applying of swellable type water stop tape, 19mm x 25mm thick in linear metre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metre. Over the primed surface swellable type water stop tape shall be placed. The work shall be carried out all complete as per specification and the direction of the Engineer-In-Charge. The product performance shall carry guarantee for 10 years against any leakage.</t>
  </si>
  <si>
    <t>23.0 RAIN WATER HARVESTING &amp; TUBEWELLS</t>
  </si>
  <si>
    <t>23.1</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</si>
  <si>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</si>
  <si>
    <t>23.1.1</t>
  </si>
  <si>
    <t>All types of soil</t>
  </si>
  <si>
    <t>23.1.1.1</t>
  </si>
  <si>
    <t>300 mm dia</t>
  </si>
  <si>
    <t>23.1.1.2</t>
  </si>
  <si>
    <t>350 mm dia</t>
  </si>
  <si>
    <t>23.1.1.3</t>
  </si>
  <si>
    <t>400 mm dia</t>
  </si>
  <si>
    <t>23.1.2</t>
  </si>
  <si>
    <t>Rocky strata including Boulders</t>
  </si>
  <si>
    <t>23.1.2.1</t>
  </si>
  <si>
    <t>23.1.2.2</t>
  </si>
  <si>
    <t>23.1.2.3</t>
  </si>
  <si>
    <t>23.2</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</si>
  <si>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</si>
  <si>
    <t>23.2.1</t>
  </si>
  <si>
    <t>23.2.1.1</t>
  </si>
  <si>
    <t>23.2.1.2</t>
  </si>
  <si>
    <t>23.2.1.3</t>
  </si>
  <si>
    <t>23.2.2</t>
  </si>
  <si>
    <t>23.2.2.1</t>
  </si>
  <si>
    <t>23.2.2.2</t>
  </si>
  <si>
    <t>23.2.2.3</t>
  </si>
  <si>
    <t>23.3</t>
  </si>
  <si>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</si>
  <si>
    <t>23.3.1</t>
  </si>
  <si>
    <t>100 mm nominal size dia</t>
  </si>
  <si>
    <t>23.3.2</t>
  </si>
  <si>
    <t>150 mm nominal size dia</t>
  </si>
  <si>
    <t>23.3.3</t>
  </si>
  <si>
    <t>200 mm nominal size dia</t>
  </si>
  <si>
    <t>23.4</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</si>
  <si>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</si>
  <si>
    <t>23.4.1</t>
  </si>
  <si>
    <t>23.4.2</t>
  </si>
  <si>
    <t>23.4.3</t>
  </si>
  <si>
    <t>23.5</t>
  </si>
  <si>
    <t>Supplying, filling, spreading &amp; leveling stone boulders of size range 5 cm to 20 cm, in recharge pit, in the required thickness, for all leads &amp; lifts, all complete as per direction of Engineer-in-charge.</t>
  </si>
  <si>
    <t>23.6</t>
  </si>
  <si>
    <t>Supplying, filling, spreading &amp; leveling gravels of size range 5 mm to 10 mm, in the recharge pit, over the existing layer of boulders, in required thickness, for all leads &amp; lifts, all complete as per direction of Engineer-in-charge.</t>
  </si>
  <si>
    <t>23.7</t>
  </si>
  <si>
    <t>Supplying, filling, spreading &amp; leveling coarse sand of size range 1.5 mm to 2 mm in recharge pit, in required thickness over gravel layer, for all leads &amp; lifts, all complete as per direction of Engineer -in-charge.</t>
  </si>
  <si>
    <t>23.8</t>
  </si>
  <si>
    <t>Gravel packing in tubewell construction in accordance with IS: 4097, including providing gravel fine/ medium/ coarse, in required grading &amp; sizes as per actual requirement, all complete as per direction of Engineer-in-charge.</t>
  </si>
  <si>
    <t>23.9</t>
  </si>
  <si>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t>
  </si>
  <si>
    <t>23.10</t>
  </si>
  <si>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</si>
  <si>
    <t>23.10.1</t>
  </si>
  <si>
    <t>100 mm nominal size dia having minimum wall thickness 5.00 mm</t>
  </si>
  <si>
    <t>23.10.2</t>
  </si>
  <si>
    <t>150 mm nominal size dia having minimum wall thickness 5.00 mm</t>
  </si>
  <si>
    <t>23.10.3</t>
  </si>
  <si>
    <t>200 mm nominal size dia having minimum wall thickness 5.40 mm</t>
  </si>
  <si>
    <t>23.11</t>
  </si>
  <si>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</si>
  <si>
    <t>23.11.1</t>
  </si>
  <si>
    <t>23.11.2</t>
  </si>
  <si>
    <t>23.11.3</t>
  </si>
  <si>
    <t>23.12</t>
  </si>
  <si>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t>
  </si>
  <si>
    <t>hour</t>
  </si>
  <si>
    <t>23.13</t>
  </si>
  <si>
    <t>Providing and fixing suitable size threaded mild steel cap or spot welded plate to the top of bore well housing/ casing pipe, removable as per requirement, all complete for borewell of:</t>
  </si>
  <si>
    <t>23.13.1</t>
  </si>
  <si>
    <t>23.13.2</t>
  </si>
  <si>
    <t>23.13.3</t>
  </si>
  <si>
    <t>23.14</t>
  </si>
  <si>
    <t>Providing and fixing M.S. clamp of required dia to the top of casing/ housing pipe of tubewell as per IS: 2800 (part I), including necessary bolts &amp; nuts of required size complete.</t>
  </si>
  <si>
    <t>23.14.1</t>
  </si>
  <si>
    <t>100 mm clamp</t>
  </si>
  <si>
    <t>23.14.2</t>
  </si>
  <si>
    <t>150 mm clamp</t>
  </si>
  <si>
    <t>23.14.3</t>
  </si>
  <si>
    <t>200 mm clamp</t>
  </si>
  <si>
    <t>23.15</t>
  </si>
  <si>
    <t>Providing and fixing Bail plug/ Bottom plug of required dia to the bottom of pipe assembly of tubewell as per IS:2800 (part I).</t>
  </si>
  <si>
    <t>23.15.1</t>
  </si>
  <si>
    <t>23.15.2</t>
  </si>
  <si>
    <t>23.15.3</t>
  </si>
  <si>
    <t>24.0 CONSERVATION OF  HERITAGE BUILDINGS</t>
  </si>
  <si>
    <t>24.1</t>
  </si>
  <si>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t>
  </si>
  <si>
    <t>24.2</t>
  </si>
  <si>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</si>
  <si>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t>24.3</t>
  </si>
  <si>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building/structure, all as per direction of Engineer-in-charge (The rate is inclusive of all materials &amp; labours involved except scaffolding).</t>
  </si>
  <si>
    <t>24.4</t>
  </si>
  <si>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t>
  </si>
  <si>
    <t>24.5</t>
  </si>
  <si>
    <t>Ruled / Flush pointing on Red sand stone masonry surface with lime, surkhi and marble dust mortar in the ratio of 1:1.5:1/2 {One lime: 1.5 surkhi (50% red and 50% light yellow surkhi ) : 1/2 marble dust}. (The rate is inclusive of all materials &amp; labours involved except scaffolding).</t>
  </si>
  <si>
    <t>24.6</t>
  </si>
  <si>
    <t>Ruled/ Flush pointing on White sand stone masonry surface with lime, surkhi and marble dust mortar in the ratio of 1:1.5:1/2 {One lime : 1.5 surkhi (15% dark red and 85% light yellow surkhi) : 1/2 marble dust}. (The rate is inclusive of all materials &amp; labours involved except scaffolding).</t>
  </si>
  <si>
    <t>24.7</t>
  </si>
  <si>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t>
  </si>
  <si>
    <t>24.8</t>
  </si>
  <si>
    <t>Applying breathable, non-reactive, antifungal, and water repellant Silane/Siloxane chemical as approved by Archaeological Survey of India/ Engineer-in-charge,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t>
  </si>
  <si>
    <t>25.0 STRUCTURAL GLAZING ALUMINIUM COMPOSITE PANEL</t>
  </si>
  <si>
    <t>25.1</t>
  </si>
  <si>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t>
  </si>
  <si>
    <t>25.2</t>
  </si>
  <si>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including double sided spacer tape, setting  blocks and backer rod, all of approved grade, brand and manufacture,  as per the approved sealant design, within and all around the  perimetre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  in-Charge.
Note:- 1. The cost of providing extruded aluminium frames, shadow boxes, extruded aluminium section capping for fixing in the grooves of the curtain glazing and vermin proof stainless steel wire mesh shall be paid for separately under relevant items under this sub- head. However, for the purpose of payment, only the actual area of structural glazing (including width of grooves)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NABL accredited lab or any other accreditation body which operates in accordance with ISO/IEC 17011 and accredits labs as per ISO/IEC 17025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  05 testing method for a range upto 2000 ml
4. Structural Performance Deflection and deformation by static air  pressure test (1.5 times design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 ml</t>
  </si>
  <si>
    <t>25.3</t>
  </si>
  <si>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No.25.2)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t>
  </si>
  <si>
    <t>25.4</t>
  </si>
  <si>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t>
  </si>
  <si>
    <t>25.5</t>
  </si>
  <si>
    <t>Providing, fabricating and supplying shadow box of required size and shape, for fixing in the spandrel portion of the structural glazing, in linear as well as curvilinear portions of the building by providing semi -rigid, inorganic, non-combustible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/sqm, made of randomly oriented glass fibres distributed in a binder by a wet-lay process including fixing 1.5 mm thick solid aluminum sheet backing using, 6 mm thick cement board including SS rivets, nuts, bolts, washers etc complete.</t>
  </si>
  <si>
    <t>25.6</t>
  </si>
  <si>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 having properties as visible Light transmittance (VLT) of 25 to 35 %, Light reflection internal 10 to 15%, light reflection external 10 to 20 %, shading coefficient (0.25- 0.28) and U value of 3.0 to 3.3 W/m2 K etc. The properties of performance glass shall be decided by technical sanctioning authority as per the site requirement.</t>
  </si>
  <si>
    <t>25.8</t>
  </si>
  <si>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perimetre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t>
  </si>
  <si>
    <t>26.0 NEW TECHNOLOGIES AND MATERIALS</t>
  </si>
  <si>
    <t>26.1</t>
  </si>
  <si>
    <t>Providing &amp; fixing in position Phenol bonded Bamboowood flooring with planks of sizes 14mm thick, minimum 1800mm length and minimum 100 mm wide, in approved colour, texture  and finish,  having Performance Appraisal Certificate (PAC) issued by Building Materials &amp; Technology Promotion Council (BMTPC). The flooring shall be fixed with tongue and groove interlocking system, with underlayment of 4mm thick expanded polyethylene foam sheets having density 40kg/cum, over prepared surface with necessary quarter round planks of size 1900mm x 18mm and door reducer of size 1900mm x 44mm, wherever required. The bamboowood planks shall have minimum density of 1000 Kg/cum &amp; minimum Hardness 1000 Kgf. with Eco friendly UV coating,  all complete as per  direction of  the Engineer in-charge.</t>
  </si>
  <si>
    <t>26.2</t>
  </si>
  <si>
    <t>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polyethylene foam sheets having  40kg/cum density over prepared surface. The bamboowood planks shall have minimum density of 1000Kg/cum &amp; minimum Hardness 1000 Kgf. with Eco friendly UV coating,  all complete as per  direction of  the Engineer in-charge.</t>
  </si>
  <si>
    <t>26.3</t>
  </si>
  <si>
    <t>Providing &amp; fixing in position Phenol bonded Bamboowood  wall cladding at all height with planks of sizes 10mm thick, minimum 1800mm length and minimum 100 mm wide,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polyethylene foam of density 40kg/cum in two  layers, first layer on wall surface before fixing  wooden frame and second layer on frame under cladding. The bamboowood planks shall have minimum density of 1000 Kg/cum &amp; minimum Hardness 1000 Kgf. with Eco friendly UV coating,  all complete as per  direction of the Engineer in-charge.</t>
  </si>
  <si>
    <t>26.4</t>
  </si>
  <si>
    <t>Providing &amp; fixing in position Phenol bonded  Bamboowood panelled or panelled and glazed shutters for doors windows, clerestorey windows with pre-molded minimum 30mm thick planks, in approved colours, texture &amp; finish.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t>
  </si>
  <si>
    <t>26.5</t>
  </si>
  <si>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t>
  </si>
  <si>
    <t>26.6</t>
  </si>
  <si>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t>
  </si>
  <si>
    <t>cudm</t>
  </si>
  <si>
    <t>26.6A</t>
  </si>
  <si>
    <t>Providing, erecting, laying and fixing in position in 3.5 to 4 mm thick bamboo mat corrugated sheet (BMCS) as per IS: 15476-2004 in roofing with self drilling screws along with EPDM washers complete or with galvanized iron J or L hooks 8mm dia G.I. plain and bitumen washers etc, all complete as per direction of Engineer-in-Charge.</t>
  </si>
  <si>
    <t>26.6B</t>
  </si>
  <si>
    <t>Providing and fixing in position ridges of 3.5 to 4 mm thick bamboo mat ridge cap (BMRC) as per IS: 15476-2004 in roofing with self drilling screws along with EPDM washers complete or with galvanized iron J or L hooks 8mm dia G.I. plain and bitumen washers etc, all complete as per direction of Engineer-in-Charge.</t>
  </si>
  <si>
    <t>26.6C</t>
  </si>
  <si>
    <t>Providing and fixing at all height false ceiling of 4mm thick phenol bonded Bamboo Mat board (595x595mm) conforming to IS:13958-1994 including providing and fixing of frame work made of GI angle 25x25x0.4 mm thick all around suitably fixed to wall with the help of dash fastener and hanger frame (600x600 c/c) made GI slotted Tee having powder coating on bottom side (30x25x0.3 mm thick for main member &amp; 25x25x0.3 mm for cross member) connected to ceiling with 2.64mm GI wire and anchor fastener at every junction and also including cost of making openings for light fittings, grills, diffusers, cut outs made with frame of perimetre channels suitably fixed all complete as per direction of Engineer-in-charge.</t>
  </si>
  <si>
    <t>26.6D</t>
  </si>
  <si>
    <t>Providing and fixing at Bamboo Mat board conforming to IS:13958-1994 for partition to frame by bucking or studding with screws etc. complete (Frames, backing or studding to be paid separately)</t>
  </si>
  <si>
    <t>26.6D.1</t>
  </si>
  <si>
    <t>3mm thickness</t>
  </si>
  <si>
    <t>26.6D.2</t>
  </si>
  <si>
    <t>4mm thickness</t>
  </si>
  <si>
    <t>26.6D.3</t>
  </si>
  <si>
    <t>6mm thickness</t>
  </si>
  <si>
    <t>26.6D.4</t>
  </si>
  <si>
    <t>9mm thickness</t>
  </si>
  <si>
    <t>26.6D.5</t>
  </si>
  <si>
    <t>12mm thickness</t>
  </si>
  <si>
    <t>26.6E</t>
  </si>
  <si>
    <t>Providing and fixing at all height wall panelling with phenol bonded Bamboo Mat board conforming to IS:13958-1994  including providing and fixing to frame work made of 50mm x 50mm hardwood plugs including cutting brick work and fixing in cement mortar and making good the wall etc. and also providing and fixing wooden moulded corner beading of triangular shape to the junction of panelling etc. with iron screws all complete as per direction of Engineer-in-Charge.</t>
  </si>
  <si>
    <t>26.6E.1</t>
  </si>
  <si>
    <t>26.6E.2</t>
  </si>
  <si>
    <t>26.7</t>
  </si>
  <si>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</si>
  <si>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26.8</t>
  </si>
  <si>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</si>
  <si>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26.9</t>
  </si>
  <si>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Engineer-in-charge.</t>
  </si>
  <si>
    <t>26.10</t>
  </si>
  <si>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t>
  </si>
  <si>
    <t>26.11</t>
  </si>
  <si>
    <t>Providing and fixing concealed hinge of approved quality for 19-20mm thick door with stainless steel screws complete :</t>
  </si>
  <si>
    <t>26.12</t>
  </si>
  <si>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t>
  </si>
  <si>
    <t>26.13</t>
  </si>
  <si>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t>
  </si>
  <si>
    <t>26.14</t>
  </si>
  <si>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t>
  </si>
  <si>
    <t>26.15</t>
  </si>
  <si>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t>
  </si>
  <si>
    <t>26.16</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</si>
  <si>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t>
  </si>
  <si>
    <t>26.17</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</si>
  <si>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 labour etc. complete  and  as  directed  by Engineer - In - Charge.</t>
  </si>
  <si>
    <t>26.18</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</si>
  <si>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</si>
  <si>
    <t>26.18.1</t>
  </si>
  <si>
    <t>Ultimate tensile strength- 100 kN/m</t>
  </si>
  <si>
    <t>26.18.2</t>
  </si>
  <si>
    <t>Ultimate tensile strength- 150 kN/m</t>
  </si>
  <si>
    <t>26.18.3</t>
  </si>
  <si>
    <t>Ultimate tensile strength- 200 kN/m</t>
  </si>
  <si>
    <t>26.18.4</t>
  </si>
  <si>
    <t>Ultimate tensile strength- 250 kN/m</t>
  </si>
  <si>
    <t>26.18.5</t>
  </si>
  <si>
    <t>Ultimate tensile strength- 300 kN/m</t>
  </si>
  <si>
    <t>26.18.6</t>
  </si>
  <si>
    <t>Ultimate tensile strength- 350 kN/m</t>
  </si>
  <si>
    <t>26.18.7</t>
  </si>
  <si>
    <t>Ultimate tensile strength- 400 kN/m</t>
  </si>
  <si>
    <t>26.18.8</t>
  </si>
  <si>
    <t>Ultimate tensile strength- 500 kN/m</t>
  </si>
  <si>
    <t>26.18.9</t>
  </si>
  <si>
    <t>Ultimate tensile strength- 600 kN/m</t>
  </si>
  <si>
    <t>26.18.10</t>
  </si>
  <si>
    <t>Ultimate tensile strength- 700 kN/m</t>
  </si>
  <si>
    <t>26.18.11</t>
  </si>
  <si>
    <t>Ultimate tensile strength- 800 kN/m</t>
  </si>
  <si>
    <t>26.18.12</t>
  </si>
  <si>
    <t>Ultimate tensile strength- 900 kN/m</t>
  </si>
  <si>
    <t>26.18.13</t>
  </si>
  <si>
    <t>Ultimate tensile strength- 1000 kN/m</t>
  </si>
  <si>
    <t>26.18.14</t>
  </si>
  <si>
    <t>Ultimate tensile strength- 1100 kN/m</t>
  </si>
  <si>
    <t>26.18.15</t>
  </si>
  <si>
    <t>Ultimate tensile strength- 1200 kN/m</t>
  </si>
  <si>
    <t>26.19</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</si>
  <si>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t>
  </si>
  <si>
    <t>26.19.1</t>
  </si>
  <si>
    <t>0.71 mm thick, the profile detail width 1044/920 mm, cover width 1000/875 mm.</t>
  </si>
  <si>
    <t>26.19.2</t>
  </si>
  <si>
    <t>0.91 mm thick, the profile detail width 1044/920 mm, cover width 1000/875 mm.</t>
  </si>
  <si>
    <t>26.22</t>
  </si>
  <si>
    <t>Providing and fixing false ceiling at all heights with integral densified calcium silicate reinforced with fibre and natural filler false ceiling tiles of Size 595x595mm of approved texture, design and  patterns as per CPWD Specification 2019, to be laid in true horizontal level suspended on inter-locking metal  T-Grid of hot dipped galvanised iron section of 0.33mmthick  (galvanized  @  120  grams  per  sqm  including  both  sides)comprising of  main-T  runners of size 24x38 mm of length 3000 mm,cross  -  T  of  size  24x32  mm  of  length  1200  mm  and    secondaryintermediate cross-T  of size 24x32 mm of length 600mm to formgrid module of size 600 x 600 mm, suspended from ceiling usinggalvanised mild steel items (galvanizing @ 80 grams per sqm) i.e. 12x50 mm long dash fasteners, 6 mm dia fully threaded hanger rod upto 1000 mm length and L-shape level adjuster of size 76x25x25x1.6 mm fixed with grid and Z cleat of size 25x37x25x1.6mm thick with precut hole on both 25mm flange to pierce into 12x50mm or even bigger size dash fastener if require, fixed with Glavanised iron perimetre wall angle or size 24x24x0.40 mm of length 3000 mm to be fixed on periphey wall / partition with the help of plastic rawl plugs at 450mm center to center and 40 mm long dry wall S.S screws. The workshall be carried out as per specifications, drawing and as per directionsof the Engineer-in-Charge.</t>
  </si>
  <si>
    <t>26.22.1</t>
  </si>
  <si>
    <t>With 15 mm thick Tegular edged light weight calcium sliciate false ceiling tiles</t>
  </si>
  <si>
    <t>26.22.2</t>
  </si>
  <si>
    <t>With 15 mm thick tegular/butt edged without perforation plain/designer light weight calcium silicate Anti-Microbial Bio-Safe coated false ceiling tiles Confirming to JIS-Z2801 and ASTM G-21</t>
  </si>
  <si>
    <t>26.23</t>
  </si>
  <si>
    <t>Providing and fixing false ceiling at all heights with integral densified calcium silicate reinforced with fibre and natural filler false ceiling tiles of Size 595x595 mm of approved texture, design and patterns having Nos. The work shall be carried out as per specifications, drawing and as per directions of the Engineer-in-Charge.</t>
  </si>
  <si>
    <t>26.23.1</t>
  </si>
  <si>
    <t>With 15 mm thick integral densified micro edge light weight calcium silicate false ceiling tiles</t>
  </si>
  <si>
    <t>26.24</t>
  </si>
  <si>
    <t>Providing and fixing in position wall panelling at all heights with integral densified calcium silicate panels/tiles of size 595 x 595mm, having Nos.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t>
  </si>
  <si>
    <t>26.24.1</t>
  </si>
  <si>
    <t>With 15 mm thick  fully perforated square/butt edge light weight calcium silicate panels/ tiles</t>
  </si>
  <si>
    <t>26.25</t>
  </si>
  <si>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t>
  </si>
  <si>
    <t>26.26</t>
  </si>
  <si>
    <t>Providing &amp; fixing false ceiling at all heights with  GRG (Glass Fibre Reinforced Gypsum) false ceiling tiles of Size 595x595 mm of approved texture, design and patterns having moisture content less than 2%, humidity resistance of 99%, Nos. The work shall be carried out as per specifications, drawing and as per directions of the Engineer-in-Charge.</t>
  </si>
  <si>
    <t>26.26.1</t>
  </si>
  <si>
    <t>With semi perforated 12 mm thick micro tegular edged GRG false ceiling tiles.</t>
  </si>
  <si>
    <t>26.26.2</t>
  </si>
  <si>
    <t>With fully perforated 12 mm thick micro tegular edged or 10 mm thick square edged GRG false ceiling tiles.</t>
  </si>
  <si>
    <t>26.27</t>
  </si>
  <si>
    <t>Providing and fixing mineral fibre false ceiling tiles at all heights of size 595X595mm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perimetre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t>
  </si>
  <si>
    <t>26.27.1</t>
  </si>
  <si>
    <t>With 16 mm thick beveled tegular mineral fibre false ceiling tile (NRC 0.55 to 0.6</t>
  </si>
  <si>
    <t>26.27.2</t>
  </si>
  <si>
    <t>With 20 mm thick beveled tegular mineral fibre false ceiling  tile (NRC 0.7)</t>
  </si>
  <si>
    <t>26.27.3</t>
  </si>
  <si>
    <t>With 16 mm thick beveled tegular mineral fibre  Anti-microbial false ceiling tile confirming to ISO 5 (class 100 ) specifications</t>
  </si>
  <si>
    <t>REPAIR AND REHABILITATION ITEMS</t>
  </si>
  <si>
    <t>26.28</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</si>
  <si>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</si>
  <si>
    <t>26.28.1</t>
  </si>
  <si>
    <t>75mm average thickness</t>
  </si>
  <si>
    <t>26.28.2</t>
  </si>
  <si>
    <t>50mm average thickness</t>
  </si>
  <si>
    <t>26.28.3</t>
  </si>
  <si>
    <t>25 mm average thickness</t>
  </si>
  <si>
    <t>26.29</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</si>
  <si>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t>
  </si>
  <si>
    <t>26.29.1</t>
  </si>
  <si>
    <t>Bars upto 12 mm diameter</t>
  </si>
  <si>
    <t>26.29.2</t>
  </si>
  <si>
    <t>Bars above 12 mm diameter</t>
  </si>
  <si>
    <t>26.30</t>
  </si>
  <si>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t>
  </si>
  <si>
    <t>26.30.1</t>
  </si>
  <si>
    <t>Upto and including 12mm dia.</t>
  </si>
  <si>
    <t>26.31</t>
  </si>
  <si>
    <t>Providing, mixing and applying bonding coat of approved adhesive on chipped portion of RCC as per  specifications and direction of Engineer-In-charge complete in all respect.</t>
  </si>
  <si>
    <t>26.31.1</t>
  </si>
  <si>
    <t>SBR Polymer (@10% of cement weight) modified cementitious bond coat @ 2.2 kg cement per sqm of surface area mixed with specified proportion of approved polymer</t>
  </si>
  <si>
    <t>26.31.2</t>
  </si>
  <si>
    <t>Epoxy bonding adhesive having coverage 2.20 sqm/kg of approved make</t>
  </si>
  <si>
    <t>26.32</t>
  </si>
  <si>
    <t>Providing, mixing and applying SBR polymer (of approved make) modified Cement mortar in proportion of 1:4 (1 cement: 4 graded coarse sand with polymer minimum 2% by wt. of cement used)  as per specifications and directions of Engineer-in-charge.</t>
  </si>
  <si>
    <t>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</si>
  <si>
    <t>26.32.1</t>
  </si>
  <si>
    <t>12 mm average thickness.</t>
  </si>
  <si>
    <t>26.32.2</t>
  </si>
  <si>
    <t>25 mm average thickness in 2 layers.</t>
  </si>
  <si>
    <t>26.32.3</t>
  </si>
  <si>
    <t>50 mm average thickness in 3 layers.</t>
  </si>
  <si>
    <t>26.33</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</si>
  <si>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t>
  </si>
  <si>
    <t>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</si>
  <si>
    <t>26.33.1</t>
  </si>
  <si>
    <t>50mm thick in Grade M 25 with cement content not less than 330 kg per cum</t>
  </si>
  <si>
    <t>26.33.2</t>
  </si>
  <si>
    <t>75mm thick in Grade M 25 with cement content not less than 330 kg per cum</t>
  </si>
  <si>
    <t>26.34</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</si>
  <si>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t>
  </si>
  <si>
    <t>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</si>
  <si>
    <t>26.34.1</t>
  </si>
  <si>
    <t>26.34.2</t>
  </si>
  <si>
    <t>26.34.3</t>
  </si>
  <si>
    <t>100mm thick in Grade M 25 with cement content not less than 330 kg per cum</t>
  </si>
  <si>
    <t>26.35</t>
  </si>
  <si>
    <t>Providing and injecting approved grout in  proportion recommended by the manufacturer into cracks/honey-comb area of concrete/masonry by suitable gun/pump at required pressure including cutting of nipples after curing etc. complete as per directions of Engineer-in-Charge.</t>
  </si>
  <si>
    <t>(The payment shall be made on the basis of actual weight of approved grout injected.)</t>
  </si>
  <si>
    <t>26.35.1</t>
  </si>
  <si>
    <t>Stirrer mixed Acrylic Polymer of approved make @ 2% of weight of cement used) modified Cement slurry made with non shrink compound in concrete/RCC work</t>
  </si>
  <si>
    <t>26.35.2</t>
  </si>
  <si>
    <t>Stirrer mixed SBR Polymer (of approved make) modified Cement slurry  made with Shrinkage Compensating Cement  in concrete/RCC work.</t>
  </si>
  <si>
    <t>26.35.3</t>
  </si>
  <si>
    <t>Epoxy injection grout in concrete/RCC work of approved make</t>
  </si>
  <si>
    <t>26.36</t>
  </si>
  <si>
    <t>Providing, erecting, maintaining and removing temporary protective screens made out of specified fabric with all necessary fixing arrangement to ensure that it remains in position for the work duration as required by the Engineer-in-charge.</t>
  </si>
  <si>
    <t>26.36.1</t>
  </si>
  <si>
    <t>Wooven PVC cloth</t>
  </si>
  <si>
    <t>26.37</t>
  </si>
  <si>
    <t>Cleaning of exposed concrete surface of  sticking material including loose and foreign material by sand blasting with coarse sand followed by and including cleaning with oil free air blast as per direction of Engineer in charge.</t>
  </si>
  <si>
    <t>26.38</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</si>
  <si>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t>
  </si>
  <si>
    <t>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</si>
  <si>
    <t>26.38.1</t>
  </si>
  <si>
    <t>25mm thick in Grade M 25 with cement content not less than 330 kg per cum</t>
  </si>
  <si>
    <t>26.38.2</t>
  </si>
  <si>
    <t>26.38.3</t>
  </si>
  <si>
    <t>26.39</t>
  </si>
  <si>
    <t>Providing and inserting 12mm dia galvanised steel injection nipple in honey comb area and along crack line including drilling of holes of required diameter direction of Engineer-In-Charge.</t>
  </si>
  <si>
    <t>26.40</t>
  </si>
  <si>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t>
  </si>
  <si>
    <t>NEW TECHNOLOGY ITEMS</t>
  </si>
  <si>
    <t>26.41</t>
  </si>
  <si>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The frames shall be fixed to RCC slab or Tie beam over Nos. design subject to minimum 12mm diameter and 121mm length conforming to AISI 304 and 316 at 500mm c/c with minimum embedment of 100mm in RCC (RCC to be paid separately) and located not more than 300mm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t>
  </si>
  <si>
    <t>26.42</t>
  </si>
  <si>
    <t>Providing and fixing of external wall system on Light gauge steel frame work with outer face cement boards as per standard sizes fixed with self- drilling / taping screws / fasteners @ 60cm c/c of approved make. A groove of 2 mm to 3mm shall be maintained and grooves shall be sealed with silicon based sealant. The board shall be fixed in a staggered pattern. Screws shall be of counter sunk rib head of 1.60mm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t>
  </si>
  <si>
    <t>26.42.1</t>
  </si>
  <si>
    <t>Outer face- Outer face having 6mm thick fiber cement board Type A, Category-IV as per IS:14862:2000 fixed on 9mm thick fiber cement board, Type A, Category-IV as per IS:14862:2000 (high pressure steam cured)  Inner Face- 12.5 mm thick gypsum plaster board conforming to IS 2095:2011 fixed on 8 mm thick fibre cement board of Type B, Category-III as per IS:14862:2000  (High pressure steam cured)</t>
  </si>
  <si>
    <t>26.42.1A</t>
  </si>
  <si>
    <t>Outer face- Outer face having 6mm thick fiber cement board Type A, Category-III as per IS:14862:2000   fixed on 9mm thick fiber cement board Type A, Category-III,  as per IS:14862:2000 (high pressure steam cured)  Inner Face- 12.5 mm thick gypsum plaster board conforming to IS 2095:2011 fixed on 8 mm thick fibre cement board  of  Type B, Category-III, as per  IS:14862:2000 (High pressure steam cured)</t>
  </si>
  <si>
    <t>26.42.2</t>
  </si>
  <si>
    <t>Outer face: Outer face having 8 mm thick cement bonded particle Board fixed on 10 mm thick cement bonded particle board. (Termite, Fire and Moisture Resistance) as per IS 14276:1995. Inner face:-12.5 mm thick gypsum plaster board conforming to IS 2095:2011 fixed on 8 mm thick cement bonded particle board (Termite, fire and moisture resistance) confirming to IS:14276:1995)</t>
  </si>
  <si>
    <t>26.43</t>
  </si>
  <si>
    <t>Providing and fixing internal wall panels on Light gauge steel frame work with 12.5mm thick gypsum plaster board conforming IS 2095:2011 fixed on cement board as per standard sizes fixed with self-drilling / taping screws / fasteners @ 60cm c/c of approved make, Screws shall be of counter sunk rib head of 1.60mm to 4 mm thick or 8 to 10 gauge of length varying from 25 to 45 mm.  Proper taping and jointing to be done using fiber mesh tape and  epoxy and acrylic based jointing compound for seamless finish.(cost of frame work to be paid for separately</t>
  </si>
  <si>
    <t>26.43.1</t>
  </si>
  <si>
    <t>Cement Fiber Board 8 mm thick of  Type B, Category III as per IS 14862:2000  (High pressure Steam Cured)</t>
  </si>
  <si>
    <t>26.43.2</t>
  </si>
  <si>
    <t>Cement Bonded particle board 8 mm (Termite, Fire &amp; Moisture Resistance), as per IS:14276 : 1995</t>
  </si>
  <si>
    <t>26.44</t>
  </si>
  <si>
    <t>Providing and fixing in all exterior face panels breathable vapour barrier underneath the cement fiber board as per National Building Code 2009 complete as per direction of Engineer-in-charge.</t>
  </si>
  <si>
    <t>26.45</t>
  </si>
  <si>
    <t>Supplying and installation of moisture resistant/fire resistant cement board as per standard sizes fixed with self-drilling / taping screws. Screws shall be of counter sunk rib head of 1.60mm to 4 mm thick or 8 to 10 gauge of length varying from 25 to 45 mm.</t>
  </si>
  <si>
    <t>26.45.1</t>
  </si>
  <si>
    <t>Cement Fiber Board 6 mm thick as per IS 14862:2000 of type B (High pressure Steam Cured)</t>
  </si>
  <si>
    <t>26.45.2</t>
  </si>
  <si>
    <t>Cement Bonded particle board 8 mm thick (Termite, Fire &amp; Moisture Resistance), as per IS:14276 : 1995</t>
  </si>
  <si>
    <t>26.46</t>
  </si>
  <si>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</si>
  <si>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26.47</t>
  </si>
  <si>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t>
  </si>
  <si>
    <t>26.48</t>
  </si>
  <si>
    <t>Providing and fixing of customized Aluminium form work for monolithic construction on RCC members with repetitive usage made up of aluminium sheets/plates of minimum 4mm thickness and grade 6061 (Type-6). The formwork comprises of (a) wall panel, roccker, kicker and internal soffit corner, external soffit corner, external corner, internal corner etc., (b) beam components i.e, beam side panel, prop head for soffit beam, beams soffit panel, beam soffit bulk head and (c) deck components i.e. deck panel, deck prop, prop length, deck mid, soffit length, deck beam bar. The panels are held in position by a simple pin and wedge system that passes thorugh holes in the out side rib of each panel. The tolerance of finished panel shall not be less than (-1 mm) and shall conform to IS 14987-1999. Pins and wedges to be made of high grade hot dipped galvansied mild steel. This form work also comprises of M.S. angle iron, "Z" shaped brackets braced diagonally at 0.90 to 1.00 metre centre to centre on extrenal wall face just the level below on which to lay M.S. square tube panels (Challis) and guard railing supports to form working platform and 40 mm dia G.I./M.S. telescopic adjustable props to support deck formwork and beam soffit panels including de-shuttering the formwork from odd/even level to be shifted/lifted to next alterante odd/even level before which the points and shuttering surface to be thoroughly   cleaned, pins greasing and shuttering surface oiling propoerly before fixing all complete including sealing of gap between kicker plates of wall panel and floors (if any) as per design of formwork as provided by shuttering supplier and as per direction of the Engineer-in-charge including filling and finishing the holes of varied sizes and shapes (left by keys/pins of aluminium form work shuttering while de-shuttering) with GP-2 cementitious polymer compound mixed with water in ratio prescribed by manufacturer to form consistent workable enough for pushing it in the holes upto full depth of wall using appropriate tools and finishing smooth all complete as per directions of the Engineer-in-charge.</t>
  </si>
  <si>
    <t>26.49</t>
  </si>
  <si>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t>
  </si>
  <si>
    <t>26.49.1</t>
  </si>
  <si>
    <t>Non load bearing panels 50mm thick of required size</t>
  </si>
  <si>
    <t>26.49.2</t>
  </si>
  <si>
    <t>Non load bearing panels 60mm thick of required size</t>
  </si>
  <si>
    <t>26.49.3</t>
  </si>
  <si>
    <t>Non load bearing panels 75mm thick of required size</t>
  </si>
  <si>
    <t>26.49.4</t>
  </si>
  <si>
    <t>Non load bearing panels 90mm thick of required size</t>
  </si>
  <si>
    <t>26.49.5</t>
  </si>
  <si>
    <t>Non load bearing panels 100mm thick of required size</t>
  </si>
  <si>
    <t>26.50</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</si>
  <si>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t>
  </si>
  <si>
    <t>26.50.1</t>
  </si>
  <si>
    <t>Non load bearing panels 50 mm thick of required size (minimum 4mm thick fibre cement board Type B, Category III  as per IS: 14862:2000 on both faces )</t>
  </si>
  <si>
    <t>26.50.1 A</t>
  </si>
  <si>
    <t>Non load bearing panels 50 mm thick of required size (minimum 4mm thick fibre cement board Type A, Category III as per IS: 14862:2000  on both faces )</t>
  </si>
  <si>
    <t>26.50.1 B</t>
  </si>
  <si>
    <t>Non load bearing panels 50 mm thick of required size (minimum 4mm thick fibre cement board Type A,  Category IV as per IS: 14862:2000 on both faces)</t>
  </si>
  <si>
    <t>26.50.2</t>
  </si>
  <si>
    <t>Non load bearing panels 75 mm thick of required size (minimum 5mm thick fibre cement board Type B, Category III as per IS: 14862:2000 on both faces)</t>
  </si>
  <si>
    <t>26.50.2 A</t>
  </si>
  <si>
    <t>Non load bearing panels 75 mm thick of required size (minimum 5mm thick fibre cement board Type A, Category III  as per IS: 14862:2000 on both faces)</t>
  </si>
  <si>
    <t>26.50.2 B</t>
  </si>
  <si>
    <t>Non load bearing panels 75 mm thick of required size (minimum 5mm thick fibre cement board Type A, Category IV as per IS: 14862:2000 on  both faces)</t>
  </si>
  <si>
    <t>26.51</t>
  </si>
  <si>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t>
  </si>
  <si>
    <t>26.52</t>
  </si>
  <si>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 to saturation level over RCC plinth beam to provide water proofing treatment to joint between  wall panel  &amp; plinth beam as per the guide lines / instruction by the engineer in charge. (Cost of reinforcement, water proofing of walls and plinth beam/GFRG panel below joints and installation of door/ window frames before filling of concrete shall be paid separately).  The rate quoted shall include making provision for laying of lintels, beams,  sunshades, staircase beams, lofts, plumbing work, electrical conduits and any structural insertion etc., as per the drawing and direction of the engineer in charge. The payment shall be made based on the actual exposed area (one side only) of the panel.
The work shall be carried out as per the Special Conditions For Glass Fibre Reinforced Gypsum (GFRG) Structures mentioned in NIT.
Note: i) When cutting panel, “A” side is to be for outside or external surface of respective external wall and B side is to be for internal surface of wall   
ii)Erection of panel is to be with reference to both building plan &amp; cutting drawing by following notational mark indicated in the cutting drawing as well as  notional mark written on each panel cut as per cutting drawing</t>
  </si>
  <si>
    <t>26.53</t>
  </si>
  <si>
    <t>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10mm hole in GFRG panel immediately above concrete filled level to drain out water before pour/in-fill of balance concreting)</t>
  </si>
  <si>
    <t>26.54</t>
  </si>
  <si>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 with  M-25 cement concrete mix using coarse aggregate of size less than 20 mm including laying of 10 gauge 100x100 size weld mesh with 25 mm effective cover from the panel top.</t>
  </si>
  <si>
    <t>26.55</t>
  </si>
  <si>
    <t>Supplying and fixing 10 Gauge weld mesh of size 100mm x100 mm for floor/roof slab concrete screed over the micro beams as reinforcement. The weld mesh shall be fixed as per drawing.</t>
  </si>
  <si>
    <t>26.56</t>
  </si>
  <si>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t>
  </si>
  <si>
    <t>26.57</t>
  </si>
  <si>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RW/equivalent " (Sealing cost excluded.)</t>
  </si>
  <si>
    <t>26.58</t>
  </si>
  <si>
    <t>Filling of joints between RCC plinth beam / floor slab and wall panel of external walls, toilet / bath room / wet areas walls on all floor and parapet wall over roof slab, stair case head room at the time of erection of GFRG panels with Grout RW/equivalent sealant compound after the erection of panel  before  the infill of concrete in panel cavities and fine finish. This applies for all horizontal and vertical joints between GFRG wall and slab panels.</t>
  </si>
  <si>
    <t>26.59</t>
  </si>
  <si>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t>
  </si>
  <si>
    <t>26.60</t>
  </si>
  <si>
    <t>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t>
  </si>
  <si>
    <t>26.61</t>
  </si>
  <si>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t>
  </si>
  <si>
    <t>26.62</t>
  </si>
  <si>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t>
  </si>
  <si>
    <t>26.63</t>
  </si>
  <si>
    <t>Providing and fixing special adjustable lockbars of mild steel E-250 to support the temporary plywood for work between joists during construction as per design &amp; directions of the Engineer-in-charge.</t>
  </si>
  <si>
    <t>26.64</t>
  </si>
  <si>
    <t>Centering and shuttering with 12mm thick shuttering plywood confirming to IS 4990:2011 and removal of form at all heights. Plywood will be supported on lock bars.</t>
  </si>
  <si>
    <t>26.64.1</t>
  </si>
  <si>
    <t>Suspended floors, roofs, landings, balconies and access platform.</t>
  </si>
  <si>
    <t>26.65</t>
  </si>
  <si>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t>
  </si>
  <si>
    <t>26.66</t>
  </si>
  <si>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 (not having more than 40% stone chips of size upto 6 mm)}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</si>
  <si>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26.67</t>
  </si>
  <si>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5688-1982, Fire retardant property self-extinguishing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10mm &amp; L=200mm  on finished level wall and the junction between two adjacent EPS boards to be sealed with low expansion moisture cure Polyurethane Foam. Second layer consists of Fiberglass mesh covered with alkali-resistant coating, mass per unit area ≥145 gm/m², mesh size: 3.9x4.0 mm ±10% embedded in special polymer modified cementitious Base Coat with hydrophobes and the corners will be protected with Corner-beads with alkali-resistant mesh wings at least 10 cm wide, mesh mass per unit area min 145 gm/m². The surface will be levelled, finished, made smooth complete in all respect as per manufactures specification and as per directions of Engineer-in-Charge.</t>
  </si>
  <si>
    <t>26.68</t>
  </si>
  <si>
    <t>Providing and laying factory made Precast concrete solid blocks of 200 mm thickness of grade M10 made of C&amp;D waste from approved manufacturer in foundation and plinth in:</t>
  </si>
  <si>
    <t>26.68.1</t>
  </si>
  <si>
    <t>26.69</t>
  </si>
  <si>
    <t>Providing and laying factory made Precast concrete solid blocks of 200 mm thickness of grade M10 made of C&amp;D waste from approved manufacturer in superstructure above plinth level up to floor V level</t>
  </si>
  <si>
    <t>26.69.1</t>
  </si>
  <si>
    <t>26.70</t>
  </si>
  <si>
    <t>Providing and laying half block masonry with factory made Precast concrete solid blocks of 100 mm thickness of grade M10 made of C&amp;D waste from approved manufacturer in foundation and plinth in:</t>
  </si>
  <si>
    <t>26.70.1</t>
  </si>
  <si>
    <t>Cement mortar 1:4(1 cement : 4 coarse sand)</t>
  </si>
  <si>
    <t>26.71</t>
  </si>
  <si>
    <t>Providing and laying half block masonry with factory made Precast concrete solid blocks of 100 mm thickness of grade M10 made of C&amp;D waste from approved manufacturer in superstructure above plinth level up to floor V level:</t>
  </si>
  <si>
    <t>26.71.1</t>
  </si>
  <si>
    <t>26.72</t>
  </si>
  <si>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t>
  </si>
  <si>
    <t>PREFAB/PRECAST TECHNOLOGY</t>
  </si>
  <si>
    <t>26.73</t>
  </si>
  <si>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t>
  </si>
  <si>
    <t>Note: Excess/less cement over the specified cement content used as per design mix is payable/recoverable separately)</t>
  </si>
  <si>
    <t>26.73.1</t>
  </si>
  <si>
    <t>Concrete Grade-M-40 (cement content 400 kg )</t>
  </si>
  <si>
    <t>26.73.1.1</t>
  </si>
  <si>
    <t>100 mm thick hollow core slab</t>
  </si>
  <si>
    <t>26.73.1.2</t>
  </si>
  <si>
    <t>120 mm thick hollow core slab</t>
  </si>
  <si>
    <t>26.73.1.3</t>
  </si>
  <si>
    <t>150 mm thick hollow core slab</t>
  </si>
  <si>
    <t>26.73.1.4</t>
  </si>
  <si>
    <t>200 mm thick hollow core slab</t>
  </si>
  <si>
    <t>26.73.1.5</t>
  </si>
  <si>
    <t>250 mm thick hollow core slab</t>
  </si>
  <si>
    <t>26.73.1.6</t>
  </si>
  <si>
    <t>300 mm thick hollow core slab</t>
  </si>
  <si>
    <t>26.73.1.7</t>
  </si>
  <si>
    <t>350 mm thick hollow core slab</t>
  </si>
  <si>
    <t>26.73.1.8</t>
  </si>
  <si>
    <t>400 mm thick hollow core slab</t>
  </si>
  <si>
    <t>26.73.2</t>
  </si>
  <si>
    <t>Extra for using M-50 (Cement content 425 kg) instead of M-40</t>
  </si>
  <si>
    <t>26.73.2.1</t>
  </si>
  <si>
    <t>100mm thick hollow core slab</t>
  </si>
  <si>
    <t>26.73.2.2</t>
  </si>
  <si>
    <t>120mm thick hollow core slab</t>
  </si>
  <si>
    <t>26.73.2.3</t>
  </si>
  <si>
    <t>150mm thick hollow core slab</t>
  </si>
  <si>
    <t>26.73.2.4</t>
  </si>
  <si>
    <t>200mm thick hollow core slab</t>
  </si>
  <si>
    <t>26.73.2.5</t>
  </si>
  <si>
    <t>250mm thick hollow core slab</t>
  </si>
  <si>
    <t>26.73.2.6</t>
  </si>
  <si>
    <t>300mm thick hollow core slab</t>
  </si>
  <si>
    <t>26.73.2.7</t>
  </si>
  <si>
    <t>350mm thick hollow core slab</t>
  </si>
  <si>
    <t>26.73.2.8</t>
  </si>
  <si>
    <t>400mm thick hollow core slab</t>
  </si>
  <si>
    <t>26.73.3</t>
  </si>
  <si>
    <t>Extra for using M-60 (Cement content 440 kg) instead of M-40</t>
  </si>
  <si>
    <t>26.73.3.1</t>
  </si>
  <si>
    <t>26.73.3.2</t>
  </si>
  <si>
    <t>26.73.3.3</t>
  </si>
  <si>
    <t>26.73.3.4</t>
  </si>
  <si>
    <t>26.73.3.5</t>
  </si>
  <si>
    <t>26.73.3.6</t>
  </si>
  <si>
    <t>26.73.3.7</t>
  </si>
  <si>
    <t>26.73.3.8</t>
  </si>
  <si>
    <t>26.74</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</si>
  <si>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Engineer-in-Charge (Cost of reinforcement, Mechanical, Electrical and Plumbing inserts will be paid separately).</t>
  </si>
  <si>
    <t>26.74.1</t>
  </si>
  <si>
    <t>Concrete grade M-35 (Cement content 370 kgs)</t>
  </si>
  <si>
    <t>26.74.2</t>
  </si>
  <si>
    <t>Extra for using M-40 (Cement content 400 kg) instead of M-35</t>
  </si>
  <si>
    <t>26.74.3</t>
  </si>
  <si>
    <t>Extra for using M-50 (Cement content 425 kg) instead of M-35</t>
  </si>
  <si>
    <t>26.74.4</t>
  </si>
  <si>
    <t>Extra for using M-60 (Cement content 440 kg) instead of M-35</t>
  </si>
  <si>
    <t>26.75</t>
  </si>
  <si>
    <t>Providing &amp; laying in position Prestressing steel strands (low relaxation) on hollow core bed by using mechanical pulling arrangement like Rabbit/ Bed master including all accessories  for Stressing  &amp; destressing operations as per approved make conforming to IS1343 &amp; grade FY-1860 etc, complete as per drawings and direction of Engineer -in-charge.</t>
  </si>
  <si>
    <t>26.76</t>
  </si>
  <si>
    <t>Transportation of Precast Elements by flat bed Trailor (Double / Triple axle 40ft Length with proper accessories like A frame  etc) from factory, including the cost of loading , unloading &amp; stacking at site with the help of required capacity cranes.</t>
  </si>
  <si>
    <t>26.76.1</t>
  </si>
  <si>
    <t>Lead within 15km</t>
  </si>
  <si>
    <t>MT</t>
  </si>
  <si>
    <t>26.76.2</t>
  </si>
  <si>
    <t>Add/Deduct over item 26.76.1  for every additional lead of 5 km</t>
  </si>
  <si>
    <t>26.77</t>
  </si>
  <si>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</si>
  <si>
    <t>26.77.1</t>
  </si>
  <si>
    <t>Prestressed hollow core Slab up to 200 mm thickness</t>
  </si>
  <si>
    <t>26.77.2</t>
  </si>
  <si>
    <t>Prestressed hollow core slab above 200 mm up to 400 mm thickness</t>
  </si>
  <si>
    <t>26.77.3</t>
  </si>
  <si>
    <t>Solid concrete wall elements</t>
  </si>
  <si>
    <t>26.78</t>
  </si>
  <si>
    <t>Providing &amp; Applying weather proof sealant on outer joints of approved make confirming to IS &amp; directed by Engineer-in-charge.</t>
  </si>
  <si>
    <t>26.78.1</t>
  </si>
  <si>
    <t>Sealant 25mmx10mm at joints</t>
  </si>
  <si>
    <t>26.79</t>
  </si>
  <si>
    <t>Providing &amp; Laying of levelling sim pads required sizes (5x5cm to 10x10cm) of PVC / Rubber to adjust level of bearing surface of supporting members as per the direction of Engineer in charge.</t>
  </si>
  <si>
    <t>26.79.1</t>
  </si>
  <si>
    <t>2mm thick</t>
  </si>
  <si>
    <t>26.79.2</t>
  </si>
  <si>
    <t>5 mm thick</t>
  </si>
  <si>
    <t>26.79.3</t>
  </si>
  <si>
    <t>10 mm thick</t>
  </si>
  <si>
    <t>26.80</t>
  </si>
  <si>
    <t>Providing &amp; Grouting of dowel tubes / Shear keys / Joints of precast members with M-60 grade cementitious grout (Non Shrink) of approved make by suitable means ( Free flowing /pump),curing etc. Complete as per directions of Engineer-in-charge. (The payment shall be made on the basis of actual weight of approved grout injected.)</t>
  </si>
  <si>
    <t>26.80.1</t>
  </si>
  <si>
    <t>Stirrer mixed cementitious grout (non shrink) of approved make in dowel tubes / Shear keys / Joints of precast members.</t>
  </si>
  <si>
    <t>26.81</t>
  </si>
  <si>
    <t>Providing and fixing Scaffolding net of required width made of high density Polyethylene UV stabilized knitted on warp knitting machines having density 100grams/sqm and shading coefficient minimum 75% around the construction site/ for vertical extension as per requirement including fastening/tying with building/scaffolding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t>
  </si>
  <si>
    <t>26.82</t>
  </si>
  <si>
    <t>Providing and laying rigid EPS (cellular plastic material) blocks conforming to ASTM standards/specifications of minimum density 21.60 Kg/cum on floors, steps, stage etc. of required size and shape as per direction of the Engineer-in-Charge. This shall include the following operation. 
The EPS blocks shall be cut to required shape and sizes including cuttings for passing of   services, joined together with synthetic resin adhesives as per relevant specifications and packed/placed in position for stepped floor or platform formation. The top and sides surfaces to be provided with GI woven wire mesh of aperture 5.45 mm (with wire dia 0.90 mm) secured to EPS blocks with wire pins/clips. Horizontal top surface to be provided with 20 mm thick cement concrete 1:2:4 (1 cement : 2 coarse sand : 4 graded stone aggregate upto 6mm chippings) and vertical surface to be provided with 12mm cement plaster 1:4 (1 cement : 4 coarse sand). The concrete/plastered surfaces so prepared shall be scratched with wire brushes to form burrs, so as to act as base for flooring or veneering/panelling to be done later as per approved design (which shall be paid for separately complete as per direction of the Engineer-in-Charge.</t>
  </si>
  <si>
    <t>26.83</t>
  </si>
  <si>
    <t>Applying stamping finish to the top surface of freshly laid plain/reinforced cement concrete of specified grade in porticos, sidewalks, driveways, pool decks and open yards as per direction of the Engineer-in-Charge. The process shall include the following:-
• The concrete shall be placed and screeded to the finished grade, and floated to a uniform surface by using standard finishing techniques. The approved color hardener @ 2.7 kg/sqm shall be applied evenly to the surface of the fresh concrete by the dry shake method by sprinkling in two or more shakes, floated after each shake and trowelled only after the final floating. The approved release agent @ 0.113 kg/sqm shall be applied evenly to the trowelled surface before stamping or the said release agent can be applied to the flexible polyurethane stamp moulds of approved design and in required sizes to achieve final stamped pattern. These stampings shall be placed on the surface of concrete in three to four pieces at a time and tapped gently with rammers of sufficient size &amp; weight to leave proper stamp marks and the process repeated for the remaining concrete surface till the whole surface to be stamped is completed within the time while concrete is in plastic stage of setting.
• After stamping, the curing shall be done as per manufactures specifications. After initial curing the imprinted joints shall be grouted using cement slurry mixed with color hardener as per the requirement. The surface shall be sealed by applying acrylic based sealer not less than 0.167 litre/sqmon finished surface.
• The construction joints shall be provided by groove cutting of size 4mm x 20mm in panel size 3m x 3 m or lesser as per the site conditions and filling the same with 10 mm baker rod and providing and laying (PU) Polyurethane based joint sealer of approved make as per manufacturer’s specifications and finished by applying Polyurethane resin  based top protective clear coat of minimum 80 micron applied with rollers on properly cured and dry clean surface. (Cost of concrete for flooring is not included in this item which shall be paid separately.)</t>
  </si>
  <si>
    <t>26.84</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</si>
  <si>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t>
  </si>
  <si>
    <t>26.84.1</t>
  </si>
  <si>
    <t>Uni Axial Woven polyster geogrid of minimum tensile strength 40KN/m in the Longitudinal direction and 20 KN/m in the Transverse direction.</t>
  </si>
  <si>
    <t>26.84.2</t>
  </si>
  <si>
    <t>Uni Axial Woven polyster geogrid of minimum tensile strength 60KN/m in the Longitudinal direction and 20 KN/m in the Transverse direction.</t>
  </si>
  <si>
    <t>26.84.3</t>
  </si>
  <si>
    <t>Uni Axial Woven polyster geogrid of minimum tensile strength 80 KN/m in the Longitudinal direction and 30 KN/m in the Transverse direction.</t>
  </si>
  <si>
    <t>26.84.4</t>
  </si>
  <si>
    <t>Uni Axial Woven polyster geogrid of minimum tensile strength 100KN/m in the Longitudinal direction and 30 KN/m in the Transverse direction.</t>
  </si>
  <si>
    <t>26.84.5</t>
  </si>
  <si>
    <t>Uni Axial Woven polyster geogrid of minimum tensile strength 120KN/m in the Longitudinal direction and 30 KN/m in the Transverse direction.</t>
  </si>
  <si>
    <t>26.84.6</t>
  </si>
  <si>
    <t>Uni Axial Woven polyster geogrid of minimum tensile strength 150KN/m in the Longitudinal direction and 30 KN/m in the Transverse direction.</t>
  </si>
  <si>
    <t>26.84.7</t>
  </si>
  <si>
    <t>Uni Axial Woven polyster geogrid of minimum tensile strength 200KN/m in the Longitudinal direction and 30 KN/m in the Transverse direction.</t>
  </si>
  <si>
    <t>26.84.8</t>
  </si>
  <si>
    <t>Uni Axial Woven polyster geogrid of minimum tensile strength 250KN/m in the Longitudinal direction and 30 KN/m in the Transverse direction.</t>
  </si>
  <si>
    <t>26.84.9</t>
  </si>
  <si>
    <t>Uni Axial Woven polyster geogrid of minimum tensile strength 300KN/m in the Longitudinal direction and 30 KN/m in the Transverse direction.</t>
  </si>
  <si>
    <t>26.85</t>
  </si>
  <si>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t>
  </si>
  <si>
    <t>26.85.1</t>
  </si>
  <si>
    <t>Bi Axial Woven polyster geogrid of minimum tensile strength 20KN/m in both Longitudinal and Transverse direction.</t>
  </si>
  <si>
    <t>26.85.2</t>
  </si>
  <si>
    <t>Bi Axial Woven polyster geogrid of minimum tensile strength 40KN/m in both Longitudinal and Transverse direction.</t>
  </si>
  <si>
    <t>26.85.3</t>
  </si>
  <si>
    <t>Bi Axial Woven polyster geogrid of minimum tensile strength 60KN/m in both Longitudinal and Transverse direction.</t>
  </si>
  <si>
    <t>26.86</t>
  </si>
  <si>
    <t>Providing and fixing factory made single extruded WPC (Wood Polymer Composite) solid door/window/Clerestory windows &amp; other Frames/Chowkhat comprising of virgin PVC polymer of K value 58-60 (Suspension Grade), calcium carbonate and natural fibers (wood powder/ rice husk/wheat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t>
  </si>
  <si>
    <t>Note: For WPC solid door/window frames, minus 5mm tolerance in  dimensions i.e  depth and width of profile shall be acceptable. Variation in profile dimensions on plus side shall be acceptable but no extra payment on this account shall be made.</t>
  </si>
  <si>
    <t>26.86.1</t>
  </si>
  <si>
    <t>Frame size 45 x 70 mm</t>
  </si>
  <si>
    <t>26.86.2</t>
  </si>
  <si>
    <t>Frame size 45 x 85 mm</t>
  </si>
  <si>
    <t>26.86.3</t>
  </si>
  <si>
    <t>Frame size 50 x 100 mm</t>
  </si>
  <si>
    <t>26.86.4</t>
  </si>
  <si>
    <t>Frame size 50 x 125 mm</t>
  </si>
  <si>
    <t>26.86.5</t>
  </si>
  <si>
    <t>Frame size 65 x 100 mm</t>
  </si>
  <si>
    <t>26.86.6</t>
  </si>
  <si>
    <t>Frame size 65 x 125 mm</t>
  </si>
  <si>
    <t>26.86.7</t>
  </si>
  <si>
    <t>Frame size 65 x 150 mm</t>
  </si>
  <si>
    <t>26.87</t>
  </si>
  <si>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t>
  </si>
  <si>
    <t>26.87.1</t>
  </si>
  <si>
    <t>26.87.2</t>
  </si>
  <si>
    <t>26.88</t>
  </si>
  <si>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t>
  </si>
  <si>
    <t>26.88.1</t>
  </si>
  <si>
    <t>26.88.2</t>
  </si>
  <si>
    <t>26.89</t>
  </si>
  <si>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t>
  </si>
  <si>
    <t>26.89.1</t>
  </si>
  <si>
    <t>26.89.2</t>
  </si>
  <si>
    <t>26.90</t>
  </si>
  <si>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screws etc. all as per direction of Engineer-In- Charge. (Note: stainless steel screws shall be paid separately)</t>
  </si>
  <si>
    <t>26.90.1</t>
  </si>
  <si>
    <t>6 mm thick</t>
  </si>
  <si>
    <t>26.90.2</t>
  </si>
  <si>
    <t>26.91</t>
  </si>
  <si>
    <t>Providing and fixing factory made 18 mm thick single extruded WPC (Wood Polymer Composite) solid plain white colour board Jali, CNC (Computer numeric control) routed of approved design by Engineer-in -charge which are  machine cut for duct/shaft covering, partitions and facades comprising of virgin polymer of  K value 58-60 (Suspension Grade), calcium corbonate  and natural fibers (wood powder/ rice husk/wheat husk)  and non toxic additives(maximum toxicity index of 12 for 100 gms)  having minimum density of 650 kg/cum and screw withdrawal strength of 1800 N (Face) minimum  compressive strength  50 N/mm2, modulus of elasticity 850 N/mm2 and resistance to spread of  flame of Class A  category with properties of being termite/borer proof, water/moisture proof and fire retardant and fixing on M.S (mild steel) frame made of 25  x 25 x 1.5 mm square hollow box section including applying a priming coat of approved steel primer, placed at grid made at 1.0 x 1.0 m or as per requirement at site with necessary stainless steel fasteners and SS screws etc., all complete as per direction of Engineer-In- Charge. 
(Note: M.S (mild steel) framework with priming coat and necessary SS fasteners and SS screws shall be paid separately.</t>
  </si>
  <si>
    <t>26.92</t>
  </si>
  <si>
    <t>Providing and fixing of façade at all heights with extruded hollow Clay / Terracotta ventilated rainscreen tiles of height 250/ 300/ 400mm and length of 595 mm of approved texture,design and pattern having Flexural Strength/ Modulus of Rupture of ≥ 14 Nos.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 Tubular profiles using two numbers self-drilling/ self-tapping SS screws of size 5.5x25mm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t>
  </si>
  <si>
    <t>26.92.1</t>
  </si>
  <si>
    <t>With 16mm thickness (+/- 10%) terracotta tiles of grey colour</t>
  </si>
  <si>
    <t>26.92.2</t>
  </si>
  <si>
    <t>With 16mm thickness (+/- 10%) terracotta tiles of other than grey colors</t>
  </si>
  <si>
    <t>26.93</t>
  </si>
  <si>
    <t>Providing and fixing of façade  at all heights with extruded hollow Clay / Terracotta ventilated rainscreen tiles of height 259/ 309/ 409mm and lengthof 1190 mm of approved texture,design and pattern having Flexural Strength/ Modulus of Rupture of ≥ 14 Nos.
The vertical 'T'/'L/ Tubular' sections shall be fixed to the wall using HDG (hot-dip-galvanized) steel L-brackets (galvanizing thickness of minimum 80 microns) of size 110x80x6 mm at intermediate vertical aluminium profiles and of size 220x110x12 mmat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t>
  </si>
  <si>
    <t>26.93.1</t>
  </si>
  <si>
    <t>With 24mm thickness (+/-10%) terracota tiles of  grey colour</t>
  </si>
  <si>
    <t>26.93.2</t>
  </si>
  <si>
    <t>With 24mm thickness (+/- 10%) terracotta tiles of other than grey colors</t>
  </si>
  <si>
    <t>26.94</t>
  </si>
  <si>
    <t>Designing, shop fabricating, supplying , erecting, stripping  and shifting of customized Modular Tunnel Formwork system for cast-in-situ monolithic RCC structures, using precision steel cubical formworks are molds with minimum 3mm thick hot rolled plain painted/hot dip galvanized M.S. sheets for panel in contact area with necessary framing and allied accessories as per CPWD specifications including transporting, storage, assembly, hoisting and placing in position for supporting and holding the formwork in place till initial setting of the concrete then stripping the formwork, propping to support horizontal surface cleaning and oiling etc. for shifting to the next cycle, inclusive of all labour, machines and T&amp;P requirements taking all safety measures etc. as per design and cycle programme all complete as per directions of the Engineer-in-Charge. Design of Tunnel Formwork system shall be provided by concerned service provider/vendor and the rate is inclusive of all the elements and all operations for all heights.</t>
  </si>
  <si>
    <t>26.95</t>
  </si>
  <si>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separately).Note:- This item shall be adopted for building upto G+3 Storeys only excluding seismic zone V.</t>
  </si>
  <si>
    <t>26.95.1</t>
  </si>
  <si>
    <t>Double panel of required thickness (110mm &amp; above) with minimum weight of panel as 11.05 kg per sqm for walls with corresponding corners and jambs strips.</t>
  </si>
  <si>
    <t>26.95.2</t>
  </si>
  <si>
    <t>Single panel for slabs with minimum weight of panel as 4.05 kg/sqm for walls with corresponding corners and jambs strips.</t>
  </si>
  <si>
    <t>26.96</t>
  </si>
  <si>
    <t>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t>
  </si>
  <si>
    <t>26.96.1</t>
  </si>
  <si>
    <t>125 mm wide Stay in Place PVC Wallform made of minimum 2.50 mm thick sections and minimum weight 21.97 kg /sqm of formwork.</t>
  </si>
  <si>
    <t>26.96.2</t>
  </si>
  <si>
    <t>165 mm wide Stay in Place PVC Wallform made of minimum 2.50 mm thick sections and minimum weight 29.00 kg /sqm of formwork.</t>
  </si>
  <si>
    <t>Rate (DSR)</t>
  </si>
  <si>
    <t>Description of Total Quantity</t>
  </si>
  <si>
    <t>Total Qty. for getting Unit Qty.</t>
  </si>
  <si>
    <t>Descrption of "Details of co**st for .......... sqm "</t>
  </si>
  <si>
    <t>Cost of 100.00 sqm</t>
  </si>
  <si>
    <t>"</t>
  </si>
  <si>
    <t>Cost of 10.00 cum</t>
  </si>
  <si>
    <t>Details of co**st for 10 cum.</t>
  </si>
  <si>
    <t>Cost of 100 cum.</t>
  </si>
  <si>
    <t>Details of co**st for 100 cum.</t>
  </si>
  <si>
    <t>Cost of 180 m length of pipes</t>
  </si>
  <si>
    <t>Details of co**st for 180m length of a pipe of an average dia. say 40mm. Slope assumed 1 in 200.</t>
  </si>
  <si>
    <t>Cost of 110 m length of pipe</t>
  </si>
  <si>
    <t>Details of co**st for 110m length of a pipe of an average dia. say 200mm. Slope assumed 1 in 200.</t>
  </si>
  <si>
    <t>Cost of 60 m length of pipe</t>
  </si>
  <si>
    <t>Details of co**st for 60m length of a pipe of an average dia. say 450mm. Slope assumed 1 in 200.</t>
  </si>
  <si>
    <t>Cost of 180 m length of pipe</t>
  </si>
  <si>
    <t>Details of co**st for 180 m length of a pipe of</t>
  </si>
  <si>
    <t>Cost of 80 m length of pipe</t>
  </si>
  <si>
    <t>Details of co**st for 80 m length of pipe of an</t>
  </si>
  <si>
    <t>Cost of 30 m length of pipe</t>
  </si>
  <si>
    <t>Details of co**st for 30 m length of a pipe of</t>
  </si>
  <si>
    <t>Details of co**st for 180 m length of a pipe of a average dia. say 40mm.</t>
  </si>
  <si>
    <t>Details of co**st for 80 m length of a pipe of an average dia. say 200mm.</t>
  </si>
  <si>
    <t>Details of co**st for 30 m length of a pipe of an average dia. Say 450mm.</t>
  </si>
  <si>
    <t>Cost of 300m length of pipe</t>
  </si>
  <si>
    <t>Details of co**st for 300m length of a pipe of an average dia. say 200mm.</t>
  </si>
  <si>
    <t>Details of co**st for 300m length of a pipe of an average dia. say 450mm.</t>
  </si>
  <si>
    <t>Cost of 100.00 m length of pipe</t>
  </si>
  <si>
    <t>Details of co**st for 100m length of a pipe of</t>
  </si>
  <si>
    <t>Cost of 900 sqm</t>
  </si>
  <si>
    <t>Details of co**st for 10 trench 30m long and 1.5m deep, area= 10x2x30x1.50=900 sqm</t>
  </si>
  <si>
    <t>Details of co**st for 10 trench 30m long and 1.5m deep</t>
  </si>
  <si>
    <t>Cost of 66 sqm</t>
  </si>
  <si>
    <t>Details of co**st for 10 manholes 1.2m x 1.0m x1.5m</t>
  </si>
  <si>
    <t>Details of co**st for 10 manholes 1.2m x 1.0m x1.5m-</t>
  </si>
  <si>
    <t>Cost of 450 sqm</t>
  </si>
  <si>
    <t>Details of co**st for 10 area 30m long and 1.50m deep-</t>
  </si>
  <si>
    <t>Details of co**st for 10 area 30m long and 1.5m deep-</t>
  </si>
  <si>
    <t>Cost of 90 sqm</t>
  </si>
  <si>
    <t>Details of co**st for a trench 30m long and 1.5m deep</t>
  </si>
  <si>
    <t>Details of co**st for a trench of length 30m and 1.50m deep</t>
  </si>
  <si>
    <t>Details of co**st for a trench of length 30m and 1.5m deep</t>
  </si>
  <si>
    <t>Details of co**st for 10 manholes 1.2x 1m x 1.5m</t>
  </si>
  <si>
    <t>Details of co**st for 10 manholes 1.2x 1m x1.5m</t>
  </si>
  <si>
    <t>Details of co**st for 10 area 30m long and 1.5m deep</t>
  </si>
  <si>
    <t>Details of co**st for a trench of length 30m and 1.5m deep surface area - 2x30x1.5 = 90 sqm</t>
  </si>
  <si>
    <t>Extra due to slow progress and dewatering: 20% of the rate of the item</t>
  </si>
  <si>
    <t>Extra due to slow progress and dewatering: 25% of the rate of the item</t>
  </si>
  <si>
    <t>Details of co**st for 10 cum</t>
  </si>
  <si>
    <t>Details of co**st for 100 sqm</t>
  </si>
  <si>
    <t>Cost of 10.00 holes</t>
  </si>
  <si>
    <t>Details of co**st for 10 holes-</t>
  </si>
  <si>
    <t>Cost of 1.00 tree</t>
  </si>
  <si>
    <t>Details of co**st for 1 tree of 15cm dia and average height 3m</t>
  </si>
  <si>
    <t>Details of co**st for a tree of average girth 90cm, average dia. 0.3m and length 5m</t>
  </si>
  <si>
    <t>Details of co**st for a tree of average girth 180cm, average dia. 0.6m and length 7m</t>
  </si>
  <si>
    <t>Details of co**st for a tree of average girth 300cm, average dia. 1m and length 10m</t>
  </si>
  <si>
    <t>Cost of 100.00 litre</t>
  </si>
  <si>
    <t>Details of co**st for 100 litres</t>
  </si>
  <si>
    <t>Cost of 10.00 metres</t>
  </si>
  <si>
    <t>Details of co**st for 10 metres</t>
  </si>
  <si>
    <t>Cost of 9.00 sqm</t>
  </si>
  <si>
    <t>Details of co**st for 9 sqm (3 metre x 3 metre)</t>
  </si>
  <si>
    <t>Cost of 1.00 cum.</t>
  </si>
  <si>
    <t>Details of co**st for 1 cum.</t>
  </si>
  <si>
    <t>Cost of 1.00 cum</t>
  </si>
  <si>
    <t>Details of co**st for 1 cum</t>
  </si>
  <si>
    <t>Cement mortar 1:3 (1 cement : 3 fine sand).</t>
  </si>
  <si>
    <t>Cost of 10.00 sqm</t>
  </si>
  <si>
    <t>Details of co**st for footing size 2.50mx2.50mx1.00m</t>
  </si>
  <si>
    <t>Cost of 15.00 sqm</t>
  </si>
  <si>
    <t>Details of co**st for 7.5 m long and 1.00 m high wall</t>
  </si>
  <si>
    <t>Cost of 4.5 sqm</t>
  </si>
  <si>
    <t>Details of co**st for 4.5sqm</t>
  </si>
  <si>
    <t>Cost of 6 cum.</t>
  </si>
  <si>
    <t>Details of co**st for kerb :</t>
  </si>
  <si>
    <t>Cost of 4.5 cum.</t>
  </si>
  <si>
    <t>Details of co**st for Plain window sill 10x15 Nos.</t>
  </si>
  <si>
    <t>Details of co**st for 250 no kerbs, 40x30x20cm</t>
  </si>
  <si>
    <t>Details of co**st for 250 no blocks, 40x20x30cm</t>
  </si>
  <si>
    <t>Cost of 0.05 cum.</t>
  </si>
  <si>
    <t>Details of co**st for one block of overall size</t>
  </si>
  <si>
    <t>Cost of 1.00bollard</t>
  </si>
  <si>
    <t>Details of co**st for one bollard</t>
  </si>
  <si>
    <t>Details of co**st for 10 sqm</t>
  </si>
  <si>
    <t>Providing and laying damp-proof course 50mm thick with cement concrete 1:2:4 (1 cement : 2 coarse sand (zone-III) derived from natural sources : 4 graded stone aggregate 20mm nominal size derived from natural sources).</t>
  </si>
  <si>
    <t>Cost per bag of cement of 50 kg.</t>
  </si>
  <si>
    <t>Details of co**st for per bag of 50kg. of cement</t>
  </si>
  <si>
    <t>Details of co**st for 10sqm</t>
  </si>
  <si>
    <t>Cost of 5.3 cum</t>
  </si>
  <si>
    <t>Details of co**st for 5.3 cum per four floors .</t>
  </si>
  <si>
    <t>Cost of 4.20 cum per metre depth</t>
  </si>
  <si>
    <t>Details of co**st for 4.2 cum per 1 m depth (14 cum per 0.3m depth)</t>
  </si>
  <si>
    <t>Details of co**st for per bag of 50 kg of cement used in concrete</t>
  </si>
  <si>
    <t>Concrete of M10 grade with minimum cement content of 220 kg /cum</t>
  </si>
  <si>
    <t>Cost per 1.00 cum</t>
  </si>
  <si>
    <t>Details of co**st for 1.00 cum</t>
  </si>
  <si>
    <t>Concrete of M10 grade with minimum cement content of 220 kg /cum.
(Note: The permissible utilization of Recycled Concrete Aggregate (RCA) as coarse aggregate and fine aggregate is 100% each).</t>
  </si>
  <si>
    <t>Concrete of M15 grade with minimum cement content of 240 kg /cum. 
(Note: The permissible utilization of Recycled Concrete Aggregate (RCA) as coarse aggregate and fine aggregate is 25% each).</t>
  </si>
  <si>
    <t>Concrete of M20 grade with minimum cement content of 270 kg /cum.
 (Note: The permissible utilization of Recycled Concrete Aggregate (RCA) as coarse aggregate and fine aggregate is 25% each).</t>
  </si>
  <si>
    <t>Concrete of M25 grade with minimum cement content of 300 kg /cum.
(Note: The permissible utilization of Recycled Concrete Aggregate (RCA) as coarse aggregate and fine aggregate is 25% each).</t>
  </si>
  <si>
    <t>Concrete of M15 grade with minimum cement content of 240 kg /cum. 
 (Note: The permissible utilization of Recycled Concrete Aggregate (RCA) as coarse aggregate and fine aggregate is 25% each).</t>
  </si>
  <si>
    <t>Concrete of M20 grade with minimum cement content of 270 kg /cum. 
 (Note: The permissible utilization of Recycled Concrete Aggregate (RCA) as coarse aggregate and fine aggregate is 25% each).</t>
  </si>
  <si>
    <t>Concrete of M25 grade with minimum cement content of 300 kg /cum.    
(Note: The permissible utilization of Recycled Concrete Aggregate (RCA) as coarse aggregate and fine aggregate is 25% each).</t>
  </si>
  <si>
    <t>Cost of 91.80 cum.</t>
  </si>
  <si>
    <t>Details of co**st for 10x9.18 cum =91.80 cum</t>
  </si>
  <si>
    <t>Cost of 91.80 cum</t>
  </si>
  <si>
    <t>Cost of 26.73 cum.</t>
  </si>
  <si>
    <t>Details of co**st for 26.73cum</t>
  </si>
  <si>
    <t>Cost of 26.73 cum</t>
  </si>
  <si>
    <t>Details of co**st for 26.73cum for semicircular arch 6m clear span and 9m long and 30cm thick. Cement concrete  1:1½:3 = 1x0.50x3.14x6.30x 9.00x0.30 =  26.73cum</t>
  </si>
  <si>
    <t>Cost of 6.6 cum.</t>
  </si>
  <si>
    <t>Details of co**st for10 sets of 4 RCC Vertical fins 4m high and 1m center with 2 horizontal fins, all projecting 60cm from face of wall and 5cm thick = 0.66 cum x 10 = 6.6 cum</t>
  </si>
  <si>
    <t>Cost of 6.6 cum</t>
  </si>
  <si>
    <t>Details of co**st for 10x0.66cum =6.6 cum</t>
  </si>
  <si>
    <t>Details of co**st for footing size 2.5mx2.5mx1.00m</t>
  </si>
  <si>
    <t>Details of co**st for 7.5m long and 1.00m high wall</t>
  </si>
  <si>
    <t>Cost of 135 sqm</t>
  </si>
  <si>
    <t>Details of co**st for 10 room</t>
  </si>
  <si>
    <t>Details of co**st for 10 room of size 4.50x3m =10x4.5x3.0 = 135 sqm, height 3.5 m</t>
  </si>
  <si>
    <t>Cost of 78 sqm</t>
  </si>
  <si>
    <t>Consider 10 beam of 6 m clear span, 0.50 m deep 0.30 m wide and height 3.5 m from floor</t>
  </si>
  <si>
    <t>Cost of 45 sqm</t>
  </si>
  <si>
    <t>Details of co**st for 45 sqm</t>
  </si>
  <si>
    <t>Cost of 57.9 sqm</t>
  </si>
  <si>
    <t>Details of co**st for 57.9 sqm</t>
  </si>
  <si>
    <t>Cost of 6.28 sqm</t>
  </si>
  <si>
    <t>Details of co**st for 6.28 sqm (For 10 steps)</t>
  </si>
  <si>
    <t>Cost of 203.7 sqm</t>
  </si>
  <si>
    <t>Details of co**st for 10 semicircular arch 3.6m clear span and 3.6m long.</t>
  </si>
  <si>
    <t>Cost of 333.10 sqm</t>
  </si>
  <si>
    <t>Details of co**st for 333.1 sqm</t>
  </si>
  <si>
    <t>Cost of 15.8 sqm</t>
  </si>
  <si>
    <t>Details of co**st for 7.9m long and 1.00m high wall</t>
  </si>
  <si>
    <t>Cost of 26.39 sqm</t>
  </si>
  <si>
    <t>Details of co**st for 26.39 sqm</t>
  </si>
  <si>
    <t>Vertical and horizontal fins individually or forming box louvers band, facias and eaves boards</t>
  </si>
  <si>
    <t>Cost of 239 sqm</t>
  </si>
  <si>
    <t>Details of co**st for 239 sqm</t>
  </si>
  <si>
    <t>Cost of 0.84 sqm</t>
  </si>
  <si>
    <t>Details of co**st for lintel size 1.80m x 0.20m x 0.15m (Clear span 1.50 m) Area 0.84 sqm</t>
  </si>
  <si>
    <t>Cost of 120 metre</t>
  </si>
  <si>
    <t>Details of co**st for 10Nos of 3mx3m slab 15cms thick</t>
  </si>
  <si>
    <t>Cost of 40 sqm</t>
  </si>
  <si>
    <t>Details of co**st for 10Nos of size 4mx4m slab 25cm thick</t>
  </si>
  <si>
    <t>Cost of 4 sqm</t>
  </si>
  <si>
    <t>Details of co**st for 10m long moulding 10cm projection, 20cm depth and 40cm girth</t>
  </si>
  <si>
    <t>Cost of 25.25 sqm</t>
  </si>
  <si>
    <t>Details of co**st for 10 bracket</t>
  </si>
  <si>
    <t>Cost of 9.54 sqm</t>
  </si>
  <si>
    <t>Details of co**st for 10 Nos. weather shade</t>
  </si>
  <si>
    <t>Details of co**st for 10 Nos. room</t>
  </si>
  <si>
    <t>Details of co**st for 10 Nos. beam of 6 m clear span, 0.50 m deep 0.30 m wide and height 3.5 m from floor</t>
  </si>
  <si>
    <t>Cost of 24 set</t>
  </si>
  <si>
    <t>Details of co**st for wall length 7.90mx1m (24 set)</t>
  </si>
  <si>
    <t>Cost of 288 sqm</t>
  </si>
  <si>
    <t>Details of co**st for 10 Nos. Room of size 6mx4.8m = 288 sqm</t>
  </si>
  <si>
    <t>Cost of 0.054 cum.</t>
  </si>
  <si>
    <t>Details of co**st for a lintel :</t>
  </si>
  <si>
    <t>Cost of 0.054 cum</t>
  </si>
  <si>
    <t>Details of co**st for a  lintel Qty = 0.054 cum</t>
  </si>
  <si>
    <t>Cost of 0.30 cum</t>
  </si>
  <si>
    <t>Details of co**st for 10x1mx0.20x0.15=0.3 cum</t>
  </si>
  <si>
    <t>Cost of 0.3 cum</t>
  </si>
  <si>
    <t>Details of co**st for 10x 1 x 0.20 x 0.15 = 0.3 cum</t>
  </si>
  <si>
    <t>Cost of 9.9 cum</t>
  </si>
  <si>
    <t>Details of co**st for10 Nos. beam 6.60m long 0.50m deep and 0.30m wide = 10x6.60x0.50x0.30 = 9.9 cum.</t>
  </si>
  <si>
    <t>Details of co**st for 10 Nos. beam 6.60m long 0.50m  deep and 0.30m wide = 10x6.60x0.50x0.30 = 9.9 cum</t>
  </si>
  <si>
    <t>Cost of 0.162 cum</t>
  </si>
  <si>
    <t>Details of co**st for 10 Nos. shelf 0.90x0.45x0.04m thick = 10x0.90x0.45x0.04m = 0.162 cum</t>
  </si>
  <si>
    <t>Details of co**st for 10 shelf 0.90x0.45x0.04m thick = 10x0.90x0.45x0.04m = 0.162  cum</t>
  </si>
  <si>
    <t>Details of co**st for 10 Nos. of 4 RCC vertical fins 4m high at 1m centre to centre with two horizontal fins, all projecting 60cm from face of wall and 5cm thick cubical contents = 10x 0.66 cum = 6.6 cum</t>
  </si>
  <si>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</si>
  <si>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Details of co**st for 10 Nos. of 4 RCC vertical fins 4m high at lm centre to centre with two horizontal fins, all projecting 60cm from face of wall and 5cm thick cubical contents =  10x 0.66  cum = 6.6 cum</t>
  </si>
  <si>
    <t>Cost of 1.50 sqm</t>
  </si>
  <si>
    <t>Details of co**st for jali 2.00mx0.75m = 1.50 sqm</t>
  </si>
  <si>
    <t>Cost of 0.72 sqm</t>
  </si>
  <si>
    <t>Details of co**st for 1.2mx0.60m = 0.72 sqm</t>
  </si>
  <si>
    <t>Cost of 0.375 sqm</t>
  </si>
  <si>
    <t>Details of co**st for jali 0.75mx0.5m = 0.375 sqm</t>
  </si>
  <si>
    <t>Cost of 0.424 cum</t>
  </si>
  <si>
    <t>Details of co**st for 0.424 cum.</t>
  </si>
  <si>
    <t>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t>
  </si>
  <si>
    <t>Details of co**st for 0.424 cum</t>
  </si>
  <si>
    <t>Cost of 12.25 cum.</t>
  </si>
  <si>
    <t>Details of co**st for the grillage 3.50mx3.50mx1.00m = 12.25 cum</t>
  </si>
  <si>
    <t>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t>
  </si>
  <si>
    <t>Cost of 12.25 cum</t>
  </si>
  <si>
    <t>Details of co**st for the grillage 3.50mx3.50mx1.00m</t>
  </si>
  <si>
    <t>Cost of 1.00 quintal</t>
  </si>
  <si>
    <t>Details of co**st for 1 quintal-</t>
  </si>
  <si>
    <t>Details of co**st for 100sqm</t>
  </si>
  <si>
    <t>Cost of 10.56 kg</t>
  </si>
  <si>
    <t>Details of co**st for 10.56 kg Considering 3.0 m length, width 250mm and 1.6 mm thick = 0.750 sqm copper plate.</t>
  </si>
  <si>
    <t>Cost of 1.125 cum</t>
  </si>
  <si>
    <t>Details of co**st for a joint of 300m length, 2.5cm width and 15cm depth = 1.125 cum</t>
  </si>
  <si>
    <t>Cost of 11.25 cum</t>
  </si>
  <si>
    <t>Details of co**st for 10 Nos. joint of 300m length,2.5cm width and 15cm depth = 11.25 cum</t>
  </si>
  <si>
    <t>Cost per 10 cm depth per 100 m long</t>
  </si>
  <si>
    <t>Details of co**st for joint 100m long 10cm deep = 10 sqm</t>
  </si>
  <si>
    <t>Cost of 3 metre</t>
  </si>
  <si>
    <t>Details of co**st for 3m length</t>
  </si>
  <si>
    <t>Cost of 1.00 metre</t>
  </si>
  <si>
    <t>Details of co**st for 1 metre</t>
  </si>
  <si>
    <t>Details of co**st for 3 metre</t>
  </si>
  <si>
    <t>Cost of 30 metre</t>
  </si>
  <si>
    <t>Details of co**st for 30 metre long throating or plaster or moulding-</t>
  </si>
  <si>
    <t>Details of co**st for depth of water 0.30m.</t>
  </si>
  <si>
    <t>Add for using extra cement in the items of design mix over and above the specified cement content therein.</t>
  </si>
  <si>
    <t>Details of co**st for 1 quintal</t>
  </si>
  <si>
    <t>Cost of 1.38 cum.</t>
  </si>
  <si>
    <t>Details of co**st for 1.38 cum</t>
  </si>
  <si>
    <t>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</si>
  <si>
    <t>Cost of 1.38 cum</t>
  </si>
  <si>
    <t>Details of co**st for 10.00 sqm (covering area 5 sqm/litre)</t>
  </si>
  <si>
    <t>Cost of 1.00 No.</t>
  </si>
  <si>
    <t>Details of co**st for 1 No.</t>
  </si>
  <si>
    <t>Cost of 52 metre</t>
  </si>
  <si>
    <t>Details of co**st for 52 metre (10 Nos door frame)</t>
  </si>
  <si>
    <t>Cost of 120 cum</t>
  </si>
  <si>
    <t>Details of co**st for 120 cum.</t>
  </si>
  <si>
    <t>Cost of 144.0 cum</t>
  </si>
  <si>
    <t>Details of co**st for 144.0 cum.</t>
  </si>
  <si>
    <t>Cost of 10.00 metre</t>
  </si>
  <si>
    <t>Cost of 59.83 sqm</t>
  </si>
  <si>
    <t>Cost of 1.00 sqm</t>
  </si>
  <si>
    <t>Cost per 1.00 cum.</t>
  </si>
  <si>
    <t>Cost of 100.00 metre</t>
  </si>
  <si>
    <t>Cost of 0.010 cum. (= 10 cudm)</t>
  </si>
  <si>
    <t>Cost of 30 cm long 60 cm deep and 15 cm girth</t>
  </si>
  <si>
    <t>Cost of 1.00 dowel</t>
  </si>
  <si>
    <t>Cost of 2 sqm</t>
  </si>
  <si>
    <t>Cost of 1.875 sqm</t>
  </si>
  <si>
    <t>Cost of 1.12 sqm</t>
  </si>
  <si>
    <t>Cost of 1.00 Bracket</t>
  </si>
  <si>
    <t>Cost of 675 cudm</t>
  </si>
  <si>
    <t>Cost of 5 sqm</t>
  </si>
  <si>
    <t>Cost of 0.50 sqm</t>
  </si>
  <si>
    <t>Cost of 2.00 sqm</t>
  </si>
  <si>
    <t>Cost of 1.50 metre</t>
  </si>
  <si>
    <t>Cost of 1.03 kg.</t>
  </si>
  <si>
    <t>Cost of 0.934 kg.</t>
  </si>
  <si>
    <t>Cost of 300 Nos.</t>
  </si>
  <si>
    <t>Cost of 30 Nos.</t>
  </si>
  <si>
    <t>Cost of 50 sqm</t>
  </si>
  <si>
    <t>Cost of 1.00 copper pin</t>
  </si>
  <si>
    <t>Cost of 100.78 kg</t>
  </si>
  <si>
    <t>Cost of 10.00 Nos.</t>
  </si>
  <si>
    <t>Cost of 100 Nos.</t>
  </si>
  <si>
    <t>Cost of 3.125 cum</t>
  </si>
  <si>
    <t>Cost of 6 sqm</t>
  </si>
  <si>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Nos.</t>
  </si>
  <si>
    <t>Cost of 6.72 sqm</t>
  </si>
  <si>
    <t>Cost of 0.036 cum. (= 36 cudm)</t>
  </si>
  <si>
    <t>Cost of 0.036 cum. (= 36 cudm)(finished work)</t>
  </si>
  <si>
    <t>Cost of 0.158 cum. (= 158 cudm)</t>
  </si>
  <si>
    <t>Cost of 0.158 cum. (= 158 cudm) (finished work)</t>
  </si>
  <si>
    <t>Cost of 0.36 cum. (= 360 cudm)</t>
  </si>
  <si>
    <t>Cost of 2.16 sqm</t>
  </si>
  <si>
    <t>Cost of 2.38 sqm</t>
  </si>
  <si>
    <t>Cost of 0.66 sqm</t>
  </si>
  <si>
    <t>Cost of 7 sqm</t>
  </si>
  <si>
    <t>Cost of 0.60 sqm</t>
  </si>
  <si>
    <t>Cost of 2.20 sqm</t>
  </si>
  <si>
    <t>Cost of 50 metre</t>
  </si>
  <si>
    <t>Cost of 2 m</t>
  </si>
  <si>
    <t>Cost of 2.00 m</t>
  </si>
  <si>
    <t>Cost of 2 metre</t>
  </si>
  <si>
    <t>Cost of 18.54 kg.</t>
  </si>
  <si>
    <t>Cost of 1.54 sqm</t>
  </si>
  <si>
    <t>Cost of 0.203 cum. (= 203 cudm)</t>
  </si>
  <si>
    <t>Cost of 1.00 lock</t>
  </si>
  <si>
    <t>Cost of 21.90 sqm</t>
  </si>
  <si>
    <t>Cost of 2.10 sqm</t>
  </si>
  <si>
    <t>Cost of 5 metre</t>
  </si>
  <si>
    <t>Cost of 10.00 sets</t>
  </si>
  <si>
    <t>Cost of 5 metres</t>
  </si>
  <si>
    <t>Providing and fixing factory made door frame (single rebate) made out of solid foam PVC extruded profile of minimum 60mm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Engineer-in-Charge.</t>
  </si>
  <si>
    <t>Cost of  1.57 sqm</t>
  </si>
  <si>
    <t>Cost of 1.57 sqm</t>
  </si>
  <si>
    <t>Cost of 5.00 sqm</t>
  </si>
  <si>
    <t>Cost of 0.54 sqm</t>
  </si>
  <si>
    <t>Cost of 1.00 kg.</t>
  </si>
  <si>
    <t>Cost of 11.16 sqm</t>
  </si>
  <si>
    <t>Cost of 9.10 metres</t>
  </si>
  <si>
    <t>Cost of 3.50 sqm</t>
  </si>
  <si>
    <t>Cost of 2.46 sqm</t>
  </si>
  <si>
    <t>Cost of 1.98 sqm</t>
  </si>
  <si>
    <t>Cost of 2.97 sqm</t>
  </si>
  <si>
    <t>Cost of 3.00 sqm</t>
  </si>
  <si>
    <t>Cost of 5.94 sqm</t>
  </si>
  <si>
    <t>Cost of 6.00 sqm</t>
  </si>
  <si>
    <t>Using R2 series with frame (65mm &amp; above) x (40mm &amp; above) &amp; glazed sash (25mm &amp; above) x (50mm &amp; above) &amp; fly screen sash (18mm &amp; above) x (40mm &amp; above) with zinc alloy (zamak) powder coated touch locks with hook (Height upto 1.2 metre).</t>
  </si>
  <si>
    <t>Using R3 series with frame (85mm &amp; above) x (40mm &amp; above) &amp; glazed sash (30mm &amp; above) x (55mm &amp; above) &amp; fly screen sash (20mm &amp; above) x (50mm &amp; above) with zinc alloy (zamak) powder coated handle on every glazed panel along with multi-point locking system. (Height upto 1.8 metre).</t>
  </si>
  <si>
    <t>Using R2 series with frame (70mm &amp; above) x (40mm &amp; above) &amp; both glazed and fly screen sash (25mm &amp; above) x (50mm &amp; above) with zinc alloy (zamak) powder coated touch locks with hook. (Height upto 1.2 metre).</t>
  </si>
  <si>
    <t>Using R2 series with frame (70mm &amp; above) x (40mm &amp; above) &amp; sash (25mm &amp; above) x (50mm &amp; above) with zinc alloy (zamak) powder coated touch locks with hook. (Height upto 1.2 metre).</t>
  </si>
  <si>
    <t>Cost of 2.88 sqm</t>
  </si>
  <si>
    <t>Using R3 series with frame (98mm &amp; above) x (40mm &amp; above) &amp; sash (30mm &amp; above) x (55mm &amp; above) with zinc alloy (zamak) powder coated handle on two end panels along with multi-point locking system (Height upto 1.8 metre).</t>
  </si>
  <si>
    <t>Cost of 4.46 sqm</t>
  </si>
  <si>
    <t>Using R4 series with frame (115mm &amp; above) x (45mm &amp; above) &amp; sash (44mm &amp; above) x (55mm &amp; above) with zinc alloy (zamak) powder coated handle on two end panels along with multi-point locking system. (Height above 1.8 metre).</t>
  </si>
  <si>
    <t>Cost of 4.30 sqm</t>
  </si>
  <si>
    <t>Cost of 4.20 sqm</t>
  </si>
  <si>
    <t>Cost of 5.67 sqm</t>
  </si>
  <si>
    <t>Cost of 8.40 sqm</t>
  </si>
  <si>
    <t>Cost of 10.80 sqm</t>
  </si>
  <si>
    <t>Using R3 series with frame (98mm &amp; above) x (40mm &amp; above) &amp; both glazed and fly screen sash (30mm &amp; above) x (74mm  &amp; above). (Height upto 2.5 metre).</t>
  </si>
  <si>
    <t>Using R4 series with frame (115mm &amp; above) x (45mm &amp; above) &amp; both glazed and fly screen sash (44mm &amp; above) x (85mm  &amp; above). (Height above 2.5 metre).</t>
  </si>
  <si>
    <t>Cost of 8.10 sqm</t>
  </si>
  <si>
    <t>Cost of 1.05 sqm</t>
  </si>
  <si>
    <t>Cost of 2.43 sqm</t>
  </si>
  <si>
    <t>Using R2 series with frame (39mm &amp; above ) x (39mm  &amp; above) &amp; sash /mullion (39mm &amp; above) x (60mm &amp; above). (Height upto 1.2 metre)</t>
  </si>
  <si>
    <t>Using R3 series with frame (55mm  &amp; above ) x (45mm  &amp; above) &amp; sash /mullion (55mm &amp; above) x (65mm &amp; above). (Height above 1.2 metre)</t>
  </si>
  <si>
    <t>Cost of 1.20 sqm</t>
  </si>
  <si>
    <t>Using R2 series with frame (39mm &amp; above) x (39mm  &amp; above) &amp; sash (39mm &amp; above) x (60mm &amp; above) &amp; mullion (39mm &amp; above) x (60mm &amp; above). (Height upto 1.2 metre).</t>
  </si>
  <si>
    <t>Cost of 1.44 sqm</t>
  </si>
  <si>
    <t>Using R3 series with frame (55mm &amp; above) x (45mm  &amp; above) &amp; sash (55mm &amp; above) x (65mm &amp; above) &amp; mullion (55mm &amp; above) x (65mm &amp; above). (Height upto 1.8 metre).</t>
  </si>
  <si>
    <t>Using R4 series with frame (64mm  &amp; above) x (50mm  &amp; above) &amp; sash (64mm &amp; above) x (70mm &amp; above) &amp; mullion (64mm &amp; above) x (70mm &amp; above). (Height above 1.8 metre).</t>
  </si>
  <si>
    <t>Cost of 2.40 sqm</t>
  </si>
  <si>
    <t>Using R2 series with frame (39mm &amp; above) x (39mm  &amp; above) &amp; sash (39mm &amp; above) x (60mm &amp; above) &amp; French (False) mullion (39mm &amp; above) x (60mm &amp; above). (Height upto 1.2 metre).</t>
  </si>
  <si>
    <t>Using R3 series with frame (55mm  &amp; above) x (45mm  &amp; above) &amp; sash (55mm &amp; above) x (65mm &amp; above) &amp; French (False) mullion (55mm &amp; above) x (60mm &amp; above). (Height upto 1.8 metre).</t>
  </si>
  <si>
    <t>Using R4 series with frame (64mm  &amp; above) x (50mm  &amp; above) &amp; sash (64mm &amp; above) x (70mm &amp; above) &amp; French (False) mullion (64mm &amp; above) x (60mm &amp; above) . (Height above 1.8 metre).</t>
  </si>
  <si>
    <t>Cost of 3.15 sqm</t>
  </si>
  <si>
    <t>Cost of 4.00 sqm</t>
  </si>
  <si>
    <t>Using R3 series with frame (55 mm &amp; above) x (50mm &amp; above) &amp; sash (55 mm &amp; above) x (85mm &amp; above) (Height upto 2.5 metre).</t>
  </si>
  <si>
    <t>Cost of 1.89 sqm</t>
  </si>
  <si>
    <t>Cost of 3.78 sqm</t>
  </si>
  <si>
    <t>Cost of 4.86 sqm</t>
  </si>
  <si>
    <t>Cost of 58.35 kg</t>
  </si>
  <si>
    <t>Cost of 7.00 sqm</t>
  </si>
  <si>
    <t>Cost of 5.81 metre</t>
  </si>
  <si>
    <t>Cost of 3.5 sqm</t>
  </si>
  <si>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</si>
  <si>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</si>
  <si>
    <t>Providing and fixing cupboard shutter with 19mm thick one side decorative and other side balancing lamination factory pressed BWP grade marine ply as per IS 710 of approved brand including 2mm thick PVC edge banding tape with hot glue by edge bending machine etc. with auto closing spring loaded hinges (hydraulic type) etc. complete as per direction of Engineer-in-charge.(Payment of providing and fixing auto closing hinges shall be paid separately)</t>
  </si>
  <si>
    <t>Providing and fixing 19mm thick both side balancing lamination factory pressed BWP grade marine ply as per IS 710 of approved brand boxes,shelves,racks,almirah,cupboard and drawer etc. including necessary nails,screws etc.  complete as per direction of Engineer-in-charge.</t>
  </si>
  <si>
    <t>Cost of 2 kg</t>
  </si>
  <si>
    <t>Cost of 100 kg (= 1 quintal)</t>
  </si>
  <si>
    <t>Cost of 395 kg (1.52+0.51+1.81+0.06+0.05 = 3.95 quintal)</t>
  </si>
  <si>
    <t>Cost of 3.60 sqm</t>
  </si>
  <si>
    <t>Cost of 5.76 sqm</t>
  </si>
  <si>
    <t>Cost of 7.50 sqm</t>
  </si>
  <si>
    <t>Cost of 15 kg</t>
  </si>
  <si>
    <t>Cost of 300 kg</t>
  </si>
  <si>
    <t>Cost of 17.50 kg</t>
  </si>
  <si>
    <t>Cost of 7.13kg</t>
  </si>
  <si>
    <t>Cost of 119 kg</t>
  </si>
  <si>
    <t>Cost of 1.00 clamp</t>
  </si>
  <si>
    <t>Cost of 1.00 box clamp</t>
  </si>
  <si>
    <t>Cost of 2.40 kg (= 0.024 quintal)</t>
  </si>
  <si>
    <t>Cost of 10.00 kg (= 0.1 quintal)</t>
  </si>
  <si>
    <t>Cost of 1.00 cm</t>
  </si>
  <si>
    <t>Cost of 533.10 kg (= 5.331 quintal)</t>
  </si>
  <si>
    <t>Cost of 21.80 kg (= 0.218 quintal)</t>
  </si>
  <si>
    <t>Cost of 19.49 kg</t>
  </si>
  <si>
    <t>Cost of 17.71 kg</t>
  </si>
  <si>
    <t>Cost of 20.09 kg</t>
  </si>
  <si>
    <t>Cost of 15.4 sqm</t>
  </si>
  <si>
    <t>Cost of 1.0 sqm</t>
  </si>
  <si>
    <t>Cost of 116.4 kg</t>
  </si>
  <si>
    <t>Cost of 133.33 metre</t>
  </si>
  <si>
    <t>Providing and laying full body vitrified tile in floor of minimum thickness 15 mm with water absorption less than 0.06% and conforming to IS:15622,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Size of tile 800x2400mm of all colours and shades.</t>
  </si>
  <si>
    <t>Cost of 8.00 sqm</t>
  </si>
  <si>
    <t>Polished Granite stone slab of all colour and texture except Black, Cherry/Ruby Red</t>
  </si>
  <si>
    <t>Cost of 184.518 sqm</t>
  </si>
  <si>
    <t>Cost of 3.00 metres</t>
  </si>
  <si>
    <t>Cost of 15.71 metres</t>
  </si>
  <si>
    <t>Cost of 10.35 metres</t>
  </si>
  <si>
    <t>Cost of 9.325 metres</t>
  </si>
  <si>
    <t>Cost of 13.39 metre</t>
  </si>
  <si>
    <t>Cost of 90.4 metre</t>
  </si>
  <si>
    <t>Cost of 90.4 metres</t>
  </si>
  <si>
    <t>Cost of 216.14 sqm</t>
  </si>
  <si>
    <t>Extra for straight cutting in reinforced by organic fibres and/or inorganic synthetic fibres cement corrugated, semi corrugated 6 mm thick sheet roofing for making openings of area exceeding 40 square decimetre for chimney stacks, skylights etc.</t>
  </si>
  <si>
    <t>Cost of 3.00 metres of periphery</t>
  </si>
  <si>
    <t>Cost of 9.05 metres of periphery</t>
  </si>
  <si>
    <t>Cost of 300 metre</t>
  </si>
  <si>
    <t>Cost of 20.20 metre</t>
  </si>
  <si>
    <t>Cost of 9.70 metre</t>
  </si>
  <si>
    <t>Cost of 1.00 pair</t>
  </si>
  <si>
    <t>Cost of 20.00 Nos.</t>
  </si>
  <si>
    <t>Cost of 8.74 metres</t>
  </si>
  <si>
    <t>Cost of 200 metre</t>
  </si>
  <si>
    <t>Cost of 15.71 metre</t>
  </si>
  <si>
    <t>Cost of 10.00 sqm / metre height</t>
  </si>
  <si>
    <t>Cost of 10.00 spouts</t>
  </si>
  <si>
    <t>Cost of 50 bat clamps</t>
  </si>
  <si>
    <t>Cost of 1.00 joint</t>
  </si>
  <si>
    <t>Cost of 1.00 shoe</t>
  </si>
  <si>
    <t>Cost of 6.00 metre</t>
  </si>
  <si>
    <t>Cost of 1.00 coupler</t>
  </si>
  <si>
    <t>Cost of 1.00 tee</t>
  </si>
  <si>
    <t>Cost of 1.00 bend</t>
  </si>
  <si>
    <t>Cost of 5 Nos.</t>
  </si>
  <si>
    <t>Cost of 1.00 No. grating</t>
  </si>
  <si>
    <t>Cost of 103.68 sqm</t>
  </si>
  <si>
    <t>Cost of 3.60 metre</t>
  </si>
  <si>
    <t>Cost of 8.23 metre</t>
  </si>
  <si>
    <t>Cost of 21.412 sqm</t>
  </si>
  <si>
    <t>Cost of 21.412 metre</t>
  </si>
  <si>
    <t>Cost of 1.47 bags of cement used in the mix</t>
  </si>
  <si>
    <t>Cost of 10.00 metre long and 10 cm wide band</t>
  </si>
  <si>
    <t>Cost of 25 sqm</t>
  </si>
  <si>
    <t>Cost of 30.00 meters</t>
  </si>
  <si>
    <t>Cost of 100 letters of 15 cm height</t>
  </si>
  <si>
    <t>Cost of 30.00 metres</t>
  </si>
  <si>
    <t>Polishing in high gloss/matt finish melamine clear polish on wood work in required color/wooden shade texture with following process in the sequence as detailed below:
1.  The surface to be polished is rubbed with sand paper 80/120 no. and then with sand paper of 160/180 Nos.
2. Applying two coats of sealer with spray gun and allowing sufficient drying time for 1st coat and 2nd coat is allowed to dry for 8 to 12 hrs.
3. On drying of sealer coat, wet rubbing with emery cloth of finer grading with ample water to remove excess sealer layer and make the surface further smooth after this wet rubbing, then surface is applied with special grade melamine fillers to fill all the small and big holes/grooves etc. Filler coat to be allowed to dry for 4 to 6 hrs on which again a light wet rubbing is done this surface is further allowed to dry for 12 hrs.
4. On this, 1st coat of melamine polish is applied with spray gun using melamine clear polish and melamine thinner in required proportion. This 1st coat is allowed to dry for 24 hrs then this dry surface is again fine wet rubbed smooth, which is further allowed to dry for 12 hrs. The final melamine polish is applied with compressor pressure spray gun using melamine clear polish and melamine thinner mixed in required proportion complete as per direction of Engineer-in-Charge. (Final coat to be done in 1 or 2 layers without gap of time.)</t>
  </si>
  <si>
    <t>Cost of 13.00 metres</t>
  </si>
  <si>
    <t>Cost of 300.00 cudm</t>
  </si>
  <si>
    <t>Cost of 3.00 cum</t>
  </si>
  <si>
    <t>Cost of 3.75 cum</t>
  </si>
  <si>
    <t>Cost of  3.75 cum</t>
  </si>
  <si>
    <t>Cost of 63 kg</t>
  </si>
  <si>
    <t>Cost of 11.55 kg</t>
  </si>
  <si>
    <t>Cost of 10.00 Nos. wheels</t>
  </si>
  <si>
    <t>Cost of 10.91 kilolitre</t>
  </si>
  <si>
    <t>Cost of 1.51 sqm</t>
  </si>
  <si>
    <t>Cost of 2 metres</t>
  </si>
  <si>
    <t>Cost of 33.67 kg (5.74+27.93=33.67 kg)</t>
  </si>
  <si>
    <t>Cost of 10.00 hinges</t>
  </si>
  <si>
    <t>Cost of 10.00 hooks and eyes</t>
  </si>
  <si>
    <t>Cost of 10.00 quadrant stayes</t>
  </si>
  <si>
    <t>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t>
  </si>
  <si>
    <t>Cost of 202.50 sqm</t>
  </si>
  <si>
    <t>Cost of 2.00 kg window fasteners</t>
  </si>
  <si>
    <t>Cost of 10.00 window fasteners</t>
  </si>
  <si>
    <t>Cost of 5000 litre</t>
  </si>
  <si>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t>
  </si>
  <si>
    <t>Cost of 208 metre</t>
  </si>
  <si>
    <t>Cost of 570 sqm</t>
  </si>
  <si>
    <t>Cost of 1.00 shutter</t>
  </si>
  <si>
    <t>Cost of 30 sqm</t>
  </si>
  <si>
    <t>Cost of 1.00 job</t>
  </si>
  <si>
    <t>Cost of 94.80 kg</t>
  </si>
  <si>
    <t>Cost of 1000 Nos.</t>
  </si>
  <si>
    <t>Cost of 1.00 cum per metre span</t>
  </si>
  <si>
    <t>Cost of 10.00 metre per metre span</t>
  </si>
  <si>
    <t>Cost of 1.00 cum per metre height</t>
  </si>
  <si>
    <t>Cost of 10.00 metre per metre height</t>
  </si>
  <si>
    <t>Cost of 1.00 quintal per metre span</t>
  </si>
  <si>
    <t>Cost of 1.00 quintal per metre height</t>
  </si>
  <si>
    <t>Cost of 50.00 metre</t>
  </si>
  <si>
    <t>Cost of 36.00 sqm</t>
  </si>
  <si>
    <t>Cost of 40.26 metre</t>
  </si>
  <si>
    <t>Cost of 1.08 cum.</t>
  </si>
  <si>
    <t>Cost of 0.90 cum.</t>
  </si>
  <si>
    <t>Cost of 0.336 cum</t>
  </si>
  <si>
    <t>Cost of 209.25 kg</t>
  </si>
  <si>
    <t>Cost per 1.00 set</t>
  </si>
  <si>
    <t>Cost of 333 m</t>
  </si>
  <si>
    <t>Cost of 333.24 m</t>
  </si>
  <si>
    <t>Cost of 36 sqm</t>
  </si>
  <si>
    <t>Cost of 6 letters of 8 cm heights</t>
  </si>
  <si>
    <t>Cost of 10.00 Nos. stone</t>
  </si>
  <si>
    <t>Cost of 1.00 stone</t>
  </si>
  <si>
    <t>Cost of per 100 sqm</t>
  </si>
  <si>
    <t>Cost of 3500 sqm</t>
  </si>
  <si>
    <t>Cost of 370 sqm</t>
  </si>
  <si>
    <t>Cost of 300 sqm</t>
  </si>
  <si>
    <t>Cost of 174 sqm</t>
  </si>
  <si>
    <t>Cost of 108.75 sqm</t>
  </si>
  <si>
    <t>Cost of 1.00 litre</t>
  </si>
  <si>
    <t>Cost of 300m length, 12mm width and 15cm depth</t>
  </si>
  <si>
    <t>Cost of 12 mm depth, 25 mm width and 300m length</t>
  </si>
  <si>
    <t>Cost of 15 Nos.</t>
  </si>
  <si>
    <t>Cost of 9 cum.</t>
  </si>
  <si>
    <t>Cost of 30.00 metre</t>
  </si>
  <si>
    <t>Cost of 195 cum (450 Tonne)</t>
  </si>
  <si>
    <t>Cost of 205 cum (450 Tonne)</t>
  </si>
  <si>
    <t>Cost of 7800 sqm</t>
  </si>
  <si>
    <t>Cost of 191 cum (450 Tonne)</t>
  </si>
  <si>
    <t>Cost of  1 board</t>
  </si>
  <si>
    <t>Cost of 200 sqm</t>
  </si>
  <si>
    <t>Cost of 30 holes</t>
  </si>
  <si>
    <t>Cost of 7.50 cum</t>
  </si>
  <si>
    <t>Cost of 2.25 cum</t>
  </si>
  <si>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(Note:- Cement content considered in this item is @ 330 kg/cum Excess/less cement used as per design mix is payable/ recoverable separately).</t>
  </si>
  <si>
    <t>Cost of 225 cum (450 Tonne)</t>
  </si>
  <si>
    <t>Cost of 450 cum (990 Tonne)</t>
  </si>
  <si>
    <t>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drawing/direction of Engineer-in-Charge which includes writing and painting, arrangement for traffic diversion such as traffic signals during construction at site for day and night, glow lamps, reflective signs, marking, flags, caution tape as directed by the Engineer-in-Charge.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(Note :- One time payment shall be made for providing barricading from start of work till completion of work i/c shifting. The barricading provided shall remain to be the property of the contractor on completion of the work).</t>
  </si>
  <si>
    <t>Cost of 2.5 metre</t>
  </si>
  <si>
    <t>Cost of 0.5 sqm</t>
  </si>
  <si>
    <t>Cost of 2 cum</t>
  </si>
  <si>
    <t>Cost of 17.37 m pipe</t>
  </si>
  <si>
    <t>Cost of 16.87 m pipe</t>
  </si>
  <si>
    <t>Cost of 18.00 metre</t>
  </si>
  <si>
    <t>Cost of 17.42 m pipe</t>
  </si>
  <si>
    <t>Cost of 16.92 m pipe</t>
  </si>
  <si>
    <t>Cost of 4 joint</t>
  </si>
  <si>
    <t>Cost of 50 Nos.</t>
  </si>
  <si>
    <t>Cost of 1.00 connection</t>
  </si>
  <si>
    <t>Cost of 1.00 metre with stop cock</t>
  </si>
  <si>
    <t>Cost of 514 kg (= 5.14 quintal)</t>
  </si>
  <si>
    <t>Cost of 700 kg (= 7 quintal)</t>
  </si>
  <si>
    <t>Cost of 10.00 joint</t>
  </si>
  <si>
    <t>Cost of 10.00 valves</t>
  </si>
  <si>
    <t>Cost of 1.00 manhole</t>
  </si>
  <si>
    <t>Cost of 6 metre</t>
  </si>
  <si>
    <t>Cost of 1.00 No. hand pump</t>
  </si>
  <si>
    <t>Cost of 500 litre</t>
  </si>
  <si>
    <t>Cost of 500 liters</t>
  </si>
  <si>
    <t>Cost of 10.00 air valves</t>
  </si>
  <si>
    <t>Cost of 1.00 water metre</t>
  </si>
  <si>
    <t>Cost of 1.00 dirt box stainer</t>
  </si>
  <si>
    <t>Up to 600 mm nominal dia</t>
  </si>
  <si>
    <t>Above 600 mm nominal dia</t>
  </si>
  <si>
    <t>Cost of 50 joint</t>
  </si>
  <si>
    <t>Cost of 1.00 No. cut</t>
  </si>
  <si>
    <t>Cost of 0.76 metre</t>
  </si>
  <si>
    <t>Cost of 0.61 metre</t>
  </si>
  <si>
    <t>Cost of 1.88 metre</t>
  </si>
  <si>
    <t>Cost of 1.00 cover</t>
  </si>
  <si>
    <t>Cost of 1.00 drop connection</t>
  </si>
  <si>
    <t>Cost of 1.80 metre depth</t>
  </si>
  <si>
    <t>Cost of manhole 0.61m depth</t>
  </si>
  <si>
    <t>Cost of 1.00 chamber</t>
  </si>
  <si>
    <t>Cost of 1.00 soak pit</t>
  </si>
  <si>
    <t>Cost of  20 m pile</t>
  </si>
  <si>
    <t>Cost of  15 m pile</t>
  </si>
  <si>
    <t>Cost of  10 m pile</t>
  </si>
  <si>
    <t>Cost of  9 m pile</t>
  </si>
  <si>
    <t>Cost of 1.00 bulb</t>
  </si>
  <si>
    <t>Cost of 1.00 test</t>
  </si>
  <si>
    <t>Cost of 40.02 kg</t>
  </si>
  <si>
    <t>Cost of 20.62 kg</t>
  </si>
  <si>
    <t>Cost of 6.35 kg</t>
  </si>
  <si>
    <t>Cost of 23 hangers</t>
  </si>
  <si>
    <t>Cost of 7.00 kg</t>
  </si>
  <si>
    <t>Cost of 41.09 kg</t>
  </si>
  <si>
    <t>Cost of 21.65 kg</t>
  </si>
  <si>
    <t>Cost of 4.082 kg</t>
  </si>
  <si>
    <t>Cost of 10.00 kg</t>
  </si>
  <si>
    <t>Using rough kota stone</t>
  </si>
  <si>
    <t>Cost of 30.00 sqm</t>
  </si>
  <si>
    <t>Cost of 1.00 kg</t>
  </si>
  <si>
    <t>Cost of 1.00 hole</t>
  </si>
  <si>
    <t>Cost of 35 metre</t>
  </si>
  <si>
    <t>Cost of 32 metre</t>
  </si>
  <si>
    <t>Cost of 25 metre</t>
  </si>
  <si>
    <t>Cost of 16 metre</t>
  </si>
  <si>
    <t>Cost of 27 metre</t>
  </si>
  <si>
    <t>Cost of 20 metre</t>
  </si>
  <si>
    <t>Cost of 14 metre</t>
  </si>
  <si>
    <t>Cost of 8 Hour</t>
  </si>
  <si>
    <t>Cost of 45.00 sqm</t>
  </si>
  <si>
    <t>Cost of 6.5 kg</t>
  </si>
  <si>
    <t>Cost of 1.76 sqm</t>
  </si>
  <si>
    <t>Cost of 3.23 sqm</t>
  </si>
  <si>
    <t>Cost of 35.28 sqm</t>
  </si>
  <si>
    <t>Cost of 95 sqm</t>
  </si>
  <si>
    <t>Cost of 33 cudm</t>
  </si>
  <si>
    <t>Cost of 181.30 sqm</t>
  </si>
  <si>
    <t>Cost of 18.50 metre</t>
  </si>
  <si>
    <t>Cost of 20 sqm</t>
  </si>
  <si>
    <t>Cost of 2.13 metre</t>
  </si>
  <si>
    <t>Cost of 0.281 sqm</t>
  </si>
  <si>
    <t>Cost of 95.54 metre length of bar</t>
  </si>
  <si>
    <t>Cost of 47.78 metre length of bar</t>
  </si>
  <si>
    <t>Cost of 100 kg</t>
  </si>
  <si>
    <t>Cost of 20.00 Nos. hole</t>
  </si>
  <si>
    <t>Cost of 0.85 cum</t>
  </si>
  <si>
    <t>Cost of 9 sqm</t>
  </si>
  <si>
    <t>Cost of 122 sqm</t>
  </si>
  <si>
    <t>Cost of 48 metre</t>
  </si>
  <si>
    <t>Cost of 4000 metre</t>
  </si>
  <si>
    <t>Cost of 212.816 kg</t>
  </si>
  <si>
    <t>Cost of 298.75 kg</t>
  </si>
  <si>
    <t>Cost of 3.6 sqm</t>
  </si>
  <si>
    <t>Cost of  1.26 cum</t>
  </si>
  <si>
    <t>Cost of 1740.00 kg</t>
  </si>
  <si>
    <t>Tonne</t>
  </si>
  <si>
    <t>Cost of 22 Tonne</t>
  </si>
  <si>
    <t>Cost of 150 sqm</t>
  </si>
  <si>
    <t>Cost of 120 sqm</t>
  </si>
  <si>
    <t>Cost of 18 cum</t>
  </si>
  <si>
    <t>Cost of 100.00 Nos.</t>
  </si>
  <si>
    <t>Cost of 250 Kgs</t>
  </si>
  <si>
    <t>Cost of 134.40 sqm</t>
  </si>
  <si>
    <t>Cost of 5.20 metre</t>
  </si>
  <si>
    <t>Cost of 4.32 sqm</t>
  </si>
  <si>
    <t>Cost of 12.60 sqm</t>
  </si>
  <si>
    <t>Cost of 530.00 sqm</t>
  </si>
  <si>
    <t>Cost of 15 sqm</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</si>
</sst>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 numFmtId="181" formatCode="0.000_ "/>
  </numFmts>
  <fonts count="29">
    <font>
      <sz val="10"/>
      <name val="Arial"/>
      <charset val="134"/>
    </font>
    <font>
      <sz val="12"/>
      <name val="Arial"/>
      <charset val="134"/>
    </font>
    <font>
      <sz val="11"/>
      <name val="Arial"/>
      <charset val="134"/>
    </font>
    <font>
      <sz val="11"/>
      <color rgb="FFFF0000"/>
      <name val="Arial"/>
      <charset val="134"/>
    </font>
    <font>
      <sz val="12"/>
      <color rgb="FFFF0000"/>
      <name val="Arial"/>
      <charset val="134"/>
    </font>
    <font>
      <strike/>
      <sz val="12"/>
      <name val="Arial"/>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
    </font>
    <font>
      <sz val="10"/>
      <color indexed="8"/>
      <name val="Arial"/>
      <charset val="134"/>
    </font>
    <font>
      <sz val="1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xf numFmtId="177" fontId="6" fillId="0" borderId="0">
      <alignment vertical="center"/>
    </xf>
    <xf numFmtId="9" fontId="6" fillId="0" borderId="0">
      <alignment vertical="center"/>
    </xf>
    <xf numFmtId="178" fontId="6" fillId="0" borderId="0">
      <alignment vertical="center"/>
    </xf>
    <xf numFmtId="179" fontId="6" fillId="0" borderId="0">
      <alignment vertical="center"/>
    </xf>
    <xf numFmtId="0" fontId="7" fillId="0" borderId="0"/>
    <xf numFmtId="0" fontId="8" fillId="0" borderId="0">
      <alignment vertical="center"/>
    </xf>
    <xf numFmtId="0" fontId="6" fillId="2" borderId="8">
      <alignment vertical="center"/>
    </xf>
    <xf numFmtId="0" fontId="9" fillId="0" borderId="0">
      <alignment vertical="center"/>
    </xf>
    <xf numFmtId="0" fontId="10" fillId="0" borderId="0">
      <alignment vertical="center"/>
    </xf>
    <xf numFmtId="0" fontId="11" fillId="0" borderId="0">
      <alignment vertical="center"/>
    </xf>
    <xf numFmtId="0" fontId="12" fillId="0" borderId="9">
      <alignment vertical="center"/>
    </xf>
    <xf numFmtId="0" fontId="13" fillId="0" borderId="9">
      <alignment vertical="center"/>
    </xf>
    <xf numFmtId="0" fontId="14" fillId="0" borderId="10">
      <alignment vertical="center"/>
    </xf>
    <xf numFmtId="0" fontId="14" fillId="0" borderId="0">
      <alignment vertical="center"/>
    </xf>
    <xf numFmtId="0" fontId="15" fillId="3" borderId="11">
      <alignment vertical="center"/>
    </xf>
    <xf numFmtId="0" fontId="16" fillId="4" borderId="12">
      <alignment vertical="center"/>
    </xf>
    <xf numFmtId="0" fontId="17" fillId="4" borderId="11">
      <alignment vertical="center"/>
    </xf>
    <xf numFmtId="0" fontId="18" fillId="5" borderId="13">
      <alignment vertical="center"/>
    </xf>
    <xf numFmtId="0" fontId="19" fillId="0" borderId="14">
      <alignment vertical="center"/>
    </xf>
    <xf numFmtId="0" fontId="20" fillId="0" borderId="15">
      <alignment vertical="center"/>
    </xf>
    <xf numFmtId="0" fontId="21" fillId="6" borderId="0">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5" fillId="11" borderId="0">
      <alignment vertical="center"/>
    </xf>
    <xf numFmtId="0" fontId="24"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xf numFmtId="176" fontId="6" fillId="0" borderId="0"/>
    <xf numFmtId="0" fontId="26" fillId="0" borderId="0"/>
    <xf numFmtId="0" fontId="27" fillId="0" borderId="0">
      <alignment vertical="top"/>
    </xf>
    <xf numFmtId="0" fontId="28" fillId="0" borderId="0">
      <alignment vertical="center"/>
    </xf>
    <xf numFmtId="0" fontId="6" fillId="0" borderId="0"/>
  </cellStyleXfs>
  <cellXfs count="59">
    <xf numFmtId="0" fontId="0" fillId="0" borderId="0" xfId="0"/>
    <xf numFmtId="180" fontId="0" fillId="0" borderId="0" xfId="0" applyNumberFormat="1"/>
    <xf numFmtId="0" fontId="1" fillId="0" borderId="1" xfId="0" applyFont="1" applyBorder="1" applyAlignment="1">
      <alignment horizontal="center" vertical="top" wrapText="1"/>
    </xf>
    <xf numFmtId="0" fontId="1" fillId="0" borderId="1" xfId="0" applyFont="1" applyBorder="1" applyAlignment="1">
      <alignment horizontal="justify" vertical="top" wrapText="1"/>
    </xf>
    <xf numFmtId="0" fontId="1" fillId="0" borderId="1" xfId="0" applyFont="1" applyBorder="1" applyAlignment="1">
      <alignment horizontal="center" wrapText="1"/>
    </xf>
    <xf numFmtId="180" fontId="0" fillId="0" borderId="0" xfId="0" applyNumberFormat="1" applyAlignment="1">
      <alignment wrapText="1"/>
    </xf>
    <xf numFmtId="49" fontId="1" fillId="0" borderId="1" xfId="0" applyNumberFormat="1" applyFont="1" applyBorder="1" applyAlignment="1">
      <alignment horizontal="left" vertical="top" wrapText="1"/>
    </xf>
    <xf numFmtId="2" fontId="1" fillId="0" borderId="1" xfId="0" applyNumberFormat="1" applyFont="1" applyBorder="1" applyAlignment="1">
      <alignment horizontal="right" wrapText="1"/>
    </xf>
    <xf numFmtId="0" fontId="2" fillId="0" borderId="0" xfId="0" applyFont="1"/>
    <xf numFmtId="180" fontId="2" fillId="0" borderId="0" xfId="0" applyNumberFormat="1" applyFont="1"/>
    <xf numFmtId="0" fontId="2" fillId="0" borderId="0" xfId="0" applyFont="1" applyAlignment="1">
      <alignment horizontal="left"/>
    </xf>
    <xf numFmtId="0" fontId="2" fillId="0" borderId="0" xfId="0" applyFont="1" applyAlignment="1">
      <alignment horizontal="center"/>
    </xf>
    <xf numFmtId="0" fontId="1" fillId="0" borderId="2" xfId="0" applyFont="1" applyBorder="1" applyAlignment="1">
      <alignment horizontal="justify" vertical="top" wrapText="1"/>
    </xf>
    <xf numFmtId="9" fontId="1" fillId="0" borderId="1" xfId="0" applyNumberFormat="1" applyFont="1" applyBorder="1" applyAlignment="1">
      <alignment horizontal="right" wrapText="1"/>
    </xf>
    <xf numFmtId="0" fontId="1" fillId="0" borderId="1" xfId="0" applyFont="1" applyBorder="1" applyAlignment="1">
      <alignment horizontal="right" wrapText="1"/>
    </xf>
    <xf numFmtId="0" fontId="1" fillId="0" borderId="0" xfId="0" applyFont="1" applyAlignment="1">
      <alignment horizontal="center" wrapText="1"/>
    </xf>
    <xf numFmtId="2" fontId="1" fillId="0" borderId="0" xfId="0" applyNumberFormat="1" applyFont="1" applyAlignment="1">
      <alignment horizontal="right" wrapText="1"/>
    </xf>
    <xf numFmtId="49" fontId="1" fillId="0" borderId="0" xfId="0" applyNumberFormat="1" applyFont="1" applyAlignment="1">
      <alignment horizontal="left" vertical="top" wrapText="1"/>
    </xf>
    <xf numFmtId="0" fontId="1" fillId="0" borderId="3" xfId="0" applyFont="1" applyBorder="1" applyAlignment="1">
      <alignment horizontal="center" wrapText="1"/>
    </xf>
    <xf numFmtId="0" fontId="1" fillId="0" borderId="4" xfId="0" applyFont="1" applyBorder="1" applyAlignment="1">
      <alignment horizontal="center" wrapText="1"/>
    </xf>
    <xf numFmtId="2" fontId="1" fillId="0" borderId="2" xfId="0" applyNumberFormat="1" applyFont="1" applyBorder="1" applyAlignment="1">
      <alignment horizontal="right" wrapText="1"/>
    </xf>
    <xf numFmtId="0" fontId="3" fillId="0" borderId="0" xfId="0" applyFont="1"/>
    <xf numFmtId="181" fontId="2" fillId="0" borderId="0" xfId="0" applyNumberFormat="1" applyFont="1"/>
    <xf numFmtId="2" fontId="1" fillId="0" borderId="5" xfId="0" applyNumberFormat="1" applyFont="1" applyBorder="1" applyAlignment="1">
      <alignment horizontal="right" wrapText="1"/>
    </xf>
    <xf numFmtId="0" fontId="1" fillId="0" borderId="5" xfId="0" applyFont="1" applyBorder="1" applyAlignment="1">
      <alignment horizontal="justify" vertical="top" wrapText="1"/>
    </xf>
    <xf numFmtId="2" fontId="1" fillId="0" borderId="6" xfId="0" applyNumberFormat="1" applyFont="1" applyBorder="1" applyAlignment="1">
      <alignment horizontal="right" wrapText="1"/>
    </xf>
    <xf numFmtId="2" fontId="1" fillId="0" borderId="1" xfId="0" applyNumberFormat="1" applyFont="1" applyBorder="1" applyAlignment="1">
      <alignment horizontal="center" wrapText="1"/>
    </xf>
    <xf numFmtId="2" fontId="1" fillId="0" borderId="3" xfId="0" applyNumberFormat="1" applyFont="1" applyBorder="1" applyAlignment="1">
      <alignment horizontal="right" wrapText="1"/>
    </xf>
    <xf numFmtId="0" fontId="1" fillId="0" borderId="0" xfId="0" applyFont="1" applyAlignment="1">
      <alignment horizontal="left" vertical="top" wrapText="1"/>
    </xf>
    <xf numFmtId="0" fontId="1" fillId="0" borderId="0" xfId="0" applyFont="1" applyAlignment="1">
      <alignment horizontal="justify" vertical="top" wrapText="1"/>
    </xf>
    <xf numFmtId="0" fontId="1" fillId="0" borderId="0" xfId="0" applyFont="1" applyAlignment="1">
      <alignment horizontal="right" wrapText="1"/>
    </xf>
    <xf numFmtId="0" fontId="1" fillId="0" borderId="0" xfId="0" applyFont="1" applyAlignment="1">
      <alignment horizontal="center" vertical="top" wrapText="1"/>
    </xf>
    <xf numFmtId="2" fontId="1" fillId="0" borderId="0" xfId="0" applyNumberFormat="1" applyFont="1" applyAlignment="1">
      <alignment horizontal="left" vertical="top" wrapText="1"/>
    </xf>
    <xf numFmtId="10" fontId="1" fillId="0" borderId="0" xfId="0" applyNumberFormat="1" applyFont="1" applyAlignment="1">
      <alignment horizontal="left" vertical="top" wrapText="1"/>
    </xf>
    <xf numFmtId="0" fontId="1" fillId="0" borderId="0" xfId="0" applyFont="1"/>
    <xf numFmtId="49" fontId="1" fillId="0" borderId="7" xfId="0" applyNumberFormat="1" applyFont="1" applyBorder="1" applyAlignment="1">
      <alignment horizontal="center" vertical="top" wrapText="1"/>
    </xf>
    <xf numFmtId="0" fontId="1" fillId="0" borderId="7" xfId="0" applyFont="1" applyBorder="1" applyAlignment="1">
      <alignment horizontal="justify" vertical="top" wrapText="1"/>
    </xf>
    <xf numFmtId="0" fontId="1" fillId="0" borderId="7" xfId="0" applyFont="1" applyBorder="1" applyAlignment="1">
      <alignment horizontal="center" vertical="top" wrapText="1"/>
    </xf>
    <xf numFmtId="0" fontId="4" fillId="0" borderId="1" xfId="0" applyFont="1" applyBorder="1" applyAlignment="1">
      <alignment horizontal="center" wrapText="1"/>
    </xf>
    <xf numFmtId="2" fontId="4" fillId="0" borderId="1" xfId="0" applyNumberFormat="1" applyFont="1" applyBorder="1" applyAlignment="1">
      <alignment horizontal="right" wrapText="1"/>
    </xf>
    <xf numFmtId="0" fontId="1" fillId="0" borderId="1" xfId="0" applyFont="1" applyBorder="1" applyAlignment="1">
      <alignment horizontal="left" vertical="top" wrapText="1"/>
    </xf>
    <xf numFmtId="49" fontId="1" fillId="0" borderId="0" xfId="0" applyNumberFormat="1" applyFont="1" applyAlignment="1">
      <alignment horizontal="center" vertical="top" wrapText="1"/>
    </xf>
    <xf numFmtId="49" fontId="1" fillId="0" borderId="0" xfId="0" applyNumberFormat="1" applyFont="1" applyAlignment="1">
      <alignment horizontal="left" vertical="top"/>
    </xf>
    <xf numFmtId="0" fontId="1" fillId="0" borderId="3" xfId="0" applyFont="1" applyBorder="1" applyAlignment="1">
      <alignment horizontal="left" vertical="top" wrapText="1"/>
    </xf>
    <xf numFmtId="0" fontId="1" fillId="0" borderId="2" xfId="0" applyFont="1" applyBorder="1" applyAlignment="1">
      <alignment horizontal="right" wrapText="1"/>
    </xf>
    <xf numFmtId="0" fontId="1" fillId="0" borderId="0" xfId="0" applyFont="1" applyAlignment="1">
      <alignment vertical="top"/>
    </xf>
    <xf numFmtId="0" fontId="1" fillId="0" borderId="0" xfId="0" applyFont="1" applyAlignment="1">
      <alignment horizontal="justify"/>
    </xf>
    <xf numFmtId="49" fontId="1" fillId="0" borderId="1" xfId="0" applyNumberFormat="1" applyFont="1" applyBorder="1" applyAlignment="1">
      <alignment horizontal="center" vertical="top" wrapText="1"/>
    </xf>
    <xf numFmtId="2" fontId="1" fillId="0" borderId="0" xfId="0" applyNumberFormat="1" applyFont="1" applyAlignment="1">
      <alignment horizontal="center" vertical="top" wrapText="1"/>
    </xf>
    <xf numFmtId="2" fontId="1" fillId="0" borderId="1" xfId="0" applyNumberFormat="1" applyFont="1" applyBorder="1" applyAlignment="1">
      <alignment horizontal="left" vertical="top" wrapText="1"/>
    </xf>
    <xf numFmtId="0" fontId="1" fillId="0" borderId="1" xfId="0" applyFont="1" applyBorder="1" applyAlignment="1">
      <alignment horizontal="left" wrapText="1"/>
    </xf>
    <xf numFmtId="0" fontId="5" fillId="0" borderId="0" xfId="0" applyFont="1" applyAlignment="1">
      <alignment horizontal="center" vertical="top" wrapText="1"/>
    </xf>
    <xf numFmtId="0" fontId="1" fillId="0" borderId="2" xfId="0" applyFont="1" applyBorder="1" applyAlignment="1">
      <alignment horizontal="center" vertical="top" wrapText="1"/>
    </xf>
    <xf numFmtId="2" fontId="1" fillId="0" borderId="0" xfId="0" applyNumberFormat="1" applyFont="1" applyAlignment="1">
      <alignment horizontal="justify" vertical="top" wrapText="1"/>
    </xf>
    <xf numFmtId="0" fontId="5" fillId="0" borderId="1" xfId="0" applyFont="1" applyBorder="1" applyAlignment="1">
      <alignment horizontal="center" vertical="top" wrapText="1"/>
    </xf>
    <xf numFmtId="2" fontId="5" fillId="0" borderId="0" xfId="0" applyNumberFormat="1" applyFont="1" applyAlignment="1">
      <alignment horizontal="center" vertical="top" wrapText="1"/>
    </xf>
    <xf numFmtId="0" fontId="5" fillId="0" borderId="0" xfId="0" applyFont="1" applyAlignment="1">
      <alignment horizontal="center"/>
    </xf>
    <xf numFmtId="0" fontId="1" fillId="0" borderId="0" xfId="0" applyFont="1" applyAlignment="1">
      <alignment horizontal="center" vertical="top"/>
    </xf>
    <xf numFmtId="0" fontId="1" fillId="0" borderId="0" xfId="0" applyFont="1" applyAlignment="1">
      <alignment wrapText="1"/>
    </xf>
    <xf numFmtId="0" fontId="1" fillId="0" borderId="2" xfId="0" applyFont="1" applyBorder="1" applyAlignment="1" quotePrefix="1">
      <alignment horizontal="justify" vertical="top" wrapText="1"/>
    </xf>
    <xf numFmtId="0" fontId="1" fillId="0" borderId="1" xfId="0" applyFont="1" applyBorder="1" applyAlignment="1" quotePrefix="1">
      <alignment horizontal="justify" vertical="top"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3" xfId="49"/>
    <cellStyle name="Excel Built-in Normal" xfId="50"/>
    <cellStyle name="Normal 11 2" xfId="51"/>
    <cellStyle name="Normal 13" xfId="52"/>
    <cellStyle name="Normal 14"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pretor\d\Users\Guest\Desktop\Statements%20Kodinar.xls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pretor\d\Users\Guest\Desktop\Billing\Diu\Special%20Repairs%20Diu\1st%20RA\Statements%20Kodinar.xlsx.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sheetName val="Bill Copy_New"/>
      <sheetName val="Cement_DB"/>
      <sheetName val="Paint"/>
      <sheetName val="labour"/>
      <sheetName val="Testcheck"/>
      <sheetName val="Check list"/>
      <sheetName val="Mandatory test statem."/>
      <sheetName val="SA - 4"/>
      <sheetName val="Cement"/>
      <sheetName val="Part Rate"/>
      <sheetName val="Chemical"/>
      <sheetName val="Dia-wise"/>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put"/>
      <sheetName val="Bill Copy_New"/>
      <sheetName val="Cement_DB"/>
      <sheetName val="Paint"/>
      <sheetName val="labour"/>
      <sheetName val="Testcheck"/>
      <sheetName val="Check list"/>
      <sheetName val="Mandatory test statem."/>
      <sheetName val="SA - 4"/>
      <sheetName val="Cement"/>
      <sheetName val="Part Rate"/>
      <sheetName val="Chemical"/>
      <sheetName val="Dia-wise"/>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S4447"/>
  <sheetViews>
    <sheetView view="pageBreakPreview" zoomScale="85" zoomScaleNormal="100" topLeftCell="A1808" workbookViewId="0">
      <selection activeCell="B3665" sqref="B3665"/>
    </sheetView>
  </sheetViews>
  <sheetFormatPr defaultColWidth="8.85454545454546" defaultRowHeight="15.5"/>
  <cols>
    <col min="1" max="1" width="27.2727272727273" style="28" customWidth="1"/>
    <col min="2" max="2" width="89.2818181818182" style="29" customWidth="1"/>
    <col min="3" max="3" width="13.7181818181818" style="15" customWidth="1"/>
    <col min="4" max="4" width="14.1454545454545" style="30" customWidth="1"/>
    <col min="5" max="5" width="10.2818181818182" style="31" hidden="1" customWidth="1"/>
    <col min="6" max="6" width="11.2818181818182" style="32" hidden="1" customWidth="1"/>
    <col min="7" max="7" width="11.7181818181818" style="33" hidden="1" customWidth="1"/>
    <col min="8" max="8" width="0.281818181818182" style="34" customWidth="1"/>
    <col min="9" max="10" width="8.85454545454546" style="34" hidden="1" customWidth="1"/>
    <col min="11" max="16384" width="8.85454545454546" style="34" customWidth="1"/>
  </cols>
  <sheetData>
    <row r="1" spans="1:7">
      <c r="A1" s="35" t="s">
        <v>0</v>
      </c>
      <c r="B1" s="36"/>
      <c r="C1" s="37"/>
      <c r="D1" s="37"/>
    </row>
    <row r="2" ht="31" customHeight="1" spans="1:7">
      <c r="A2" s="2" t="s">
        <v>1</v>
      </c>
      <c r="B2" s="3" t="s">
        <v>2</v>
      </c>
      <c r="C2" s="4" t="s">
        <v>3</v>
      </c>
      <c r="D2" s="4" t="s">
        <v>4</v>
      </c>
      <c r="F2" s="32" t="s">
        <v>5</v>
      </c>
      <c r="G2" s="33" t="s">
        <v>6</v>
      </c>
    </row>
    <row r="3" ht="46.5" customHeight="1" spans="1:7">
      <c r="A3" s="6" t="s">
        <v>7</v>
      </c>
      <c r="B3" s="12" t="s">
        <v>8</v>
      </c>
      <c r="C3" s="4"/>
      <c r="D3" s="14"/>
      <c r="E3" s="31" t="s">
        <v>9</v>
      </c>
    </row>
    <row r="4" spans="1:7">
      <c r="A4" s="6" t="s">
        <v>10</v>
      </c>
      <c r="B4" s="3" t="s">
        <v>11</v>
      </c>
      <c r="C4" s="4" t="s">
        <v>12</v>
      </c>
      <c r="D4" s="7">
        <v>129.85</v>
      </c>
      <c r="E4" s="31" t="s">
        <v>9</v>
      </c>
      <c r="F4" s="32">
        <v>53</v>
      </c>
      <c r="G4" s="33">
        <f>(D4-F4)/F4</f>
        <v>1.45</v>
      </c>
    </row>
    <row r="5" ht="93" customHeight="1" spans="1:7">
      <c r="A5" s="6" t="s">
        <v>13</v>
      </c>
      <c r="B5" s="12" t="s">
        <v>14</v>
      </c>
      <c r="C5" s="4"/>
      <c r="D5" s="14"/>
      <c r="E5" s="31" t="s">
        <v>9</v>
      </c>
    </row>
    <row r="6" spans="1:7">
      <c r="A6" s="6" t="s">
        <v>15</v>
      </c>
      <c r="B6" s="3" t="s">
        <v>11</v>
      </c>
      <c r="C6" s="4" t="s">
        <v>16</v>
      </c>
      <c r="D6" s="7">
        <v>395.3</v>
      </c>
      <c r="E6" s="31" t="s">
        <v>9</v>
      </c>
      <c r="F6" s="32">
        <v>427.9</v>
      </c>
      <c r="G6" s="33">
        <f>(D6-F6)/F6</f>
        <v>-0.076186024772143</v>
      </c>
    </row>
    <row r="7" ht="77.5" customHeight="1" spans="1:7">
      <c r="A7" s="6" t="s">
        <v>17</v>
      </c>
      <c r="B7" s="12" t="s">
        <v>18</v>
      </c>
      <c r="C7" s="4"/>
      <c r="D7" s="14"/>
      <c r="E7" s="31" t="s">
        <v>9</v>
      </c>
    </row>
    <row r="8" spans="1:7">
      <c r="A8" s="6" t="s">
        <v>19</v>
      </c>
      <c r="B8" s="3" t="s">
        <v>11</v>
      </c>
      <c r="C8" s="4" t="s">
        <v>16</v>
      </c>
      <c r="D8" s="7">
        <v>197.9</v>
      </c>
      <c r="E8" s="31" t="s">
        <v>9</v>
      </c>
      <c r="F8" s="32">
        <v>269.75</v>
      </c>
      <c r="G8" s="33">
        <f>(D8-F8)/F8</f>
        <v>-0.266357738646895</v>
      </c>
    </row>
    <row r="9" ht="31" customHeight="1" spans="1:7">
      <c r="A9" s="6" t="s">
        <v>20</v>
      </c>
      <c r="B9" s="12" t="s">
        <v>21</v>
      </c>
      <c r="C9" s="4" t="s">
        <v>16</v>
      </c>
      <c r="D9" s="7">
        <v>5.25</v>
      </c>
      <c r="E9" s="31" t="s">
        <v>9</v>
      </c>
      <c r="F9" s="32">
        <v>2.75</v>
      </c>
      <c r="G9" s="33">
        <f>(D9-F9)/F9</f>
        <v>0.909090909090909</v>
      </c>
    </row>
    <row r="10" spans="1:7">
      <c r="A10" s="6" t="s">
        <v>22</v>
      </c>
      <c r="B10" s="12" t="s">
        <v>23</v>
      </c>
      <c r="C10" s="4" t="s">
        <v>16</v>
      </c>
      <c r="D10" s="7">
        <v>14.25</v>
      </c>
      <c r="E10" s="31" t="s">
        <v>9</v>
      </c>
      <c r="F10" s="32">
        <v>18.9</v>
      </c>
      <c r="G10" s="33">
        <f>(D10-F10)/F10</f>
        <v>-0.246031746031746</v>
      </c>
    </row>
    <row r="11" ht="62" customHeight="1" spans="1:7">
      <c r="A11" s="6" t="s">
        <v>24</v>
      </c>
      <c r="B11" s="12" t="s">
        <v>25</v>
      </c>
      <c r="C11" s="4"/>
      <c r="D11" s="14"/>
      <c r="E11" s="31" t="s">
        <v>9</v>
      </c>
    </row>
    <row r="12" spans="1:7">
      <c r="A12" s="6" t="s">
        <v>26</v>
      </c>
      <c r="B12" s="3" t="s">
        <v>11</v>
      </c>
      <c r="C12" s="4" t="s">
        <v>16</v>
      </c>
      <c r="D12" s="7">
        <v>177.5</v>
      </c>
      <c r="E12" s="31" t="s">
        <v>9</v>
      </c>
      <c r="F12" s="32">
        <v>125.95</v>
      </c>
      <c r="G12" s="33">
        <f>(D12-F12)/F12</f>
        <v>0.409289400555776</v>
      </c>
    </row>
    <row r="13" ht="62" customHeight="1" spans="1:7">
      <c r="A13" s="6" t="s">
        <v>27</v>
      </c>
      <c r="B13" s="12" t="s">
        <v>28</v>
      </c>
      <c r="C13" s="4"/>
      <c r="D13" s="14"/>
      <c r="E13" s="31" t="s">
        <v>9</v>
      </c>
    </row>
    <row r="14" spans="1:7">
      <c r="A14" s="6" t="s">
        <v>29</v>
      </c>
      <c r="B14" s="3" t="s">
        <v>30</v>
      </c>
      <c r="C14" s="4" t="s">
        <v>16</v>
      </c>
      <c r="D14" s="7">
        <v>498.9</v>
      </c>
      <c r="E14" s="31" t="s">
        <v>9</v>
      </c>
      <c r="F14" s="32">
        <v>221.05</v>
      </c>
      <c r="G14" s="33">
        <f>(D14-F14)/F14</f>
        <v>1.25695543994571</v>
      </c>
    </row>
    <row r="15" spans="1:7">
      <c r="A15" s="6" t="s">
        <v>31</v>
      </c>
      <c r="B15" s="3" t="s">
        <v>32</v>
      </c>
      <c r="C15" s="4" t="s">
        <v>16</v>
      </c>
      <c r="D15" s="7">
        <v>874.4</v>
      </c>
      <c r="E15" s="31" t="s">
        <v>9</v>
      </c>
      <c r="F15" s="32">
        <v>393.3</v>
      </c>
      <c r="G15" s="33">
        <f>(D15-F15)/F15</f>
        <v>1.2232392575642</v>
      </c>
    </row>
    <row r="16" spans="1:7">
      <c r="A16" s="6" t="s">
        <v>33</v>
      </c>
      <c r="B16" s="3" t="s">
        <v>34</v>
      </c>
      <c r="C16" s="4" t="s">
        <v>16</v>
      </c>
      <c r="D16" s="7">
        <v>1432.95</v>
      </c>
      <c r="E16" s="31" t="s">
        <v>9</v>
      </c>
      <c r="F16" s="32">
        <v>619.8</v>
      </c>
      <c r="G16" s="33">
        <f>(D16-F16)/F16</f>
        <v>1.31195546950629</v>
      </c>
    </row>
    <row r="17" ht="62" customHeight="1" spans="1:13">
      <c r="A17" s="6" t="s">
        <v>35</v>
      </c>
      <c r="B17" s="12" t="s">
        <v>36</v>
      </c>
      <c r="C17" s="4"/>
      <c r="D17" s="14"/>
      <c r="E17" s="31" t="s">
        <v>9</v>
      </c>
      <c r="M17" s="34" t="e">
        <f>IF(#REF!=#REF!,1,0)</f>
        <v>#REF!</v>
      </c>
    </row>
    <row r="18" spans="1:13">
      <c r="A18" s="6" t="s">
        <v>37</v>
      </c>
      <c r="B18" s="3" t="s">
        <v>38</v>
      </c>
      <c r="C18" s="4" t="s">
        <v>16</v>
      </c>
      <c r="D18" s="7">
        <v>260.3</v>
      </c>
      <c r="E18" s="31" t="s">
        <v>9</v>
      </c>
      <c r="F18" s="32">
        <v>166.4</v>
      </c>
      <c r="G18" s="33">
        <f>(D18-F18)/F18</f>
        <v>0.564302884615385</v>
      </c>
    </row>
    <row r="19" ht="62" customHeight="1" spans="1:13">
      <c r="A19" s="6" t="s">
        <v>39</v>
      </c>
      <c r="B19" s="12" t="s">
        <v>40</v>
      </c>
      <c r="C19" s="4"/>
      <c r="D19" s="14"/>
      <c r="E19" s="31" t="s">
        <v>9</v>
      </c>
    </row>
    <row r="20" spans="1:13">
      <c r="A20" s="6" t="s">
        <v>41</v>
      </c>
      <c r="B20" s="3" t="s">
        <v>30</v>
      </c>
      <c r="C20" s="4" t="s">
        <v>16</v>
      </c>
      <c r="D20" s="7">
        <v>632.95</v>
      </c>
      <c r="E20" s="31" t="s">
        <v>9</v>
      </c>
      <c r="F20" s="32">
        <v>277.85</v>
      </c>
      <c r="G20" s="33">
        <f>(D20-F20)/F20</f>
        <v>1.27802771279467</v>
      </c>
    </row>
    <row r="21" spans="1:13">
      <c r="A21" s="6" t="s">
        <v>42</v>
      </c>
      <c r="B21" s="3" t="s">
        <v>32</v>
      </c>
      <c r="C21" s="4" t="s">
        <v>16</v>
      </c>
      <c r="D21" s="7">
        <v>1049.8</v>
      </c>
      <c r="E21" s="31" t="s">
        <v>9</v>
      </c>
      <c r="F21" s="32">
        <v>466.05</v>
      </c>
      <c r="G21" s="33">
        <f>(D21-F21)/F21</f>
        <v>1.25254800987019</v>
      </c>
    </row>
    <row r="22" spans="1:13">
      <c r="A22" s="6" t="s">
        <v>43</v>
      </c>
      <c r="B22" s="3" t="s">
        <v>34</v>
      </c>
      <c r="C22" s="4" t="s">
        <v>16</v>
      </c>
      <c r="D22" s="7">
        <v>1523.05</v>
      </c>
      <c r="E22" s="31" t="s">
        <v>9</v>
      </c>
      <c r="F22" s="32">
        <v>656.7</v>
      </c>
      <c r="G22" s="33">
        <f>(D22-F22)/F22</f>
        <v>1.31924775392112</v>
      </c>
    </row>
    <row r="23" ht="77.5" customHeight="1" spans="1:13">
      <c r="A23" s="6" t="s">
        <v>44</v>
      </c>
      <c r="B23" s="12" t="s">
        <v>45</v>
      </c>
      <c r="C23" s="4"/>
      <c r="D23" s="14"/>
      <c r="E23" s="31" t="s">
        <v>9</v>
      </c>
    </row>
    <row r="24" spans="1:13">
      <c r="A24" s="6" t="s">
        <v>46</v>
      </c>
      <c r="B24" s="3" t="s">
        <v>11</v>
      </c>
      <c r="C24" s="4"/>
      <c r="D24" s="14"/>
      <c r="E24" s="31" t="s">
        <v>9</v>
      </c>
    </row>
    <row r="25" spans="1:13">
      <c r="A25" s="6" t="s">
        <v>47</v>
      </c>
      <c r="B25" s="3" t="s">
        <v>48</v>
      </c>
      <c r="C25" s="4" t="s">
        <v>49</v>
      </c>
      <c r="D25" s="7">
        <v>215.6</v>
      </c>
      <c r="E25" s="31" t="s">
        <v>9</v>
      </c>
      <c r="F25" s="32">
        <v>138.05</v>
      </c>
      <c r="G25" s="33">
        <f>(D25-F25)/F25</f>
        <v>0.561752988047809</v>
      </c>
    </row>
    <row r="26" spans="1:13">
      <c r="A26" s="6" t="s">
        <v>50</v>
      </c>
      <c r="B26" s="3" t="s">
        <v>51</v>
      </c>
      <c r="C26" s="4" t="s">
        <v>49</v>
      </c>
      <c r="D26" s="7">
        <v>352.15</v>
      </c>
      <c r="E26" s="31" t="s">
        <v>9</v>
      </c>
      <c r="F26" s="32">
        <v>225.45</v>
      </c>
      <c r="G26" s="33">
        <f>(D26-F26)/F26</f>
        <v>0.561987136837436</v>
      </c>
    </row>
    <row r="27" spans="1:13">
      <c r="A27" s="6" t="s">
        <v>52</v>
      </c>
      <c r="B27" s="3" t="s">
        <v>53</v>
      </c>
      <c r="C27" s="4" t="s">
        <v>49</v>
      </c>
      <c r="D27" s="7">
        <v>549.75</v>
      </c>
      <c r="E27" s="31" t="s">
        <v>9</v>
      </c>
      <c r="F27" s="32">
        <v>352</v>
      </c>
      <c r="G27" s="33">
        <f>(D27-F27)/F27</f>
        <v>0.561789772727273</v>
      </c>
    </row>
    <row r="28" spans="1:13">
      <c r="A28" s="6" t="s">
        <v>54</v>
      </c>
      <c r="B28" s="12" t="s">
        <v>55</v>
      </c>
      <c r="C28" s="38"/>
      <c r="D28" s="39"/>
      <c r="E28" s="31" t="s">
        <v>9</v>
      </c>
    </row>
    <row r="29" spans="1:13">
      <c r="A29" s="6" t="s">
        <v>56</v>
      </c>
      <c r="B29" s="12" t="s">
        <v>55</v>
      </c>
      <c r="C29" s="38"/>
      <c r="D29" s="39"/>
      <c r="E29" s="31" t="s">
        <v>9</v>
      </c>
    </row>
    <row r="30" ht="77.5" customHeight="1" spans="1:13">
      <c r="A30" s="6" t="s">
        <v>57</v>
      </c>
      <c r="B30" s="12" t="s">
        <v>58</v>
      </c>
      <c r="C30" s="4"/>
      <c r="D30" s="14"/>
      <c r="E30" s="31" t="s">
        <v>9</v>
      </c>
    </row>
    <row r="31" spans="1:13">
      <c r="A31" s="6" t="s">
        <v>59</v>
      </c>
      <c r="B31" s="3" t="s">
        <v>60</v>
      </c>
      <c r="C31" s="4"/>
      <c r="D31" s="14"/>
      <c r="E31" s="31" t="s">
        <v>9</v>
      </c>
    </row>
    <row r="32" spans="1:13">
      <c r="A32" s="6" t="s">
        <v>61</v>
      </c>
      <c r="B32" s="3" t="s">
        <v>62</v>
      </c>
      <c r="C32" s="4" t="s">
        <v>49</v>
      </c>
      <c r="D32" s="7">
        <v>403.3</v>
      </c>
      <c r="E32" s="31" t="s">
        <v>9</v>
      </c>
      <c r="F32" s="32">
        <v>194.5</v>
      </c>
      <c r="G32" s="33">
        <f>(D32-F32)/F32</f>
        <v>1.07352185089974</v>
      </c>
    </row>
    <row r="33" spans="1:7">
      <c r="A33" s="6" t="s">
        <v>63</v>
      </c>
      <c r="B33" s="3" t="s">
        <v>64</v>
      </c>
      <c r="C33" s="4" t="s">
        <v>49</v>
      </c>
      <c r="D33" s="7">
        <v>998.65</v>
      </c>
      <c r="E33" s="31" t="s">
        <v>9</v>
      </c>
      <c r="F33" s="32">
        <v>481.6</v>
      </c>
      <c r="G33" s="33">
        <f>(D33-F33)/F33</f>
        <v>1.07360880398671</v>
      </c>
    </row>
    <row r="34" spans="1:7">
      <c r="A34" s="6" t="s">
        <v>65</v>
      </c>
      <c r="B34" s="3" t="s">
        <v>66</v>
      </c>
      <c r="C34" s="4" t="s">
        <v>49</v>
      </c>
      <c r="D34" s="7">
        <v>1149.1</v>
      </c>
      <c r="E34" s="31" t="s">
        <v>9</v>
      </c>
      <c r="F34" s="32">
        <v>554.2</v>
      </c>
      <c r="G34" s="33">
        <f>(D34-F34)/F34</f>
        <v>1.07343919162757</v>
      </c>
    </row>
    <row r="35" spans="1:7">
      <c r="A35" s="6" t="s">
        <v>67</v>
      </c>
      <c r="B35" s="3" t="s">
        <v>32</v>
      </c>
      <c r="C35" s="4"/>
      <c r="D35" s="14"/>
      <c r="E35" s="31" t="s">
        <v>9</v>
      </c>
    </row>
    <row r="36" spans="1:7">
      <c r="A36" s="6" t="s">
        <v>68</v>
      </c>
      <c r="B36" s="3" t="s">
        <v>62</v>
      </c>
      <c r="C36" s="4" t="s">
        <v>49</v>
      </c>
      <c r="D36" s="7">
        <v>603.2</v>
      </c>
      <c r="E36" s="31" t="s">
        <v>9</v>
      </c>
      <c r="F36" s="32">
        <v>285.55</v>
      </c>
      <c r="G36" s="33">
        <f>(D36-F36)/F36</f>
        <v>1.11241463841709</v>
      </c>
    </row>
    <row r="37" spans="1:7">
      <c r="A37" s="6" t="s">
        <v>69</v>
      </c>
      <c r="B37" s="3" t="s">
        <v>64</v>
      </c>
      <c r="C37" s="4" t="s">
        <v>49</v>
      </c>
      <c r="D37" s="7">
        <v>1493.6</v>
      </c>
      <c r="E37" s="31" t="s">
        <v>9</v>
      </c>
      <c r="F37" s="32">
        <v>707.1</v>
      </c>
      <c r="G37" s="33">
        <f>(D37-F37)/F37</f>
        <v>1.11228963371517</v>
      </c>
    </row>
    <row r="38" spans="1:7">
      <c r="A38" s="6" t="s">
        <v>70</v>
      </c>
      <c r="B38" s="3" t="s">
        <v>71</v>
      </c>
      <c r="C38" s="4" t="s">
        <v>49</v>
      </c>
      <c r="D38" s="7">
        <v>1718.45</v>
      </c>
      <c r="E38" s="31" t="s">
        <v>9</v>
      </c>
      <c r="F38" s="32">
        <v>813.6</v>
      </c>
      <c r="G38" s="33">
        <f>(D38-F38)/F38</f>
        <v>1.11215585054081</v>
      </c>
    </row>
    <row r="39" spans="1:7">
      <c r="A39" s="6" t="s">
        <v>72</v>
      </c>
      <c r="B39" s="3" t="s">
        <v>34</v>
      </c>
      <c r="C39" s="4"/>
      <c r="D39" s="14"/>
      <c r="E39" s="31" t="s">
        <v>9</v>
      </c>
    </row>
    <row r="40" spans="1:7">
      <c r="A40" s="6" t="s">
        <v>73</v>
      </c>
      <c r="B40" s="3" t="s">
        <v>62</v>
      </c>
      <c r="C40" s="4" t="s">
        <v>49</v>
      </c>
      <c r="D40" s="7">
        <v>826.8</v>
      </c>
      <c r="E40" s="31" t="s">
        <v>9</v>
      </c>
      <c r="F40" s="32">
        <v>375.65</v>
      </c>
      <c r="G40" s="33">
        <f>(D40-F40)/F40</f>
        <v>1.2009849594037</v>
      </c>
    </row>
    <row r="41" spans="1:7">
      <c r="A41" s="6" t="s">
        <v>74</v>
      </c>
      <c r="B41" s="3" t="s">
        <v>64</v>
      </c>
      <c r="C41" s="4" t="s">
        <v>49</v>
      </c>
      <c r="D41" s="7">
        <v>2047.3</v>
      </c>
      <c r="E41" s="31" t="s">
        <v>9</v>
      </c>
      <c r="F41" s="32">
        <v>930.15</v>
      </c>
      <c r="G41" s="33">
        <f>(D41-F41)/F41</f>
        <v>1.20104284255228</v>
      </c>
    </row>
    <row r="42" spans="1:7">
      <c r="A42" s="6" t="s">
        <v>75</v>
      </c>
      <c r="B42" s="3" t="s">
        <v>71</v>
      </c>
      <c r="C42" s="4" t="s">
        <v>49</v>
      </c>
      <c r="D42" s="7">
        <v>2355.75</v>
      </c>
      <c r="E42" s="31" t="s">
        <v>9</v>
      </c>
      <c r="F42" s="32">
        <v>1070.35</v>
      </c>
      <c r="G42" s="33">
        <f>(D42-F42)/F42</f>
        <v>1.20091558835895</v>
      </c>
    </row>
    <row r="43" ht="46.5" customHeight="1" spans="1:7">
      <c r="A43" s="6" t="s">
        <v>76</v>
      </c>
      <c r="B43" s="12" t="s">
        <v>77</v>
      </c>
      <c r="C43" s="4"/>
      <c r="D43" s="7"/>
      <c r="E43" s="31" t="s">
        <v>9</v>
      </c>
      <c r="F43" s="32">
        <v>103</v>
      </c>
      <c r="G43" s="33">
        <f>(D43-F43)/F43</f>
        <v>-1</v>
      </c>
    </row>
    <row r="44" spans="1:7">
      <c r="A44" s="6" t="s">
        <v>78</v>
      </c>
      <c r="B44" s="3" t="s">
        <v>60</v>
      </c>
      <c r="C44" s="4"/>
      <c r="D44" s="7"/>
    </row>
    <row r="45" spans="1:7">
      <c r="A45" s="6" t="s">
        <v>79</v>
      </c>
      <c r="B45" s="3" t="s">
        <v>64</v>
      </c>
      <c r="C45" s="4" t="s">
        <v>49</v>
      </c>
      <c r="D45" s="7">
        <v>729.8</v>
      </c>
    </row>
    <row r="46" spans="1:7">
      <c r="A46" s="6" t="s">
        <v>80</v>
      </c>
      <c r="B46" s="3" t="s">
        <v>66</v>
      </c>
      <c r="C46" s="4" t="s">
        <v>49</v>
      </c>
      <c r="D46" s="7">
        <v>867.45</v>
      </c>
    </row>
    <row r="47" spans="1:7">
      <c r="A47" s="6" t="s">
        <v>81</v>
      </c>
      <c r="B47" s="3" t="s">
        <v>32</v>
      </c>
      <c r="C47" s="4"/>
      <c r="D47" s="7"/>
    </row>
    <row r="48" spans="1:7">
      <c r="A48" s="6" t="s">
        <v>82</v>
      </c>
      <c r="B48" s="3" t="s">
        <v>64</v>
      </c>
      <c r="C48" s="4" t="s">
        <v>49</v>
      </c>
      <c r="D48" s="7">
        <v>1091.45</v>
      </c>
    </row>
    <row r="49" spans="1:7">
      <c r="A49" s="6" t="s">
        <v>83</v>
      </c>
      <c r="B49" s="3" t="s">
        <v>66</v>
      </c>
      <c r="C49" s="4" t="s">
        <v>49</v>
      </c>
      <c r="D49" s="7">
        <v>1297.4</v>
      </c>
    </row>
    <row r="50" spans="1:7">
      <c r="A50" s="6" t="s">
        <v>84</v>
      </c>
      <c r="B50" s="3" t="s">
        <v>34</v>
      </c>
      <c r="C50" s="4"/>
      <c r="D50" s="7"/>
    </row>
    <row r="51" spans="1:7">
      <c r="A51" s="6" t="s">
        <v>85</v>
      </c>
      <c r="B51" s="3" t="s">
        <v>64</v>
      </c>
      <c r="C51" s="4" t="s">
        <v>49</v>
      </c>
      <c r="D51" s="7">
        <v>1496.1</v>
      </c>
    </row>
    <row r="52" spans="1:7">
      <c r="A52" s="6" t="s">
        <v>86</v>
      </c>
      <c r="B52" s="3" t="s">
        <v>66</v>
      </c>
      <c r="C52" s="4" t="s">
        <v>49</v>
      </c>
      <c r="D52" s="7">
        <v>1778.15</v>
      </c>
    </row>
    <row r="53" ht="46.5" customHeight="1" spans="1:7">
      <c r="A53" s="6" t="s">
        <v>87</v>
      </c>
      <c r="B53" s="12" t="s">
        <v>88</v>
      </c>
      <c r="C53" s="4"/>
      <c r="D53" s="7"/>
      <c r="E53" s="31" t="s">
        <v>9</v>
      </c>
      <c r="F53" s="32">
        <v>254</v>
      </c>
      <c r="G53" s="33">
        <f>(D53-F53)/F53</f>
        <v>-1</v>
      </c>
    </row>
    <row r="54" spans="1:7">
      <c r="A54" s="6" t="s">
        <v>89</v>
      </c>
      <c r="B54" s="3" t="s">
        <v>60</v>
      </c>
      <c r="C54" s="4"/>
      <c r="D54" s="7"/>
    </row>
    <row r="55" spans="1:7">
      <c r="A55" s="6" t="s">
        <v>90</v>
      </c>
      <c r="B55" s="3" t="s">
        <v>66</v>
      </c>
      <c r="C55" s="4" t="s">
        <v>49</v>
      </c>
      <c r="D55" s="7">
        <v>2352.25</v>
      </c>
    </row>
    <row r="56" ht="31" customHeight="1" spans="1:7">
      <c r="A56" s="6" t="s">
        <v>91</v>
      </c>
      <c r="B56" s="12" t="s">
        <v>92</v>
      </c>
      <c r="C56" s="4"/>
      <c r="D56" s="14"/>
      <c r="E56" s="31" t="s">
        <v>9</v>
      </c>
    </row>
    <row r="57" spans="1:7">
      <c r="A57" s="6" t="s">
        <v>93</v>
      </c>
      <c r="B57" s="3" t="s">
        <v>94</v>
      </c>
      <c r="C57" s="4" t="s">
        <v>12</v>
      </c>
      <c r="D57" s="7">
        <v>139.95</v>
      </c>
      <c r="E57" s="31" t="s">
        <v>9</v>
      </c>
      <c r="F57" s="32">
        <v>108.55</v>
      </c>
      <c r="G57" s="33">
        <f>(D57-F57)/F57</f>
        <v>0.289267618608936</v>
      </c>
    </row>
    <row r="58" spans="1:7">
      <c r="A58" s="6" t="s">
        <v>95</v>
      </c>
      <c r="B58" s="3" t="s">
        <v>96</v>
      </c>
      <c r="C58" s="4" t="s">
        <v>12</v>
      </c>
      <c r="D58" s="7">
        <v>155.3</v>
      </c>
      <c r="E58" s="31" t="s">
        <v>9</v>
      </c>
      <c r="F58" s="32">
        <v>115.05</v>
      </c>
      <c r="G58" s="33">
        <f>(D58-F58)/F58</f>
        <v>0.349847892220774</v>
      </c>
    </row>
    <row r="59" spans="1:7">
      <c r="A59" s="6" t="s">
        <v>97</v>
      </c>
      <c r="B59" s="3" t="s">
        <v>98</v>
      </c>
      <c r="C59" s="4" t="s">
        <v>12</v>
      </c>
      <c r="D59" s="7">
        <v>189.65</v>
      </c>
      <c r="E59" s="31" t="s">
        <v>9</v>
      </c>
      <c r="F59" s="32">
        <v>129.8</v>
      </c>
      <c r="G59" s="33">
        <f>(D59-F59)/F59</f>
        <v>0.461093990755008</v>
      </c>
    </row>
    <row r="60" ht="46.5" customHeight="1" spans="1:7">
      <c r="A60" s="6" t="s">
        <v>99</v>
      </c>
      <c r="B60" s="12" t="s">
        <v>100</v>
      </c>
      <c r="C60" s="4"/>
      <c r="D60" s="14"/>
      <c r="E60" s="31" t="s">
        <v>9</v>
      </c>
    </row>
    <row r="61" spans="1:7">
      <c r="A61" s="6" t="s">
        <v>101</v>
      </c>
      <c r="B61" s="3" t="s">
        <v>94</v>
      </c>
      <c r="C61" s="4" t="s">
        <v>12</v>
      </c>
      <c r="D61" s="7">
        <v>151.5</v>
      </c>
      <c r="E61" s="31" t="s">
        <v>9</v>
      </c>
      <c r="F61" s="32">
        <v>113.25</v>
      </c>
      <c r="G61" s="33">
        <f>(D61-F61)/F61</f>
        <v>0.337748344370861</v>
      </c>
    </row>
    <row r="62" spans="1:7">
      <c r="A62" s="6" t="s">
        <v>102</v>
      </c>
      <c r="B62" s="3" t="s">
        <v>96</v>
      </c>
      <c r="C62" s="4" t="s">
        <v>12</v>
      </c>
      <c r="D62" s="7">
        <v>184</v>
      </c>
      <c r="E62" s="31" t="s">
        <v>9</v>
      </c>
      <c r="F62" s="32">
        <v>127.25</v>
      </c>
      <c r="G62" s="33">
        <f>(D62-F62)/F62</f>
        <v>0.445972495088409</v>
      </c>
    </row>
    <row r="63" spans="1:7">
      <c r="A63" s="6" t="s">
        <v>103</v>
      </c>
      <c r="B63" s="3" t="s">
        <v>98</v>
      </c>
      <c r="C63" s="4" t="s">
        <v>12</v>
      </c>
      <c r="D63" s="7">
        <v>218.2</v>
      </c>
      <c r="E63" s="31" t="s">
        <v>9</v>
      </c>
      <c r="F63" s="32">
        <v>141.95</v>
      </c>
      <c r="G63" s="33">
        <f>(D63-F63)/F63</f>
        <v>0.5371609721733</v>
      </c>
    </row>
    <row r="64" ht="31" customHeight="1" spans="1:7">
      <c r="A64" s="6" t="s">
        <v>104</v>
      </c>
      <c r="B64" s="12" t="s">
        <v>105</v>
      </c>
      <c r="C64" s="4"/>
      <c r="D64" s="14"/>
      <c r="E64" s="31" t="s">
        <v>9</v>
      </c>
    </row>
    <row r="65" spans="1:7">
      <c r="A65" s="6" t="s">
        <v>106</v>
      </c>
      <c r="B65" s="3" t="s">
        <v>94</v>
      </c>
      <c r="C65" s="4" t="s">
        <v>12</v>
      </c>
      <c r="D65" s="7">
        <v>125.8</v>
      </c>
      <c r="E65" s="31" t="s">
        <v>9</v>
      </c>
      <c r="F65" s="32">
        <v>96.55</v>
      </c>
      <c r="G65" s="33">
        <f>(D65-F65)/F65</f>
        <v>0.302951838425686</v>
      </c>
    </row>
    <row r="66" spans="1:7">
      <c r="A66" s="6" t="s">
        <v>107</v>
      </c>
      <c r="B66" s="3" t="s">
        <v>96</v>
      </c>
      <c r="C66" s="4" t="s">
        <v>12</v>
      </c>
      <c r="D66" s="7">
        <v>144.1</v>
      </c>
      <c r="E66" s="31" t="s">
        <v>9</v>
      </c>
      <c r="F66" s="32">
        <v>104.3</v>
      </c>
      <c r="G66" s="33">
        <f>(D66-F66)/F66</f>
        <v>0.381591562799616</v>
      </c>
    </row>
    <row r="67" spans="1:7">
      <c r="A67" s="6" t="s">
        <v>108</v>
      </c>
      <c r="B67" s="3" t="s">
        <v>98</v>
      </c>
      <c r="C67" s="4" t="s">
        <v>12</v>
      </c>
      <c r="D67" s="7">
        <v>163.15</v>
      </c>
      <c r="E67" s="31" t="s">
        <v>9</v>
      </c>
      <c r="F67" s="32">
        <v>112.55</v>
      </c>
      <c r="G67" s="33">
        <f>(D67-F67)/F67</f>
        <v>0.449577965348734</v>
      </c>
    </row>
    <row r="68" ht="46.5" customHeight="1" spans="1:7">
      <c r="A68" s="6" t="s">
        <v>109</v>
      </c>
      <c r="B68" s="12" t="s">
        <v>110</v>
      </c>
      <c r="C68" s="4" t="s">
        <v>12</v>
      </c>
      <c r="D68" s="7">
        <v>1692.45</v>
      </c>
      <c r="E68" s="31" t="s">
        <v>9</v>
      </c>
      <c r="F68" s="32">
        <v>1380.7</v>
      </c>
      <c r="G68" s="33">
        <f>(D68-F68)/F68</f>
        <v>0.22579126530021</v>
      </c>
    </row>
    <row r="69" ht="31" customHeight="1" spans="1:7">
      <c r="A69" s="6" t="s">
        <v>111</v>
      </c>
      <c r="B69" s="12" t="s">
        <v>112</v>
      </c>
      <c r="C69" s="4"/>
      <c r="D69" s="14"/>
      <c r="E69" s="31" t="s">
        <v>9</v>
      </c>
    </row>
    <row r="70" spans="1:7">
      <c r="A70" s="6" t="s">
        <v>113</v>
      </c>
      <c r="B70" s="3" t="s">
        <v>94</v>
      </c>
      <c r="C70" s="4" t="s">
        <v>12</v>
      </c>
      <c r="D70" s="7">
        <v>72.05</v>
      </c>
      <c r="E70" s="31" t="s">
        <v>9</v>
      </c>
      <c r="F70" s="32">
        <v>55.9</v>
      </c>
      <c r="G70" s="33">
        <f>(D70-F70)/F70</f>
        <v>0.288908765652952</v>
      </c>
    </row>
    <row r="71" spans="1:7">
      <c r="A71" s="6" t="s">
        <v>114</v>
      </c>
      <c r="B71" s="3" t="s">
        <v>96</v>
      </c>
      <c r="C71" s="4" t="s">
        <v>12</v>
      </c>
      <c r="D71" s="7">
        <v>81.6</v>
      </c>
      <c r="E71" s="31" t="s">
        <v>9</v>
      </c>
      <c r="F71" s="32">
        <v>60</v>
      </c>
      <c r="G71" s="33">
        <f>(D71-F71)/F71</f>
        <v>0.36</v>
      </c>
    </row>
    <row r="72" spans="1:7">
      <c r="A72" s="6" t="s">
        <v>115</v>
      </c>
      <c r="B72" s="3" t="s">
        <v>98</v>
      </c>
      <c r="C72" s="4" t="s">
        <v>12</v>
      </c>
      <c r="D72" s="7">
        <v>97.25</v>
      </c>
      <c r="E72" s="31" t="s">
        <v>9</v>
      </c>
      <c r="F72" s="32">
        <v>66.75</v>
      </c>
      <c r="G72" s="33">
        <f>(D72-F72)/F72</f>
        <v>0.456928838951311</v>
      </c>
    </row>
    <row r="73" ht="31" customHeight="1" spans="1:7">
      <c r="A73" s="6" t="s">
        <v>116</v>
      </c>
      <c r="B73" s="12" t="s">
        <v>117</v>
      </c>
      <c r="C73" s="4"/>
      <c r="D73" s="14"/>
      <c r="E73" s="31" t="s">
        <v>9</v>
      </c>
    </row>
    <row r="74" spans="1:7">
      <c r="A74" s="6" t="s">
        <v>118</v>
      </c>
      <c r="B74" s="3" t="s">
        <v>94</v>
      </c>
      <c r="C74" s="4" t="s">
        <v>12</v>
      </c>
      <c r="D74" s="7">
        <v>66.4</v>
      </c>
      <c r="E74" s="31" t="s">
        <v>9</v>
      </c>
      <c r="F74" s="32">
        <v>48.7</v>
      </c>
      <c r="G74" s="33">
        <f>(D74-F74)/F74</f>
        <v>0.363449691991787</v>
      </c>
    </row>
    <row r="75" spans="1:7">
      <c r="A75" s="6" t="s">
        <v>119</v>
      </c>
      <c r="B75" s="3" t="s">
        <v>96</v>
      </c>
      <c r="C75" s="4" t="s">
        <v>12</v>
      </c>
      <c r="D75" s="7">
        <v>81.65</v>
      </c>
      <c r="E75" s="31" t="s">
        <v>9</v>
      </c>
      <c r="F75" s="32">
        <v>55.2</v>
      </c>
      <c r="G75" s="33">
        <f>(D75-F75)/F75</f>
        <v>0.479166666666667</v>
      </c>
    </row>
    <row r="76" spans="1:7">
      <c r="A76" s="6" t="s">
        <v>120</v>
      </c>
      <c r="B76" s="3" t="s">
        <v>98</v>
      </c>
      <c r="C76" s="4" t="s">
        <v>12</v>
      </c>
      <c r="D76" s="7">
        <v>101.85</v>
      </c>
      <c r="E76" s="31" t="s">
        <v>9</v>
      </c>
      <c r="F76" s="32">
        <v>63.85</v>
      </c>
      <c r="G76" s="33">
        <f>(D76-F76)/F76</f>
        <v>0.595144870790916</v>
      </c>
    </row>
    <row r="77" ht="31" customHeight="1" spans="1:7">
      <c r="A77" s="6" t="s">
        <v>121</v>
      </c>
      <c r="B77" s="12" t="s">
        <v>122</v>
      </c>
      <c r="C77" s="4"/>
      <c r="D77" s="14"/>
      <c r="E77" s="31" t="s">
        <v>9</v>
      </c>
    </row>
    <row r="78" spans="1:7">
      <c r="A78" s="6" t="s">
        <v>123</v>
      </c>
      <c r="B78" s="3" t="s">
        <v>94</v>
      </c>
      <c r="C78" s="4" t="s">
        <v>12</v>
      </c>
      <c r="D78" s="7">
        <v>44.85</v>
      </c>
      <c r="E78" s="31" t="s">
        <v>9</v>
      </c>
      <c r="F78" s="32">
        <v>32.95</v>
      </c>
      <c r="G78" s="33">
        <f>(D78-F78)/F78</f>
        <v>0.361153262518968</v>
      </c>
    </row>
    <row r="79" spans="1:7">
      <c r="A79" s="6" t="s">
        <v>124</v>
      </c>
      <c r="B79" s="3" t="s">
        <v>96</v>
      </c>
      <c r="C79" s="4" t="s">
        <v>12</v>
      </c>
      <c r="D79" s="7">
        <v>54.95</v>
      </c>
      <c r="E79" s="31" t="s">
        <v>9</v>
      </c>
      <c r="F79" s="32">
        <v>37.4</v>
      </c>
      <c r="G79" s="33">
        <f>(D79-F79)/F79</f>
        <v>0.469251336898396</v>
      </c>
    </row>
    <row r="80" spans="1:7">
      <c r="A80" s="6" t="s">
        <v>125</v>
      </c>
      <c r="B80" s="3" t="s">
        <v>98</v>
      </c>
      <c r="C80" s="4" t="s">
        <v>12</v>
      </c>
      <c r="D80" s="7">
        <v>71.3</v>
      </c>
      <c r="E80" s="31" t="s">
        <v>9</v>
      </c>
      <c r="F80" s="32">
        <v>44.55</v>
      </c>
      <c r="G80" s="33">
        <f>(D80-F80)/F80</f>
        <v>0.600448933782267</v>
      </c>
    </row>
    <row r="81" ht="31" customHeight="1" spans="1:7">
      <c r="A81" s="6" t="s">
        <v>126</v>
      </c>
      <c r="B81" s="12" t="s">
        <v>127</v>
      </c>
      <c r="C81" s="4" t="s">
        <v>12</v>
      </c>
      <c r="D81" s="7">
        <v>872.55</v>
      </c>
      <c r="E81" s="31" t="s">
        <v>9</v>
      </c>
      <c r="F81" s="32">
        <v>709.45</v>
      </c>
      <c r="G81" s="33">
        <f>(D81-F81)/F81</f>
        <v>0.229896398618648</v>
      </c>
    </row>
    <row r="82" spans="1:7">
      <c r="A82" s="6" t="s">
        <v>128</v>
      </c>
      <c r="B82" s="12" t="s">
        <v>129</v>
      </c>
      <c r="C82" s="4"/>
      <c r="D82" s="14"/>
      <c r="E82" s="31" t="s">
        <v>9</v>
      </c>
    </row>
    <row r="83" spans="1:7">
      <c r="A83" s="6" t="s">
        <v>130</v>
      </c>
      <c r="B83" s="3" t="s">
        <v>131</v>
      </c>
      <c r="C83" s="4" t="s">
        <v>132</v>
      </c>
      <c r="D83" s="13">
        <v>0.2</v>
      </c>
      <c r="E83" s="31" t="s">
        <v>9</v>
      </c>
    </row>
    <row r="84" spans="1:7">
      <c r="A84" s="6" t="s">
        <v>133</v>
      </c>
      <c r="B84" s="3" t="s">
        <v>134</v>
      </c>
      <c r="C84" s="4" t="s">
        <v>132</v>
      </c>
      <c r="D84" s="13">
        <v>0.25</v>
      </c>
      <c r="E84" s="31" t="s">
        <v>9</v>
      </c>
    </row>
    <row r="85" ht="62" customHeight="1" spans="1:7">
      <c r="A85" s="40"/>
      <c r="B85" s="12" t="s">
        <v>135</v>
      </c>
      <c r="C85" s="4"/>
      <c r="D85" s="14"/>
      <c r="E85" s="31" t="s">
        <v>9</v>
      </c>
    </row>
    <row r="86" ht="46.5" customHeight="1" spans="1:7">
      <c r="A86" s="6" t="s">
        <v>136</v>
      </c>
      <c r="B86" s="12" t="s">
        <v>137</v>
      </c>
      <c r="C86" s="4" t="s">
        <v>16</v>
      </c>
      <c r="D86" s="7">
        <v>196</v>
      </c>
      <c r="E86" s="31" t="s">
        <v>9</v>
      </c>
      <c r="F86" s="32">
        <v>125.75</v>
      </c>
      <c r="G86" s="33">
        <f>(D86-F86)/F86</f>
        <v>0.558648111332008</v>
      </c>
    </row>
    <row r="87" ht="62" customHeight="1" spans="1:7">
      <c r="A87" s="6" t="s">
        <v>138</v>
      </c>
      <c r="B87" s="12" t="s">
        <v>139</v>
      </c>
      <c r="C87" s="4" t="s">
        <v>16</v>
      </c>
      <c r="D87" s="7">
        <v>700.5</v>
      </c>
      <c r="E87" s="31" t="s">
        <v>9</v>
      </c>
      <c r="F87" s="32">
        <v>229.8</v>
      </c>
      <c r="G87" s="33">
        <f>(D87-F87)/F87</f>
        <v>2.04830287206266</v>
      </c>
    </row>
    <row r="88" ht="31" customHeight="1" spans="1:7">
      <c r="A88" s="6" t="s">
        <v>140</v>
      </c>
      <c r="B88" s="12" t="s">
        <v>141</v>
      </c>
      <c r="C88" s="4"/>
      <c r="D88" s="14"/>
      <c r="E88" s="31" t="s">
        <v>9</v>
      </c>
    </row>
    <row r="89" spans="1:7">
      <c r="A89" s="6" t="s">
        <v>142</v>
      </c>
      <c r="B89" s="3" t="s">
        <v>11</v>
      </c>
      <c r="C89" s="4" t="s">
        <v>16</v>
      </c>
      <c r="D89" s="7">
        <v>126.8</v>
      </c>
      <c r="E89" s="31" t="s">
        <v>9</v>
      </c>
      <c r="F89" s="32">
        <v>51.75</v>
      </c>
      <c r="G89" s="33">
        <f>(D89-F89)/F89</f>
        <v>1.45024154589372</v>
      </c>
    </row>
    <row r="90" spans="1:7">
      <c r="A90" s="6" t="s">
        <v>143</v>
      </c>
      <c r="B90" s="3" t="s">
        <v>144</v>
      </c>
      <c r="C90" s="4" t="s">
        <v>16</v>
      </c>
      <c r="D90" s="7">
        <v>227.4</v>
      </c>
      <c r="E90" s="31" t="s">
        <v>9</v>
      </c>
      <c r="F90" s="32">
        <v>92.8</v>
      </c>
      <c r="G90" s="33">
        <f>(D90-F90)/F90</f>
        <v>1.45043103448276</v>
      </c>
    </row>
    <row r="91" ht="31" customHeight="1" spans="1:7">
      <c r="A91" s="6" t="s">
        <v>145</v>
      </c>
      <c r="B91" s="12" t="s">
        <v>146</v>
      </c>
      <c r="C91" s="4" t="s">
        <v>16</v>
      </c>
      <c r="D91" s="7">
        <v>2123.75</v>
      </c>
      <c r="E91" s="31" t="s">
        <v>9</v>
      </c>
      <c r="F91" s="32">
        <v>917.75</v>
      </c>
      <c r="G91" s="33">
        <f>(D91-F91)/F91</f>
        <v>1.31408335603378</v>
      </c>
    </row>
    <row r="92" ht="31" customHeight="1" spans="1:7">
      <c r="A92" s="6" t="s">
        <v>147</v>
      </c>
      <c r="B92" s="12" t="s">
        <v>148</v>
      </c>
      <c r="C92" s="4"/>
      <c r="D92" s="14"/>
      <c r="E92" s="31" t="s">
        <v>9</v>
      </c>
    </row>
    <row r="93" spans="1:7">
      <c r="A93" s="6" t="s">
        <v>149</v>
      </c>
      <c r="B93" s="3" t="s">
        <v>11</v>
      </c>
      <c r="C93" s="4" t="s">
        <v>12</v>
      </c>
      <c r="D93" s="7">
        <v>34.15</v>
      </c>
      <c r="E93" s="31" t="s">
        <v>9</v>
      </c>
      <c r="F93" s="32">
        <v>13.95</v>
      </c>
      <c r="G93" s="33">
        <f>(D93-F93)/F93</f>
        <v>1.44802867383513</v>
      </c>
    </row>
    <row r="94" spans="1:7">
      <c r="A94" s="6" t="s">
        <v>150</v>
      </c>
      <c r="B94" s="12" t="s">
        <v>151</v>
      </c>
      <c r="C94" s="4"/>
      <c r="D94" s="14"/>
      <c r="E94" s="31" t="s">
        <v>9</v>
      </c>
    </row>
    <row r="95" spans="1:7">
      <c r="A95" s="6" t="s">
        <v>152</v>
      </c>
      <c r="B95" s="3" t="s">
        <v>11</v>
      </c>
      <c r="C95" s="4" t="s">
        <v>12</v>
      </c>
      <c r="D95" s="7">
        <v>34.6</v>
      </c>
      <c r="E95" s="31" t="s">
        <v>9</v>
      </c>
      <c r="F95" s="32">
        <v>14.1</v>
      </c>
      <c r="G95" s="33">
        <f>(D95-F95)/F95</f>
        <v>1.45390070921986</v>
      </c>
    </row>
    <row r="96" ht="62" customHeight="1" spans="1:7">
      <c r="A96" s="6" t="s">
        <v>153</v>
      </c>
      <c r="B96" s="12" t="s">
        <v>154</v>
      </c>
      <c r="C96" s="4"/>
      <c r="D96" s="14"/>
      <c r="E96" s="31" t="s">
        <v>9</v>
      </c>
    </row>
    <row r="97" spans="1:7">
      <c r="A97" s="6" t="s">
        <v>155</v>
      </c>
      <c r="B97" s="3" t="s">
        <v>11</v>
      </c>
      <c r="C97" s="4" t="s">
        <v>156</v>
      </c>
      <c r="D97" s="7">
        <v>82.45</v>
      </c>
      <c r="E97" s="31" t="s">
        <v>9</v>
      </c>
      <c r="F97" s="32">
        <v>52.65</v>
      </c>
      <c r="G97" s="33">
        <f t="shared" ref="G97:G102" si="0">(D97-F97)/F97</f>
        <v>0.566001899335233</v>
      </c>
    </row>
    <row r="98" spans="1:7">
      <c r="A98" s="6" t="s">
        <v>157</v>
      </c>
      <c r="B98" s="3" t="s">
        <v>30</v>
      </c>
      <c r="C98" s="4" t="s">
        <v>156</v>
      </c>
      <c r="D98" s="7">
        <v>194.25</v>
      </c>
      <c r="E98" s="31" t="s">
        <v>9</v>
      </c>
      <c r="F98" s="32">
        <v>85.45</v>
      </c>
      <c r="G98" s="33">
        <f t="shared" si="0"/>
        <v>1.27325921591574</v>
      </c>
    </row>
    <row r="99" spans="1:7">
      <c r="A99" s="6" t="s">
        <v>158</v>
      </c>
      <c r="B99" s="3" t="s">
        <v>32</v>
      </c>
      <c r="C99" s="4" t="s">
        <v>156</v>
      </c>
      <c r="D99" s="7">
        <v>319.3</v>
      </c>
      <c r="E99" s="31" t="s">
        <v>9</v>
      </c>
      <c r="F99" s="32">
        <v>142.55</v>
      </c>
      <c r="G99" s="33">
        <f t="shared" si="0"/>
        <v>1.23991581901087</v>
      </c>
    </row>
    <row r="100" spans="1:7">
      <c r="A100" s="6" t="s">
        <v>159</v>
      </c>
      <c r="B100" s="3" t="s">
        <v>34</v>
      </c>
      <c r="C100" s="4" t="s">
        <v>156</v>
      </c>
      <c r="D100" s="7">
        <v>461.3</v>
      </c>
      <c r="E100" s="31" t="s">
        <v>9</v>
      </c>
      <c r="F100" s="32">
        <v>199.7</v>
      </c>
      <c r="G100" s="33">
        <f t="shared" si="0"/>
        <v>1.30996494742113</v>
      </c>
    </row>
    <row r="101" ht="46.5" customHeight="1" spans="1:7">
      <c r="A101" s="6" t="s">
        <v>160</v>
      </c>
      <c r="B101" s="12" t="s">
        <v>161</v>
      </c>
      <c r="C101" s="4" t="s">
        <v>12</v>
      </c>
      <c r="D101" s="7">
        <v>17.6</v>
      </c>
      <c r="E101" s="31" t="s">
        <v>9</v>
      </c>
      <c r="F101" s="32">
        <v>7.2</v>
      </c>
      <c r="G101" s="33">
        <f t="shared" si="0"/>
        <v>1.44444444444444</v>
      </c>
    </row>
    <row r="102" ht="31" customHeight="1" spans="1:7">
      <c r="A102" s="6" t="s">
        <v>162</v>
      </c>
      <c r="B102" s="12" t="s">
        <v>163</v>
      </c>
      <c r="C102" s="4" t="s">
        <v>12</v>
      </c>
      <c r="D102" s="7">
        <v>8.95</v>
      </c>
      <c r="E102" s="31" t="s">
        <v>9</v>
      </c>
      <c r="F102" s="32">
        <v>3.65</v>
      </c>
      <c r="G102" s="33">
        <f t="shared" si="0"/>
        <v>1.45205479452055</v>
      </c>
    </row>
    <row r="103" ht="46.5" customHeight="1" spans="1:7">
      <c r="A103" s="6" t="s">
        <v>164</v>
      </c>
      <c r="B103" s="12" t="s">
        <v>165</v>
      </c>
      <c r="C103" s="4"/>
      <c r="D103" s="14"/>
      <c r="E103" s="31" t="s">
        <v>9</v>
      </c>
    </row>
    <row r="104" spans="1:7">
      <c r="A104" s="6" t="s">
        <v>166</v>
      </c>
      <c r="B104" s="3" t="s">
        <v>167</v>
      </c>
      <c r="C104" s="4" t="s">
        <v>156</v>
      </c>
      <c r="D104" s="7">
        <v>532.35</v>
      </c>
      <c r="E104" s="31" t="s">
        <v>9</v>
      </c>
      <c r="F104" s="32">
        <v>219.2</v>
      </c>
      <c r="G104" s="33">
        <f>(D104-F104)/F104</f>
        <v>1.42860401459854</v>
      </c>
    </row>
    <row r="105" spans="1:7">
      <c r="A105" s="6" t="s">
        <v>168</v>
      </c>
      <c r="B105" s="3" t="s">
        <v>169</v>
      </c>
      <c r="C105" s="4" t="s">
        <v>156</v>
      </c>
      <c r="D105" s="7">
        <v>2373.5</v>
      </c>
      <c r="E105" s="31" t="s">
        <v>9</v>
      </c>
      <c r="F105" s="32">
        <v>972.7</v>
      </c>
      <c r="G105" s="33">
        <f>(D105-F105)/F105</f>
        <v>1.44011514341524</v>
      </c>
    </row>
    <row r="106" spans="1:7">
      <c r="A106" s="6" t="s">
        <v>170</v>
      </c>
      <c r="B106" s="3" t="s">
        <v>171</v>
      </c>
      <c r="C106" s="4" t="s">
        <v>156</v>
      </c>
      <c r="D106" s="7">
        <v>11020.15</v>
      </c>
      <c r="E106" s="31" t="s">
        <v>9</v>
      </c>
      <c r="F106" s="32">
        <v>4504.25</v>
      </c>
      <c r="G106" s="33">
        <f>(D106-F106)/F106</f>
        <v>1.44661153355165</v>
      </c>
    </row>
    <row r="107" spans="1:7">
      <c r="A107" s="6" t="s">
        <v>172</v>
      </c>
      <c r="B107" s="3" t="s">
        <v>173</v>
      </c>
      <c r="C107" s="4" t="s">
        <v>156</v>
      </c>
      <c r="D107" s="7">
        <v>22075.2</v>
      </c>
      <c r="E107" s="31" t="s">
        <v>9</v>
      </c>
      <c r="F107" s="32">
        <v>9030.15</v>
      </c>
      <c r="G107" s="33">
        <f>(D107-F107)/F107</f>
        <v>1.44461055464195</v>
      </c>
    </row>
    <row r="108" spans="1:7">
      <c r="A108" s="6" t="s">
        <v>174</v>
      </c>
      <c r="B108" s="12" t="s">
        <v>175</v>
      </c>
      <c r="C108" s="4"/>
      <c r="D108" s="14"/>
      <c r="E108" s="31" t="s">
        <v>9</v>
      </c>
    </row>
    <row r="109" spans="1:7">
      <c r="A109" s="6" t="s">
        <v>176</v>
      </c>
      <c r="B109" s="3" t="s">
        <v>177</v>
      </c>
      <c r="C109" s="4" t="s">
        <v>178</v>
      </c>
      <c r="D109" s="7">
        <v>234.75</v>
      </c>
      <c r="E109" s="31" t="s">
        <v>9</v>
      </c>
      <c r="F109" s="32">
        <v>185.95</v>
      </c>
      <c r="G109" s="33">
        <f>(D109-F109)/F109</f>
        <v>0.262436138746975</v>
      </c>
    </row>
    <row r="110" ht="31" customHeight="1" spans="1:7">
      <c r="A110" s="6" t="s">
        <v>179</v>
      </c>
      <c r="B110" s="12" t="s">
        <v>180</v>
      </c>
      <c r="C110" s="4"/>
      <c r="D110" s="14"/>
      <c r="E110" s="31" t="s">
        <v>9</v>
      </c>
    </row>
    <row r="111" ht="46.5" customHeight="1" spans="1:7">
      <c r="A111" s="6" t="s">
        <v>181</v>
      </c>
      <c r="B111" s="3" t="s">
        <v>182</v>
      </c>
      <c r="C111" s="4"/>
      <c r="D111" s="14"/>
      <c r="E111" s="31" t="s">
        <v>9</v>
      </c>
    </row>
    <row r="112" spans="1:7">
      <c r="A112" s="6" t="s">
        <v>183</v>
      </c>
      <c r="B112" s="3" t="s">
        <v>184</v>
      </c>
      <c r="C112" s="4" t="s">
        <v>49</v>
      </c>
      <c r="D112" s="7">
        <v>38.9</v>
      </c>
      <c r="E112" s="31" t="s">
        <v>9</v>
      </c>
      <c r="F112" s="32">
        <v>16.8</v>
      </c>
      <c r="G112" s="33">
        <f>(D112-F112)/F112</f>
        <v>1.31547619047619</v>
      </c>
    </row>
    <row r="113" ht="31" customHeight="1" spans="1:7">
      <c r="A113" s="6" t="s">
        <v>185</v>
      </c>
      <c r="B113" s="3" t="s">
        <v>186</v>
      </c>
      <c r="C113" s="4"/>
      <c r="D113" s="14"/>
      <c r="E113" s="31" t="s">
        <v>9</v>
      </c>
    </row>
    <row r="114" spans="1:7">
      <c r="A114" s="6" t="s">
        <v>187</v>
      </c>
      <c r="B114" s="3" t="s">
        <v>184</v>
      </c>
      <c r="C114" s="4" t="s">
        <v>49</v>
      </c>
      <c r="D114" s="7">
        <v>53.45</v>
      </c>
      <c r="E114" s="31" t="s">
        <v>9</v>
      </c>
      <c r="F114" s="32">
        <v>24.3</v>
      </c>
      <c r="G114" s="33">
        <f>(D114-F114)/F114</f>
        <v>1.19958847736626</v>
      </c>
    </row>
    <row r="115" ht="46.5" customHeight="1" spans="1:7">
      <c r="A115" s="6" t="s">
        <v>188</v>
      </c>
      <c r="B115" s="3" t="s">
        <v>189</v>
      </c>
      <c r="C115" s="4"/>
      <c r="D115" s="14"/>
      <c r="E115" s="31" t="s">
        <v>9</v>
      </c>
    </row>
    <row r="116" spans="1:7">
      <c r="A116" s="6" t="s">
        <v>190</v>
      </c>
      <c r="B116" s="3" t="s">
        <v>191</v>
      </c>
      <c r="C116" s="4" t="s">
        <v>12</v>
      </c>
      <c r="D116" s="7">
        <v>310.05</v>
      </c>
      <c r="E116" s="31" t="s">
        <v>9</v>
      </c>
      <c r="F116" s="32">
        <v>131.9</v>
      </c>
      <c r="G116" s="33">
        <f>(D116-F116)/F116</f>
        <v>1.35064442759666</v>
      </c>
    </row>
    <row r="117" ht="46.5" customHeight="1" spans="1:7">
      <c r="A117" s="6" t="s">
        <v>192</v>
      </c>
      <c r="B117" s="3" t="s">
        <v>193</v>
      </c>
      <c r="C117" s="4"/>
      <c r="D117" s="14"/>
      <c r="E117" s="31" t="s">
        <v>9</v>
      </c>
    </row>
    <row r="118" spans="1:7">
      <c r="A118" s="6" t="s">
        <v>194</v>
      </c>
      <c r="B118" s="3" t="s">
        <v>191</v>
      </c>
      <c r="C118" s="4" t="s">
        <v>49</v>
      </c>
      <c r="D118" s="7">
        <v>43</v>
      </c>
      <c r="E118" s="31" t="s">
        <v>9</v>
      </c>
      <c r="F118" s="32">
        <v>19.05</v>
      </c>
      <c r="G118" s="33">
        <f>(D118-F118)/F118</f>
        <v>1.25721784776903</v>
      </c>
    </row>
    <row r="119" ht="46.5" customHeight="1" spans="1:7">
      <c r="A119" s="6" t="s">
        <v>195</v>
      </c>
      <c r="B119" s="3" t="s">
        <v>196</v>
      </c>
      <c r="C119" s="4" t="s">
        <v>49</v>
      </c>
      <c r="D119" s="7">
        <v>279.7</v>
      </c>
      <c r="E119" s="31" t="s">
        <v>9</v>
      </c>
      <c r="F119" s="32">
        <v>191.4</v>
      </c>
      <c r="G119" s="33">
        <f>(D119-F119)/F119</f>
        <v>0.461337513061651</v>
      </c>
    </row>
    <row r="120" ht="31" customHeight="1" spans="1:7">
      <c r="A120" s="6" t="s">
        <v>197</v>
      </c>
      <c r="B120" s="12" t="s">
        <v>198</v>
      </c>
      <c r="C120" s="4" t="s">
        <v>16</v>
      </c>
      <c r="D120" s="7">
        <v>93.05</v>
      </c>
      <c r="E120" s="31" t="s">
        <v>9</v>
      </c>
      <c r="F120" s="32">
        <v>37.95</v>
      </c>
      <c r="G120" s="33">
        <f>(D120-F120)/F120</f>
        <v>1.45191040843215</v>
      </c>
    </row>
    <row r="121" ht="46.5" customHeight="1" spans="1:7">
      <c r="A121" s="6" t="s">
        <v>199</v>
      </c>
      <c r="B121" s="12" t="s">
        <v>200</v>
      </c>
      <c r="C121" s="4" t="s">
        <v>16</v>
      </c>
      <c r="D121" s="7">
        <v>281.05</v>
      </c>
      <c r="E121" s="31" t="s">
        <v>9</v>
      </c>
      <c r="F121" s="32">
        <v>129.8</v>
      </c>
      <c r="G121" s="33">
        <f>(D121-F121)/F121</f>
        <v>1.16525423728814</v>
      </c>
    </row>
    <row r="122" ht="93" customHeight="1" spans="1:7">
      <c r="A122" s="6" t="s">
        <v>201</v>
      </c>
      <c r="B122" s="12" t="s">
        <v>202</v>
      </c>
      <c r="C122" s="4" t="s">
        <v>16</v>
      </c>
      <c r="D122" s="7">
        <v>308.2</v>
      </c>
      <c r="E122" s="31" t="s">
        <v>9</v>
      </c>
      <c r="F122" s="32">
        <v>125.75</v>
      </c>
      <c r="G122" s="33">
        <f>(D122-F122)/F122</f>
        <v>1.45089463220676</v>
      </c>
    </row>
    <row r="123" spans="1:7">
      <c r="A123" s="31"/>
      <c r="D123" s="15"/>
    </row>
    <row r="124" spans="1:7">
      <c r="A124" s="31"/>
      <c r="D124" s="15"/>
    </row>
    <row r="125" spans="1:7">
      <c r="A125" s="41" t="s">
        <v>203</v>
      </c>
      <c r="C125" s="31"/>
      <c r="D125" s="31"/>
    </row>
    <row r="126" spans="1:7">
      <c r="C126" s="28"/>
      <c r="D126" s="28"/>
    </row>
    <row r="127" spans="1:7">
      <c r="A127" s="6" t="s">
        <v>204</v>
      </c>
      <c r="B127" s="12" t="s">
        <v>2</v>
      </c>
      <c r="C127" s="4" t="s">
        <v>205</v>
      </c>
      <c r="D127" s="14" t="s">
        <v>4</v>
      </c>
      <c r="E127" s="31" t="s">
        <v>9</v>
      </c>
    </row>
    <row r="128" spans="1:7">
      <c r="A128" s="6" t="s">
        <v>206</v>
      </c>
      <c r="B128" s="12" t="s">
        <v>207</v>
      </c>
      <c r="C128" s="4" t="s">
        <v>16</v>
      </c>
      <c r="D128" s="7">
        <v>6658.25</v>
      </c>
      <c r="E128" s="31" t="s">
        <v>9</v>
      </c>
      <c r="F128" s="32">
        <v>6897.95</v>
      </c>
      <c r="G128" s="33">
        <f t="shared" ref="G128:G146" si="1">(D128-F128)/F128</f>
        <v>-0.0347494545480903</v>
      </c>
    </row>
    <row r="129" spans="1:7">
      <c r="A129" s="6" t="s">
        <v>208</v>
      </c>
      <c r="B129" s="12" t="s">
        <v>209</v>
      </c>
      <c r="C129" s="4" t="s">
        <v>16</v>
      </c>
      <c r="D129" s="7">
        <v>5138</v>
      </c>
      <c r="E129" s="31" t="s">
        <v>9</v>
      </c>
      <c r="F129" s="32">
        <v>5133.75</v>
      </c>
      <c r="G129" s="33">
        <f t="shared" si="1"/>
        <v>0.000827854881908936</v>
      </c>
    </row>
    <row r="130" spans="1:7">
      <c r="A130" s="6" t="s">
        <v>210</v>
      </c>
      <c r="B130" s="12" t="s">
        <v>211</v>
      </c>
      <c r="C130" s="4" t="s">
        <v>16</v>
      </c>
      <c r="D130" s="7">
        <v>4379.05</v>
      </c>
      <c r="E130" s="31" t="s">
        <v>9</v>
      </c>
      <c r="F130" s="32">
        <v>4252.7</v>
      </c>
      <c r="G130" s="33">
        <f t="shared" si="1"/>
        <v>0.0297105368354223</v>
      </c>
    </row>
    <row r="131" spans="1:7">
      <c r="A131" s="6" t="s">
        <v>212</v>
      </c>
      <c r="B131" s="12" t="s">
        <v>213</v>
      </c>
      <c r="C131" s="4" t="s">
        <v>16</v>
      </c>
      <c r="D131" s="7">
        <v>3708.8</v>
      </c>
      <c r="E131" s="31" t="s">
        <v>9</v>
      </c>
      <c r="F131" s="32">
        <v>3499.7</v>
      </c>
      <c r="G131" s="33">
        <f t="shared" si="1"/>
        <v>0.0597479783981485</v>
      </c>
    </row>
    <row r="132" spans="1:7">
      <c r="A132" s="6" t="s">
        <v>214</v>
      </c>
      <c r="B132" s="12" t="s">
        <v>215</v>
      </c>
      <c r="C132" s="4" t="s">
        <v>16</v>
      </c>
      <c r="D132" s="7">
        <v>3347.85</v>
      </c>
      <c r="E132" s="31" t="s">
        <v>9</v>
      </c>
      <c r="F132" s="32">
        <v>3094.25</v>
      </c>
      <c r="G132" s="33">
        <f t="shared" si="1"/>
        <v>0.0819584713581643</v>
      </c>
    </row>
    <row r="133" spans="1:7">
      <c r="A133" s="6" t="s">
        <v>216</v>
      </c>
      <c r="B133" s="12" t="s">
        <v>217</v>
      </c>
      <c r="C133" s="4" t="s">
        <v>16</v>
      </c>
      <c r="D133" s="7">
        <v>3038.5</v>
      </c>
      <c r="E133" s="31" t="s">
        <v>9</v>
      </c>
      <c r="F133" s="32">
        <v>2746.7</v>
      </c>
      <c r="G133" s="33">
        <f t="shared" si="1"/>
        <v>0.10623657479885</v>
      </c>
    </row>
    <row r="134" spans="1:7">
      <c r="A134" s="6" t="s">
        <v>218</v>
      </c>
      <c r="B134" s="12" t="s">
        <v>219</v>
      </c>
      <c r="C134" s="4" t="s">
        <v>16</v>
      </c>
      <c r="D134" s="7">
        <v>5584.5</v>
      </c>
      <c r="E134" s="31" t="s">
        <v>9</v>
      </c>
      <c r="F134" s="32">
        <v>5551.75</v>
      </c>
      <c r="G134" s="33">
        <f t="shared" si="1"/>
        <v>0.00589904084297744</v>
      </c>
    </row>
    <row r="135" spans="1:7">
      <c r="A135" s="6" t="s">
        <v>220</v>
      </c>
      <c r="B135" s="12" t="s">
        <v>221</v>
      </c>
      <c r="C135" s="4" t="s">
        <v>16</v>
      </c>
      <c r="D135" s="7">
        <v>4881.95</v>
      </c>
      <c r="E135" s="31" t="s">
        <v>9</v>
      </c>
      <c r="F135" s="32">
        <v>4723.5</v>
      </c>
      <c r="G135" s="33">
        <f t="shared" si="1"/>
        <v>0.0335450407536784</v>
      </c>
    </row>
    <row r="136" spans="1:7">
      <c r="A136" s="6" t="s">
        <v>222</v>
      </c>
      <c r="B136" s="12" t="s">
        <v>223</v>
      </c>
      <c r="C136" s="4" t="s">
        <v>16</v>
      </c>
      <c r="D136" s="7">
        <v>4211.7</v>
      </c>
      <c r="E136" s="31" t="s">
        <v>9</v>
      </c>
      <c r="F136" s="32">
        <v>3970.5</v>
      </c>
      <c r="G136" s="33">
        <f t="shared" si="1"/>
        <v>0.0607480166225916</v>
      </c>
    </row>
    <row r="137" spans="1:7">
      <c r="A137" s="6" t="s">
        <v>224</v>
      </c>
      <c r="B137" s="12" t="s">
        <v>225</v>
      </c>
      <c r="C137" s="4" t="s">
        <v>16</v>
      </c>
      <c r="D137" s="7">
        <v>3850.75</v>
      </c>
      <c r="E137" s="31" t="s">
        <v>9</v>
      </c>
      <c r="F137" s="32">
        <v>3565.05</v>
      </c>
      <c r="G137" s="33">
        <f t="shared" si="1"/>
        <v>0.0801391284834714</v>
      </c>
    </row>
    <row r="138" spans="1:7">
      <c r="A138" s="6" t="s">
        <v>226</v>
      </c>
      <c r="B138" s="12" t="s">
        <v>227</v>
      </c>
      <c r="C138" s="4" t="s">
        <v>16</v>
      </c>
      <c r="D138" s="7">
        <v>3541.4</v>
      </c>
      <c r="E138" s="31" t="s">
        <v>9</v>
      </c>
      <c r="F138" s="32">
        <v>3217.5</v>
      </c>
      <c r="G138" s="33">
        <f t="shared" si="1"/>
        <v>0.100668220668221</v>
      </c>
    </row>
    <row r="139" spans="1:7">
      <c r="A139" s="6" t="s">
        <v>228</v>
      </c>
      <c r="B139" s="12" t="s">
        <v>229</v>
      </c>
      <c r="C139" s="4" t="s">
        <v>16</v>
      </c>
      <c r="D139" s="7">
        <v>5252</v>
      </c>
      <c r="E139" s="31" t="s">
        <v>9</v>
      </c>
      <c r="F139" s="32">
        <v>5233.5</v>
      </c>
      <c r="G139" s="33">
        <f t="shared" si="1"/>
        <v>0.00353491927008694</v>
      </c>
    </row>
    <row r="140" spans="1:7">
      <c r="A140" s="6" t="s">
        <v>230</v>
      </c>
      <c r="B140" s="12" t="s">
        <v>231</v>
      </c>
      <c r="C140" s="4" t="s">
        <v>16</v>
      </c>
      <c r="D140" s="7">
        <v>5328</v>
      </c>
      <c r="E140" s="31" t="s">
        <v>9</v>
      </c>
      <c r="F140" s="32">
        <v>5361.75</v>
      </c>
      <c r="G140" s="33">
        <f t="shared" si="1"/>
        <v>-0.00629458665547629</v>
      </c>
    </row>
    <row r="141" spans="1:7">
      <c r="A141" s="6" t="s">
        <v>232</v>
      </c>
      <c r="B141" s="12" t="s">
        <v>233</v>
      </c>
      <c r="C141" s="4" t="s">
        <v>16</v>
      </c>
      <c r="D141" s="7">
        <v>3561.85</v>
      </c>
      <c r="E141" s="31" t="s">
        <v>9</v>
      </c>
      <c r="F141" s="32">
        <v>3351.05</v>
      </c>
      <c r="G141" s="33">
        <f t="shared" si="1"/>
        <v>0.0629056564360423</v>
      </c>
    </row>
    <row r="142" spans="1:7">
      <c r="A142" s="6" t="s">
        <v>234</v>
      </c>
      <c r="B142" s="12" t="s">
        <v>235</v>
      </c>
      <c r="C142" s="4" t="s">
        <v>16</v>
      </c>
      <c r="D142" s="7">
        <v>8961.9</v>
      </c>
      <c r="E142" s="31" t="s">
        <v>9</v>
      </c>
      <c r="F142" s="32">
        <v>9101.75</v>
      </c>
      <c r="G142" s="33">
        <f t="shared" si="1"/>
        <v>-0.0153651770263961</v>
      </c>
    </row>
    <row r="143" spans="1:7">
      <c r="A143" s="6" t="s">
        <v>236</v>
      </c>
      <c r="B143" s="12" t="s">
        <v>237</v>
      </c>
      <c r="C143" s="4" t="s">
        <v>16</v>
      </c>
      <c r="D143" s="7">
        <v>7318.5</v>
      </c>
      <c r="E143" s="31" t="s">
        <v>9</v>
      </c>
      <c r="F143" s="32">
        <v>7314.5</v>
      </c>
      <c r="G143" s="33">
        <f t="shared" si="1"/>
        <v>0.000546858978740857</v>
      </c>
    </row>
    <row r="144" spans="1:7">
      <c r="A144" s="6" t="s">
        <v>238</v>
      </c>
      <c r="B144" s="12" t="s">
        <v>239</v>
      </c>
      <c r="C144" s="4" t="s">
        <v>16</v>
      </c>
      <c r="D144" s="7">
        <v>5218.5</v>
      </c>
      <c r="E144" s="31" t="s">
        <v>9</v>
      </c>
      <c r="F144" s="32">
        <v>5056.05</v>
      </c>
      <c r="G144" s="33">
        <f t="shared" si="1"/>
        <v>0.0321298246654997</v>
      </c>
    </row>
    <row r="145" spans="1:7">
      <c r="A145" s="6" t="s">
        <v>240</v>
      </c>
      <c r="B145" s="12" t="s">
        <v>241</v>
      </c>
      <c r="C145" s="4" t="s">
        <v>16</v>
      </c>
      <c r="D145" s="7">
        <v>940.55</v>
      </c>
      <c r="E145" s="31" t="s">
        <v>9</v>
      </c>
      <c r="F145" s="32">
        <v>533.2</v>
      </c>
      <c r="G145" s="33">
        <f t="shared" si="1"/>
        <v>0.763972243060765</v>
      </c>
    </row>
    <row r="146" spans="1:7">
      <c r="A146" s="6" t="s">
        <v>242</v>
      </c>
      <c r="B146" s="12" t="s">
        <v>243</v>
      </c>
      <c r="C146" s="4" t="s">
        <v>16</v>
      </c>
      <c r="D146" s="7">
        <v>2880.65</v>
      </c>
      <c r="E146" s="31" t="s">
        <v>9</v>
      </c>
      <c r="F146" s="32">
        <v>2429.95</v>
      </c>
      <c r="G146" s="33">
        <f t="shared" si="1"/>
        <v>0.185477067429371</v>
      </c>
    </row>
    <row r="147" spans="1:7">
      <c r="A147" s="31"/>
      <c r="D147" s="15"/>
    </row>
    <row r="148" spans="1:7">
      <c r="A148" s="31"/>
      <c r="D148" s="15"/>
    </row>
    <row r="149" spans="1:7">
      <c r="A149" s="31"/>
      <c r="D149" s="15"/>
    </row>
    <row r="150" spans="1:7">
      <c r="A150" s="31"/>
      <c r="D150" s="15"/>
    </row>
    <row r="151" spans="1:7">
      <c r="A151" s="31"/>
      <c r="D151" s="15"/>
    </row>
    <row r="152" spans="1:7">
      <c r="A152" s="41" t="s">
        <v>244</v>
      </c>
      <c r="C152" s="31"/>
      <c r="D152" s="31"/>
    </row>
    <row r="153" spans="1:7">
      <c r="A153" s="6" t="s">
        <v>204</v>
      </c>
      <c r="B153" s="12" t="s">
        <v>2</v>
      </c>
      <c r="C153" s="4" t="s">
        <v>205</v>
      </c>
      <c r="D153" s="14" t="s">
        <v>4</v>
      </c>
      <c r="E153" s="31" t="s">
        <v>9</v>
      </c>
    </row>
    <row r="154" spans="1:7">
      <c r="A154" s="40"/>
      <c r="B154" s="12" t="s">
        <v>245</v>
      </c>
      <c r="C154" s="4"/>
      <c r="D154" s="14"/>
      <c r="E154" s="31" t="s">
        <v>9</v>
      </c>
    </row>
    <row r="155" ht="31" customHeight="1" spans="1:7">
      <c r="A155" s="6" t="s">
        <v>246</v>
      </c>
      <c r="B155" s="12" t="s">
        <v>247</v>
      </c>
      <c r="C155" s="4"/>
      <c r="D155" s="14"/>
      <c r="E155" s="31" t="s">
        <v>9</v>
      </c>
    </row>
    <row r="156" ht="31" customHeight="1" spans="1:7">
      <c r="A156" s="6" t="s">
        <v>248</v>
      </c>
      <c r="B156" s="3" t="s">
        <v>249</v>
      </c>
      <c r="C156" s="4" t="s">
        <v>16</v>
      </c>
      <c r="D156" s="7">
        <v>8340.85</v>
      </c>
      <c r="E156" s="31" t="s">
        <v>9</v>
      </c>
      <c r="F156" s="32">
        <v>5924.65</v>
      </c>
      <c r="G156" s="33">
        <f>(D156-F156)/F156</f>
        <v>0.407821559079439</v>
      </c>
    </row>
    <row r="157" ht="46.5" customHeight="1" spans="1:7">
      <c r="A157" s="6" t="s">
        <v>250</v>
      </c>
      <c r="B157" s="3" t="s">
        <v>251</v>
      </c>
      <c r="C157" s="4" t="s">
        <v>16</v>
      </c>
      <c r="D157" s="7">
        <v>8127.8</v>
      </c>
    </row>
    <row r="158" ht="31" customHeight="1" spans="1:7">
      <c r="A158" s="6" t="s">
        <v>252</v>
      </c>
      <c r="B158" s="3" t="s">
        <v>253</v>
      </c>
      <c r="C158" s="4" t="s">
        <v>16</v>
      </c>
      <c r="D158" s="7">
        <v>7878.5</v>
      </c>
      <c r="E158" s="31" t="s">
        <v>9</v>
      </c>
      <c r="F158" s="32">
        <v>5481.95</v>
      </c>
      <c r="G158" s="33">
        <f>(D158-F158)/F158</f>
        <v>0.437171079634072</v>
      </c>
    </row>
    <row r="159" ht="46.5" customHeight="1" spans="1:7">
      <c r="A159" s="6" t="s">
        <v>254</v>
      </c>
      <c r="B159" s="3" t="s">
        <v>255</v>
      </c>
      <c r="C159" s="4" t="s">
        <v>16</v>
      </c>
      <c r="D159" s="7">
        <v>7654.85</v>
      </c>
    </row>
    <row r="160" ht="31" customHeight="1" spans="1:7">
      <c r="A160" s="6" t="s">
        <v>256</v>
      </c>
      <c r="B160" s="3" t="s">
        <v>257</v>
      </c>
      <c r="C160" s="4" t="s">
        <v>16</v>
      </c>
      <c r="D160" s="7">
        <v>7780.3</v>
      </c>
      <c r="E160" s="31" t="s">
        <v>9</v>
      </c>
      <c r="F160" s="32">
        <v>5390.45</v>
      </c>
      <c r="G160" s="33">
        <f>(D160-F160)/F160</f>
        <v>0.443348885529038</v>
      </c>
    </row>
    <row r="161" ht="31" customHeight="1" spans="1:7">
      <c r="A161" s="6" t="s">
        <v>258</v>
      </c>
      <c r="B161" s="3" t="s">
        <v>259</v>
      </c>
      <c r="C161" s="4" t="s">
        <v>16</v>
      </c>
      <c r="D161" s="7">
        <v>7294.7</v>
      </c>
      <c r="E161" s="31" t="s">
        <v>9</v>
      </c>
      <c r="F161" s="32">
        <v>4927</v>
      </c>
      <c r="G161" s="33">
        <f>(D161-F161)/F161</f>
        <v>0.480556119342399</v>
      </c>
    </row>
    <row r="162" ht="31" customHeight="1" spans="1:7">
      <c r="A162" s="6" t="s">
        <v>260</v>
      </c>
      <c r="B162" s="3" t="s">
        <v>261</v>
      </c>
      <c r="C162" s="4" t="s">
        <v>16</v>
      </c>
      <c r="D162" s="7">
        <v>6347.75</v>
      </c>
    </row>
    <row r="163" ht="31" customHeight="1" spans="1:7">
      <c r="A163" s="6" t="s">
        <v>262</v>
      </c>
      <c r="B163" s="3" t="s">
        <v>263</v>
      </c>
      <c r="C163" s="4" t="s">
        <v>16</v>
      </c>
      <c r="D163" s="7">
        <v>5639.85</v>
      </c>
    </row>
    <row r="164" ht="31" customHeight="1" spans="1:7">
      <c r="A164" s="6" t="s">
        <v>264</v>
      </c>
      <c r="B164" s="3" t="s">
        <v>265</v>
      </c>
      <c r="C164" s="4" t="s">
        <v>16</v>
      </c>
      <c r="D164" s="7">
        <v>7178.75</v>
      </c>
      <c r="E164" s="31" t="s">
        <v>9</v>
      </c>
      <c r="F164" s="32">
        <v>4814.55</v>
      </c>
      <c r="G164" s="33">
        <f>(D164-F164)/F164</f>
        <v>0.491053161770051</v>
      </c>
    </row>
    <row r="165" ht="31" customHeight="1" spans="1:7">
      <c r="A165" s="6" t="s">
        <v>266</v>
      </c>
      <c r="B165" s="3" t="s">
        <v>267</v>
      </c>
      <c r="C165" s="4" t="s">
        <v>16</v>
      </c>
      <c r="D165" s="7">
        <v>5572</v>
      </c>
    </row>
    <row r="166" ht="31" customHeight="1" spans="1:7">
      <c r="A166" s="6" t="s">
        <v>268</v>
      </c>
      <c r="B166" s="3" t="s">
        <v>269</v>
      </c>
      <c r="C166" s="4" t="s">
        <v>16</v>
      </c>
      <c r="D166" s="7">
        <v>6812</v>
      </c>
      <c r="E166" s="31" t="s">
        <v>9</v>
      </c>
      <c r="F166" s="32">
        <v>4478.15</v>
      </c>
      <c r="G166" s="33">
        <f>(D166-F166)/F166</f>
        <v>0.521163873474538</v>
      </c>
    </row>
    <row r="167" ht="31" customHeight="1" spans="1:7">
      <c r="A167" s="6" t="s">
        <v>270</v>
      </c>
      <c r="B167" s="3" t="s">
        <v>271</v>
      </c>
      <c r="C167" s="4" t="s">
        <v>16</v>
      </c>
      <c r="D167" s="7">
        <v>5205.25</v>
      </c>
    </row>
    <row r="168" ht="31" customHeight="1" spans="1:7">
      <c r="A168" s="6" t="s">
        <v>272</v>
      </c>
      <c r="B168" s="3" t="s">
        <v>273</v>
      </c>
      <c r="C168" s="4" t="s">
        <v>16</v>
      </c>
      <c r="D168" s="7">
        <v>6518.6</v>
      </c>
      <c r="E168" s="31" t="s">
        <v>9</v>
      </c>
      <c r="F168" s="32">
        <v>4209.05</v>
      </c>
      <c r="G168" s="33">
        <f>(D168-F168)/F168</f>
        <v>0.548710516624892</v>
      </c>
    </row>
    <row r="169" ht="31" customHeight="1" spans="1:7">
      <c r="A169" s="6" t="s">
        <v>274</v>
      </c>
      <c r="B169" s="3" t="s">
        <v>275</v>
      </c>
      <c r="C169" s="4" t="s">
        <v>16</v>
      </c>
      <c r="D169" s="7">
        <v>4911.85</v>
      </c>
    </row>
    <row r="170" ht="31" customHeight="1" spans="1:7">
      <c r="A170" s="6" t="s">
        <v>276</v>
      </c>
      <c r="B170" s="3" t="s">
        <v>277</v>
      </c>
      <c r="C170" s="4" t="s">
        <v>16</v>
      </c>
      <c r="D170" s="7">
        <v>6189.65</v>
      </c>
      <c r="E170" s="31" t="s">
        <v>9</v>
      </c>
      <c r="F170" s="32">
        <v>3959.7</v>
      </c>
      <c r="G170" s="33">
        <f>(D170-F170)/F170</f>
        <v>0.563161350607369</v>
      </c>
    </row>
    <row r="171" ht="46.5" customHeight="1" spans="1:7">
      <c r="A171" s="6" t="s">
        <v>278</v>
      </c>
      <c r="B171" s="3" t="s">
        <v>279</v>
      </c>
      <c r="C171" s="4" t="s">
        <v>16</v>
      </c>
      <c r="D171" s="7">
        <v>6667.25</v>
      </c>
      <c r="E171" s="31" t="s">
        <v>9</v>
      </c>
      <c r="F171" s="32">
        <v>4355.55</v>
      </c>
      <c r="G171" s="33">
        <f>(D171-F171)/F171</f>
        <v>0.530748125954242</v>
      </c>
    </row>
    <row r="172" ht="46.5" customHeight="1" spans="1:7">
      <c r="A172" s="6" t="s">
        <v>280</v>
      </c>
      <c r="B172" s="3" t="s">
        <v>281</v>
      </c>
      <c r="C172" s="4" t="s">
        <v>16</v>
      </c>
      <c r="D172" s="7">
        <v>5130.65</v>
      </c>
    </row>
    <row r="173" ht="46.5" customHeight="1" spans="1:7">
      <c r="A173" s="6" t="s">
        <v>282</v>
      </c>
      <c r="B173" s="3" t="s">
        <v>283</v>
      </c>
      <c r="C173" s="4" t="s">
        <v>16</v>
      </c>
      <c r="D173" s="7">
        <v>6311.95</v>
      </c>
      <c r="E173" s="31" t="s">
        <v>9</v>
      </c>
      <c r="F173" s="32">
        <v>4041</v>
      </c>
      <c r="G173" s="33">
        <f>(D173-F173)/F173</f>
        <v>0.56197723335808</v>
      </c>
    </row>
    <row r="174" ht="46.5" customHeight="1" spans="1:7">
      <c r="A174" s="6" t="s">
        <v>284</v>
      </c>
      <c r="B174" s="3" t="s">
        <v>285</v>
      </c>
      <c r="C174" s="4" t="s">
        <v>16</v>
      </c>
      <c r="D174" s="7">
        <v>4796.4</v>
      </c>
    </row>
    <row r="175" ht="77.5" customHeight="1" spans="1:7">
      <c r="A175" s="6" t="s">
        <v>286</v>
      </c>
      <c r="B175" s="12" t="s">
        <v>287</v>
      </c>
      <c r="C175" s="4"/>
      <c r="D175" s="14"/>
      <c r="E175" s="31" t="s">
        <v>9</v>
      </c>
    </row>
    <row r="176" ht="31" customHeight="1" spans="1:7">
      <c r="A176" s="6" t="s">
        <v>288</v>
      </c>
      <c r="B176" s="3" t="s">
        <v>289</v>
      </c>
      <c r="C176" s="4" t="s">
        <v>16</v>
      </c>
      <c r="D176" s="7">
        <v>10357.55</v>
      </c>
      <c r="E176" s="31" t="s">
        <v>9</v>
      </c>
      <c r="F176" s="32">
        <v>6990.4</v>
      </c>
      <c r="G176" s="33">
        <f>(D176-F176)/F176</f>
        <v>0.48168202105745</v>
      </c>
    </row>
    <row r="177" ht="46.5" customHeight="1" spans="1:7">
      <c r="A177" s="6" t="s">
        <v>290</v>
      </c>
      <c r="B177" s="3" t="s">
        <v>291</v>
      </c>
      <c r="C177" s="4" t="s">
        <v>16</v>
      </c>
      <c r="D177" s="7">
        <v>10144.5</v>
      </c>
    </row>
    <row r="178" ht="31" customHeight="1" spans="1:7">
      <c r="A178" s="6" t="s">
        <v>292</v>
      </c>
      <c r="B178" s="3" t="s">
        <v>293</v>
      </c>
      <c r="C178" s="4" t="s">
        <v>16</v>
      </c>
      <c r="D178" s="7">
        <v>9895.2</v>
      </c>
      <c r="E178" s="31" t="s">
        <v>9</v>
      </c>
      <c r="F178" s="32">
        <v>6547.7</v>
      </c>
      <c r="G178" s="33">
        <f>(D178-F178)/F178</f>
        <v>0.511248224567405</v>
      </c>
    </row>
    <row r="179" ht="46.5" customHeight="1" spans="1:7">
      <c r="A179" s="6" t="s">
        <v>294</v>
      </c>
      <c r="B179" s="3" t="s">
        <v>295</v>
      </c>
      <c r="C179" s="4" t="s">
        <v>16</v>
      </c>
      <c r="D179" s="7">
        <v>9671.5</v>
      </c>
    </row>
    <row r="180" ht="31" customHeight="1" spans="1:7">
      <c r="A180" s="6" t="s">
        <v>296</v>
      </c>
      <c r="B180" s="3" t="s">
        <v>297</v>
      </c>
      <c r="C180" s="4" t="s">
        <v>16</v>
      </c>
      <c r="D180" s="7">
        <v>9311.4</v>
      </c>
      <c r="E180" s="31" t="s">
        <v>9</v>
      </c>
      <c r="F180" s="32">
        <v>5992.75</v>
      </c>
      <c r="G180" s="33">
        <f>(D180-F180)/F180</f>
        <v>0.553777481123024</v>
      </c>
    </row>
    <row r="181" ht="31" customHeight="1" spans="1:7">
      <c r="A181" s="6" t="s">
        <v>298</v>
      </c>
      <c r="B181" s="3" t="s">
        <v>299</v>
      </c>
      <c r="C181" s="4" t="s">
        <v>16</v>
      </c>
      <c r="D181" s="7">
        <v>8364.45</v>
      </c>
    </row>
    <row r="182" ht="31" customHeight="1" spans="1:7">
      <c r="A182" s="6" t="s">
        <v>300</v>
      </c>
      <c r="B182" s="3" t="s">
        <v>301</v>
      </c>
      <c r="C182" s="4" t="s">
        <v>16</v>
      </c>
      <c r="D182" s="7">
        <v>7656.55</v>
      </c>
    </row>
    <row r="183" ht="31" customHeight="1" spans="1:7">
      <c r="A183" s="6" t="s">
        <v>302</v>
      </c>
      <c r="B183" s="3" t="s">
        <v>303</v>
      </c>
      <c r="C183" s="4" t="s">
        <v>16</v>
      </c>
      <c r="D183" s="7">
        <v>8519.2</v>
      </c>
      <c r="E183" s="31" t="s">
        <v>9</v>
      </c>
      <c r="F183" s="32">
        <v>5267.75</v>
      </c>
      <c r="G183" s="33">
        <f>(D183-F183)/F183</f>
        <v>0.617236960751744</v>
      </c>
    </row>
    <row r="184" ht="31" customHeight="1" spans="1:7">
      <c r="A184" s="6" t="s">
        <v>304</v>
      </c>
      <c r="B184" s="3" t="s">
        <v>305</v>
      </c>
      <c r="C184" s="4" t="s">
        <v>16</v>
      </c>
      <c r="D184" s="7">
        <v>6912.45</v>
      </c>
    </row>
    <row r="185" spans="1:7">
      <c r="A185" s="6" t="s">
        <v>306</v>
      </c>
      <c r="B185" s="12" t="s">
        <v>307</v>
      </c>
      <c r="C185" s="4"/>
      <c r="D185" s="14"/>
      <c r="E185" s="31" t="s">
        <v>9</v>
      </c>
    </row>
    <row r="186" spans="1:7">
      <c r="A186" s="6" t="s">
        <v>308</v>
      </c>
      <c r="B186" s="3" t="s">
        <v>309</v>
      </c>
      <c r="C186" s="4" t="s">
        <v>12</v>
      </c>
      <c r="D186" s="7">
        <v>392.15</v>
      </c>
      <c r="E186" s="31" t="s">
        <v>9</v>
      </c>
      <c r="F186" s="32">
        <v>195.95</v>
      </c>
      <c r="G186" s="33">
        <f>(D186-F186)/F186</f>
        <v>1.00127583567237</v>
      </c>
    </row>
    <row r="187" ht="31" customHeight="1" spans="1:7">
      <c r="A187" s="6" t="s">
        <v>310</v>
      </c>
      <c r="B187" s="3" t="s">
        <v>311</v>
      </c>
      <c r="C187" s="4" t="s">
        <v>12</v>
      </c>
      <c r="D187" s="7">
        <v>842.5</v>
      </c>
      <c r="E187" s="31" t="s">
        <v>9</v>
      </c>
      <c r="F187" s="32">
        <v>378.6</v>
      </c>
      <c r="G187" s="33">
        <f>(D187-F187)/F187</f>
        <v>1.22530375066033</v>
      </c>
    </row>
    <row r="188" spans="1:7">
      <c r="A188" s="6" t="s">
        <v>312</v>
      </c>
      <c r="B188" s="3" t="s">
        <v>313</v>
      </c>
      <c r="C188" s="4" t="s">
        <v>12</v>
      </c>
      <c r="D188" s="7">
        <v>961.3</v>
      </c>
      <c r="E188" s="31" t="s">
        <v>9</v>
      </c>
      <c r="F188" s="32">
        <v>467.85</v>
      </c>
      <c r="G188" s="33">
        <f>(D188-F188)/F188</f>
        <v>1.05471839264722</v>
      </c>
    </row>
    <row r="189" ht="31" customHeight="1" spans="1:7">
      <c r="A189" s="6" t="s">
        <v>314</v>
      </c>
      <c r="B189" s="12" t="s">
        <v>315</v>
      </c>
      <c r="C189" s="4"/>
      <c r="D189" s="14"/>
      <c r="E189" s="31" t="s">
        <v>9</v>
      </c>
    </row>
    <row r="190" ht="31" customHeight="1" spans="1:7">
      <c r="A190" s="6" t="s">
        <v>316</v>
      </c>
      <c r="B190" s="3" t="s">
        <v>317</v>
      </c>
      <c r="C190" s="4" t="s">
        <v>16</v>
      </c>
      <c r="D190" s="7">
        <v>8340.85</v>
      </c>
      <c r="E190" s="31" t="s">
        <v>9</v>
      </c>
      <c r="F190" s="32">
        <v>5924.65</v>
      </c>
      <c r="G190" s="33">
        <f>(D190-F190)/F190</f>
        <v>0.407821559079439</v>
      </c>
    </row>
    <row r="191" ht="46.5" customHeight="1" spans="1:7">
      <c r="A191" s="6" t="s">
        <v>318</v>
      </c>
      <c r="B191" s="3" t="s">
        <v>319</v>
      </c>
      <c r="C191" s="4" t="s">
        <v>16</v>
      </c>
      <c r="D191" s="7">
        <v>8127.8</v>
      </c>
    </row>
    <row r="192" spans="1:7">
      <c r="A192" s="40"/>
      <c r="B192" s="12" t="s">
        <v>320</v>
      </c>
      <c r="C192" s="4"/>
      <c r="D192" s="7"/>
      <c r="E192" s="31" t="s">
        <v>9</v>
      </c>
    </row>
    <row r="193" ht="62" customHeight="1" spans="1:7">
      <c r="A193" s="6" t="s">
        <v>321</v>
      </c>
      <c r="B193" s="12" t="s">
        <v>322</v>
      </c>
      <c r="C193" s="4"/>
      <c r="D193" s="14"/>
      <c r="E193" s="31" t="s">
        <v>9</v>
      </c>
    </row>
    <row r="194" ht="31" customHeight="1" spans="1:7">
      <c r="A194" s="6" t="s">
        <v>323</v>
      </c>
      <c r="B194" s="3" t="s">
        <v>324</v>
      </c>
      <c r="C194" s="4" t="s">
        <v>16</v>
      </c>
      <c r="D194" s="7">
        <v>10105.1</v>
      </c>
      <c r="E194" s="31" t="s">
        <v>9</v>
      </c>
      <c r="F194" s="32">
        <v>6772.45</v>
      </c>
      <c r="G194" s="33">
        <f>(D194-F194)/F194</f>
        <v>0.492089273453477</v>
      </c>
    </row>
    <row r="195" ht="46.5" customHeight="1" spans="1:7">
      <c r="A195" s="6" t="s">
        <v>325</v>
      </c>
      <c r="B195" s="3" t="s">
        <v>326</v>
      </c>
      <c r="C195" s="4" t="s">
        <v>16</v>
      </c>
      <c r="D195" s="7">
        <v>9893.45</v>
      </c>
    </row>
    <row r="196" ht="46.5" customHeight="1" spans="1:7">
      <c r="A196" s="6" t="s">
        <v>327</v>
      </c>
      <c r="B196" s="12" t="s">
        <v>328</v>
      </c>
      <c r="C196" s="4"/>
      <c r="D196" s="14"/>
      <c r="E196" s="31" t="s">
        <v>9</v>
      </c>
    </row>
    <row r="197" ht="31" customHeight="1" spans="1:7">
      <c r="A197" s="6" t="s">
        <v>329</v>
      </c>
      <c r="B197" s="3" t="s">
        <v>330</v>
      </c>
      <c r="C197" s="4" t="s">
        <v>16</v>
      </c>
      <c r="D197" s="7">
        <v>8726.85</v>
      </c>
      <c r="E197" s="31" t="s">
        <v>9</v>
      </c>
      <c r="F197" s="32">
        <v>6169.85</v>
      </c>
      <c r="G197" s="33">
        <f>(D197-F197)/F197</f>
        <v>0.414434710730407</v>
      </c>
    </row>
    <row r="198" ht="46.5" customHeight="1" spans="1:7">
      <c r="A198" s="6" t="s">
        <v>331</v>
      </c>
      <c r="B198" s="3" t="s">
        <v>332</v>
      </c>
      <c r="C198" s="15" t="s">
        <v>16</v>
      </c>
      <c r="D198" s="16">
        <v>8514.85</v>
      </c>
    </row>
    <row r="199" ht="46.5" customHeight="1" spans="1:7">
      <c r="A199" s="6" t="s">
        <v>333</v>
      </c>
      <c r="B199" s="12" t="s">
        <v>334</v>
      </c>
      <c r="C199" s="4"/>
      <c r="D199" s="14"/>
      <c r="E199" s="31" t="s">
        <v>9</v>
      </c>
    </row>
    <row r="200" ht="31" customHeight="1" spans="1:7">
      <c r="A200" s="6" t="s">
        <v>335</v>
      </c>
      <c r="B200" s="3" t="s">
        <v>336</v>
      </c>
      <c r="C200" s="4" t="s">
        <v>16</v>
      </c>
      <c r="D200" s="7">
        <v>17889.25</v>
      </c>
      <c r="E200" s="31" t="s">
        <v>9</v>
      </c>
      <c r="F200" s="32">
        <v>10148.6</v>
      </c>
      <c r="G200" s="33">
        <f>(D200-F200)/F200</f>
        <v>0.762730820014583</v>
      </c>
    </row>
    <row r="201" ht="46.5" customHeight="1" spans="1:7">
      <c r="A201" s="6" t="s">
        <v>337</v>
      </c>
      <c r="B201" s="3" t="s">
        <v>338</v>
      </c>
      <c r="C201" s="4" t="s">
        <v>16</v>
      </c>
      <c r="D201" s="7">
        <v>17677.25</v>
      </c>
    </row>
    <row r="202" ht="46.5" customHeight="1" spans="1:7">
      <c r="A202" s="6" t="s">
        <v>339</v>
      </c>
      <c r="B202" s="12" t="s">
        <v>340</v>
      </c>
      <c r="C202" s="4"/>
      <c r="D202" s="14"/>
      <c r="E202" s="31" t="s">
        <v>9</v>
      </c>
    </row>
    <row r="203" ht="31" customHeight="1" spans="1:7">
      <c r="A203" s="6" t="s">
        <v>341</v>
      </c>
      <c r="B203" s="3" t="s">
        <v>342</v>
      </c>
      <c r="C203" s="4" t="s">
        <v>16</v>
      </c>
      <c r="D203" s="7">
        <v>14624.2</v>
      </c>
      <c r="E203" s="31" t="s">
        <v>9</v>
      </c>
      <c r="F203" s="32">
        <v>7673.6</v>
      </c>
      <c r="G203" s="33">
        <f>(D203-F203)/F203</f>
        <v>0.905780859049208</v>
      </c>
    </row>
    <row r="204" ht="46.5" customHeight="1" spans="1:7">
      <c r="A204" s="6" t="s">
        <v>343</v>
      </c>
      <c r="B204" s="3" t="s">
        <v>344</v>
      </c>
      <c r="C204" s="4" t="s">
        <v>16</v>
      </c>
      <c r="D204" s="7">
        <v>14526.2</v>
      </c>
    </row>
    <row r="205" ht="108.5" customHeight="1" spans="1:7">
      <c r="A205" s="6" t="s">
        <v>345</v>
      </c>
      <c r="B205" s="12" t="s">
        <v>346</v>
      </c>
      <c r="C205" s="4" t="s">
        <v>156</v>
      </c>
      <c r="D205" s="7">
        <v>929.8</v>
      </c>
      <c r="E205" s="31" t="s">
        <v>9</v>
      </c>
      <c r="F205" s="32">
        <v>516.95</v>
      </c>
      <c r="G205" s="33">
        <f>(D205-F205)/F205</f>
        <v>0.798626559628591</v>
      </c>
    </row>
    <row r="206" ht="108.5" customHeight="1" spans="1:7">
      <c r="A206" s="6" t="s">
        <v>347</v>
      </c>
      <c r="B206" s="12" t="s">
        <v>348</v>
      </c>
      <c r="C206" s="4" t="s">
        <v>156</v>
      </c>
      <c r="D206" s="7">
        <v>900.15</v>
      </c>
    </row>
    <row r="207" ht="108.5" customHeight="1" spans="1:7">
      <c r="A207" s="6" t="s">
        <v>349</v>
      </c>
      <c r="B207" s="12" t="s">
        <v>350</v>
      </c>
      <c r="C207" s="4" t="s">
        <v>156</v>
      </c>
      <c r="D207" s="7">
        <v>878.9</v>
      </c>
    </row>
    <row r="208" spans="1:7">
      <c r="A208" s="40"/>
      <c r="B208" s="12" t="s">
        <v>351</v>
      </c>
      <c r="C208" s="4"/>
      <c r="D208" s="14"/>
      <c r="E208" s="31" t="s">
        <v>9</v>
      </c>
      <c r="G208" s="33" t="e">
        <f>(D208-F208)/F208</f>
        <v>#DIV/0!</v>
      </c>
    </row>
    <row r="209" ht="46.5" customHeight="1" spans="1:7">
      <c r="A209" s="6" t="s">
        <v>352</v>
      </c>
      <c r="B209" s="12" t="s">
        <v>353</v>
      </c>
      <c r="C209" s="4" t="s">
        <v>12</v>
      </c>
      <c r="D209" s="7">
        <v>410.85</v>
      </c>
      <c r="E209" s="31" t="s">
        <v>9</v>
      </c>
      <c r="F209" s="32">
        <v>263.1</v>
      </c>
      <c r="G209" s="33">
        <f>(D209-F209)/F209</f>
        <v>0.56157354618016</v>
      </c>
    </row>
    <row r="210" ht="62" customHeight="1" spans="1:7">
      <c r="A210" s="17" t="s">
        <v>354</v>
      </c>
      <c r="B210" s="12" t="s">
        <v>355</v>
      </c>
      <c r="C210" s="15" t="s">
        <v>12</v>
      </c>
      <c r="D210" s="16">
        <v>402.5</v>
      </c>
    </row>
    <row r="211" ht="46.5" customHeight="1" spans="1:7">
      <c r="A211" s="6" t="s">
        <v>356</v>
      </c>
      <c r="B211" s="12" t="s">
        <v>357</v>
      </c>
      <c r="C211" s="4" t="s">
        <v>12</v>
      </c>
      <c r="D211" s="7">
        <v>495.75</v>
      </c>
      <c r="E211" s="31" t="s">
        <v>9</v>
      </c>
      <c r="F211" s="32">
        <v>320.25</v>
      </c>
      <c r="G211" s="33">
        <f>(D211-F211)/F211</f>
        <v>0.548009367681499</v>
      </c>
    </row>
    <row r="212" ht="62" customHeight="1" spans="1:7">
      <c r="A212" s="17" t="s">
        <v>358</v>
      </c>
      <c r="B212" s="12" t="s">
        <v>359</v>
      </c>
      <c r="C212" s="15" t="s">
        <v>12</v>
      </c>
      <c r="D212" s="16">
        <v>484.6</v>
      </c>
    </row>
    <row r="213" ht="31" customHeight="1" spans="1:7">
      <c r="A213" s="6" t="s">
        <v>360</v>
      </c>
      <c r="B213" s="12" t="s">
        <v>361</v>
      </c>
      <c r="C213" s="4" t="s">
        <v>362</v>
      </c>
      <c r="D213" s="7">
        <v>18.15</v>
      </c>
      <c r="E213" s="31" t="s">
        <v>9</v>
      </c>
      <c r="F213" s="32">
        <v>47.95</v>
      </c>
      <c r="G213" s="33">
        <f>(D213-F213)/F213</f>
        <v>-0.62148070907195</v>
      </c>
    </row>
    <row r="214" ht="46.5" customHeight="1" spans="1:7">
      <c r="A214" s="6" t="s">
        <v>363</v>
      </c>
      <c r="B214" s="12" t="s">
        <v>364</v>
      </c>
      <c r="C214" s="4" t="s">
        <v>12</v>
      </c>
      <c r="D214" s="7">
        <v>146.15</v>
      </c>
      <c r="E214" s="31" t="s">
        <v>9</v>
      </c>
      <c r="F214" s="32">
        <v>91.9</v>
      </c>
      <c r="G214" s="33">
        <f>(D214-F214)/F214</f>
        <v>0.59031556039173</v>
      </c>
    </row>
    <row r="215" spans="1:7">
      <c r="A215" s="40"/>
      <c r="B215" s="12" t="s">
        <v>365</v>
      </c>
      <c r="C215" s="4"/>
      <c r="D215" s="14"/>
      <c r="E215" s="31" t="s">
        <v>9</v>
      </c>
    </row>
    <row r="216" ht="31" customHeight="1" spans="1:7">
      <c r="A216" s="6" t="s">
        <v>366</v>
      </c>
      <c r="B216" s="12" t="s">
        <v>367</v>
      </c>
      <c r="C216" s="4" t="s">
        <v>16</v>
      </c>
      <c r="D216" s="7">
        <v>169.45</v>
      </c>
      <c r="E216" s="31" t="s">
        <v>9</v>
      </c>
      <c r="F216" s="32">
        <v>641.15</v>
      </c>
      <c r="G216" s="33">
        <f>(D216-F216)/F216</f>
        <v>-0.735709272401154</v>
      </c>
    </row>
    <row r="217" ht="31" customHeight="1" spans="1:7">
      <c r="A217" s="6" t="s">
        <v>368</v>
      </c>
      <c r="B217" s="12" t="s">
        <v>369</v>
      </c>
      <c r="C217" s="4" t="s">
        <v>370</v>
      </c>
      <c r="D217" s="7">
        <v>1098.8</v>
      </c>
      <c r="E217" s="31" t="s">
        <v>9</v>
      </c>
      <c r="F217" s="32">
        <v>474.5</v>
      </c>
      <c r="G217" s="33">
        <f>(D217-F217)/F217</f>
        <v>1.31570073761855</v>
      </c>
    </row>
    <row r="218" ht="77.5" customHeight="1" spans="1:7">
      <c r="A218" s="40"/>
      <c r="B218" s="12" t="s">
        <v>371</v>
      </c>
      <c r="C218" s="4"/>
      <c r="D218" s="14"/>
      <c r="E218" s="31" t="s">
        <v>9</v>
      </c>
    </row>
    <row r="219" spans="1:7">
      <c r="A219" s="6" t="s">
        <v>372</v>
      </c>
      <c r="B219" s="12" t="s">
        <v>373</v>
      </c>
      <c r="C219" s="4" t="s">
        <v>16</v>
      </c>
      <c r="D219" s="7">
        <v>467.55</v>
      </c>
      <c r="E219" s="31" t="s">
        <v>9</v>
      </c>
      <c r="F219" s="32">
        <v>192.7</v>
      </c>
      <c r="G219" s="33">
        <f>(D219-F219)/F219</f>
        <v>1.42631032693306</v>
      </c>
    </row>
    <row r="220" ht="77.5" customHeight="1" spans="1:7">
      <c r="A220" s="6" t="s">
        <v>374</v>
      </c>
      <c r="B220" s="12" t="s">
        <v>375</v>
      </c>
      <c r="C220" s="4" t="s">
        <v>12</v>
      </c>
      <c r="D220" s="7">
        <v>749.3</v>
      </c>
      <c r="E220" s="31" t="s">
        <v>9</v>
      </c>
      <c r="F220" s="32">
        <v>450.35</v>
      </c>
      <c r="G220" s="33">
        <f>(D220-F220)/F220</f>
        <v>0.663817031197957</v>
      </c>
    </row>
    <row r="221" ht="77.5" customHeight="1" spans="1:7">
      <c r="A221" s="17" t="s">
        <v>376</v>
      </c>
      <c r="B221" s="12" t="s">
        <v>377</v>
      </c>
      <c r="C221" s="18" t="s">
        <v>12</v>
      </c>
      <c r="D221" s="16">
        <v>702.3</v>
      </c>
    </row>
    <row r="222" ht="77.5" customHeight="1" spans="1:7">
      <c r="A222" s="17" t="s">
        <v>378</v>
      </c>
      <c r="B222" s="12" t="s">
        <v>379</v>
      </c>
      <c r="C222" s="19" t="s">
        <v>12</v>
      </c>
      <c r="D222" s="16">
        <v>666.9</v>
      </c>
    </row>
    <row r="223" ht="62" customHeight="1" spans="1:7">
      <c r="A223" s="6" t="s">
        <v>380</v>
      </c>
      <c r="B223" s="12" t="s">
        <v>381</v>
      </c>
      <c r="C223" s="4" t="s">
        <v>362</v>
      </c>
      <c r="D223" s="7">
        <v>70.35</v>
      </c>
      <c r="E223" s="31" t="s">
        <v>9</v>
      </c>
      <c r="F223" s="32">
        <v>53</v>
      </c>
      <c r="G223" s="33">
        <f>(D223-F223)/F223</f>
        <v>0.327358490566038</v>
      </c>
    </row>
    <row r="224" ht="217" customHeight="1" spans="1:7">
      <c r="A224" s="6" t="s">
        <v>382</v>
      </c>
      <c r="B224" s="12" t="s">
        <v>383</v>
      </c>
      <c r="C224" s="4"/>
      <c r="D224" s="14"/>
      <c r="E224" s="31" t="s">
        <v>9</v>
      </c>
    </row>
    <row r="225" spans="1:7">
      <c r="A225" s="6" t="s">
        <v>384</v>
      </c>
      <c r="B225" s="3" t="s">
        <v>385</v>
      </c>
      <c r="C225" s="4"/>
      <c r="D225" s="14"/>
      <c r="E225" s="31" t="s">
        <v>9</v>
      </c>
    </row>
    <row r="226" spans="1:7">
      <c r="A226" s="6" t="s">
        <v>386</v>
      </c>
      <c r="B226" s="3" t="s">
        <v>387</v>
      </c>
      <c r="C226" s="4" t="s">
        <v>16</v>
      </c>
      <c r="D226" s="7">
        <v>8835.15</v>
      </c>
      <c r="E226" s="31" t="s">
        <v>9</v>
      </c>
      <c r="F226" s="32">
        <v>6190.7</v>
      </c>
      <c r="G226" s="33">
        <f>(D226-F226)/F226</f>
        <v>0.427164940959827</v>
      </c>
    </row>
    <row r="227" spans="1:7">
      <c r="A227" s="6" t="s">
        <v>388</v>
      </c>
      <c r="B227" s="3" t="s">
        <v>389</v>
      </c>
      <c r="C227" s="4" t="s">
        <v>16</v>
      </c>
      <c r="D227" s="7">
        <v>8986.15</v>
      </c>
      <c r="E227" s="31" t="s">
        <v>9</v>
      </c>
      <c r="F227" s="32">
        <v>6051.7</v>
      </c>
      <c r="G227" s="33">
        <f>(D227-F227)/F227</f>
        <v>0.484896805856206</v>
      </c>
    </row>
    <row r="228" spans="1:7">
      <c r="A228" s="6" t="s">
        <v>390</v>
      </c>
      <c r="B228" s="3" t="s">
        <v>391</v>
      </c>
      <c r="C228" s="4" t="s">
        <v>16</v>
      </c>
      <c r="D228" s="7">
        <v>9212.6</v>
      </c>
    </row>
    <row r="229" spans="1:7">
      <c r="A229" s="6" t="s">
        <v>392</v>
      </c>
      <c r="B229" s="3" t="s">
        <v>393</v>
      </c>
      <c r="C229" s="4" t="s">
        <v>16</v>
      </c>
      <c r="D229" s="7">
        <v>9439.05</v>
      </c>
    </row>
    <row r="230" spans="1:7">
      <c r="A230" s="6" t="s">
        <v>394</v>
      </c>
      <c r="B230" s="3" t="s">
        <v>395</v>
      </c>
      <c r="C230" s="4"/>
      <c r="D230" s="7"/>
    </row>
    <row r="231" spans="1:7">
      <c r="A231" s="6" t="s">
        <v>396</v>
      </c>
      <c r="B231" s="3" t="s">
        <v>397</v>
      </c>
      <c r="C231" s="4" t="s">
        <v>16</v>
      </c>
      <c r="D231" s="7">
        <v>9190.8</v>
      </c>
    </row>
    <row r="232" spans="1:7">
      <c r="A232" s="6" t="s">
        <v>398</v>
      </c>
      <c r="B232" s="3" t="s">
        <v>389</v>
      </c>
      <c r="C232" s="4" t="s">
        <v>16</v>
      </c>
      <c r="D232" s="7">
        <v>9341.8</v>
      </c>
    </row>
    <row r="233" spans="1:7">
      <c r="A233" s="6" t="s">
        <v>399</v>
      </c>
      <c r="B233" s="3" t="s">
        <v>391</v>
      </c>
      <c r="C233" s="4" t="s">
        <v>16</v>
      </c>
      <c r="D233" s="7">
        <v>9568.25</v>
      </c>
    </row>
    <row r="234" spans="1:7">
      <c r="A234" s="6" t="s">
        <v>400</v>
      </c>
      <c r="B234" s="3" t="s">
        <v>393</v>
      </c>
      <c r="C234" s="4" t="s">
        <v>16</v>
      </c>
      <c r="D234" s="7">
        <v>9794.7</v>
      </c>
    </row>
    <row r="235" ht="248" customHeight="1" spans="1:7">
      <c r="A235" s="6" t="s">
        <v>401</v>
      </c>
      <c r="B235" s="12" t="s">
        <v>402</v>
      </c>
      <c r="C235" s="4"/>
      <c r="D235" s="7"/>
    </row>
    <row r="236" spans="1:7">
      <c r="A236" s="6" t="s">
        <v>403</v>
      </c>
      <c r="B236" s="3" t="s">
        <v>404</v>
      </c>
      <c r="C236" s="4"/>
      <c r="D236" s="7"/>
    </row>
    <row r="237" ht="62" customHeight="1" spans="1:7">
      <c r="A237" s="6" t="s">
        <v>405</v>
      </c>
      <c r="B237" s="3" t="s">
        <v>406</v>
      </c>
      <c r="C237" s="4" t="s">
        <v>16</v>
      </c>
      <c r="D237" s="7">
        <v>7936.1</v>
      </c>
    </row>
    <row r="238" ht="62" customHeight="1" spans="1:7">
      <c r="A238" s="6" t="s">
        <v>407</v>
      </c>
      <c r="B238" s="3" t="s">
        <v>408</v>
      </c>
      <c r="C238" s="4" t="s">
        <v>16</v>
      </c>
      <c r="D238" s="7">
        <v>8779.4</v>
      </c>
    </row>
    <row r="239" ht="62" customHeight="1" spans="1:7">
      <c r="A239" s="6" t="s">
        <v>409</v>
      </c>
      <c r="B239" s="3" t="s">
        <v>410</v>
      </c>
      <c r="C239" s="4" t="s">
        <v>16</v>
      </c>
      <c r="D239" s="7">
        <v>9005.85</v>
      </c>
    </row>
    <row r="240" ht="62" customHeight="1" spans="1:7">
      <c r="A240" s="6" t="s">
        <v>411</v>
      </c>
      <c r="B240" s="3" t="s">
        <v>412</v>
      </c>
      <c r="C240" s="4" t="s">
        <v>16</v>
      </c>
      <c r="D240" s="7">
        <v>9232.3</v>
      </c>
    </row>
    <row r="241" spans="1:5">
      <c r="A241" s="6" t="s">
        <v>413</v>
      </c>
      <c r="B241" s="3" t="s">
        <v>395</v>
      </c>
      <c r="C241" s="4"/>
      <c r="D241" s="7"/>
    </row>
    <row r="242" ht="62" customHeight="1" spans="1:5">
      <c r="A242" s="6" t="s">
        <v>414</v>
      </c>
      <c r="B242" s="3" t="s">
        <v>406</v>
      </c>
      <c r="C242" s="4" t="s">
        <v>16</v>
      </c>
      <c r="D242" s="7">
        <v>8291.75</v>
      </c>
    </row>
    <row r="243" ht="62" customHeight="1" spans="1:5">
      <c r="A243" s="6" t="s">
        <v>415</v>
      </c>
      <c r="B243" s="3" t="s">
        <v>416</v>
      </c>
      <c r="C243" s="4" t="s">
        <v>16</v>
      </c>
      <c r="D243" s="7">
        <v>9135.05</v>
      </c>
    </row>
    <row r="244" ht="62" customHeight="1" spans="1:5">
      <c r="A244" s="6" t="s">
        <v>417</v>
      </c>
      <c r="B244" s="3" t="s">
        <v>418</v>
      </c>
      <c r="C244" s="4" t="s">
        <v>16</v>
      </c>
      <c r="D244" s="7">
        <v>9361.5</v>
      </c>
    </row>
    <row r="245" ht="62" customHeight="1" spans="1:5">
      <c r="A245" s="6" t="s">
        <v>419</v>
      </c>
      <c r="B245" s="3" t="s">
        <v>420</v>
      </c>
      <c r="C245" s="4" t="s">
        <v>16</v>
      </c>
      <c r="D245" s="7">
        <v>9587.95</v>
      </c>
    </row>
    <row r="246" spans="1:5">
      <c r="D246" s="16"/>
    </row>
    <row r="247" spans="1:5">
      <c r="D247" s="16"/>
    </row>
    <row r="248" spans="1:5">
      <c r="D248" s="16"/>
    </row>
    <row r="249" spans="1:5">
      <c r="D249" s="16"/>
    </row>
    <row r="250" spans="1:5">
      <c r="D250" s="16"/>
    </row>
    <row r="251" spans="1:5">
      <c r="D251" s="16"/>
    </row>
    <row r="252" spans="1:5">
      <c r="D252" s="16"/>
    </row>
    <row r="253" spans="1:5">
      <c r="D253" s="16"/>
    </row>
    <row r="254" spans="1:5">
      <c r="D254" s="16"/>
    </row>
    <row r="255" spans="1:5">
      <c r="A255" s="42" t="s">
        <v>421</v>
      </c>
      <c r="C255" s="31"/>
      <c r="D255" s="31"/>
      <c r="E255" s="31" t="s">
        <v>9</v>
      </c>
    </row>
    <row r="256" spans="1:5">
      <c r="A256" s="6" t="s">
        <v>204</v>
      </c>
      <c r="B256" s="12" t="s">
        <v>2</v>
      </c>
      <c r="C256" s="4" t="s">
        <v>205</v>
      </c>
      <c r="D256" s="14" t="s">
        <v>4</v>
      </c>
      <c r="E256" s="31" t="s">
        <v>9</v>
      </c>
    </row>
    <row r="257" spans="1:7">
      <c r="A257" s="40"/>
      <c r="B257" s="12" t="s">
        <v>422</v>
      </c>
      <c r="C257" s="4"/>
      <c r="D257" s="14"/>
      <c r="E257" s="31" t="s">
        <v>9</v>
      </c>
    </row>
    <row r="258" ht="31" customHeight="1" spans="1:7">
      <c r="A258" s="6" t="s">
        <v>423</v>
      </c>
      <c r="B258" s="12" t="s">
        <v>424</v>
      </c>
      <c r="C258" s="4"/>
      <c r="D258" s="14"/>
      <c r="E258" s="31" t="s">
        <v>9</v>
      </c>
    </row>
    <row r="259" ht="31" customHeight="1" spans="1:7">
      <c r="A259" s="6" t="s">
        <v>425</v>
      </c>
      <c r="B259" s="3" t="s">
        <v>426</v>
      </c>
      <c r="C259" s="4" t="s">
        <v>16</v>
      </c>
      <c r="D259" s="7">
        <v>9045.75</v>
      </c>
      <c r="E259" s="31" t="s">
        <v>9</v>
      </c>
      <c r="F259" s="32">
        <v>6215.35</v>
      </c>
      <c r="G259" s="33">
        <f>(D259-F259)/F259</f>
        <v>0.455388674813164</v>
      </c>
    </row>
    <row r="260" ht="46.5" customHeight="1" spans="1:7">
      <c r="A260" s="6" t="s">
        <v>427</v>
      </c>
      <c r="B260" s="3" t="s">
        <v>428</v>
      </c>
      <c r="C260" s="18" t="s">
        <v>16</v>
      </c>
      <c r="D260" s="16">
        <v>8874.95</v>
      </c>
    </row>
    <row r="261" ht="31" customHeight="1" spans="1:7">
      <c r="A261" s="6" t="s">
        <v>429</v>
      </c>
      <c r="B261" s="3" t="s">
        <v>253</v>
      </c>
      <c r="C261" s="4" t="s">
        <v>16</v>
      </c>
      <c r="D261" s="20">
        <v>8583.4</v>
      </c>
      <c r="E261" s="31" t="s">
        <v>9</v>
      </c>
      <c r="F261" s="32">
        <v>5772.65</v>
      </c>
      <c r="G261" s="33">
        <f>(D261-F261)/F261</f>
        <v>0.486908092470529</v>
      </c>
    </row>
    <row r="262" ht="46.5" customHeight="1" spans="1:7">
      <c r="A262" s="6" t="s">
        <v>430</v>
      </c>
      <c r="B262" s="3" t="s">
        <v>431</v>
      </c>
      <c r="C262" s="19" t="s">
        <v>16</v>
      </c>
      <c r="D262" s="16">
        <v>8404.05</v>
      </c>
    </row>
    <row r="263" ht="62" customHeight="1" spans="1:7">
      <c r="A263" s="6" t="s">
        <v>432</v>
      </c>
      <c r="B263" s="12" t="s">
        <v>433</v>
      </c>
      <c r="C263" s="4"/>
      <c r="D263" s="14"/>
      <c r="E263" s="31" t="s">
        <v>9</v>
      </c>
    </row>
    <row r="264" ht="31" customHeight="1" spans="1:7">
      <c r="A264" s="6" t="s">
        <v>434</v>
      </c>
      <c r="B264" s="3" t="s">
        <v>435</v>
      </c>
      <c r="C264" s="4" t="s">
        <v>16</v>
      </c>
      <c r="D264" s="7">
        <v>10852.95</v>
      </c>
      <c r="E264" s="31" t="s">
        <v>9</v>
      </c>
      <c r="F264" s="32">
        <v>7145.8</v>
      </c>
      <c r="G264" s="33">
        <f>(D264-F264)/F264</f>
        <v>0.518787259649025</v>
      </c>
    </row>
    <row r="265" ht="46.5" customHeight="1" spans="1:7">
      <c r="A265" s="6" t="s">
        <v>436</v>
      </c>
      <c r="B265" s="3" t="s">
        <v>437</v>
      </c>
      <c r="C265" s="4" t="s">
        <v>16</v>
      </c>
      <c r="D265" s="16">
        <v>10682.15</v>
      </c>
    </row>
    <row r="266" ht="93" customHeight="1" spans="1:7">
      <c r="A266" s="6" t="s">
        <v>438</v>
      </c>
      <c r="B266" s="12" t="s">
        <v>439</v>
      </c>
      <c r="C266" s="4" t="s">
        <v>16</v>
      </c>
      <c r="D266" s="7">
        <v>11505.5</v>
      </c>
      <c r="E266" s="31" t="s">
        <v>9</v>
      </c>
      <c r="F266" s="32">
        <v>7390.8</v>
      </c>
      <c r="G266" s="33">
        <f>(D266-F266)/F266</f>
        <v>0.556732694701521</v>
      </c>
    </row>
    <row r="267" ht="108.5" customHeight="1" spans="1:7">
      <c r="A267" s="17" t="s">
        <v>440</v>
      </c>
      <c r="B267" s="12" t="s">
        <v>441</v>
      </c>
      <c r="C267" s="4" t="s">
        <v>16</v>
      </c>
      <c r="D267" s="16">
        <v>11334.7</v>
      </c>
    </row>
    <row r="268" ht="62" customHeight="1" spans="1:7">
      <c r="A268" s="6" t="s">
        <v>442</v>
      </c>
      <c r="B268" s="12" t="s">
        <v>443</v>
      </c>
      <c r="C268" s="4" t="s">
        <v>16</v>
      </c>
      <c r="D268" s="7">
        <v>8821.65</v>
      </c>
      <c r="E268" s="31" t="s">
        <v>9</v>
      </c>
      <c r="F268" s="32">
        <v>6927.85</v>
      </c>
      <c r="G268" s="33">
        <f>(D268-F268)/F268</f>
        <v>0.273360422064565</v>
      </c>
    </row>
    <row r="269" ht="77.5" customHeight="1" spans="1:7">
      <c r="A269" s="6" t="s">
        <v>444</v>
      </c>
      <c r="B269" s="12" t="s">
        <v>445</v>
      </c>
      <c r="C269" s="4" t="s">
        <v>16</v>
      </c>
      <c r="D269" s="7">
        <v>8650.85</v>
      </c>
    </row>
    <row r="270" ht="77.5" customHeight="1" spans="1:7">
      <c r="A270" s="6" t="s">
        <v>446</v>
      </c>
      <c r="B270" s="12" t="s">
        <v>447</v>
      </c>
      <c r="C270" s="4" t="s">
        <v>16</v>
      </c>
      <c r="D270" s="7">
        <v>12205.85</v>
      </c>
      <c r="E270" s="31" t="s">
        <v>9</v>
      </c>
      <c r="F270" s="32">
        <v>7691.95</v>
      </c>
      <c r="G270" s="33">
        <f>(D270-F270)/F270</f>
        <v>0.586834287794383</v>
      </c>
    </row>
    <row r="271" ht="93" customHeight="1" spans="1:7">
      <c r="A271" s="6" t="s">
        <v>448</v>
      </c>
      <c r="B271" s="12" t="s">
        <v>449</v>
      </c>
      <c r="C271" s="4" t="s">
        <v>16</v>
      </c>
      <c r="D271" s="7">
        <v>12035</v>
      </c>
    </row>
    <row r="272" ht="62" customHeight="1" spans="1:7">
      <c r="A272" s="6" t="s">
        <v>450</v>
      </c>
      <c r="B272" s="12" t="s">
        <v>451</v>
      </c>
      <c r="C272" s="4" t="s">
        <v>16</v>
      </c>
      <c r="D272" s="7">
        <v>11125.2</v>
      </c>
      <c r="E272" s="31" t="s">
        <v>9</v>
      </c>
      <c r="F272" s="32">
        <v>7256.95</v>
      </c>
      <c r="G272" s="33">
        <f>(D272-F272)/F272</f>
        <v>0.533040740255893</v>
      </c>
    </row>
    <row r="273" ht="77.5" customHeight="1" spans="1:7">
      <c r="A273" s="6" t="s">
        <v>452</v>
      </c>
      <c r="B273" s="12" t="s">
        <v>453</v>
      </c>
      <c r="C273" s="4" t="s">
        <v>16</v>
      </c>
      <c r="D273" s="7">
        <v>10954.4</v>
      </c>
    </row>
    <row r="274" ht="62" customHeight="1" spans="1:7">
      <c r="A274" s="6" t="s">
        <v>454</v>
      </c>
      <c r="B274" s="12" t="s">
        <v>455</v>
      </c>
      <c r="C274" s="4" t="s">
        <v>16</v>
      </c>
      <c r="D274" s="7">
        <v>8424.6</v>
      </c>
      <c r="E274" s="31" t="s">
        <v>9</v>
      </c>
      <c r="F274" s="32">
        <v>5958.85</v>
      </c>
      <c r="G274" s="33">
        <f>(D274-F274)/F274</f>
        <v>0.413796286196162</v>
      </c>
    </row>
    <row r="275" ht="77.5" customHeight="1" spans="1:7">
      <c r="A275" s="6" t="s">
        <v>456</v>
      </c>
      <c r="B275" s="12" t="s">
        <v>457</v>
      </c>
      <c r="C275" s="4" t="s">
        <v>16</v>
      </c>
      <c r="D275" s="7">
        <v>8253.8</v>
      </c>
    </row>
    <row r="276" ht="77.5" customHeight="1" spans="1:7">
      <c r="A276" s="6" t="s">
        <v>458</v>
      </c>
      <c r="B276" s="12" t="s">
        <v>459</v>
      </c>
      <c r="C276" s="4" t="s">
        <v>16</v>
      </c>
      <c r="D276" s="7">
        <v>11454.35</v>
      </c>
      <c r="E276" s="31" t="s">
        <v>9</v>
      </c>
      <c r="F276" s="32">
        <v>6716.3</v>
      </c>
      <c r="G276" s="33">
        <f>(D276-F276)/F276</f>
        <v>0.705455384661197</v>
      </c>
    </row>
    <row r="277" ht="93" customHeight="1" spans="1:7">
      <c r="A277" s="6" t="s">
        <v>460</v>
      </c>
      <c r="B277" s="12" t="s">
        <v>461</v>
      </c>
      <c r="C277" s="4" t="s">
        <v>16</v>
      </c>
      <c r="D277" s="7">
        <v>11283.55</v>
      </c>
    </row>
    <row r="278" spans="1:7">
      <c r="A278" s="40"/>
      <c r="B278" s="12" t="s">
        <v>462</v>
      </c>
      <c r="C278" s="4"/>
      <c r="D278" s="7"/>
      <c r="E278" s="31" t="s">
        <v>9</v>
      </c>
    </row>
    <row r="279" spans="1:7">
      <c r="A279" s="6" t="s">
        <v>463</v>
      </c>
      <c r="B279" s="12" t="s">
        <v>464</v>
      </c>
      <c r="C279" s="4"/>
      <c r="D279" s="14"/>
      <c r="E279" s="31" t="s">
        <v>9</v>
      </c>
    </row>
    <row r="280" spans="1:7">
      <c r="A280" s="6" t="s">
        <v>465</v>
      </c>
      <c r="B280" s="3" t="s">
        <v>466</v>
      </c>
      <c r="C280" s="4" t="s">
        <v>12</v>
      </c>
      <c r="D280" s="7">
        <v>392.15</v>
      </c>
      <c r="E280" s="31" t="s">
        <v>9</v>
      </c>
      <c r="F280" s="32">
        <v>193.95</v>
      </c>
      <c r="G280" s="33">
        <f t="shared" ref="G280:G292" si="2">(D280-F280)/F280</f>
        <v>1.02191286414024</v>
      </c>
    </row>
    <row r="281" ht="31" customHeight="1" spans="1:7">
      <c r="A281" s="6" t="s">
        <v>467</v>
      </c>
      <c r="B281" s="3" t="s">
        <v>468</v>
      </c>
      <c r="C281" s="4" t="s">
        <v>12</v>
      </c>
      <c r="D281" s="7">
        <v>842.5</v>
      </c>
      <c r="E281" s="31" t="s">
        <v>9</v>
      </c>
      <c r="F281" s="32">
        <v>378.6</v>
      </c>
      <c r="G281" s="33">
        <f t="shared" si="2"/>
        <v>1.22530375066033</v>
      </c>
    </row>
    <row r="282" spans="1:7">
      <c r="A282" s="6" t="s">
        <v>469</v>
      </c>
      <c r="B282" s="3" t="s">
        <v>470</v>
      </c>
      <c r="C282" s="4" t="s">
        <v>12</v>
      </c>
      <c r="D282" s="7">
        <v>927.25</v>
      </c>
      <c r="E282" s="31" t="s">
        <v>9</v>
      </c>
      <c r="F282" s="32">
        <v>422.3</v>
      </c>
      <c r="G282" s="33">
        <f t="shared" si="2"/>
        <v>1.19571394743074</v>
      </c>
    </row>
    <row r="283" spans="1:7">
      <c r="A283" s="6" t="s">
        <v>471</v>
      </c>
      <c r="B283" s="3" t="s">
        <v>472</v>
      </c>
      <c r="C283" s="4" t="s">
        <v>12</v>
      </c>
      <c r="D283" s="7">
        <v>927.25</v>
      </c>
      <c r="E283" s="31" t="s">
        <v>9</v>
      </c>
      <c r="F283" s="32">
        <v>422.3</v>
      </c>
      <c r="G283" s="33">
        <f t="shared" si="2"/>
        <v>1.19571394743074</v>
      </c>
    </row>
    <row r="284" spans="1:7">
      <c r="A284" s="6" t="s">
        <v>473</v>
      </c>
      <c r="B284" s="3" t="s">
        <v>474</v>
      </c>
      <c r="C284" s="4" t="s">
        <v>12</v>
      </c>
      <c r="D284" s="7">
        <v>736.4</v>
      </c>
      <c r="E284" s="31" t="s">
        <v>9</v>
      </c>
      <c r="F284" s="32">
        <v>342.9</v>
      </c>
      <c r="G284" s="33">
        <f t="shared" si="2"/>
        <v>1.14756488772237</v>
      </c>
    </row>
    <row r="285" spans="1:7">
      <c r="A285" s="6" t="s">
        <v>475</v>
      </c>
      <c r="B285" s="3" t="s">
        <v>476</v>
      </c>
      <c r="C285" s="4" t="s">
        <v>12</v>
      </c>
      <c r="D285" s="7">
        <v>961.3</v>
      </c>
      <c r="E285" s="31" t="s">
        <v>9</v>
      </c>
      <c r="F285" s="32">
        <v>467.85</v>
      </c>
      <c r="G285" s="33">
        <f t="shared" si="2"/>
        <v>1.05471839264722</v>
      </c>
    </row>
    <row r="286" spans="1:7">
      <c r="A286" s="6" t="s">
        <v>477</v>
      </c>
      <c r="B286" s="3" t="s">
        <v>478</v>
      </c>
      <c r="C286" s="4" t="s">
        <v>12</v>
      </c>
      <c r="D286" s="7">
        <v>764.95</v>
      </c>
      <c r="E286" s="31" t="s">
        <v>9</v>
      </c>
      <c r="F286" s="32">
        <v>419.35</v>
      </c>
      <c r="G286" s="33">
        <f t="shared" si="2"/>
        <v>0.824132586145225</v>
      </c>
    </row>
    <row r="287" spans="1:7">
      <c r="A287" s="6" t="s">
        <v>479</v>
      </c>
      <c r="B287" s="3" t="s">
        <v>480</v>
      </c>
      <c r="C287" s="4" t="s">
        <v>12</v>
      </c>
      <c r="D287" s="7">
        <v>798.35</v>
      </c>
      <c r="E287" s="31" t="s">
        <v>9</v>
      </c>
      <c r="F287" s="32">
        <v>381.4</v>
      </c>
      <c r="G287" s="33">
        <f t="shared" si="2"/>
        <v>1.09320922915574</v>
      </c>
    </row>
    <row r="288" spans="1:7">
      <c r="A288" s="6" t="s">
        <v>481</v>
      </c>
      <c r="B288" s="3" t="s">
        <v>482</v>
      </c>
      <c r="C288" s="4" t="s">
        <v>12</v>
      </c>
      <c r="D288" s="7">
        <v>2154.35</v>
      </c>
      <c r="E288" s="31" t="s">
        <v>9</v>
      </c>
      <c r="F288" s="32">
        <v>1136.85</v>
      </c>
      <c r="G288" s="33">
        <f t="shared" si="2"/>
        <v>0.895016932752782</v>
      </c>
    </row>
    <row r="289" spans="1:7">
      <c r="A289" s="6" t="s">
        <v>483</v>
      </c>
      <c r="B289" s="3" t="s">
        <v>484</v>
      </c>
      <c r="C289" s="4" t="s">
        <v>12</v>
      </c>
      <c r="D289" s="7">
        <v>608.15</v>
      </c>
      <c r="E289" s="31" t="s">
        <v>9</v>
      </c>
      <c r="F289" s="32">
        <v>451.8</v>
      </c>
      <c r="G289" s="33">
        <f t="shared" si="2"/>
        <v>0.346060203629925</v>
      </c>
    </row>
    <row r="290" spans="1:7">
      <c r="A290" s="6" t="s">
        <v>485</v>
      </c>
      <c r="B290" s="3" t="s">
        <v>486</v>
      </c>
      <c r="C290" s="4" t="s">
        <v>12</v>
      </c>
      <c r="D290" s="7">
        <v>803.25</v>
      </c>
      <c r="E290" s="31" t="s">
        <v>9</v>
      </c>
      <c r="F290" s="32">
        <v>378.6</v>
      </c>
      <c r="G290" s="33">
        <f t="shared" si="2"/>
        <v>1.1216323296355</v>
      </c>
    </row>
    <row r="291" spans="1:7">
      <c r="A291" s="6" t="s">
        <v>487</v>
      </c>
      <c r="B291" s="3" t="s">
        <v>488</v>
      </c>
      <c r="C291" s="4" t="s">
        <v>12</v>
      </c>
      <c r="D291" s="7">
        <v>263.65</v>
      </c>
      <c r="E291" s="31" t="s">
        <v>9</v>
      </c>
      <c r="F291" s="32">
        <v>212.2</v>
      </c>
      <c r="G291" s="33">
        <f t="shared" si="2"/>
        <v>0.242459943449576</v>
      </c>
    </row>
    <row r="292" ht="31" customHeight="1" spans="1:7">
      <c r="A292" s="6" t="s">
        <v>489</v>
      </c>
      <c r="B292" s="3" t="s">
        <v>490</v>
      </c>
      <c r="C292" s="4" t="s">
        <v>12</v>
      </c>
      <c r="D292" s="7">
        <v>1296.7</v>
      </c>
      <c r="E292" s="31" t="s">
        <v>9</v>
      </c>
      <c r="F292" s="32">
        <v>627.85</v>
      </c>
      <c r="G292" s="33">
        <f t="shared" si="2"/>
        <v>1.06530222186828</v>
      </c>
    </row>
    <row r="293" spans="1:7">
      <c r="A293" s="6" t="s">
        <v>491</v>
      </c>
      <c r="B293" s="3" t="s">
        <v>492</v>
      </c>
      <c r="C293" s="4" t="s">
        <v>12</v>
      </c>
      <c r="D293" s="13">
        <v>0.2</v>
      </c>
      <c r="E293" s="31" t="s">
        <v>9</v>
      </c>
    </row>
    <row r="294" ht="31" customHeight="1" spans="1:7">
      <c r="A294" s="6" t="s">
        <v>493</v>
      </c>
      <c r="B294" s="3" t="s">
        <v>494</v>
      </c>
      <c r="C294" s="4" t="s">
        <v>12</v>
      </c>
      <c r="D294" s="7">
        <v>392.15</v>
      </c>
      <c r="E294" s="31" t="s">
        <v>9</v>
      </c>
      <c r="F294" s="32">
        <v>193.95</v>
      </c>
      <c r="G294" s="33">
        <f>(D294-F294)/F294</f>
        <v>1.02191286414024</v>
      </c>
    </row>
    <row r="295" spans="1:7">
      <c r="A295" s="6" t="s">
        <v>495</v>
      </c>
      <c r="B295" s="3" t="s">
        <v>496</v>
      </c>
      <c r="C295" s="4"/>
      <c r="D295" s="14"/>
      <c r="E295" s="31" t="s">
        <v>9</v>
      </c>
      <c r="F295" s="34"/>
    </row>
    <row r="296" spans="1:7">
      <c r="A296" s="6" t="s">
        <v>497</v>
      </c>
      <c r="B296" s="3" t="s">
        <v>498</v>
      </c>
      <c r="C296" s="4" t="s">
        <v>49</v>
      </c>
      <c r="D296" s="7">
        <v>208.55</v>
      </c>
      <c r="E296" s="31" t="s">
        <v>9</v>
      </c>
      <c r="F296" s="32">
        <v>122.2</v>
      </c>
      <c r="G296" s="33">
        <f t="shared" ref="G296:G302" si="3">(D296-F296)/F296</f>
        <v>0.706628477905074</v>
      </c>
    </row>
    <row r="297" spans="1:7">
      <c r="A297" s="6" t="s">
        <v>499</v>
      </c>
      <c r="B297" s="3" t="s">
        <v>500</v>
      </c>
      <c r="C297" s="4" t="s">
        <v>12</v>
      </c>
      <c r="D297" s="7">
        <v>879.05</v>
      </c>
      <c r="E297" s="31" t="s">
        <v>9</v>
      </c>
      <c r="F297" s="32">
        <v>531.1</v>
      </c>
      <c r="G297" s="33">
        <f t="shared" si="3"/>
        <v>0.655149689324044</v>
      </c>
    </row>
    <row r="298" spans="1:7">
      <c r="A298" s="6" t="s">
        <v>501</v>
      </c>
      <c r="B298" s="3" t="s">
        <v>502</v>
      </c>
      <c r="C298" s="4" t="s">
        <v>12</v>
      </c>
      <c r="D298" s="7">
        <v>856.8</v>
      </c>
      <c r="E298" s="31" t="s">
        <v>9</v>
      </c>
      <c r="F298" s="32">
        <v>565.1</v>
      </c>
      <c r="G298" s="33">
        <f t="shared" si="3"/>
        <v>0.516191824455848</v>
      </c>
    </row>
    <row r="299" ht="31" customHeight="1" spans="1:7">
      <c r="A299" s="6" t="s">
        <v>503</v>
      </c>
      <c r="B299" s="3" t="s">
        <v>504</v>
      </c>
      <c r="C299" s="4" t="s">
        <v>12</v>
      </c>
      <c r="D299" s="7">
        <v>964.85</v>
      </c>
      <c r="E299" s="31" t="s">
        <v>9</v>
      </c>
      <c r="F299" s="32">
        <v>515.85</v>
      </c>
      <c r="G299" s="33">
        <f t="shared" si="3"/>
        <v>0.870408064359794</v>
      </c>
    </row>
    <row r="300" spans="1:7">
      <c r="A300" s="6" t="s">
        <v>505</v>
      </c>
      <c r="B300" s="3" t="s">
        <v>506</v>
      </c>
      <c r="C300" s="4" t="s">
        <v>12</v>
      </c>
      <c r="D300" s="7">
        <v>951.1</v>
      </c>
      <c r="E300" s="31" t="s">
        <v>9</v>
      </c>
      <c r="F300" s="32">
        <v>521.75</v>
      </c>
      <c r="G300" s="33">
        <f t="shared" si="3"/>
        <v>0.822903689506469</v>
      </c>
    </row>
    <row r="301" ht="31" customHeight="1" spans="1:7">
      <c r="A301" s="6" t="s">
        <v>507</v>
      </c>
      <c r="B301" s="3" t="s">
        <v>508</v>
      </c>
      <c r="C301" s="4" t="s">
        <v>12</v>
      </c>
      <c r="D301" s="7">
        <v>1028.4</v>
      </c>
      <c r="E301" s="31" t="s">
        <v>9</v>
      </c>
      <c r="F301" s="32">
        <v>497.45</v>
      </c>
      <c r="G301" s="33">
        <f t="shared" si="3"/>
        <v>1.06734345160318</v>
      </c>
    </row>
    <row r="302" ht="31" customHeight="1" spans="1:7">
      <c r="A302" s="6" t="s">
        <v>509</v>
      </c>
      <c r="B302" s="3" t="s">
        <v>510</v>
      </c>
      <c r="C302" s="4" t="s">
        <v>12</v>
      </c>
      <c r="D302" s="7">
        <v>841.95</v>
      </c>
      <c r="E302" s="31" t="s">
        <v>9</v>
      </c>
      <c r="F302" s="32">
        <v>418.95</v>
      </c>
      <c r="G302" s="33">
        <f t="shared" si="3"/>
        <v>1.00966702470462</v>
      </c>
    </row>
    <row r="303" ht="31" customHeight="1" spans="1:7">
      <c r="A303" s="6" t="s">
        <v>511</v>
      </c>
      <c r="B303" s="12" t="s">
        <v>512</v>
      </c>
      <c r="C303" s="4"/>
      <c r="D303" s="14"/>
      <c r="E303" s="31" t="s">
        <v>9</v>
      </c>
    </row>
    <row r="304" spans="1:7">
      <c r="A304" s="6" t="s">
        <v>513</v>
      </c>
      <c r="B304" s="3" t="s">
        <v>514</v>
      </c>
      <c r="C304" s="4" t="s">
        <v>515</v>
      </c>
      <c r="D304" s="7">
        <v>156.05</v>
      </c>
      <c r="E304" s="31" t="s">
        <v>9</v>
      </c>
      <c r="F304" s="32">
        <v>128.7</v>
      </c>
      <c r="G304" s="33">
        <f>(D304-F304)/F304</f>
        <v>0.212509712509713</v>
      </c>
    </row>
    <row r="305" spans="1:7">
      <c r="A305" s="6" t="s">
        <v>516</v>
      </c>
      <c r="B305" s="3" t="s">
        <v>517</v>
      </c>
      <c r="C305" s="4" t="s">
        <v>515</v>
      </c>
      <c r="D305" s="7">
        <v>170.25</v>
      </c>
      <c r="E305" s="31" t="s">
        <v>9</v>
      </c>
      <c r="F305" s="32">
        <v>140.3</v>
      </c>
      <c r="G305" s="33">
        <f>(D305-F305)/F305</f>
        <v>0.213471133285816</v>
      </c>
    </row>
    <row r="306" spans="1:7">
      <c r="A306" s="6" t="s">
        <v>518</v>
      </c>
      <c r="B306" s="3" t="s">
        <v>519</v>
      </c>
      <c r="C306" s="4" t="s">
        <v>515</v>
      </c>
      <c r="D306" s="7">
        <v>184.5</v>
      </c>
      <c r="E306" s="31" t="s">
        <v>9</v>
      </c>
      <c r="F306" s="32">
        <v>151.95</v>
      </c>
      <c r="G306" s="33">
        <f>(D306-F306)/F306</f>
        <v>0.2142152023692</v>
      </c>
    </row>
    <row r="307" spans="1:7">
      <c r="A307" s="6" t="s">
        <v>520</v>
      </c>
      <c r="B307" s="3" t="s">
        <v>521</v>
      </c>
      <c r="C307" s="4" t="s">
        <v>515</v>
      </c>
      <c r="D307" s="7">
        <v>201.55</v>
      </c>
      <c r="E307" s="31" t="s">
        <v>9</v>
      </c>
      <c r="F307" s="32">
        <v>163.55</v>
      </c>
      <c r="G307" s="33">
        <f>(D307-F307)/F307</f>
        <v>0.232344848670131</v>
      </c>
    </row>
    <row r="308" ht="62" customHeight="1" spans="1:7">
      <c r="A308" s="6" t="s">
        <v>522</v>
      </c>
      <c r="B308" s="12" t="s">
        <v>523</v>
      </c>
      <c r="C308" s="4"/>
      <c r="D308" s="14"/>
      <c r="E308" s="31" t="s">
        <v>9</v>
      </c>
    </row>
    <row r="309" spans="1:7">
      <c r="A309" s="6" t="s">
        <v>524</v>
      </c>
      <c r="B309" s="3" t="s">
        <v>525</v>
      </c>
      <c r="C309" s="4" t="s">
        <v>12</v>
      </c>
      <c r="D309" s="7">
        <v>384.3</v>
      </c>
      <c r="E309" s="31" t="s">
        <v>9</v>
      </c>
      <c r="F309" s="32">
        <v>171.5</v>
      </c>
      <c r="G309" s="33">
        <f>(D309-F309)/F309</f>
        <v>1.24081632653061</v>
      </c>
    </row>
    <row r="310" spans="1:7">
      <c r="A310" s="40"/>
      <c r="B310" s="12" t="s">
        <v>526</v>
      </c>
      <c r="C310" s="4"/>
      <c r="D310" s="14"/>
      <c r="E310" s="31" t="s">
        <v>9</v>
      </c>
    </row>
    <row r="311" ht="93" customHeight="1" spans="1:7">
      <c r="A311" s="6" t="s">
        <v>527</v>
      </c>
      <c r="B311" s="12" t="s">
        <v>528</v>
      </c>
      <c r="C311" s="4" t="s">
        <v>16</v>
      </c>
      <c r="D311" s="7">
        <v>10585.9</v>
      </c>
      <c r="E311" s="31" t="s">
        <v>9</v>
      </c>
      <c r="F311" s="32">
        <v>6972.1</v>
      </c>
      <c r="G311" s="33">
        <f>(D311-F311)/F311</f>
        <v>0.518323030363879</v>
      </c>
    </row>
    <row r="312" ht="93" customHeight="1" spans="1:7">
      <c r="A312" s="6" t="s">
        <v>529</v>
      </c>
      <c r="B312" s="12" t="s">
        <v>530</v>
      </c>
      <c r="C312" s="4" t="s">
        <v>16</v>
      </c>
      <c r="D312" s="7">
        <v>10416.75</v>
      </c>
    </row>
    <row r="313" ht="77.5" customHeight="1" spans="1:7">
      <c r="A313" s="6" t="s">
        <v>531</v>
      </c>
      <c r="B313" s="12" t="s">
        <v>532</v>
      </c>
      <c r="C313" s="4" t="s">
        <v>16</v>
      </c>
      <c r="D313" s="7">
        <v>14325.95</v>
      </c>
      <c r="E313" s="31" t="s">
        <v>9</v>
      </c>
      <c r="F313" s="32">
        <v>9330.25</v>
      </c>
      <c r="G313" s="33">
        <f>(D313-F313)/F313</f>
        <v>0.535430454703786</v>
      </c>
    </row>
    <row r="314" ht="93" customHeight="1" spans="1:7">
      <c r="A314" s="6" t="s">
        <v>533</v>
      </c>
      <c r="B314" s="12" t="s">
        <v>534</v>
      </c>
      <c r="C314" s="4" t="s">
        <v>16</v>
      </c>
      <c r="D314" s="7">
        <v>14155.35</v>
      </c>
    </row>
    <row r="315" ht="93" customHeight="1" spans="1:7">
      <c r="A315" s="6" t="s">
        <v>535</v>
      </c>
      <c r="B315" s="12" t="s">
        <v>536</v>
      </c>
      <c r="C315" s="4" t="s">
        <v>16</v>
      </c>
      <c r="D315" s="7">
        <v>18234.95</v>
      </c>
      <c r="E315" s="31" t="s">
        <v>9</v>
      </c>
      <c r="F315" s="32">
        <v>10526</v>
      </c>
      <c r="G315" s="33">
        <f>(D315-F315)/F315</f>
        <v>0.732372221166635</v>
      </c>
    </row>
    <row r="316" ht="93" customHeight="1" spans="1:7">
      <c r="A316" s="6" t="s">
        <v>537</v>
      </c>
      <c r="B316" s="12" t="s">
        <v>538</v>
      </c>
      <c r="C316" s="4" t="s">
        <v>16</v>
      </c>
      <c r="D316" s="7">
        <v>18064.15</v>
      </c>
    </row>
    <row r="317" ht="93" customHeight="1" spans="1:7">
      <c r="A317" s="6" t="s">
        <v>539</v>
      </c>
      <c r="B317" s="12" t="s">
        <v>540</v>
      </c>
      <c r="C317" s="4" t="s">
        <v>16</v>
      </c>
      <c r="D317" s="7">
        <v>13899.2</v>
      </c>
      <c r="E317" s="31" t="s">
        <v>9</v>
      </c>
      <c r="F317" s="32">
        <v>8683.55</v>
      </c>
      <c r="G317" s="33">
        <f>(D317-F317)/F317</f>
        <v>0.600635684714201</v>
      </c>
    </row>
    <row r="318" ht="108.5" customHeight="1" spans="1:7">
      <c r="A318" s="6" t="s">
        <v>541</v>
      </c>
      <c r="B318" s="12" t="s">
        <v>542</v>
      </c>
      <c r="C318" s="4" t="s">
        <v>16</v>
      </c>
      <c r="D318" s="7">
        <v>13728.4</v>
      </c>
    </row>
    <row r="319" ht="93" customHeight="1" spans="1:7">
      <c r="A319" s="6" t="s">
        <v>543</v>
      </c>
      <c r="B319" s="12" t="s">
        <v>544</v>
      </c>
      <c r="C319" s="4" t="s">
        <v>16</v>
      </c>
      <c r="D319" s="7">
        <v>20355.8</v>
      </c>
      <c r="E319" s="31" t="s">
        <v>9</v>
      </c>
      <c r="F319" s="32">
        <v>12756.55</v>
      </c>
      <c r="G319" s="33">
        <f>(D319-F319)/F319</f>
        <v>0.595713574595012</v>
      </c>
    </row>
    <row r="320" ht="108.5" customHeight="1" spans="1:7">
      <c r="A320" s="6" t="s">
        <v>545</v>
      </c>
      <c r="B320" s="12" t="s">
        <v>546</v>
      </c>
      <c r="C320" s="4" t="s">
        <v>16</v>
      </c>
      <c r="D320" s="7">
        <v>20185</v>
      </c>
    </row>
    <row r="321" ht="93" customHeight="1" spans="1:7">
      <c r="A321" s="6" t="s">
        <v>547</v>
      </c>
      <c r="B321" s="12" t="s">
        <v>548</v>
      </c>
      <c r="C321" s="4" t="s">
        <v>16</v>
      </c>
      <c r="D321" s="7">
        <v>12043.35</v>
      </c>
      <c r="E321" s="31" t="s">
        <v>9</v>
      </c>
      <c r="F321" s="32">
        <v>7690</v>
      </c>
      <c r="G321" s="33">
        <f>(D321-F321)/F321</f>
        <v>0.56610533159948</v>
      </c>
    </row>
    <row r="322" ht="108.5" customHeight="1" spans="1:7">
      <c r="A322" s="6" t="s">
        <v>549</v>
      </c>
      <c r="B322" s="12" t="s">
        <v>550</v>
      </c>
      <c r="C322" s="4" t="s">
        <v>16</v>
      </c>
      <c r="D322" s="7">
        <v>11872.55</v>
      </c>
    </row>
    <row r="323" ht="62" customHeight="1" spans="1:7">
      <c r="A323" s="6" t="s">
        <v>551</v>
      </c>
      <c r="B323" s="12" t="s">
        <v>552</v>
      </c>
      <c r="C323" s="4"/>
      <c r="D323" s="14"/>
      <c r="E323" s="31" t="s">
        <v>9</v>
      </c>
      <c r="F323" s="34"/>
    </row>
    <row r="324" spans="1:7">
      <c r="A324" s="6" t="s">
        <v>553</v>
      </c>
      <c r="B324" s="3" t="s">
        <v>554</v>
      </c>
      <c r="C324" s="4" t="s">
        <v>12</v>
      </c>
      <c r="D324" s="7">
        <v>1886.9</v>
      </c>
      <c r="E324" s="31" t="s">
        <v>9</v>
      </c>
      <c r="F324" s="32">
        <v>814.55</v>
      </c>
      <c r="G324" s="33">
        <f>(D324-F324)/F324</f>
        <v>1.31649376956602</v>
      </c>
    </row>
    <row r="325" spans="1:7">
      <c r="A325" s="6" t="s">
        <v>555</v>
      </c>
      <c r="B325" s="3" t="s">
        <v>556</v>
      </c>
      <c r="C325" s="4" t="s">
        <v>12</v>
      </c>
      <c r="D325" s="7">
        <v>1706.55</v>
      </c>
      <c r="E325" s="31" t="s">
        <v>9</v>
      </c>
      <c r="F325" s="32">
        <v>710.55</v>
      </c>
      <c r="G325" s="33">
        <f>(D325-F325)/F325</f>
        <v>1.40173105340933</v>
      </c>
    </row>
    <row r="326" spans="1:7">
      <c r="A326" s="6" t="s">
        <v>557</v>
      </c>
      <c r="B326" s="3" t="s">
        <v>558</v>
      </c>
      <c r="C326" s="4" t="s">
        <v>12</v>
      </c>
      <c r="D326" s="7">
        <v>1539</v>
      </c>
      <c r="E326" s="31" t="s">
        <v>9</v>
      </c>
      <c r="F326" s="32">
        <v>669.9</v>
      </c>
      <c r="G326" s="33">
        <f>(D326-F326)/F326</f>
        <v>1.29735781459919</v>
      </c>
    </row>
    <row r="327" spans="1:7">
      <c r="A327" s="40"/>
      <c r="B327" s="12" t="s">
        <v>559</v>
      </c>
      <c r="C327" s="4"/>
      <c r="D327" s="14"/>
      <c r="E327" s="31" t="s">
        <v>9</v>
      </c>
    </row>
    <row r="328" ht="62" customHeight="1" spans="1:7">
      <c r="A328" s="6" t="s">
        <v>560</v>
      </c>
      <c r="B328" s="12" t="s">
        <v>561</v>
      </c>
      <c r="C328" s="4" t="s">
        <v>16</v>
      </c>
      <c r="D328" s="7">
        <v>16089.4</v>
      </c>
      <c r="E328" s="31" t="s">
        <v>9</v>
      </c>
      <c r="F328" s="32">
        <v>9534.25</v>
      </c>
      <c r="G328" s="33">
        <f>(D328-F328)/F328</f>
        <v>0.687537037522616</v>
      </c>
    </row>
    <row r="329" ht="77.5" customHeight="1" spans="1:7">
      <c r="A329" s="6" t="s">
        <v>562</v>
      </c>
      <c r="B329" s="12" t="s">
        <v>563</v>
      </c>
      <c r="C329" s="4" t="s">
        <v>16</v>
      </c>
      <c r="D329" s="7">
        <v>15918.6</v>
      </c>
    </row>
    <row r="330" ht="62" customHeight="1" spans="1:7">
      <c r="A330" s="6" t="s">
        <v>564</v>
      </c>
      <c r="B330" s="12" t="s">
        <v>565</v>
      </c>
      <c r="C330" s="4" t="s">
        <v>16</v>
      </c>
      <c r="D330" s="7">
        <v>9663.25</v>
      </c>
      <c r="E330" s="31" t="s">
        <v>9</v>
      </c>
      <c r="F330" s="32">
        <v>6516.15</v>
      </c>
      <c r="G330" s="33">
        <f>(D330-F330)/F330</f>
        <v>0.482969237970274</v>
      </c>
    </row>
    <row r="331" ht="77.5" customHeight="1" spans="1:7">
      <c r="A331" s="6" t="s">
        <v>566</v>
      </c>
      <c r="B331" s="12" t="s">
        <v>567</v>
      </c>
      <c r="C331" s="4" t="s">
        <v>16</v>
      </c>
      <c r="D331" s="7">
        <v>9492.45</v>
      </c>
    </row>
    <row r="332" ht="46.5" customHeight="1" spans="1:7">
      <c r="A332" s="6" t="s">
        <v>568</v>
      </c>
      <c r="B332" s="12" t="s">
        <v>569</v>
      </c>
      <c r="C332" s="4" t="s">
        <v>12</v>
      </c>
      <c r="D332" s="7">
        <v>485.05</v>
      </c>
      <c r="E332" s="31" t="s">
        <v>9</v>
      </c>
      <c r="F332" s="32">
        <v>371.75</v>
      </c>
      <c r="G332" s="33">
        <f>(D332-F332)/F332</f>
        <v>0.304774714189644</v>
      </c>
    </row>
    <row r="333" spans="1:7">
      <c r="A333" s="40"/>
      <c r="B333" s="12" t="s">
        <v>570</v>
      </c>
      <c r="C333" s="4"/>
      <c r="D333" s="14"/>
      <c r="E333" s="31" t="s">
        <v>9</v>
      </c>
    </row>
    <row r="334" ht="31" customHeight="1" spans="1:7">
      <c r="A334" s="6" t="s">
        <v>571</v>
      </c>
      <c r="B334" s="12" t="s">
        <v>572</v>
      </c>
      <c r="C334" s="4"/>
      <c r="D334" s="14"/>
      <c r="E334" s="31" t="s">
        <v>9</v>
      </c>
    </row>
    <row r="335" spans="1:7">
      <c r="A335" s="6" t="s">
        <v>573</v>
      </c>
      <c r="B335" s="3" t="s">
        <v>574</v>
      </c>
      <c r="C335" s="4" t="s">
        <v>575</v>
      </c>
      <c r="D335" s="7">
        <v>107.1</v>
      </c>
      <c r="E335" s="31" t="s">
        <v>9</v>
      </c>
      <c r="F335" s="32">
        <v>55.3</v>
      </c>
      <c r="G335" s="33">
        <f t="shared" ref="G335:G340" si="4">(D335-F335)/F335</f>
        <v>0.936708860759494</v>
      </c>
    </row>
    <row r="336" spans="1:7">
      <c r="A336" s="6" t="s">
        <v>576</v>
      </c>
      <c r="B336" s="3" t="s">
        <v>577</v>
      </c>
      <c r="C336" s="4" t="s">
        <v>575</v>
      </c>
      <c r="D336" s="7">
        <v>95.8</v>
      </c>
      <c r="E336" s="31" t="s">
        <v>9</v>
      </c>
      <c r="F336" s="32">
        <v>66.7</v>
      </c>
      <c r="G336" s="33">
        <f t="shared" si="4"/>
        <v>0.436281859070465</v>
      </c>
    </row>
    <row r="337" spans="1:7">
      <c r="A337" s="6" t="s">
        <v>578</v>
      </c>
      <c r="B337" s="3" t="s">
        <v>579</v>
      </c>
      <c r="C337" s="4" t="s">
        <v>575</v>
      </c>
      <c r="D337" s="7">
        <v>107.85</v>
      </c>
      <c r="E337" s="31" t="s">
        <v>9</v>
      </c>
      <c r="F337" s="32">
        <v>56.6</v>
      </c>
      <c r="G337" s="33">
        <f t="shared" si="4"/>
        <v>0.90547703180212</v>
      </c>
    </row>
    <row r="338" spans="1:7">
      <c r="A338" s="6" t="s">
        <v>580</v>
      </c>
      <c r="B338" s="3" t="s">
        <v>581</v>
      </c>
      <c r="C338" s="4" t="s">
        <v>575</v>
      </c>
      <c r="D338" s="7">
        <v>107.85</v>
      </c>
      <c r="E338" s="31" t="s">
        <v>9</v>
      </c>
      <c r="F338" s="32">
        <v>56.6</v>
      </c>
      <c r="G338" s="33">
        <f t="shared" si="4"/>
        <v>0.90547703180212</v>
      </c>
    </row>
    <row r="339" spans="1:7">
      <c r="A339" s="6" t="s">
        <v>582</v>
      </c>
      <c r="B339" s="3" t="s">
        <v>583</v>
      </c>
      <c r="C339" s="4" t="s">
        <v>575</v>
      </c>
      <c r="D339" s="7">
        <v>102.2</v>
      </c>
      <c r="E339" s="31" t="s">
        <v>9</v>
      </c>
      <c r="F339" s="32">
        <v>71.3</v>
      </c>
      <c r="G339" s="33">
        <f t="shared" si="4"/>
        <v>0.433380084151473</v>
      </c>
    </row>
    <row r="340" spans="1:7">
      <c r="A340" s="6" t="s">
        <v>584</v>
      </c>
      <c r="B340" s="3" t="s">
        <v>585</v>
      </c>
      <c r="C340" s="4" t="s">
        <v>575</v>
      </c>
      <c r="D340" s="7">
        <v>107.85</v>
      </c>
      <c r="E340" s="31" t="s">
        <v>9</v>
      </c>
      <c r="F340" s="32">
        <v>56.6</v>
      </c>
      <c r="G340" s="33">
        <f t="shared" si="4"/>
        <v>0.90547703180212</v>
      </c>
    </row>
    <row r="341" ht="31" customHeight="1" spans="1:7">
      <c r="A341" s="6" t="s">
        <v>586</v>
      </c>
      <c r="B341" s="12" t="s">
        <v>587</v>
      </c>
      <c r="C341" s="4"/>
      <c r="D341" s="14"/>
      <c r="E341" s="31" t="s">
        <v>9</v>
      </c>
      <c r="F341" s="34"/>
    </row>
    <row r="342" spans="1:7">
      <c r="A342" s="6" t="s">
        <v>588</v>
      </c>
      <c r="B342" s="3" t="s">
        <v>574</v>
      </c>
      <c r="C342" s="4" t="s">
        <v>575</v>
      </c>
      <c r="D342" s="7">
        <v>107.1</v>
      </c>
      <c r="E342" s="31" t="s">
        <v>9</v>
      </c>
      <c r="F342" s="32">
        <v>55.3</v>
      </c>
      <c r="G342" s="33">
        <f t="shared" ref="G342:G347" si="5">(D342-F342)/F342</f>
        <v>0.936708860759494</v>
      </c>
    </row>
    <row r="343" spans="1:7">
      <c r="A343" s="6" t="s">
        <v>589</v>
      </c>
      <c r="B343" s="3" t="s">
        <v>577</v>
      </c>
      <c r="C343" s="4" t="s">
        <v>575</v>
      </c>
      <c r="D343" s="7">
        <v>95.8</v>
      </c>
      <c r="E343" s="31" t="s">
        <v>9</v>
      </c>
      <c r="F343" s="32">
        <v>66.7</v>
      </c>
      <c r="G343" s="33">
        <f t="shared" si="5"/>
        <v>0.436281859070465</v>
      </c>
    </row>
    <row r="344" spans="1:7">
      <c r="A344" s="6" t="s">
        <v>590</v>
      </c>
      <c r="B344" s="3" t="s">
        <v>579</v>
      </c>
      <c r="C344" s="4" t="s">
        <v>575</v>
      </c>
      <c r="D344" s="7">
        <v>107.85</v>
      </c>
      <c r="E344" s="31" t="s">
        <v>9</v>
      </c>
      <c r="F344" s="32">
        <v>56.6</v>
      </c>
      <c r="G344" s="33">
        <f t="shared" si="5"/>
        <v>0.90547703180212</v>
      </c>
    </row>
    <row r="345" spans="1:7">
      <c r="A345" s="6" t="s">
        <v>591</v>
      </c>
      <c r="B345" s="3" t="s">
        <v>581</v>
      </c>
      <c r="C345" s="4" t="s">
        <v>575</v>
      </c>
      <c r="D345" s="7">
        <v>107.85</v>
      </c>
      <c r="E345" s="31" t="s">
        <v>9</v>
      </c>
      <c r="F345" s="32">
        <v>56.6</v>
      </c>
      <c r="G345" s="33">
        <f t="shared" si="5"/>
        <v>0.90547703180212</v>
      </c>
    </row>
    <row r="346" spans="1:7">
      <c r="A346" s="6" t="s">
        <v>592</v>
      </c>
      <c r="B346" s="3" t="s">
        <v>583</v>
      </c>
      <c r="C346" s="4" t="s">
        <v>575</v>
      </c>
      <c r="D346" s="7">
        <v>102.2</v>
      </c>
      <c r="E346" s="31" t="s">
        <v>9</v>
      </c>
      <c r="F346" s="32">
        <v>71.3</v>
      </c>
      <c r="G346" s="33">
        <f t="shared" si="5"/>
        <v>0.433380084151473</v>
      </c>
    </row>
    <row r="347" spans="1:7">
      <c r="A347" s="6" t="s">
        <v>593</v>
      </c>
      <c r="B347" s="3" t="s">
        <v>585</v>
      </c>
      <c r="C347" s="4" t="s">
        <v>575</v>
      </c>
      <c r="D347" s="7">
        <v>107.85</v>
      </c>
      <c r="E347" s="31" t="s">
        <v>9</v>
      </c>
      <c r="F347" s="32">
        <v>56.6</v>
      </c>
      <c r="G347" s="33">
        <f t="shared" si="5"/>
        <v>0.90547703180212</v>
      </c>
    </row>
    <row r="348" ht="46.5" customHeight="1" spans="1:7">
      <c r="A348" s="6" t="s">
        <v>594</v>
      </c>
      <c r="B348" s="12" t="s">
        <v>595</v>
      </c>
      <c r="C348" s="4"/>
      <c r="D348" s="14"/>
      <c r="E348" s="31" t="s">
        <v>9</v>
      </c>
    </row>
    <row r="349" spans="1:7">
      <c r="A349" s="6" t="s">
        <v>596</v>
      </c>
      <c r="B349" s="3" t="s">
        <v>585</v>
      </c>
      <c r="C349" s="4" t="s">
        <v>575</v>
      </c>
      <c r="D349" s="7">
        <v>99.65</v>
      </c>
      <c r="E349" s="31" t="s">
        <v>9</v>
      </c>
      <c r="F349" s="32">
        <v>54.1</v>
      </c>
      <c r="G349" s="33">
        <f>(D349-F349)/F349</f>
        <v>0.841959334565619</v>
      </c>
    </row>
    <row r="350" ht="46.5" customHeight="1" spans="1:7">
      <c r="A350" s="6" t="s">
        <v>597</v>
      </c>
      <c r="B350" s="12" t="s">
        <v>598</v>
      </c>
      <c r="C350" s="4"/>
      <c r="D350" s="14"/>
      <c r="E350" s="31" t="s">
        <v>9</v>
      </c>
    </row>
    <row r="351" spans="1:7">
      <c r="A351" s="6" t="s">
        <v>599</v>
      </c>
      <c r="B351" s="3" t="s">
        <v>585</v>
      </c>
      <c r="C351" s="4" t="s">
        <v>575</v>
      </c>
      <c r="D351" s="7">
        <v>99.65</v>
      </c>
      <c r="E351" s="31" t="s">
        <v>9</v>
      </c>
      <c r="F351" s="32">
        <v>54.1</v>
      </c>
      <c r="G351" s="33">
        <f>(D351-F351)/F351</f>
        <v>0.841959334565619</v>
      </c>
    </row>
    <row r="352" spans="1:7">
      <c r="A352" s="40"/>
      <c r="B352" s="12" t="s">
        <v>365</v>
      </c>
      <c r="C352" s="4"/>
      <c r="D352" s="14"/>
      <c r="E352" s="31" t="s">
        <v>9</v>
      </c>
    </row>
    <row r="353" ht="31" customHeight="1" spans="1:7">
      <c r="A353" s="6" t="s">
        <v>600</v>
      </c>
      <c r="B353" s="12" t="s">
        <v>601</v>
      </c>
      <c r="C353" s="4" t="s">
        <v>12</v>
      </c>
      <c r="D353" s="7">
        <v>300.45</v>
      </c>
      <c r="E353" s="31" t="s">
        <v>9</v>
      </c>
      <c r="F353" s="32">
        <v>143.8</v>
      </c>
      <c r="G353" s="33">
        <f t="shared" ref="G353:G358" si="6">(D353-F353)/F353</f>
        <v>1.08936022253129</v>
      </c>
    </row>
    <row r="354" ht="77.5" customHeight="1" spans="1:7">
      <c r="A354" s="6" t="s">
        <v>602</v>
      </c>
      <c r="B354" s="12" t="s">
        <v>603</v>
      </c>
      <c r="C354" s="4" t="s">
        <v>12</v>
      </c>
      <c r="D354" s="7">
        <v>150.5</v>
      </c>
      <c r="E354" s="31" t="s">
        <v>9</v>
      </c>
      <c r="F354" s="32">
        <v>90.6</v>
      </c>
      <c r="G354" s="33">
        <f t="shared" si="6"/>
        <v>0.661147902869757</v>
      </c>
    </row>
    <row r="355" spans="1:7">
      <c r="A355" s="6" t="s">
        <v>604</v>
      </c>
      <c r="B355" s="12" t="s">
        <v>605</v>
      </c>
      <c r="C355" s="4" t="s">
        <v>575</v>
      </c>
      <c r="D355" s="7">
        <v>811.85</v>
      </c>
      <c r="E355" s="31" t="s">
        <v>9</v>
      </c>
      <c r="F355" s="32">
        <v>338.7</v>
      </c>
      <c r="G355" s="33">
        <f t="shared" si="6"/>
        <v>1.39695896073221</v>
      </c>
    </row>
    <row r="356" spans="1:7">
      <c r="A356" s="6" t="s">
        <v>606</v>
      </c>
      <c r="B356" s="12" t="s">
        <v>607</v>
      </c>
      <c r="C356" s="4" t="s">
        <v>16</v>
      </c>
      <c r="D356" s="7">
        <v>74854.65</v>
      </c>
      <c r="E356" s="31" t="s">
        <v>9</v>
      </c>
      <c r="F356" s="32">
        <v>50192.7</v>
      </c>
      <c r="G356" s="33">
        <f t="shared" si="6"/>
        <v>0.491345355001823</v>
      </c>
    </row>
    <row r="357" ht="31" customHeight="1" spans="1:7">
      <c r="A357" s="6" t="s">
        <v>608</v>
      </c>
      <c r="B357" s="12" t="s">
        <v>609</v>
      </c>
      <c r="C357" s="4" t="s">
        <v>16</v>
      </c>
      <c r="D357" s="7">
        <v>28212.6</v>
      </c>
      <c r="E357" s="31" t="s">
        <v>9</v>
      </c>
      <c r="F357" s="32">
        <v>16494.35</v>
      </c>
      <c r="G357" s="33">
        <f t="shared" si="6"/>
        <v>0.710440241658507</v>
      </c>
    </row>
    <row r="358" ht="46.5" customHeight="1" spans="1:7">
      <c r="A358" s="6" t="s">
        <v>610</v>
      </c>
      <c r="B358" s="12" t="s">
        <v>611</v>
      </c>
      <c r="C358" s="4" t="s">
        <v>612</v>
      </c>
      <c r="D358" s="7">
        <v>655.75</v>
      </c>
      <c r="E358" s="31" t="s">
        <v>9</v>
      </c>
      <c r="F358" s="32">
        <v>449.1</v>
      </c>
      <c r="G358" s="33">
        <f t="shared" si="6"/>
        <v>0.460142507236696</v>
      </c>
    </row>
    <row r="359" spans="1:7">
      <c r="A359" s="6" t="s">
        <v>613</v>
      </c>
      <c r="B359" s="12" t="s">
        <v>614</v>
      </c>
      <c r="C359" s="4"/>
      <c r="D359" s="14"/>
      <c r="E359" s="31" t="s">
        <v>9</v>
      </c>
    </row>
    <row r="360" spans="1:7">
      <c r="A360" s="6" t="s">
        <v>615</v>
      </c>
      <c r="B360" s="3" t="s">
        <v>616</v>
      </c>
      <c r="C360" s="4"/>
      <c r="D360" s="14"/>
      <c r="E360" s="31" t="s">
        <v>9</v>
      </c>
    </row>
    <row r="361" spans="1:7">
      <c r="A361" s="6" t="s">
        <v>617</v>
      </c>
      <c r="B361" s="3" t="s">
        <v>618</v>
      </c>
      <c r="C361" s="4" t="s">
        <v>49</v>
      </c>
      <c r="D361" s="7">
        <v>245.45</v>
      </c>
      <c r="E361" s="31" t="s">
        <v>9</v>
      </c>
      <c r="F361" s="32">
        <v>128.55</v>
      </c>
      <c r="G361" s="33">
        <f>(D361-F361)/F361</f>
        <v>0.909373784519642</v>
      </c>
    </row>
    <row r="362" spans="1:7">
      <c r="A362" s="6" t="s">
        <v>619</v>
      </c>
      <c r="B362" s="3" t="s">
        <v>620</v>
      </c>
      <c r="C362" s="4" t="s">
        <v>49</v>
      </c>
      <c r="D362" s="7">
        <v>330.2</v>
      </c>
      <c r="E362" s="31" t="s">
        <v>9</v>
      </c>
      <c r="F362" s="32">
        <v>172.8</v>
      </c>
      <c r="G362" s="33">
        <f>(D362-F362)/F362</f>
        <v>0.910879629629629</v>
      </c>
    </row>
    <row r="363" spans="1:7">
      <c r="A363" s="6" t="s">
        <v>621</v>
      </c>
      <c r="B363" s="3" t="s">
        <v>622</v>
      </c>
      <c r="C363" s="4"/>
      <c r="D363" s="14"/>
      <c r="E363" s="31" t="s">
        <v>9</v>
      </c>
    </row>
    <row r="364" spans="1:7">
      <c r="A364" s="6" t="s">
        <v>623</v>
      </c>
      <c r="B364" s="3" t="s">
        <v>624</v>
      </c>
      <c r="C364" s="4" t="s">
        <v>49</v>
      </c>
      <c r="D364" s="7">
        <v>567.6</v>
      </c>
      <c r="E364" s="31" t="s">
        <v>9</v>
      </c>
      <c r="F364" s="32">
        <v>336.65</v>
      </c>
      <c r="G364" s="33">
        <f>(D364-F364)/F364</f>
        <v>0.686024060597059</v>
      </c>
    </row>
    <row r="365" spans="1:7">
      <c r="A365" s="6" t="s">
        <v>625</v>
      </c>
      <c r="B365" s="3" t="s">
        <v>626</v>
      </c>
      <c r="C365" s="4" t="s">
        <v>49</v>
      </c>
      <c r="D365" s="7">
        <v>753.85</v>
      </c>
      <c r="E365" s="31" t="s">
        <v>9</v>
      </c>
      <c r="F365" s="32">
        <v>469.4</v>
      </c>
      <c r="G365" s="33">
        <f>(D365-F365)/F365</f>
        <v>0.605986365573072</v>
      </c>
    </row>
    <row r="366" spans="1:7">
      <c r="A366" s="6" t="s">
        <v>627</v>
      </c>
      <c r="B366" s="3" t="s">
        <v>628</v>
      </c>
      <c r="C366" s="4"/>
      <c r="D366" s="14"/>
      <c r="E366" s="31" t="s">
        <v>9</v>
      </c>
    </row>
    <row r="367" spans="1:7">
      <c r="A367" s="6" t="s">
        <v>629</v>
      </c>
      <c r="B367" s="3" t="s">
        <v>624</v>
      </c>
      <c r="C367" s="4" t="s">
        <v>49</v>
      </c>
      <c r="D367" s="7">
        <v>237.4</v>
      </c>
      <c r="E367" s="31" t="s">
        <v>9</v>
      </c>
      <c r="F367" s="32">
        <v>127.65</v>
      </c>
      <c r="G367" s="33">
        <f>(D367-F367)/F367</f>
        <v>0.859772816294555</v>
      </c>
    </row>
    <row r="368" spans="1:7">
      <c r="A368" s="6" t="s">
        <v>630</v>
      </c>
      <c r="B368" s="3" t="s">
        <v>626</v>
      </c>
      <c r="C368" s="4" t="s">
        <v>49</v>
      </c>
      <c r="D368" s="7">
        <v>319.4</v>
      </c>
      <c r="E368" s="31" t="s">
        <v>9</v>
      </c>
      <c r="F368" s="32">
        <v>171.6</v>
      </c>
      <c r="G368" s="33">
        <f>(D368-F368)/F368</f>
        <v>0.861305361305361</v>
      </c>
    </row>
    <row r="369" spans="1:7">
      <c r="A369" s="6" t="s">
        <v>631</v>
      </c>
      <c r="B369" s="12" t="s">
        <v>632</v>
      </c>
      <c r="C369" s="4" t="s">
        <v>49</v>
      </c>
      <c r="D369" s="7">
        <v>78.4</v>
      </c>
      <c r="E369" s="31" t="s">
        <v>9</v>
      </c>
      <c r="F369" s="32">
        <v>34.15</v>
      </c>
      <c r="G369" s="33">
        <f>(D369-F369)/F369</f>
        <v>1.29575402635432</v>
      </c>
    </row>
    <row r="370" ht="31" customHeight="1" spans="1:7">
      <c r="A370" s="6" t="s">
        <v>633</v>
      </c>
      <c r="B370" s="12" t="s">
        <v>634</v>
      </c>
      <c r="C370" s="4" t="s">
        <v>16</v>
      </c>
      <c r="D370" s="7">
        <v>1098.8</v>
      </c>
      <c r="E370" s="31" t="s">
        <v>9</v>
      </c>
      <c r="F370" s="32">
        <v>474.5</v>
      </c>
      <c r="G370" s="33">
        <f>(D370-F370)/F370</f>
        <v>1.31570073761855</v>
      </c>
    </row>
    <row r="371" spans="1:7">
      <c r="A371" s="40"/>
      <c r="B371" s="12" t="s">
        <v>635</v>
      </c>
      <c r="C371" s="4"/>
      <c r="D371" s="14"/>
      <c r="E371" s="31" t="s">
        <v>9</v>
      </c>
    </row>
    <row r="372" spans="1:7">
      <c r="A372" s="6" t="s">
        <v>636</v>
      </c>
      <c r="B372" s="12" t="s">
        <v>637</v>
      </c>
      <c r="C372" s="4" t="s">
        <v>16</v>
      </c>
      <c r="D372" s="7">
        <v>467.55</v>
      </c>
      <c r="E372" s="31" t="s">
        <v>9</v>
      </c>
      <c r="F372" s="32">
        <v>192.7</v>
      </c>
      <c r="G372" s="33">
        <f>(D372-F372)/F372</f>
        <v>1.42631032693306</v>
      </c>
    </row>
    <row r="373" spans="1:7">
      <c r="A373" s="40"/>
      <c r="B373" s="12" t="s">
        <v>638</v>
      </c>
      <c r="C373" s="4"/>
      <c r="D373" s="14"/>
      <c r="E373" s="31" t="s">
        <v>9</v>
      </c>
    </row>
    <row r="374" ht="217" customHeight="1" spans="1:7">
      <c r="A374" s="6" t="s">
        <v>639</v>
      </c>
      <c r="B374" s="12" t="s">
        <v>640</v>
      </c>
      <c r="C374" s="4"/>
      <c r="D374" s="14"/>
    </row>
    <row r="375" ht="77.5" customHeight="1" spans="1:7">
      <c r="A375" s="6" t="s">
        <v>641</v>
      </c>
      <c r="B375" s="3" t="s">
        <v>642</v>
      </c>
      <c r="C375" s="4"/>
      <c r="D375" s="14"/>
    </row>
    <row r="376" spans="1:7">
      <c r="A376" s="6" t="s">
        <v>643</v>
      </c>
      <c r="B376" s="3" t="s">
        <v>644</v>
      </c>
      <c r="C376" s="4" t="s">
        <v>16</v>
      </c>
      <c r="D376" s="7">
        <v>9504.75</v>
      </c>
    </row>
    <row r="377" spans="1:7">
      <c r="A377" s="6" t="s">
        <v>645</v>
      </c>
      <c r="B377" s="3" t="s">
        <v>646</v>
      </c>
      <c r="C377" s="4" t="s">
        <v>16</v>
      </c>
      <c r="D377" s="7">
        <v>9655.7</v>
      </c>
    </row>
    <row r="378" spans="1:7">
      <c r="A378" s="6" t="s">
        <v>647</v>
      </c>
      <c r="B378" s="3" t="s">
        <v>648</v>
      </c>
      <c r="C378" s="4" t="s">
        <v>16</v>
      </c>
      <c r="D378" s="7">
        <v>9806.7</v>
      </c>
    </row>
    <row r="379" spans="1:7">
      <c r="A379" s="6" t="s">
        <v>649</v>
      </c>
      <c r="B379" s="3" t="s">
        <v>650</v>
      </c>
      <c r="C379" s="4" t="s">
        <v>16</v>
      </c>
      <c r="D379" s="7">
        <v>9957.65</v>
      </c>
    </row>
    <row r="380" spans="1:7">
      <c r="A380" s="6" t="s">
        <v>651</v>
      </c>
      <c r="B380" s="3" t="s">
        <v>652</v>
      </c>
      <c r="C380" s="4" t="s">
        <v>16</v>
      </c>
      <c r="D380" s="7">
        <v>10108.65</v>
      </c>
    </row>
    <row r="381" ht="77.5" customHeight="1" spans="1:7">
      <c r="A381" s="6" t="s">
        <v>653</v>
      </c>
      <c r="B381" s="3" t="s">
        <v>654</v>
      </c>
      <c r="C381" s="4"/>
      <c r="D381" s="14"/>
    </row>
    <row r="382" spans="1:7">
      <c r="A382" s="6" t="s">
        <v>655</v>
      </c>
      <c r="B382" s="3" t="s">
        <v>656</v>
      </c>
      <c r="C382" s="4" t="s">
        <v>16</v>
      </c>
      <c r="D382" s="7">
        <v>9860.4</v>
      </c>
    </row>
    <row r="383" spans="1:7">
      <c r="A383" s="6" t="s">
        <v>657</v>
      </c>
      <c r="B383" s="3" t="s">
        <v>646</v>
      </c>
      <c r="C383" s="4" t="s">
        <v>16</v>
      </c>
      <c r="D383" s="7">
        <v>10011.35</v>
      </c>
    </row>
    <row r="384" spans="1:7">
      <c r="A384" s="6" t="s">
        <v>658</v>
      </c>
      <c r="B384" s="3" t="s">
        <v>648</v>
      </c>
      <c r="C384" s="4" t="s">
        <v>16</v>
      </c>
      <c r="D384" s="7">
        <v>10162.35</v>
      </c>
    </row>
    <row r="385" spans="1:7">
      <c r="A385" s="6" t="s">
        <v>659</v>
      </c>
      <c r="B385" s="3" t="s">
        <v>660</v>
      </c>
      <c r="C385" s="4" t="s">
        <v>16</v>
      </c>
      <c r="D385" s="7">
        <v>10313.3</v>
      </c>
    </row>
    <row r="386" spans="1:7">
      <c r="A386" s="6" t="s">
        <v>661</v>
      </c>
      <c r="B386" s="3" t="s">
        <v>662</v>
      </c>
      <c r="C386" s="4" t="s">
        <v>16</v>
      </c>
      <c r="D386" s="7">
        <v>10464.3</v>
      </c>
    </row>
    <row r="387" ht="279" customHeight="1" spans="1:7">
      <c r="A387" s="6" t="s">
        <v>663</v>
      </c>
      <c r="B387" s="12" t="s">
        <v>664</v>
      </c>
      <c r="C387" s="4"/>
      <c r="D387" s="14"/>
    </row>
    <row r="388" ht="46.5" customHeight="1" spans="1:7">
      <c r="A388" s="6" t="s">
        <v>665</v>
      </c>
      <c r="B388" s="3" t="s">
        <v>666</v>
      </c>
      <c r="C388" s="4"/>
      <c r="D388" s="14"/>
    </row>
    <row r="389" spans="1:7">
      <c r="A389" s="6" t="s">
        <v>667</v>
      </c>
      <c r="B389" s="3" t="s">
        <v>668</v>
      </c>
      <c r="C389" s="4" t="s">
        <v>16</v>
      </c>
      <c r="D389" s="7">
        <v>9333.95</v>
      </c>
    </row>
    <row r="390" ht="46.5" customHeight="1" spans="1:7">
      <c r="A390" s="6" t="s">
        <v>669</v>
      </c>
      <c r="B390" s="3" t="s">
        <v>670</v>
      </c>
      <c r="C390" s="4"/>
      <c r="D390" s="14"/>
    </row>
    <row r="391" spans="1:7">
      <c r="A391" s="6" t="s">
        <v>671</v>
      </c>
      <c r="B391" s="3" t="s">
        <v>672</v>
      </c>
      <c r="C391" s="4" t="s">
        <v>16</v>
      </c>
      <c r="D391" s="7">
        <v>9689.6</v>
      </c>
    </row>
    <row r="392" ht="31" customHeight="1" spans="1:7">
      <c r="A392" s="6" t="s">
        <v>673</v>
      </c>
      <c r="B392" s="12" t="s">
        <v>674</v>
      </c>
      <c r="C392" s="4" t="s">
        <v>675</v>
      </c>
      <c r="D392" s="7">
        <v>733.5</v>
      </c>
      <c r="E392" s="31" t="s">
        <v>9</v>
      </c>
      <c r="F392" s="32">
        <v>672.75</v>
      </c>
      <c r="G392" s="33">
        <f>(D392-F392)/F392</f>
        <v>0.0903010033444816</v>
      </c>
    </row>
    <row r="393" ht="124" customHeight="1" spans="1:7">
      <c r="A393" s="6" t="s">
        <v>676</v>
      </c>
      <c r="B393" s="12" t="s">
        <v>677</v>
      </c>
      <c r="C393" s="4" t="s">
        <v>16</v>
      </c>
      <c r="D393" s="7">
        <v>33018.75</v>
      </c>
      <c r="E393" s="31" t="s">
        <v>9</v>
      </c>
      <c r="F393" s="32">
        <v>17574.85</v>
      </c>
      <c r="G393" s="33">
        <f>(D393-F393)/F393</f>
        <v>0.878750032005963</v>
      </c>
    </row>
    <row r="394" ht="139.5" customHeight="1" spans="1:7">
      <c r="A394" s="6" t="s">
        <v>678</v>
      </c>
      <c r="B394" s="12" t="s">
        <v>679</v>
      </c>
      <c r="C394" s="4" t="s">
        <v>16</v>
      </c>
      <c r="D394" s="7">
        <v>32847.95</v>
      </c>
    </row>
    <row r="395" spans="1:7">
      <c r="A395" s="6" t="s">
        <v>680</v>
      </c>
      <c r="B395" s="12" t="s">
        <v>681</v>
      </c>
      <c r="C395" s="4" t="s">
        <v>16</v>
      </c>
      <c r="D395" s="7">
        <v>355.65</v>
      </c>
      <c r="E395" s="31" t="s">
        <v>9</v>
      </c>
      <c r="F395" s="32">
        <v>232.3</v>
      </c>
      <c r="G395" s="33">
        <f>(D395-F395)/F395</f>
        <v>0.530994403788205</v>
      </c>
    </row>
    <row r="396" ht="46.5" customHeight="1" spans="1:7">
      <c r="A396" s="6" t="s">
        <v>682</v>
      </c>
      <c r="B396" s="12" t="s">
        <v>683</v>
      </c>
      <c r="C396" s="4"/>
      <c r="D396" s="14"/>
      <c r="E396" s="31" t="s">
        <v>9</v>
      </c>
    </row>
    <row r="397" spans="1:7">
      <c r="A397" s="6" t="s">
        <v>684</v>
      </c>
      <c r="B397" s="3" t="s">
        <v>685</v>
      </c>
      <c r="C397" s="4" t="s">
        <v>12</v>
      </c>
      <c r="D397" s="7">
        <v>69.05</v>
      </c>
      <c r="E397" s="31" t="s">
        <v>9</v>
      </c>
      <c r="F397" s="32">
        <v>32.2</v>
      </c>
      <c r="G397" s="33">
        <f>(D397-F397)/F397</f>
        <v>1.1444099378882</v>
      </c>
    </row>
    <row r="398" ht="77.5" customHeight="1" spans="1:7">
      <c r="A398" s="6" t="s">
        <v>686</v>
      </c>
      <c r="B398" s="12" t="s">
        <v>687</v>
      </c>
      <c r="C398" s="4"/>
      <c r="D398" s="14"/>
      <c r="E398" s="31" t="s">
        <v>9</v>
      </c>
    </row>
    <row r="399" spans="1:7">
      <c r="A399" s="6" t="s">
        <v>688</v>
      </c>
      <c r="B399" s="3" t="s">
        <v>689</v>
      </c>
      <c r="C399" s="4" t="s">
        <v>156</v>
      </c>
      <c r="D399" s="7">
        <v>115.1</v>
      </c>
      <c r="E399" s="31" t="s">
        <v>9</v>
      </c>
      <c r="F399" s="32">
        <v>121.1</v>
      </c>
      <c r="G399" s="33">
        <f>(D399-F399)/F399</f>
        <v>-0.0495458298926507</v>
      </c>
    </row>
    <row r="400" spans="1:7">
      <c r="A400" s="6" t="s">
        <v>690</v>
      </c>
      <c r="B400" s="3" t="s">
        <v>691</v>
      </c>
      <c r="C400" s="4" t="s">
        <v>156</v>
      </c>
      <c r="D400" s="7">
        <v>160.1</v>
      </c>
      <c r="E400" s="31" t="s">
        <v>9</v>
      </c>
      <c r="F400" s="32">
        <v>164.85</v>
      </c>
      <c r="G400" s="33">
        <f>(D400-F400)/F400</f>
        <v>-0.0288140734000607</v>
      </c>
    </row>
    <row r="401" spans="1:7">
      <c r="A401" s="6" t="s">
        <v>692</v>
      </c>
      <c r="B401" s="3" t="s">
        <v>693</v>
      </c>
      <c r="C401" s="4" t="s">
        <v>156</v>
      </c>
      <c r="D401" s="7">
        <v>228.95</v>
      </c>
      <c r="E401" s="31" t="s">
        <v>9</v>
      </c>
      <c r="F401" s="32">
        <v>227.95</v>
      </c>
      <c r="G401" s="33">
        <f>(D401-F401)/F401</f>
        <v>0.00438692695766615</v>
      </c>
    </row>
    <row r="402" spans="1:7">
      <c r="A402" s="6" t="s">
        <v>694</v>
      </c>
      <c r="B402" s="3" t="s">
        <v>695</v>
      </c>
      <c r="C402" s="4" t="s">
        <v>156</v>
      </c>
      <c r="D402" s="7">
        <v>267.55</v>
      </c>
      <c r="E402" s="31" t="s">
        <v>9</v>
      </c>
      <c r="F402" s="32">
        <v>314.25</v>
      </c>
      <c r="G402" s="33">
        <f>(D402-F402)/F402</f>
        <v>-0.148607796340493</v>
      </c>
    </row>
    <row r="403" spans="1:7">
      <c r="A403" s="6" t="s">
        <v>696</v>
      </c>
      <c r="B403" s="3" t="s">
        <v>697</v>
      </c>
      <c r="C403" s="4" t="s">
        <v>156</v>
      </c>
      <c r="D403" s="7">
        <v>318.8</v>
      </c>
      <c r="E403" s="31" t="s">
        <v>9</v>
      </c>
      <c r="F403" s="32">
        <v>365.85</v>
      </c>
      <c r="G403" s="33">
        <f>(D403-F403)/F403</f>
        <v>-0.128604619379527</v>
      </c>
    </row>
    <row r="404" ht="31" customHeight="1" spans="1:7">
      <c r="A404" s="6" t="s">
        <v>698</v>
      </c>
      <c r="B404" s="12" t="s">
        <v>699</v>
      </c>
      <c r="C404" s="4"/>
      <c r="D404" s="14"/>
      <c r="E404" s="31" t="s">
        <v>9</v>
      </c>
    </row>
    <row r="405" spans="1:7">
      <c r="A405" s="6" t="s">
        <v>700</v>
      </c>
      <c r="B405" s="3" t="s">
        <v>701</v>
      </c>
      <c r="C405" s="4" t="s">
        <v>49</v>
      </c>
      <c r="D405" s="7">
        <v>859.75</v>
      </c>
      <c r="E405" s="31" t="s">
        <v>9</v>
      </c>
      <c r="F405" s="32">
        <v>584.1</v>
      </c>
      <c r="G405" s="33">
        <f>(D405-F405)/F405</f>
        <v>0.471922615990413</v>
      </c>
    </row>
    <row r="406" spans="1:7">
      <c r="A406" s="6" t="s">
        <v>702</v>
      </c>
      <c r="B406" s="3" t="s">
        <v>703</v>
      </c>
      <c r="C406" s="4" t="s">
        <v>49</v>
      </c>
      <c r="D406" s="7">
        <v>1208.05</v>
      </c>
      <c r="E406" s="31" t="s">
        <v>9</v>
      </c>
      <c r="F406" s="32">
        <v>839.65</v>
      </c>
      <c r="G406" s="33">
        <f>(D406-F406)/F406</f>
        <v>0.438754242839278</v>
      </c>
    </row>
    <row r="407" ht="248" customHeight="1" spans="1:7">
      <c r="A407" s="6" t="s">
        <v>704</v>
      </c>
      <c r="B407" s="12" t="s">
        <v>705</v>
      </c>
      <c r="C407" s="4"/>
      <c r="D407" s="14"/>
      <c r="E407" s="31" t="s">
        <v>9</v>
      </c>
    </row>
    <row r="408" spans="1:7">
      <c r="A408" s="6" t="s">
        <v>706</v>
      </c>
      <c r="B408" s="3" t="s">
        <v>707</v>
      </c>
      <c r="C408" s="4" t="s">
        <v>49</v>
      </c>
      <c r="D408" s="7">
        <v>6392.55</v>
      </c>
      <c r="E408" s="31" t="s">
        <v>9</v>
      </c>
      <c r="F408" s="32">
        <v>4741.05</v>
      </c>
      <c r="G408" s="33">
        <f>(D408-F408)/F408</f>
        <v>0.348340557471446</v>
      </c>
    </row>
    <row r="409" spans="1:7">
      <c r="A409" s="6" t="s">
        <v>708</v>
      </c>
      <c r="B409" s="3" t="s">
        <v>709</v>
      </c>
      <c r="C409" s="4" t="s">
        <v>49</v>
      </c>
      <c r="D409" s="7">
        <v>7812.35</v>
      </c>
      <c r="E409" s="31" t="s">
        <v>9</v>
      </c>
      <c r="F409" s="32">
        <v>5829.95</v>
      </c>
      <c r="G409" s="33">
        <f>(D409-F409)/F409</f>
        <v>0.340037221588521</v>
      </c>
    </row>
    <row r="410" spans="1:7">
      <c r="A410" s="6" t="s">
        <v>710</v>
      </c>
      <c r="B410" s="3" t="s">
        <v>711</v>
      </c>
      <c r="C410" s="4" t="s">
        <v>49</v>
      </c>
      <c r="D410" s="7">
        <v>9903.65</v>
      </c>
      <c r="E410" s="31" t="s">
        <v>9</v>
      </c>
      <c r="F410" s="32">
        <v>7499.6</v>
      </c>
      <c r="G410" s="33">
        <f>(D410-F410)/F410</f>
        <v>0.320557096378473</v>
      </c>
    </row>
    <row r="411" ht="139.5" customHeight="1" spans="1:7">
      <c r="A411" s="6" t="s">
        <v>712</v>
      </c>
      <c r="B411" s="12" t="s">
        <v>713</v>
      </c>
      <c r="C411" s="4"/>
      <c r="D411" s="14"/>
      <c r="E411" s="31" t="s">
        <v>9</v>
      </c>
    </row>
    <row r="412" spans="1:7">
      <c r="A412" s="6" t="s">
        <v>714</v>
      </c>
      <c r="B412" s="3" t="s">
        <v>715</v>
      </c>
      <c r="C412" s="4" t="s">
        <v>49</v>
      </c>
      <c r="D412" s="7">
        <v>5305.65</v>
      </c>
      <c r="E412" s="31" t="s">
        <v>9</v>
      </c>
      <c r="F412" s="32">
        <v>3928</v>
      </c>
      <c r="G412" s="33">
        <f>(D412-F412)/F412</f>
        <v>0.350725560081466</v>
      </c>
    </row>
    <row r="413" spans="1:7">
      <c r="A413" s="6" t="s">
        <v>716</v>
      </c>
      <c r="B413" s="3" t="s">
        <v>717</v>
      </c>
      <c r="C413" s="4" t="s">
        <v>49</v>
      </c>
      <c r="D413" s="7">
        <v>5981.4</v>
      </c>
      <c r="E413" s="31" t="s">
        <v>9</v>
      </c>
      <c r="F413" s="32">
        <v>4436.15</v>
      </c>
      <c r="G413" s="33">
        <f>(D413-F413)/F413</f>
        <v>0.348331323332169</v>
      </c>
    </row>
    <row r="414" spans="1:7">
      <c r="A414" s="6" t="s">
        <v>718</v>
      </c>
      <c r="B414" s="3" t="s">
        <v>719</v>
      </c>
      <c r="C414" s="4" t="s">
        <v>49</v>
      </c>
      <c r="D414" s="7">
        <v>6889.05</v>
      </c>
      <c r="E414" s="31" t="s">
        <v>9</v>
      </c>
      <c r="F414" s="32">
        <v>5176.6</v>
      </c>
      <c r="G414" s="33">
        <f>(D414-F414)/F414</f>
        <v>0.330805934397095</v>
      </c>
    </row>
    <row r="415" ht="279" customHeight="1" spans="1:7">
      <c r="A415" s="6" t="s">
        <v>720</v>
      </c>
      <c r="B415" s="12" t="s">
        <v>721</v>
      </c>
      <c r="C415" s="4"/>
      <c r="D415" s="14"/>
      <c r="E415" s="31" t="s">
        <v>9</v>
      </c>
    </row>
    <row r="416" spans="1:7">
      <c r="A416" s="6" t="s">
        <v>722</v>
      </c>
      <c r="B416" s="3" t="s">
        <v>723</v>
      </c>
      <c r="C416" s="4" t="s">
        <v>49</v>
      </c>
      <c r="D416" s="7">
        <v>5985.7</v>
      </c>
      <c r="E416" s="31" t="s">
        <v>9</v>
      </c>
      <c r="F416" s="32">
        <v>4392.6</v>
      </c>
      <c r="G416" s="33">
        <f>(D416-F416)/F416</f>
        <v>0.362678140509038</v>
      </c>
    </row>
    <row r="417" spans="1:7">
      <c r="A417" s="6" t="s">
        <v>724</v>
      </c>
      <c r="B417" s="3" t="s">
        <v>725</v>
      </c>
      <c r="C417" s="4" t="s">
        <v>49</v>
      </c>
      <c r="D417" s="7">
        <v>6699.85</v>
      </c>
      <c r="E417" s="31" t="s">
        <v>9</v>
      </c>
      <c r="F417" s="32">
        <v>4900.75</v>
      </c>
      <c r="G417" s="33">
        <f>(D417-F417)/F417</f>
        <v>0.367107075447636</v>
      </c>
    </row>
    <row r="418" spans="1:7">
      <c r="A418" s="6" t="s">
        <v>726</v>
      </c>
      <c r="B418" s="3" t="s">
        <v>727</v>
      </c>
      <c r="C418" s="4" t="s">
        <v>49</v>
      </c>
      <c r="D418" s="7">
        <v>7927.6</v>
      </c>
      <c r="E418" s="31" t="s">
        <v>9</v>
      </c>
      <c r="F418" s="32">
        <v>5873.5</v>
      </c>
      <c r="G418" s="33">
        <f>(D418-F418)/F418</f>
        <v>0.349723333617094</v>
      </c>
    </row>
    <row r="419" ht="139.5" customHeight="1" spans="1:7">
      <c r="A419" s="6" t="s">
        <v>728</v>
      </c>
      <c r="B419" s="12" t="s">
        <v>729</v>
      </c>
      <c r="C419" s="4"/>
      <c r="D419" s="14"/>
      <c r="E419" s="31" t="s">
        <v>9</v>
      </c>
    </row>
    <row r="420" spans="1:7">
      <c r="A420" s="6" t="s">
        <v>730</v>
      </c>
      <c r="B420" s="3" t="s">
        <v>731</v>
      </c>
      <c r="C420" s="4" t="s">
        <v>49</v>
      </c>
      <c r="D420" s="7">
        <v>814.85</v>
      </c>
      <c r="E420" s="31" t="s">
        <v>9</v>
      </c>
      <c r="F420" s="32">
        <v>450.2</v>
      </c>
      <c r="G420" s="33">
        <f>(D420-F420)/F420</f>
        <v>0.80997334517992</v>
      </c>
    </row>
    <row r="421" spans="1:7">
      <c r="A421" s="6" t="s">
        <v>732</v>
      </c>
      <c r="B421" s="3" t="s">
        <v>733</v>
      </c>
      <c r="C421" s="4" t="s">
        <v>49</v>
      </c>
      <c r="D421" s="7">
        <v>757.1</v>
      </c>
      <c r="E421" s="31" t="s">
        <v>9</v>
      </c>
      <c r="F421" s="32">
        <v>415.1</v>
      </c>
      <c r="G421" s="33">
        <f>(D421-F421)/F421</f>
        <v>0.823897855938328</v>
      </c>
    </row>
    <row r="422" spans="1:7">
      <c r="A422" s="6" t="s">
        <v>734</v>
      </c>
      <c r="B422" s="3" t="s">
        <v>735</v>
      </c>
      <c r="C422" s="4" t="s">
        <v>49</v>
      </c>
      <c r="D422" s="7">
        <v>727.3</v>
      </c>
      <c r="E422" s="31" t="s">
        <v>9</v>
      </c>
      <c r="F422" s="32">
        <v>396.55</v>
      </c>
      <c r="G422" s="33">
        <f>(D422-F422)/F422</f>
        <v>0.834068843777582</v>
      </c>
    </row>
    <row r="423" ht="139.5" customHeight="1" spans="1:7">
      <c r="A423" s="6" t="s">
        <v>736</v>
      </c>
      <c r="B423" s="12" t="s">
        <v>737</v>
      </c>
      <c r="C423" s="4"/>
      <c r="D423" s="14"/>
      <c r="E423" s="31" t="s">
        <v>9</v>
      </c>
    </row>
    <row r="424" ht="31" customHeight="1" spans="1:7">
      <c r="A424" s="40"/>
      <c r="B424" s="12" t="s">
        <v>738</v>
      </c>
      <c r="C424" s="4"/>
      <c r="D424" s="14"/>
      <c r="E424" s="31" t="s">
        <v>9</v>
      </c>
    </row>
    <row r="425" spans="1:7">
      <c r="A425" s="6" t="s">
        <v>739</v>
      </c>
      <c r="B425" s="3" t="s">
        <v>740</v>
      </c>
      <c r="C425" s="4" t="s">
        <v>16</v>
      </c>
      <c r="D425" s="7">
        <v>8509.95</v>
      </c>
      <c r="E425" s="31" t="s">
        <v>9</v>
      </c>
      <c r="F425" s="32">
        <v>6623.45</v>
      </c>
      <c r="G425" s="33">
        <f>(D425-F425)/F425</f>
        <v>0.284821354430093</v>
      </c>
    </row>
    <row r="426" spans="1:7">
      <c r="A426" s="6" t="s">
        <v>741</v>
      </c>
      <c r="B426" s="3" t="s">
        <v>742</v>
      </c>
      <c r="C426" s="4" t="s">
        <v>16</v>
      </c>
      <c r="D426" s="7">
        <v>9500.3</v>
      </c>
      <c r="E426" s="31" t="s">
        <v>9</v>
      </c>
      <c r="F426" s="32">
        <v>7719.4</v>
      </c>
      <c r="G426" s="33">
        <f>(D426-F426)/F426</f>
        <v>0.230704458895769</v>
      </c>
    </row>
    <row r="427" spans="1:7">
      <c r="A427" s="6" t="s">
        <v>743</v>
      </c>
      <c r="B427" s="3" t="s">
        <v>744</v>
      </c>
      <c r="C427" s="4" t="s">
        <v>16</v>
      </c>
      <c r="D427" s="7">
        <v>664.85</v>
      </c>
      <c r="E427" s="31" t="s">
        <v>9</v>
      </c>
      <c r="F427" s="32">
        <v>650.55</v>
      </c>
      <c r="G427" s="33">
        <f>(D427-F427)/F427</f>
        <v>0.0219814003535471</v>
      </c>
    </row>
    <row r="428" ht="409.5" customHeight="1" spans="1:7">
      <c r="A428" s="6" t="s">
        <v>745</v>
      </c>
      <c r="B428" s="12" t="s">
        <v>746</v>
      </c>
      <c r="C428" s="4" t="s">
        <v>16</v>
      </c>
      <c r="D428" s="7">
        <v>20520.35</v>
      </c>
      <c r="E428" s="31" t="s">
        <v>9</v>
      </c>
      <c r="F428" s="32">
        <v>13875.65</v>
      </c>
      <c r="G428" s="33">
        <f>(D428-F428)/F428</f>
        <v>0.478874863519907</v>
      </c>
    </row>
    <row r="429" ht="139.5" customHeight="1" spans="1:7">
      <c r="A429" s="40"/>
      <c r="B429" s="12" t="s">
        <v>747</v>
      </c>
      <c r="C429" s="4"/>
      <c r="D429" s="7"/>
    </row>
    <row r="430" spans="1:7">
      <c r="D430" s="16"/>
    </row>
    <row r="431" spans="1:7">
      <c r="D431" s="16"/>
    </row>
    <row r="432" spans="1:7">
      <c r="D432" s="16"/>
    </row>
    <row r="435" spans="1:7">
      <c r="D435" s="16"/>
    </row>
    <row r="436" spans="1:7">
      <c r="A436" s="41" t="s">
        <v>748</v>
      </c>
      <c r="C436" s="31"/>
      <c r="D436" s="31"/>
      <c r="E436" s="31" t="s">
        <v>9</v>
      </c>
    </row>
    <row r="437" spans="1:7">
      <c r="A437" s="6" t="s">
        <v>204</v>
      </c>
      <c r="B437" s="12" t="s">
        <v>2</v>
      </c>
      <c r="C437" s="4" t="s">
        <v>205</v>
      </c>
      <c r="D437" s="14" t="s">
        <v>4</v>
      </c>
      <c r="E437" s="31" t="s">
        <v>9</v>
      </c>
    </row>
    <row r="438" ht="31" customHeight="1" spans="1:7">
      <c r="A438" s="6" t="s">
        <v>749</v>
      </c>
      <c r="B438" s="12" t="s">
        <v>750</v>
      </c>
      <c r="C438" s="4"/>
      <c r="D438" s="14"/>
      <c r="E438" s="31" t="s">
        <v>9</v>
      </c>
    </row>
    <row r="439" spans="1:7">
      <c r="A439" s="6" t="s">
        <v>751</v>
      </c>
      <c r="B439" s="3" t="s">
        <v>752</v>
      </c>
      <c r="C439" s="4" t="s">
        <v>16</v>
      </c>
      <c r="D439" s="7">
        <v>7370.65</v>
      </c>
      <c r="E439" s="31" t="s">
        <v>9</v>
      </c>
      <c r="F439" s="32">
        <v>4970.3</v>
      </c>
      <c r="G439" s="33">
        <f>(D439-F439)/F439</f>
        <v>0.482938655614349</v>
      </c>
    </row>
    <row r="440" spans="1:7">
      <c r="A440" s="6" t="s">
        <v>753</v>
      </c>
      <c r="B440" s="3" t="s">
        <v>754</v>
      </c>
      <c r="C440" s="4" t="s">
        <v>16</v>
      </c>
      <c r="D440" s="7">
        <v>7132.25</v>
      </c>
      <c r="E440" s="31" t="s">
        <v>9</v>
      </c>
      <c r="F440" s="32">
        <v>4751.65</v>
      </c>
      <c r="G440" s="33">
        <f>(D440-F440)/F440</f>
        <v>0.501004914082477</v>
      </c>
    </row>
    <row r="441" ht="31" customHeight="1" spans="1:7">
      <c r="A441" s="6" t="s">
        <v>755</v>
      </c>
      <c r="B441" s="12" t="s">
        <v>756</v>
      </c>
      <c r="C441" s="4"/>
      <c r="D441" s="14"/>
      <c r="E441" s="31" t="s">
        <v>9</v>
      </c>
    </row>
    <row r="442" spans="1:7">
      <c r="A442" s="6" t="s">
        <v>757</v>
      </c>
      <c r="B442" s="3" t="s">
        <v>752</v>
      </c>
      <c r="C442" s="4" t="s">
        <v>16</v>
      </c>
      <c r="D442" s="7">
        <v>6504.9</v>
      </c>
      <c r="E442" s="31" t="s">
        <v>9</v>
      </c>
      <c r="F442" s="32">
        <v>4592.9</v>
      </c>
      <c r="G442" s="33">
        <f>(D442-F442)/F442</f>
        <v>0.416294715756929</v>
      </c>
    </row>
    <row r="443" spans="1:7">
      <c r="A443" s="6" t="s">
        <v>758</v>
      </c>
      <c r="B443" s="3" t="s">
        <v>759</v>
      </c>
      <c r="C443" s="4" t="s">
        <v>16</v>
      </c>
      <c r="D443" s="7">
        <v>6295.15</v>
      </c>
      <c r="E443" s="31" t="s">
        <v>9</v>
      </c>
      <c r="F443" s="32">
        <v>4400.5</v>
      </c>
      <c r="G443" s="33">
        <f>(D443-F443)/F443</f>
        <v>0.430553346210658</v>
      </c>
    </row>
    <row r="444" ht="46.5" customHeight="1" spans="1:7">
      <c r="A444" s="6" t="s">
        <v>760</v>
      </c>
      <c r="B444" s="12" t="s">
        <v>761</v>
      </c>
      <c r="C444" s="4"/>
      <c r="D444" s="14"/>
      <c r="E444" s="31" t="s">
        <v>9</v>
      </c>
    </row>
    <row r="445" spans="1:7">
      <c r="A445" s="6" t="s">
        <v>762</v>
      </c>
      <c r="B445" s="3" t="s">
        <v>763</v>
      </c>
      <c r="C445" s="4" t="s">
        <v>16</v>
      </c>
      <c r="D445" s="7">
        <v>9299.9</v>
      </c>
      <c r="E445" s="31" t="s">
        <v>9</v>
      </c>
      <c r="F445" s="32">
        <v>5640.2</v>
      </c>
      <c r="G445" s="33">
        <f>(D445-F445)/F445</f>
        <v>0.648859969504627</v>
      </c>
    </row>
    <row r="446" spans="1:7">
      <c r="A446" s="6" t="s">
        <v>764</v>
      </c>
      <c r="B446" s="3" t="s">
        <v>765</v>
      </c>
      <c r="C446" s="4" t="s">
        <v>16</v>
      </c>
      <c r="D446" s="7">
        <v>8942.35</v>
      </c>
      <c r="E446" s="31" t="s">
        <v>9</v>
      </c>
      <c r="F446" s="32">
        <v>5700.5</v>
      </c>
      <c r="G446" s="33">
        <f>(D446-F446)/F446</f>
        <v>0.568695728444873</v>
      </c>
    </row>
    <row r="447" ht="31" customHeight="1" spans="1:7">
      <c r="A447" s="6" t="s">
        <v>766</v>
      </c>
      <c r="B447" s="12" t="s">
        <v>767</v>
      </c>
      <c r="C447" s="4"/>
      <c r="D447" s="14"/>
      <c r="E447" s="31" t="s">
        <v>9</v>
      </c>
    </row>
    <row r="448" spans="1:7">
      <c r="A448" s="6" t="s">
        <v>768</v>
      </c>
      <c r="B448" s="3" t="s">
        <v>752</v>
      </c>
      <c r="C448" s="4" t="s">
        <v>16</v>
      </c>
      <c r="D448" s="7">
        <v>9344.35</v>
      </c>
      <c r="E448" s="31" t="s">
        <v>9</v>
      </c>
      <c r="F448" s="32">
        <v>5801.5</v>
      </c>
      <c r="G448" s="33">
        <f t="shared" ref="G448:G456" si="7">(D448-F448)/F448</f>
        <v>0.610678272860467</v>
      </c>
    </row>
    <row r="449" spans="1:7">
      <c r="A449" s="6" t="s">
        <v>769</v>
      </c>
      <c r="B449" s="3" t="s">
        <v>754</v>
      </c>
      <c r="C449" s="4" t="s">
        <v>16</v>
      </c>
      <c r="D449" s="7">
        <v>9105.95</v>
      </c>
      <c r="E449" s="31" t="s">
        <v>9</v>
      </c>
      <c r="F449" s="32">
        <v>5582.85</v>
      </c>
      <c r="G449" s="33">
        <f t="shared" si="7"/>
        <v>0.6310576139427</v>
      </c>
    </row>
    <row r="450" ht="31" customHeight="1" spans="1:7">
      <c r="A450" s="6" t="s">
        <v>770</v>
      </c>
      <c r="B450" s="12" t="s">
        <v>771</v>
      </c>
      <c r="C450" s="4" t="s">
        <v>16</v>
      </c>
      <c r="D450" s="7">
        <v>169.45</v>
      </c>
      <c r="E450" s="31" t="s">
        <v>9</v>
      </c>
      <c r="F450" s="32">
        <v>205.45</v>
      </c>
      <c r="G450" s="33">
        <f t="shared" si="7"/>
        <v>-0.175225115599903</v>
      </c>
    </row>
    <row r="451" ht="46.5" customHeight="1" spans="1:7">
      <c r="A451" s="6" t="s">
        <v>772</v>
      </c>
      <c r="B451" s="12" t="s">
        <v>773</v>
      </c>
      <c r="C451" s="4" t="s">
        <v>12</v>
      </c>
      <c r="D451" s="7">
        <v>234.2</v>
      </c>
      <c r="E451" s="31" t="s">
        <v>9</v>
      </c>
      <c r="F451" s="32">
        <v>106.25</v>
      </c>
      <c r="G451" s="33">
        <f t="shared" si="7"/>
        <v>1.20423529411765</v>
      </c>
    </row>
    <row r="452" ht="62" customHeight="1" spans="1:7">
      <c r="A452" s="6" t="s">
        <v>774</v>
      </c>
      <c r="B452" s="12" t="s">
        <v>775</v>
      </c>
      <c r="C452" s="4" t="s">
        <v>49</v>
      </c>
      <c r="D452" s="7">
        <v>300.75</v>
      </c>
      <c r="E452" s="31" t="s">
        <v>9</v>
      </c>
      <c r="F452" s="32">
        <v>192.2</v>
      </c>
      <c r="G452" s="33">
        <f t="shared" si="7"/>
        <v>0.56477627471384</v>
      </c>
    </row>
    <row r="453" ht="46.5" customHeight="1" spans="1:7">
      <c r="A453" s="6" t="s">
        <v>776</v>
      </c>
      <c r="B453" s="12" t="s">
        <v>777</v>
      </c>
      <c r="C453" s="4" t="s">
        <v>12</v>
      </c>
      <c r="D453" s="7">
        <v>865.65</v>
      </c>
      <c r="E453" s="31" t="s">
        <v>9</v>
      </c>
      <c r="F453" s="32">
        <v>535.5</v>
      </c>
      <c r="G453" s="33">
        <f t="shared" si="7"/>
        <v>0.616526610644258</v>
      </c>
    </row>
    <row r="454" ht="62" customHeight="1" spans="1:7">
      <c r="A454" s="6" t="s">
        <v>778</v>
      </c>
      <c r="B454" s="12" t="s">
        <v>779</v>
      </c>
      <c r="C454" s="4" t="s">
        <v>16</v>
      </c>
      <c r="D454" s="7">
        <v>15077.95</v>
      </c>
      <c r="E454" s="31" t="s">
        <v>9</v>
      </c>
      <c r="F454" s="32">
        <v>8845.6</v>
      </c>
      <c r="G454" s="33">
        <f t="shared" si="7"/>
        <v>0.704570633987519</v>
      </c>
    </row>
    <row r="455" ht="62" customHeight="1" spans="1:7">
      <c r="A455" s="6" t="s">
        <v>780</v>
      </c>
      <c r="B455" s="12" t="s">
        <v>781</v>
      </c>
      <c r="C455" s="4" t="s">
        <v>16</v>
      </c>
      <c r="D455" s="7">
        <v>19066.1</v>
      </c>
      <c r="E455" s="31" t="s">
        <v>9</v>
      </c>
      <c r="F455" s="32">
        <v>10651.75</v>
      </c>
      <c r="G455" s="33">
        <f t="shared" si="7"/>
        <v>0.789950008214612</v>
      </c>
    </row>
    <row r="456" ht="31" customHeight="1" spans="1:7">
      <c r="A456" s="6" t="s">
        <v>782</v>
      </c>
      <c r="B456" s="12" t="s">
        <v>783</v>
      </c>
      <c r="C456" s="4" t="s">
        <v>12</v>
      </c>
      <c r="D456" s="7">
        <v>608.15</v>
      </c>
      <c r="E456" s="31" t="s">
        <v>9</v>
      </c>
      <c r="F456" s="32">
        <v>451.8</v>
      </c>
      <c r="G456" s="33">
        <f t="shared" si="7"/>
        <v>0.346060203629925</v>
      </c>
    </row>
    <row r="457" spans="1:7">
      <c r="A457" s="40"/>
      <c r="B457" s="12" t="s">
        <v>784</v>
      </c>
      <c r="C457" s="4"/>
      <c r="D457" s="14"/>
      <c r="E457" s="31" t="s">
        <v>9</v>
      </c>
    </row>
    <row r="458" ht="31" customHeight="1" spans="1:7">
      <c r="A458" s="6" t="s">
        <v>785</v>
      </c>
      <c r="B458" s="12" t="s">
        <v>786</v>
      </c>
      <c r="C458" s="4"/>
      <c r="D458" s="14"/>
      <c r="E458" s="31" t="s">
        <v>9</v>
      </c>
    </row>
    <row r="459" spans="1:7">
      <c r="A459" s="6" t="s">
        <v>787</v>
      </c>
      <c r="B459" s="3" t="s">
        <v>788</v>
      </c>
      <c r="C459" s="4" t="s">
        <v>12</v>
      </c>
      <c r="D459" s="7">
        <v>931.75</v>
      </c>
      <c r="E459" s="31" t="s">
        <v>9</v>
      </c>
      <c r="F459" s="32">
        <v>618</v>
      </c>
      <c r="G459" s="33">
        <f>(D459-F459)/F459</f>
        <v>0.507686084142395</v>
      </c>
    </row>
    <row r="460" spans="1:7">
      <c r="A460" s="6" t="s">
        <v>789</v>
      </c>
      <c r="B460" s="3" t="s">
        <v>790</v>
      </c>
      <c r="C460" s="4" t="s">
        <v>12</v>
      </c>
      <c r="D460" s="7">
        <v>905.05</v>
      </c>
      <c r="E460" s="31" t="s">
        <v>9</v>
      </c>
      <c r="F460" s="32">
        <v>593.5</v>
      </c>
      <c r="G460" s="33">
        <f>(D460-F460)/F460</f>
        <v>0.524936815501264</v>
      </c>
    </row>
    <row r="461" ht="31" customHeight="1" spans="1:7">
      <c r="A461" s="6" t="s">
        <v>791</v>
      </c>
      <c r="B461" s="12" t="s">
        <v>792</v>
      </c>
      <c r="C461" s="4"/>
      <c r="D461" s="14"/>
      <c r="E461" s="31" t="s">
        <v>9</v>
      </c>
    </row>
    <row r="462" spans="1:7">
      <c r="A462" s="6" t="s">
        <v>793</v>
      </c>
      <c r="B462" s="3" t="s">
        <v>794</v>
      </c>
      <c r="C462" s="4" t="s">
        <v>12</v>
      </c>
      <c r="D462" s="7">
        <v>1150.5</v>
      </c>
      <c r="E462" s="31" t="s">
        <v>9</v>
      </c>
      <c r="F462" s="32">
        <v>708.7</v>
      </c>
      <c r="G462" s="33">
        <f>(D462-F462)/F462</f>
        <v>0.623394948497248</v>
      </c>
    </row>
    <row r="463" spans="1:7">
      <c r="A463" s="6" t="s">
        <v>795</v>
      </c>
      <c r="B463" s="3" t="s">
        <v>796</v>
      </c>
      <c r="C463" s="4" t="s">
        <v>12</v>
      </c>
      <c r="D463" s="7">
        <v>1123.8</v>
      </c>
      <c r="E463" s="31" t="s">
        <v>9</v>
      </c>
      <c r="F463" s="32">
        <v>684.2</v>
      </c>
      <c r="G463" s="33">
        <f>(D463-F463)/F463</f>
        <v>0.64250219234142</v>
      </c>
    </row>
    <row r="464" ht="31" customHeight="1" spans="1:7">
      <c r="A464" s="6" t="s">
        <v>797</v>
      </c>
      <c r="B464" s="12" t="s">
        <v>798</v>
      </c>
      <c r="C464" s="4" t="s">
        <v>12</v>
      </c>
      <c r="D464" s="7">
        <v>15</v>
      </c>
      <c r="E464" s="31" t="s">
        <v>9</v>
      </c>
      <c r="F464" s="32">
        <v>18.2</v>
      </c>
      <c r="G464" s="33">
        <f>(D464-F464)/F464</f>
        <v>-0.175824175824176</v>
      </c>
    </row>
    <row r="465" ht="31" customHeight="1" spans="1:7">
      <c r="A465" s="6" t="s">
        <v>799</v>
      </c>
      <c r="B465" s="12" t="s">
        <v>800</v>
      </c>
      <c r="C465" s="4" t="s">
        <v>12</v>
      </c>
      <c r="D465" s="7">
        <v>104.8</v>
      </c>
      <c r="E465" s="31" t="s">
        <v>9</v>
      </c>
      <c r="F465" s="32">
        <v>56.85</v>
      </c>
      <c r="G465" s="33">
        <f>(D465-F465)/F465</f>
        <v>0.843447669305189</v>
      </c>
    </row>
    <row r="466" spans="1:7">
      <c r="A466" s="40"/>
      <c r="B466" s="12" t="s">
        <v>801</v>
      </c>
      <c r="C466" s="4"/>
      <c r="D466" s="7"/>
      <c r="E466" s="31" t="s">
        <v>9</v>
      </c>
    </row>
    <row r="467" ht="31" customHeight="1" spans="1:7">
      <c r="A467" s="6" t="s">
        <v>802</v>
      </c>
      <c r="B467" s="12" t="s">
        <v>803</v>
      </c>
      <c r="C467" s="4"/>
      <c r="D467" s="14"/>
      <c r="E467" s="31" t="s">
        <v>9</v>
      </c>
    </row>
    <row r="468" spans="1:7">
      <c r="A468" s="6" t="s">
        <v>804</v>
      </c>
      <c r="B468" s="3" t="s">
        <v>752</v>
      </c>
      <c r="C468" s="4" t="s">
        <v>16</v>
      </c>
      <c r="D468" s="7">
        <v>11212.5</v>
      </c>
      <c r="E468" s="31" t="s">
        <v>9</v>
      </c>
      <c r="F468" s="32">
        <v>8209.6</v>
      </c>
      <c r="G468" s="33">
        <f t="shared" ref="G468:G474" si="8">(D468-F468)/F468</f>
        <v>0.365779087897096</v>
      </c>
    </row>
    <row r="469" spans="1:7">
      <c r="A469" s="6" t="s">
        <v>805</v>
      </c>
      <c r="B469" s="3" t="s">
        <v>754</v>
      </c>
      <c r="C469" s="4" t="s">
        <v>16</v>
      </c>
      <c r="D469" s="7">
        <v>10831.05</v>
      </c>
      <c r="E469" s="31" t="s">
        <v>9</v>
      </c>
      <c r="F469" s="32">
        <v>7859.75</v>
      </c>
      <c r="G469" s="33">
        <f t="shared" si="8"/>
        <v>0.378040013995356</v>
      </c>
    </row>
    <row r="470" ht="46.5" customHeight="1" spans="1:7">
      <c r="A470" s="6" t="s">
        <v>806</v>
      </c>
      <c r="B470" s="12" t="s">
        <v>807</v>
      </c>
      <c r="C470" s="4" t="s">
        <v>16</v>
      </c>
      <c r="D470" s="7">
        <v>11328.5</v>
      </c>
      <c r="E470" s="31" t="s">
        <v>9</v>
      </c>
      <c r="F470" s="32">
        <v>7679.25</v>
      </c>
      <c r="G470" s="33">
        <f t="shared" si="8"/>
        <v>0.475209167561936</v>
      </c>
    </row>
    <row r="471" ht="46.5" customHeight="1" spans="1:7">
      <c r="A471" s="6" t="s">
        <v>808</v>
      </c>
      <c r="B471" s="12" t="s">
        <v>809</v>
      </c>
      <c r="C471" s="4" t="s">
        <v>16</v>
      </c>
      <c r="D471" s="7">
        <v>12883.05</v>
      </c>
      <c r="E471" s="31" t="s">
        <v>9</v>
      </c>
      <c r="F471" s="32">
        <v>8739</v>
      </c>
      <c r="G471" s="33">
        <f t="shared" si="8"/>
        <v>0.474201853759011</v>
      </c>
    </row>
    <row r="472" ht="62" customHeight="1" spans="1:7">
      <c r="A472" s="6" t="s">
        <v>810</v>
      </c>
      <c r="B472" s="12" t="s">
        <v>811</v>
      </c>
      <c r="C472" s="4" t="s">
        <v>16</v>
      </c>
      <c r="D472" s="7">
        <v>18975.15</v>
      </c>
      <c r="E472" s="31" t="s">
        <v>9</v>
      </c>
      <c r="F472" s="32">
        <v>11871.2</v>
      </c>
      <c r="G472" s="33">
        <f t="shared" si="8"/>
        <v>0.598418862457039</v>
      </c>
    </row>
    <row r="473" ht="62" customHeight="1" spans="1:7">
      <c r="A473" s="6" t="s">
        <v>812</v>
      </c>
      <c r="B473" s="12" t="s">
        <v>813</v>
      </c>
      <c r="C473" s="4" t="s">
        <v>16</v>
      </c>
      <c r="D473" s="7">
        <v>23019.75</v>
      </c>
      <c r="E473" s="31" t="s">
        <v>9</v>
      </c>
      <c r="F473" s="32">
        <v>13635.65</v>
      </c>
      <c r="G473" s="33">
        <f t="shared" si="8"/>
        <v>0.688203349308614</v>
      </c>
    </row>
    <row r="474" ht="46.5" customHeight="1" spans="1:7">
      <c r="A474" s="6" t="s">
        <v>814</v>
      </c>
      <c r="B474" s="12" t="s">
        <v>815</v>
      </c>
      <c r="C474" s="4" t="s">
        <v>12</v>
      </c>
      <c r="D474" s="7">
        <v>885.45</v>
      </c>
      <c r="E474" s="31" t="s">
        <v>9</v>
      </c>
      <c r="F474" s="32">
        <v>572.05</v>
      </c>
      <c r="G474" s="33">
        <f t="shared" si="8"/>
        <v>0.547854208548204</v>
      </c>
    </row>
    <row r="475" spans="1:7">
      <c r="A475" s="40"/>
      <c r="B475" s="12" t="s">
        <v>816</v>
      </c>
      <c r="C475" s="4"/>
      <c r="D475" s="7"/>
      <c r="E475" s="31" t="s">
        <v>9</v>
      </c>
    </row>
    <row r="476" ht="46.5" customHeight="1" spans="1:7">
      <c r="A476" s="6" t="s">
        <v>817</v>
      </c>
      <c r="B476" s="12" t="s">
        <v>818</v>
      </c>
      <c r="C476" s="4" t="s">
        <v>12</v>
      </c>
      <c r="D476" s="7">
        <v>711.5</v>
      </c>
      <c r="E476" s="31" t="s">
        <v>9</v>
      </c>
      <c r="F476" s="32">
        <v>441.85</v>
      </c>
      <c r="G476" s="33">
        <f>(D476-F476)/F476</f>
        <v>0.610274980196899</v>
      </c>
    </row>
    <row r="477" ht="31" customHeight="1" spans="1:7">
      <c r="A477" s="6" t="s">
        <v>819</v>
      </c>
      <c r="B477" s="12" t="s">
        <v>820</v>
      </c>
      <c r="C477" s="4" t="s">
        <v>370</v>
      </c>
      <c r="D477" s="7">
        <v>1098.8</v>
      </c>
      <c r="E477" s="31" t="s">
        <v>9</v>
      </c>
      <c r="F477" s="32">
        <v>474.5</v>
      </c>
      <c r="G477" s="33">
        <f>(D477-F477)/F477</f>
        <v>1.31570073761855</v>
      </c>
    </row>
    <row r="478" ht="77.5" customHeight="1" spans="1:7">
      <c r="A478" s="40"/>
      <c r="B478" s="12" t="s">
        <v>821</v>
      </c>
      <c r="C478" s="4"/>
      <c r="D478" s="14"/>
      <c r="E478" s="31" t="s">
        <v>9</v>
      </c>
    </row>
    <row r="479" spans="1:7">
      <c r="A479" s="6" t="s">
        <v>822</v>
      </c>
      <c r="B479" s="12" t="s">
        <v>823</v>
      </c>
      <c r="C479" s="4" t="s">
        <v>16</v>
      </c>
      <c r="D479" s="7">
        <v>467.55</v>
      </c>
      <c r="E479" s="31" t="s">
        <v>9</v>
      </c>
      <c r="F479" s="32">
        <v>192.7</v>
      </c>
      <c r="G479" s="33">
        <f>(D479-F479)/F479</f>
        <v>1.42631032693306</v>
      </c>
    </row>
    <row r="480" spans="1:7">
      <c r="A480" s="40"/>
      <c r="B480" s="12" t="s">
        <v>824</v>
      </c>
      <c r="C480" s="4"/>
      <c r="D480" s="7"/>
      <c r="E480" s="31" t="s">
        <v>9</v>
      </c>
    </row>
    <row r="481" ht="46.5" customHeight="1" spans="1:7">
      <c r="A481" s="6" t="s">
        <v>825</v>
      </c>
      <c r="B481" s="12" t="s">
        <v>826</v>
      </c>
      <c r="C481" s="4"/>
      <c r="D481" s="14"/>
      <c r="E481" s="31" t="s">
        <v>9</v>
      </c>
    </row>
    <row r="482" spans="1:7">
      <c r="A482" s="6" t="s">
        <v>827</v>
      </c>
      <c r="B482" s="3" t="s">
        <v>828</v>
      </c>
      <c r="C482" s="4" t="s">
        <v>16</v>
      </c>
      <c r="D482" s="7">
        <v>7361.35</v>
      </c>
      <c r="E482" s="31" t="s">
        <v>9</v>
      </c>
      <c r="F482" s="32">
        <v>4853.7</v>
      </c>
      <c r="G482" s="33">
        <f>(D482-F482)/F482</f>
        <v>0.516647093969549</v>
      </c>
    </row>
    <row r="483" spans="1:7">
      <c r="A483" s="6" t="s">
        <v>829</v>
      </c>
      <c r="B483" s="3" t="s">
        <v>830</v>
      </c>
      <c r="C483" s="4" t="s">
        <v>16</v>
      </c>
      <c r="D483" s="7">
        <v>9439.75</v>
      </c>
      <c r="E483" s="31" t="s">
        <v>9</v>
      </c>
      <c r="F483" s="32">
        <v>5727.65</v>
      </c>
      <c r="G483" s="33">
        <f>(D483-F483)/F483</f>
        <v>0.648101752027446</v>
      </c>
    </row>
    <row r="484" ht="46.5" customHeight="1" spans="1:7">
      <c r="A484" s="6" t="s">
        <v>831</v>
      </c>
      <c r="B484" s="12" t="s">
        <v>832</v>
      </c>
      <c r="C484" s="4"/>
      <c r="D484" s="14"/>
      <c r="E484" s="31" t="s">
        <v>9</v>
      </c>
    </row>
    <row r="485" spans="1:7">
      <c r="A485" s="6" t="s">
        <v>833</v>
      </c>
      <c r="B485" s="3" t="s">
        <v>828</v>
      </c>
      <c r="C485" s="4" t="s">
        <v>16</v>
      </c>
      <c r="D485" s="7">
        <v>6339.2</v>
      </c>
      <c r="E485" s="31" t="s">
        <v>9</v>
      </c>
      <c r="F485" s="32">
        <v>4427.95</v>
      </c>
      <c r="G485" s="33">
        <f>(D485-F485)/F485</f>
        <v>0.431633148522454</v>
      </c>
    </row>
    <row r="486" spans="1:7">
      <c r="A486" s="6" t="s">
        <v>834</v>
      </c>
      <c r="B486" s="3" t="s">
        <v>830</v>
      </c>
      <c r="C486" s="4" t="s">
        <v>16</v>
      </c>
      <c r="D486" s="7">
        <v>8312.9</v>
      </c>
      <c r="E486" s="31" t="s">
        <v>9</v>
      </c>
      <c r="F486" s="32">
        <v>5259.1</v>
      </c>
      <c r="G486" s="33">
        <f>(D486-F486)/F486</f>
        <v>0.580669696335875</v>
      </c>
    </row>
    <row r="487" ht="46.5" customHeight="1" spans="1:7">
      <c r="A487" s="6" t="s">
        <v>835</v>
      </c>
      <c r="B487" s="12" t="s">
        <v>836</v>
      </c>
      <c r="C487" s="4"/>
      <c r="D487" s="14"/>
      <c r="E487" s="31" t="s">
        <v>9</v>
      </c>
    </row>
    <row r="488" spans="1:7">
      <c r="A488" s="6" t="s">
        <v>837</v>
      </c>
      <c r="B488" s="3" t="s">
        <v>828</v>
      </c>
      <c r="C488" s="4" t="s">
        <v>16</v>
      </c>
      <c r="D488" s="7">
        <v>6997.4</v>
      </c>
      <c r="E488" s="31" t="s">
        <v>9</v>
      </c>
      <c r="F488" s="32">
        <v>4993.6</v>
      </c>
      <c r="G488" s="33">
        <f>(D488-F488)/F488</f>
        <v>0.401273630246716</v>
      </c>
    </row>
    <row r="489" spans="1:7">
      <c r="A489" s="6" t="s">
        <v>838</v>
      </c>
      <c r="B489" s="3" t="s">
        <v>830</v>
      </c>
      <c r="C489" s="4" t="s">
        <v>16</v>
      </c>
      <c r="D489" s="7">
        <v>8971.1</v>
      </c>
      <c r="E489" s="31" t="s">
        <v>9</v>
      </c>
      <c r="F489" s="32">
        <v>5824.75</v>
      </c>
      <c r="G489" s="33">
        <f>(D489-F489)/F489</f>
        <v>0.540169105970213</v>
      </c>
    </row>
    <row r="490" ht="46.5" customHeight="1" spans="1:7">
      <c r="A490" s="6" t="s">
        <v>839</v>
      </c>
      <c r="B490" s="12" t="s">
        <v>840</v>
      </c>
      <c r="C490" s="4"/>
      <c r="D490" s="14"/>
      <c r="E490" s="31" t="s">
        <v>9</v>
      </c>
    </row>
    <row r="491" spans="1:7">
      <c r="A491" s="6" t="s">
        <v>841</v>
      </c>
      <c r="B491" s="3" t="s">
        <v>828</v>
      </c>
      <c r="C491" s="4" t="s">
        <v>16</v>
      </c>
      <c r="D491" s="7">
        <v>7581.15</v>
      </c>
      <c r="E491" s="31" t="s">
        <v>9</v>
      </c>
      <c r="F491" s="32">
        <v>5066</v>
      </c>
      <c r="G491" s="33">
        <f>(D491-F491)/F491</f>
        <v>0.496476510067114</v>
      </c>
    </row>
    <row r="492" spans="1:7">
      <c r="A492" s="6" t="s">
        <v>842</v>
      </c>
      <c r="B492" s="3" t="s">
        <v>830</v>
      </c>
      <c r="C492" s="4" t="s">
        <v>16</v>
      </c>
      <c r="D492" s="7">
        <v>9481.7</v>
      </c>
      <c r="E492" s="31" t="s">
        <v>9</v>
      </c>
      <c r="F492" s="32">
        <v>5864.55</v>
      </c>
      <c r="G492" s="33">
        <f>(D492-F492)/F492</f>
        <v>0.616782191301976</v>
      </c>
    </row>
    <row r="493" ht="62" customHeight="1" spans="1:7">
      <c r="A493" s="6" t="s">
        <v>843</v>
      </c>
      <c r="B493" s="12" t="s">
        <v>844</v>
      </c>
      <c r="C493" s="4"/>
      <c r="D493" s="14"/>
      <c r="E493" s="31" t="s">
        <v>9</v>
      </c>
    </row>
    <row r="494" spans="1:7">
      <c r="A494" s="6" t="s">
        <v>845</v>
      </c>
      <c r="B494" s="3" t="s">
        <v>828</v>
      </c>
      <c r="C494" s="4" t="s">
        <v>16</v>
      </c>
      <c r="D494" s="7">
        <v>7370.3</v>
      </c>
      <c r="E494" s="31" t="s">
        <v>9</v>
      </c>
      <c r="F494" s="32">
        <v>4836.45</v>
      </c>
      <c r="G494" s="33">
        <f>(D494-F494)/F494</f>
        <v>0.523906997901353</v>
      </c>
    </row>
    <row r="495" spans="1:7">
      <c r="A495" s="6" t="s">
        <v>846</v>
      </c>
      <c r="B495" s="3" t="s">
        <v>830</v>
      </c>
      <c r="C495" s="4" t="s">
        <v>16</v>
      </c>
      <c r="D495" s="7">
        <v>9344</v>
      </c>
      <c r="E495" s="31" t="s">
        <v>9</v>
      </c>
      <c r="F495" s="32">
        <v>5667.65</v>
      </c>
      <c r="G495" s="33">
        <f>(D495-F495)/F495</f>
        <v>0.648655086323256</v>
      </c>
    </row>
    <row r="496" ht="62" customHeight="1" spans="1:7">
      <c r="A496" s="6" t="s">
        <v>847</v>
      </c>
      <c r="B496" s="12" t="s">
        <v>848</v>
      </c>
      <c r="C496" s="4"/>
      <c r="D496" s="14"/>
      <c r="E496" s="31" t="s">
        <v>9</v>
      </c>
    </row>
    <row r="497" spans="1:7">
      <c r="A497" s="6" t="s">
        <v>849</v>
      </c>
      <c r="B497" s="3" t="s">
        <v>828</v>
      </c>
      <c r="C497" s="4" t="s">
        <v>16</v>
      </c>
      <c r="D497" s="7">
        <v>7032.05</v>
      </c>
      <c r="E497" s="31" t="s">
        <v>9</v>
      </c>
      <c r="F497" s="32">
        <v>4908.75</v>
      </c>
      <c r="G497" s="33">
        <f>(D497-F497)/F497</f>
        <v>0.432554112554113</v>
      </c>
    </row>
    <row r="498" spans="1:7">
      <c r="A498" s="6" t="s">
        <v>850</v>
      </c>
      <c r="B498" s="3" t="s">
        <v>830</v>
      </c>
      <c r="C498" s="4" t="s">
        <v>16</v>
      </c>
      <c r="D498" s="7">
        <v>9005.75</v>
      </c>
      <c r="E498" s="31" t="s">
        <v>9</v>
      </c>
      <c r="F498" s="32">
        <v>5739.95</v>
      </c>
      <c r="G498" s="33">
        <f>(D498-F498)/F498</f>
        <v>0.568959659927351</v>
      </c>
    </row>
    <row r="499" ht="31" customHeight="1" spans="1:7">
      <c r="A499" s="6" t="s">
        <v>851</v>
      </c>
      <c r="B499" s="12" t="s">
        <v>852</v>
      </c>
      <c r="C499" s="4"/>
      <c r="D499" s="14"/>
      <c r="E499" s="31" t="s">
        <v>9</v>
      </c>
    </row>
    <row r="500" spans="1:7">
      <c r="A500" s="6" t="s">
        <v>853</v>
      </c>
      <c r="B500" s="3" t="s">
        <v>752</v>
      </c>
      <c r="C500" s="4" t="s">
        <v>16</v>
      </c>
      <c r="D500" s="7">
        <v>9333.45</v>
      </c>
      <c r="E500" s="31" t="s">
        <v>9</v>
      </c>
      <c r="F500" s="32">
        <v>5487.7</v>
      </c>
      <c r="G500" s="33">
        <f>(D500-F500)/F500</f>
        <v>0.700794504072745</v>
      </c>
    </row>
    <row r="501" spans="1:7">
      <c r="A501" s="6" t="s">
        <v>854</v>
      </c>
      <c r="B501" s="3" t="s">
        <v>754</v>
      </c>
      <c r="C501" s="4" t="s">
        <v>16</v>
      </c>
      <c r="D501" s="7">
        <v>9095.05</v>
      </c>
      <c r="E501" s="31" t="s">
        <v>9</v>
      </c>
      <c r="F501" s="32">
        <v>5269.05</v>
      </c>
      <c r="G501" s="33">
        <f>(D501-F501)/F501</f>
        <v>0.726127100710754</v>
      </c>
    </row>
    <row r="502" ht="31" customHeight="1" spans="1:7">
      <c r="A502" s="6" t="s">
        <v>855</v>
      </c>
      <c r="B502" s="12" t="s">
        <v>856</v>
      </c>
      <c r="C502" s="4"/>
      <c r="D502" s="14"/>
      <c r="E502" s="31" t="s">
        <v>9</v>
      </c>
    </row>
    <row r="503" spans="1:7">
      <c r="A503" s="6" t="s">
        <v>857</v>
      </c>
      <c r="B503" s="3" t="s">
        <v>752</v>
      </c>
      <c r="C503" s="4" t="s">
        <v>16</v>
      </c>
      <c r="D503" s="7">
        <v>8962.35</v>
      </c>
      <c r="E503" s="31" t="s">
        <v>9</v>
      </c>
      <c r="F503" s="32">
        <v>6359.65</v>
      </c>
      <c r="G503" s="33">
        <f>(D503-F503)/F503</f>
        <v>0.409252081482472</v>
      </c>
    </row>
    <row r="504" spans="1:7">
      <c r="A504" s="6" t="s">
        <v>858</v>
      </c>
      <c r="B504" s="3" t="s">
        <v>859</v>
      </c>
      <c r="C504" s="4" t="s">
        <v>16</v>
      </c>
      <c r="D504" s="7">
        <v>8752.55</v>
      </c>
      <c r="E504" s="31" t="s">
        <v>9</v>
      </c>
      <c r="F504" s="32">
        <v>6167.2</v>
      </c>
      <c r="G504" s="33">
        <f>(D504-F504)/F504</f>
        <v>0.419209689972759</v>
      </c>
    </row>
    <row r="505" ht="46.5" customHeight="1" spans="1:7">
      <c r="A505" s="6" t="s">
        <v>860</v>
      </c>
      <c r="B505" s="12" t="s">
        <v>861</v>
      </c>
      <c r="C505" s="4"/>
      <c r="D505" s="14"/>
      <c r="E505" s="31" t="s">
        <v>9</v>
      </c>
    </row>
    <row r="506" spans="1:7">
      <c r="A506" s="6" t="s">
        <v>862</v>
      </c>
      <c r="B506" s="3" t="s">
        <v>752</v>
      </c>
      <c r="C506" s="4" t="s">
        <v>16</v>
      </c>
      <c r="D506" s="7">
        <v>9793.75</v>
      </c>
      <c r="E506" s="31" t="s">
        <v>9</v>
      </c>
      <c r="F506" s="32">
        <v>6303.05</v>
      </c>
      <c r="G506" s="33">
        <f>(D506-F506)/F506</f>
        <v>0.553811250109074</v>
      </c>
    </row>
    <row r="507" spans="1:7">
      <c r="A507" s="6" t="s">
        <v>863</v>
      </c>
      <c r="B507" s="3" t="s">
        <v>859</v>
      </c>
      <c r="C507" s="4" t="s">
        <v>16</v>
      </c>
      <c r="D507" s="7">
        <v>9583.95</v>
      </c>
      <c r="E507" s="31" t="s">
        <v>9</v>
      </c>
      <c r="F507" s="32">
        <v>6110.65</v>
      </c>
      <c r="G507" s="33">
        <f>(D507-F507)/F507</f>
        <v>0.568401070262575</v>
      </c>
    </row>
    <row r="508" ht="31" customHeight="1" spans="1:7">
      <c r="A508" s="6" t="s">
        <v>864</v>
      </c>
      <c r="B508" s="12" t="s">
        <v>865</v>
      </c>
      <c r="C508" s="4"/>
      <c r="D508" s="14"/>
      <c r="E508" s="31" t="s">
        <v>9</v>
      </c>
    </row>
    <row r="509" spans="1:7">
      <c r="A509" s="6" t="s">
        <v>866</v>
      </c>
      <c r="B509" s="3" t="s">
        <v>867</v>
      </c>
      <c r="C509" s="4" t="s">
        <v>16</v>
      </c>
      <c r="D509" s="7">
        <v>7197.75</v>
      </c>
      <c r="E509" s="31" t="s">
        <v>9</v>
      </c>
      <c r="F509" s="32">
        <v>5102</v>
      </c>
      <c r="G509" s="33">
        <f t="shared" ref="G509:G514" si="9">(D509-F509)/F509</f>
        <v>0.410770286162289</v>
      </c>
    </row>
    <row r="510" ht="31" customHeight="1" spans="1:7">
      <c r="A510" s="6" t="s">
        <v>868</v>
      </c>
      <c r="B510" s="12" t="s">
        <v>869</v>
      </c>
      <c r="C510" s="4" t="s">
        <v>16</v>
      </c>
      <c r="D510" s="7">
        <v>13427.3</v>
      </c>
      <c r="E510" s="31" t="s">
        <v>9</v>
      </c>
      <c r="F510" s="32">
        <v>8355</v>
      </c>
      <c r="G510" s="33">
        <f t="shared" si="9"/>
        <v>0.607097546379413</v>
      </c>
    </row>
    <row r="511" ht="77.5" customHeight="1" spans="1:7">
      <c r="A511" s="6" t="s">
        <v>870</v>
      </c>
      <c r="B511" s="12" t="s">
        <v>871</v>
      </c>
      <c r="C511" s="4" t="s">
        <v>16</v>
      </c>
      <c r="D511" s="7">
        <v>10195.45</v>
      </c>
      <c r="E511" s="31" t="s">
        <v>9</v>
      </c>
      <c r="F511" s="32">
        <v>6818.6</v>
      </c>
      <c r="G511" s="33">
        <f t="shared" si="9"/>
        <v>0.495240958554542</v>
      </c>
    </row>
    <row r="512" ht="77.5" customHeight="1" spans="1:7">
      <c r="A512" s="6" t="s">
        <v>872</v>
      </c>
      <c r="B512" s="12" t="s">
        <v>873</v>
      </c>
      <c r="C512" s="4" t="s">
        <v>12</v>
      </c>
      <c r="D512" s="7">
        <v>1023.6</v>
      </c>
      <c r="E512" s="31" t="s">
        <v>9</v>
      </c>
      <c r="F512" s="32">
        <v>692.5</v>
      </c>
      <c r="G512" s="33">
        <f t="shared" si="9"/>
        <v>0.478122743682311</v>
      </c>
    </row>
    <row r="513" ht="31" customHeight="1" spans="1:7">
      <c r="A513" s="6" t="s">
        <v>874</v>
      </c>
      <c r="B513" s="12" t="s">
        <v>875</v>
      </c>
      <c r="C513" s="4" t="s">
        <v>12</v>
      </c>
      <c r="D513" s="7">
        <v>181.15</v>
      </c>
      <c r="E513" s="31" t="s">
        <v>9</v>
      </c>
      <c r="F513" s="32">
        <v>73.95</v>
      </c>
      <c r="G513" s="33">
        <f t="shared" si="9"/>
        <v>1.44962812711291</v>
      </c>
    </row>
    <row r="514" ht="46.5" customHeight="1" spans="1:7">
      <c r="A514" s="6" t="s">
        <v>876</v>
      </c>
      <c r="B514" s="12" t="s">
        <v>877</v>
      </c>
      <c r="C514" s="4" t="s">
        <v>49</v>
      </c>
      <c r="D514" s="7">
        <v>59.45</v>
      </c>
      <c r="E514" s="31" t="s">
        <v>9</v>
      </c>
      <c r="F514" s="32">
        <v>39.2</v>
      </c>
      <c r="G514" s="33">
        <f t="shared" si="9"/>
        <v>0.516581632653061</v>
      </c>
    </row>
    <row r="515" ht="31" customHeight="1" spans="1:7">
      <c r="A515" s="6" t="s">
        <v>878</v>
      </c>
      <c r="B515" s="12" t="s">
        <v>879</v>
      </c>
      <c r="C515" s="4"/>
      <c r="D515" s="14"/>
      <c r="E515" s="31" t="s">
        <v>9</v>
      </c>
    </row>
    <row r="516" spans="1:7">
      <c r="A516" s="6" t="s">
        <v>880</v>
      </c>
      <c r="B516" s="3" t="s">
        <v>881</v>
      </c>
      <c r="C516" s="4" t="s">
        <v>12</v>
      </c>
      <c r="D516" s="7">
        <v>1132.5</v>
      </c>
      <c r="E516" s="31" t="s">
        <v>9</v>
      </c>
      <c r="F516" s="32">
        <v>794</v>
      </c>
      <c r="G516" s="33">
        <f>(D516-F516)/F516</f>
        <v>0.42632241813602</v>
      </c>
    </row>
    <row r="517" spans="1:7">
      <c r="A517" s="6" t="s">
        <v>882</v>
      </c>
      <c r="B517" s="3" t="s">
        <v>883</v>
      </c>
      <c r="C517" s="4" t="s">
        <v>12</v>
      </c>
      <c r="D517" s="7">
        <v>1105.8</v>
      </c>
      <c r="E517" s="31" t="s">
        <v>9</v>
      </c>
      <c r="F517" s="32">
        <v>769.5</v>
      </c>
      <c r="G517" s="33">
        <f>(D517-F517)/F517</f>
        <v>0.437037037037037</v>
      </c>
    </row>
    <row r="518" ht="93" customHeight="1" spans="1:7">
      <c r="A518" s="6" t="s">
        <v>884</v>
      </c>
      <c r="B518" s="12" t="s">
        <v>885</v>
      </c>
      <c r="C518" s="4" t="s">
        <v>16</v>
      </c>
      <c r="D518" s="7">
        <v>8699.7</v>
      </c>
      <c r="E518" s="31" t="s">
        <v>9</v>
      </c>
      <c r="F518" s="32">
        <v>5687.1</v>
      </c>
      <c r="G518" s="33">
        <f>(D518-F518)/F518</f>
        <v>0.529725167484307</v>
      </c>
    </row>
    <row r="519" spans="1:7">
      <c r="B519" s="3"/>
      <c r="C519" s="40"/>
      <c r="D519" s="40"/>
    </row>
    <row r="520" spans="1:7">
      <c r="A520" s="41" t="s">
        <v>886</v>
      </c>
      <c r="C520" s="31"/>
      <c r="D520" s="31"/>
      <c r="E520" s="31" t="s">
        <v>9</v>
      </c>
    </row>
    <row r="521" spans="1:7">
      <c r="A521" s="6" t="s">
        <v>204</v>
      </c>
      <c r="B521" s="12" t="s">
        <v>2</v>
      </c>
      <c r="C521" s="4" t="s">
        <v>205</v>
      </c>
      <c r="D521" s="14" t="s">
        <v>4</v>
      </c>
      <c r="E521" s="31" t="s">
        <v>9</v>
      </c>
    </row>
    <row r="522" spans="1:7">
      <c r="A522" s="40"/>
      <c r="B522" s="12" t="s">
        <v>887</v>
      </c>
      <c r="C522" s="4"/>
      <c r="D522" s="14"/>
      <c r="E522" s="31" t="s">
        <v>9</v>
      </c>
    </row>
    <row r="523" ht="46.5" customHeight="1" spans="1:7">
      <c r="A523" s="6" t="s">
        <v>888</v>
      </c>
      <c r="B523" s="12" t="s">
        <v>889</v>
      </c>
      <c r="C523" s="4"/>
      <c r="D523" s="14"/>
      <c r="E523" s="31" t="s">
        <v>9</v>
      </c>
    </row>
    <row r="524" ht="31" customHeight="1" spans="1:7">
      <c r="A524" s="6" t="s">
        <v>890</v>
      </c>
      <c r="B524" s="3" t="s">
        <v>891</v>
      </c>
      <c r="C524" s="4" t="s">
        <v>16</v>
      </c>
      <c r="D524" s="7">
        <v>7311.25</v>
      </c>
      <c r="E524" s="31" t="s">
        <v>9</v>
      </c>
      <c r="F524" s="32">
        <v>3965.85</v>
      </c>
      <c r="G524" s="33">
        <f>(D524-F524)/F524</f>
        <v>0.843551823694794</v>
      </c>
    </row>
    <row r="525" ht="62" customHeight="1" spans="1:7">
      <c r="A525" s="6" t="s">
        <v>892</v>
      </c>
      <c r="B525" s="12" t="s">
        <v>893</v>
      </c>
      <c r="C525" s="4"/>
      <c r="D525" s="14"/>
      <c r="E525" s="31" t="s">
        <v>9</v>
      </c>
    </row>
    <row r="526" spans="1:7">
      <c r="A526" s="6" t="s">
        <v>894</v>
      </c>
      <c r="B526" s="3" t="s">
        <v>754</v>
      </c>
      <c r="C526" s="4" t="s">
        <v>16</v>
      </c>
      <c r="D526" s="7">
        <v>9275.45</v>
      </c>
      <c r="E526" s="31" t="s">
        <v>9</v>
      </c>
      <c r="F526" s="32">
        <v>4795.15</v>
      </c>
      <c r="G526" s="33">
        <f>(D526-F526)/F526</f>
        <v>0.934339905946634</v>
      </c>
    </row>
    <row r="527" spans="1:7">
      <c r="A527" s="6" t="s">
        <v>895</v>
      </c>
      <c r="B527" s="12" t="s">
        <v>896</v>
      </c>
      <c r="C527" s="4"/>
      <c r="D527" s="14"/>
      <c r="E527" s="31" t="s">
        <v>9</v>
      </c>
    </row>
    <row r="528" spans="1:7">
      <c r="A528" s="6" t="s">
        <v>897</v>
      </c>
      <c r="B528" s="3" t="s">
        <v>898</v>
      </c>
      <c r="C528" s="4" t="s">
        <v>16</v>
      </c>
      <c r="D528" s="7">
        <v>956</v>
      </c>
      <c r="E528" s="31" t="s">
        <v>9</v>
      </c>
      <c r="F528" s="32">
        <v>417.2</v>
      </c>
      <c r="G528" s="33">
        <f>(D528-F528)/F528</f>
        <v>1.29146692233941</v>
      </c>
    </row>
    <row r="529" spans="1:7">
      <c r="A529" s="6" t="s">
        <v>899</v>
      </c>
      <c r="B529" s="3" t="s">
        <v>900</v>
      </c>
      <c r="C529" s="4" t="s">
        <v>16</v>
      </c>
      <c r="D529" s="7">
        <v>2530.6</v>
      </c>
      <c r="E529" s="31" t="s">
        <v>9</v>
      </c>
      <c r="F529" s="32">
        <v>1221</v>
      </c>
      <c r="G529" s="33">
        <f>(D529-F529)/F529</f>
        <v>1.07256347256347</v>
      </c>
    </row>
    <row r="530" ht="31" customHeight="1" spans="1:7">
      <c r="A530" s="6" t="s">
        <v>901</v>
      </c>
      <c r="B530" s="12" t="s">
        <v>902</v>
      </c>
      <c r="C530" s="4" t="s">
        <v>16</v>
      </c>
      <c r="D530" s="7">
        <v>1046.2</v>
      </c>
      <c r="E530" s="31" t="s">
        <v>9</v>
      </c>
      <c r="F530" s="32">
        <v>481.7</v>
      </c>
      <c r="G530" s="33">
        <f>(D530-F530)/F530</f>
        <v>1.17189121860079</v>
      </c>
    </row>
    <row r="531" spans="1:7">
      <c r="A531" s="40"/>
      <c r="B531" s="12" t="s">
        <v>903</v>
      </c>
      <c r="C531" s="4"/>
      <c r="D531" s="7"/>
      <c r="E531" s="31" t="s">
        <v>9</v>
      </c>
    </row>
    <row r="532" spans="1:7">
      <c r="A532" s="6" t="s">
        <v>904</v>
      </c>
      <c r="B532" s="12" t="s">
        <v>905</v>
      </c>
      <c r="C532" s="4"/>
      <c r="D532" s="14"/>
      <c r="E532" s="31" t="s">
        <v>9</v>
      </c>
    </row>
    <row r="533" spans="1:7">
      <c r="A533" s="6" t="s">
        <v>906</v>
      </c>
      <c r="B533" s="3" t="s">
        <v>754</v>
      </c>
      <c r="C533" s="4" t="s">
        <v>16</v>
      </c>
      <c r="D533" s="7">
        <v>8812.05</v>
      </c>
      <c r="E533" s="31" t="s">
        <v>9</v>
      </c>
      <c r="F533" s="32">
        <v>4639.9</v>
      </c>
      <c r="G533" s="33">
        <f>(D533-F533)/F533</f>
        <v>0.899189637707709</v>
      </c>
    </row>
    <row r="534" spans="1:7">
      <c r="A534" s="6" t="s">
        <v>907</v>
      </c>
      <c r="B534" s="12" t="s">
        <v>908</v>
      </c>
      <c r="C534" s="4"/>
      <c r="D534" s="14"/>
      <c r="E534" s="31" t="s">
        <v>9</v>
      </c>
    </row>
    <row r="535" spans="1:7">
      <c r="A535" s="6" t="s">
        <v>909</v>
      </c>
      <c r="B535" s="3" t="s">
        <v>754</v>
      </c>
      <c r="C535" s="4" t="s">
        <v>16</v>
      </c>
      <c r="D535" s="7">
        <v>8198.55</v>
      </c>
      <c r="E535" s="31" t="s">
        <v>9</v>
      </c>
      <c r="F535" s="32">
        <v>4326.45</v>
      </c>
      <c r="G535" s="33">
        <f>(D535-F535)/F535</f>
        <v>0.894983184828208</v>
      </c>
    </row>
    <row r="536" ht="31" customHeight="1" spans="1:7">
      <c r="A536" s="6" t="s">
        <v>910</v>
      </c>
      <c r="B536" s="12" t="s">
        <v>911</v>
      </c>
      <c r="C536" s="4"/>
      <c r="D536" s="14"/>
      <c r="E536" s="31" t="s">
        <v>9</v>
      </c>
    </row>
    <row r="537" spans="1:7">
      <c r="A537" s="6" t="s">
        <v>912</v>
      </c>
      <c r="B537" s="3" t="s">
        <v>913</v>
      </c>
      <c r="C537" s="4" t="s">
        <v>16</v>
      </c>
      <c r="D537" s="7">
        <v>10741.6</v>
      </c>
      <c r="E537" s="31" t="s">
        <v>9</v>
      </c>
      <c r="F537" s="32">
        <v>5456.35</v>
      </c>
      <c r="G537" s="33">
        <f>(D537-F537)/F537</f>
        <v>0.968642040924794</v>
      </c>
    </row>
    <row r="538" spans="1:7">
      <c r="A538" s="6" t="s">
        <v>914</v>
      </c>
      <c r="B538" s="3" t="s">
        <v>915</v>
      </c>
      <c r="C538" s="4" t="s">
        <v>16</v>
      </c>
      <c r="D538" s="7">
        <v>10128.1</v>
      </c>
      <c r="E538" s="31" t="s">
        <v>9</v>
      </c>
      <c r="F538" s="32">
        <v>5142.9</v>
      </c>
      <c r="G538" s="33">
        <f>(D538-F538)/F538</f>
        <v>0.969336366641389</v>
      </c>
    </row>
    <row r="539" spans="1:7">
      <c r="A539" s="6" t="s">
        <v>916</v>
      </c>
      <c r="B539" s="12" t="s">
        <v>917</v>
      </c>
      <c r="C539" s="4"/>
      <c r="D539" s="14"/>
      <c r="E539" s="31" t="s">
        <v>9</v>
      </c>
    </row>
    <row r="540" spans="1:7">
      <c r="A540" s="6" t="s">
        <v>918</v>
      </c>
      <c r="B540" s="3" t="s">
        <v>898</v>
      </c>
      <c r="C540" s="4" t="s">
        <v>16</v>
      </c>
      <c r="D540" s="7">
        <v>1060.5</v>
      </c>
      <c r="E540" s="31" t="s">
        <v>9</v>
      </c>
      <c r="F540" s="32">
        <v>464.05</v>
      </c>
      <c r="G540" s="33">
        <f>(D540-F540)/F540</f>
        <v>1.28531408253421</v>
      </c>
    </row>
    <row r="541" spans="1:7">
      <c r="A541" s="6" t="s">
        <v>919</v>
      </c>
      <c r="B541" s="3" t="s">
        <v>900</v>
      </c>
      <c r="C541" s="4" t="s">
        <v>16</v>
      </c>
      <c r="D541" s="7">
        <v>2874.2</v>
      </c>
      <c r="E541" s="31" t="s">
        <v>9</v>
      </c>
      <c r="F541" s="32">
        <v>1385.45</v>
      </c>
      <c r="G541" s="33">
        <f>(D541-F541)/F541</f>
        <v>1.0745606120755</v>
      </c>
    </row>
    <row r="542" ht="31" customHeight="1" spans="1:7">
      <c r="A542" s="6" t="s">
        <v>920</v>
      </c>
      <c r="B542" s="12" t="s">
        <v>921</v>
      </c>
      <c r="C542" s="4" t="s">
        <v>16</v>
      </c>
      <c r="D542" s="7">
        <v>1133.65</v>
      </c>
      <c r="E542" s="31" t="s">
        <v>9</v>
      </c>
      <c r="F542" s="32">
        <v>524.35</v>
      </c>
      <c r="G542" s="33">
        <f>(D542-F542)/F542</f>
        <v>1.16201010775246</v>
      </c>
    </row>
    <row r="543" spans="1:7">
      <c r="A543" s="40"/>
      <c r="B543" s="12" t="s">
        <v>922</v>
      </c>
      <c r="C543" s="4"/>
      <c r="D543" s="14"/>
      <c r="E543" s="31" t="s">
        <v>9</v>
      </c>
    </row>
    <row r="544" ht="46.5" customHeight="1" spans="1:7">
      <c r="A544" s="6" t="s">
        <v>923</v>
      </c>
      <c r="B544" s="12" t="s">
        <v>924</v>
      </c>
      <c r="C544" s="4"/>
      <c r="D544" s="14"/>
      <c r="E544" s="31" t="s">
        <v>9</v>
      </c>
    </row>
    <row r="545" spans="1:7">
      <c r="A545" s="6" t="s">
        <v>925</v>
      </c>
      <c r="B545" s="3" t="s">
        <v>926</v>
      </c>
      <c r="C545" s="4"/>
      <c r="D545" s="14"/>
      <c r="E545" s="31" t="s">
        <v>9</v>
      </c>
    </row>
    <row r="546" spans="1:7">
      <c r="A546" s="6" t="s">
        <v>927</v>
      </c>
      <c r="B546" s="3" t="s">
        <v>928</v>
      </c>
      <c r="C546" s="4" t="s">
        <v>16</v>
      </c>
      <c r="D546" s="7">
        <v>68294</v>
      </c>
      <c r="E546" s="31" t="s">
        <v>9</v>
      </c>
      <c r="F546" s="32">
        <v>29614</v>
      </c>
      <c r="G546" s="33">
        <f>(D546-F546)/F546</f>
        <v>1.30613898831634</v>
      </c>
    </row>
    <row r="547" spans="1:7">
      <c r="A547" s="6" t="s">
        <v>929</v>
      </c>
      <c r="B547" s="3" t="s">
        <v>930</v>
      </c>
      <c r="C547" s="4" t="s">
        <v>16</v>
      </c>
      <c r="D547" s="7">
        <v>82518</v>
      </c>
      <c r="E547" s="31" t="s">
        <v>9</v>
      </c>
      <c r="F547" s="32">
        <v>30388</v>
      </c>
      <c r="G547" s="33">
        <f>(D547-F547)/F547</f>
        <v>1.71547979465579</v>
      </c>
    </row>
    <row r="548" spans="1:7">
      <c r="A548" s="6" t="s">
        <v>931</v>
      </c>
      <c r="B548" s="3" t="s">
        <v>932</v>
      </c>
      <c r="C548" s="4"/>
      <c r="D548" s="14"/>
      <c r="E548" s="31" t="s">
        <v>9</v>
      </c>
    </row>
    <row r="549" spans="1:7">
      <c r="A549" s="6" t="s">
        <v>933</v>
      </c>
      <c r="B549" s="3" t="s">
        <v>928</v>
      </c>
      <c r="C549" s="4" t="s">
        <v>16</v>
      </c>
      <c r="D549" s="7">
        <v>91295</v>
      </c>
      <c r="E549" s="31" t="s">
        <v>9</v>
      </c>
      <c r="F549" s="32">
        <v>39434</v>
      </c>
      <c r="G549" s="33">
        <f>(D549-F549)/F549</f>
        <v>1.31513414819699</v>
      </c>
    </row>
    <row r="550" spans="1:7">
      <c r="A550" s="6" t="s">
        <v>934</v>
      </c>
      <c r="B550" s="3" t="s">
        <v>930</v>
      </c>
      <c r="C550" s="4" t="s">
        <v>16</v>
      </c>
      <c r="D550" s="7">
        <v>105519</v>
      </c>
      <c r="E550" s="31" t="s">
        <v>9</v>
      </c>
      <c r="F550" s="32">
        <v>40206</v>
      </c>
      <c r="G550" s="33">
        <f>(D550-F550)/F550</f>
        <v>1.62445903596478</v>
      </c>
    </row>
    <row r="551" ht="62" customHeight="1" spans="1:7">
      <c r="A551" s="6" t="s">
        <v>935</v>
      </c>
      <c r="B551" s="12" t="s">
        <v>936</v>
      </c>
      <c r="C551" s="4"/>
      <c r="D551" s="14"/>
      <c r="E551" s="31" t="s">
        <v>9</v>
      </c>
    </row>
    <row r="552" spans="1:7">
      <c r="A552" s="6" t="s">
        <v>937</v>
      </c>
      <c r="B552" s="3" t="s">
        <v>926</v>
      </c>
      <c r="C552" s="4"/>
      <c r="D552" s="14"/>
      <c r="E552" s="31" t="s">
        <v>9</v>
      </c>
    </row>
    <row r="553" spans="1:7">
      <c r="A553" s="6" t="s">
        <v>938</v>
      </c>
      <c r="B553" s="3" t="s">
        <v>928</v>
      </c>
      <c r="C553" s="4" t="s">
        <v>16</v>
      </c>
      <c r="D553" s="7">
        <v>75263</v>
      </c>
      <c r="E553" s="31" t="s">
        <v>9</v>
      </c>
      <c r="F553" s="32">
        <v>33949</v>
      </c>
      <c r="G553" s="33">
        <f>(D553-F553)/F553</f>
        <v>1.2169430616513</v>
      </c>
    </row>
    <row r="554" spans="1:7">
      <c r="A554" s="6" t="s">
        <v>939</v>
      </c>
      <c r="B554" s="3" t="s">
        <v>930</v>
      </c>
      <c r="C554" s="4" t="s">
        <v>16</v>
      </c>
      <c r="D554" s="7">
        <v>89487</v>
      </c>
      <c r="E554" s="31" t="s">
        <v>9</v>
      </c>
      <c r="F554" s="32">
        <v>34723</v>
      </c>
      <c r="G554" s="33">
        <f>(D554-F554)/F554</f>
        <v>1.57716787143968</v>
      </c>
    </row>
    <row r="555" spans="1:7">
      <c r="A555" s="6" t="s">
        <v>940</v>
      </c>
      <c r="B555" s="3" t="s">
        <v>932</v>
      </c>
      <c r="C555" s="4"/>
      <c r="D555" s="14"/>
      <c r="E555" s="31" t="s">
        <v>9</v>
      </c>
    </row>
    <row r="556" spans="1:7">
      <c r="A556" s="6" t="s">
        <v>941</v>
      </c>
      <c r="B556" s="3" t="s">
        <v>928</v>
      </c>
      <c r="C556" s="4" t="s">
        <v>16</v>
      </c>
      <c r="D556" s="7">
        <v>98265</v>
      </c>
      <c r="E556" s="31" t="s">
        <v>9</v>
      </c>
      <c r="F556" s="32">
        <v>43769</v>
      </c>
      <c r="G556" s="33">
        <f>(D556-F556)/F556</f>
        <v>1.24508213575818</v>
      </c>
    </row>
    <row r="557" spans="1:7">
      <c r="A557" s="6" t="s">
        <v>942</v>
      </c>
      <c r="B557" s="3" t="s">
        <v>930</v>
      </c>
      <c r="C557" s="4" t="s">
        <v>16</v>
      </c>
      <c r="D557" s="7">
        <v>112488</v>
      </c>
      <c r="E557" s="31" t="s">
        <v>9</v>
      </c>
      <c r="F557" s="32">
        <v>44542</v>
      </c>
      <c r="G557" s="33">
        <f>(D557-F557)/F557</f>
        <v>1.525436666517</v>
      </c>
    </row>
    <row r="558" ht="62" customHeight="1" spans="1:7">
      <c r="A558" s="6" t="s">
        <v>943</v>
      </c>
      <c r="B558" s="12" t="s">
        <v>944</v>
      </c>
      <c r="C558" s="4"/>
      <c r="D558" s="14"/>
      <c r="E558" s="31" t="s">
        <v>9</v>
      </c>
    </row>
    <row r="559" spans="1:7">
      <c r="A559" s="6" t="s">
        <v>945</v>
      </c>
      <c r="B559" s="3" t="s">
        <v>926</v>
      </c>
      <c r="C559" s="4"/>
      <c r="D559" s="14"/>
      <c r="E559" s="31" t="s">
        <v>9</v>
      </c>
    </row>
    <row r="560" spans="1:7">
      <c r="A560" s="6" t="s">
        <v>946</v>
      </c>
      <c r="B560" s="3" t="s">
        <v>928</v>
      </c>
      <c r="C560" s="4" t="s">
        <v>16</v>
      </c>
      <c r="D560" s="7">
        <v>114277</v>
      </c>
      <c r="E560" s="31" t="s">
        <v>9</v>
      </c>
      <c r="F560" s="32">
        <v>52429</v>
      </c>
      <c r="G560" s="33">
        <f>(D560-F560)/F560</f>
        <v>1.17965248240478</v>
      </c>
    </row>
    <row r="561" spans="1:7">
      <c r="A561" s="6" t="s">
        <v>947</v>
      </c>
      <c r="B561" s="3" t="s">
        <v>930</v>
      </c>
      <c r="C561" s="4" t="s">
        <v>16</v>
      </c>
      <c r="D561" s="7">
        <v>128500</v>
      </c>
      <c r="E561" s="31" t="s">
        <v>9</v>
      </c>
      <c r="F561" s="32">
        <v>53202</v>
      </c>
      <c r="G561" s="33">
        <f>(D561-F561)/F561</f>
        <v>1.41532273222811</v>
      </c>
    </row>
    <row r="562" spans="1:7">
      <c r="A562" s="6" t="s">
        <v>948</v>
      </c>
      <c r="B562" s="3" t="s">
        <v>932</v>
      </c>
      <c r="C562" s="4"/>
      <c r="D562" s="14"/>
      <c r="E562" s="31" t="s">
        <v>9</v>
      </c>
    </row>
    <row r="563" spans="1:7">
      <c r="A563" s="6" t="s">
        <v>949</v>
      </c>
      <c r="B563" s="3" t="s">
        <v>928</v>
      </c>
      <c r="C563" s="4" t="s">
        <v>16</v>
      </c>
      <c r="D563" s="7">
        <v>169953</v>
      </c>
      <c r="E563" s="31" t="s">
        <v>9</v>
      </c>
      <c r="F563" s="32">
        <v>76782</v>
      </c>
      <c r="G563" s="33">
        <f>(D563-F563)/F563</f>
        <v>1.21344846448386</v>
      </c>
    </row>
    <row r="564" spans="1:7">
      <c r="A564" s="6" t="s">
        <v>950</v>
      </c>
      <c r="B564" s="3" t="s">
        <v>930</v>
      </c>
      <c r="C564" s="4" t="s">
        <v>16</v>
      </c>
      <c r="D564" s="7">
        <v>184177</v>
      </c>
      <c r="E564" s="31" t="s">
        <v>9</v>
      </c>
      <c r="F564" s="32">
        <v>77556</v>
      </c>
      <c r="G564" s="33">
        <f>(D564-F564)/F564</f>
        <v>1.37476146268503</v>
      </c>
    </row>
    <row r="565" ht="62" customHeight="1" spans="1:7">
      <c r="A565" s="6" t="s">
        <v>951</v>
      </c>
      <c r="B565" s="12" t="s">
        <v>952</v>
      </c>
      <c r="C565" s="4"/>
      <c r="D565" s="14"/>
      <c r="E565" s="31" t="s">
        <v>9</v>
      </c>
    </row>
    <row r="566" spans="1:7">
      <c r="A566" s="6" t="s">
        <v>953</v>
      </c>
      <c r="B566" s="3" t="s">
        <v>926</v>
      </c>
      <c r="C566" s="4"/>
      <c r="D566" s="14"/>
      <c r="E566" s="31" t="s">
        <v>9</v>
      </c>
    </row>
    <row r="567" spans="1:7">
      <c r="A567" s="6" t="s">
        <v>954</v>
      </c>
      <c r="B567" s="3" t="s">
        <v>928</v>
      </c>
      <c r="C567" s="4" t="s">
        <v>16</v>
      </c>
      <c r="D567" s="7">
        <v>64926</v>
      </c>
      <c r="E567" s="31" t="s">
        <v>9</v>
      </c>
      <c r="F567" s="32">
        <v>28105</v>
      </c>
      <c r="G567" s="33">
        <f>(D567-F567)/F567</f>
        <v>1.31012275395837</v>
      </c>
    </row>
    <row r="568" spans="1:7">
      <c r="A568" s="6" t="s">
        <v>955</v>
      </c>
      <c r="B568" s="3" t="s">
        <v>930</v>
      </c>
      <c r="C568" s="4" t="s">
        <v>16</v>
      </c>
      <c r="D568" s="7">
        <v>79150</v>
      </c>
      <c r="E568" s="31" t="s">
        <v>9</v>
      </c>
      <c r="F568" s="32">
        <v>28879</v>
      </c>
      <c r="G568" s="33">
        <f>(D568-F568)/F568</f>
        <v>1.74074587070189</v>
      </c>
    </row>
    <row r="569" spans="1:7">
      <c r="A569" s="6" t="s">
        <v>956</v>
      </c>
      <c r="B569" s="3" t="s">
        <v>957</v>
      </c>
      <c r="C569" s="4"/>
      <c r="D569" s="14"/>
      <c r="E569" s="31" t="s">
        <v>9</v>
      </c>
    </row>
    <row r="570" spans="1:7">
      <c r="A570" s="6" t="s">
        <v>958</v>
      </c>
      <c r="B570" s="3" t="s">
        <v>928</v>
      </c>
      <c r="C570" s="4" t="s">
        <v>16</v>
      </c>
      <c r="D570" s="7">
        <v>84560</v>
      </c>
      <c r="E570" s="31" t="s">
        <v>9</v>
      </c>
      <c r="F570" s="32">
        <v>36415</v>
      </c>
      <c r="G570" s="33">
        <f>(D570-F570)/F570</f>
        <v>1.32212000549224</v>
      </c>
    </row>
    <row r="571" spans="1:7">
      <c r="A571" s="6" t="s">
        <v>959</v>
      </c>
      <c r="B571" s="3" t="s">
        <v>930</v>
      </c>
      <c r="C571" s="4" t="s">
        <v>16</v>
      </c>
      <c r="D571" s="7">
        <v>98784</v>
      </c>
      <c r="E571" s="31" t="s">
        <v>9</v>
      </c>
      <c r="F571" s="32">
        <v>37188</v>
      </c>
      <c r="G571" s="33">
        <f>(D571-F571)/F571</f>
        <v>1.65634075508228</v>
      </c>
    </row>
    <row r="572" ht="31" customHeight="1" spans="1:7">
      <c r="A572" s="6" t="s">
        <v>960</v>
      </c>
      <c r="B572" s="12" t="s">
        <v>961</v>
      </c>
      <c r="C572" s="4" t="s">
        <v>16</v>
      </c>
      <c r="D572" s="7">
        <v>169.45</v>
      </c>
      <c r="E572" s="31" t="s">
        <v>9</v>
      </c>
      <c r="F572" s="32">
        <v>854</v>
      </c>
      <c r="G572" s="33">
        <f>(D572-F572)/F572</f>
        <v>-0.801580796252927</v>
      </c>
    </row>
    <row r="573" spans="1:7">
      <c r="A573" s="6" t="s">
        <v>962</v>
      </c>
      <c r="B573" s="12" t="s">
        <v>963</v>
      </c>
      <c r="C573" s="4"/>
      <c r="D573" s="14"/>
      <c r="E573" s="31" t="s">
        <v>9</v>
      </c>
    </row>
    <row r="574" spans="1:7">
      <c r="A574" s="6" t="s">
        <v>964</v>
      </c>
      <c r="B574" s="3" t="s">
        <v>898</v>
      </c>
      <c r="C574" s="4" t="s">
        <v>16</v>
      </c>
      <c r="D574" s="7">
        <v>2896</v>
      </c>
      <c r="E574" s="31" t="s">
        <v>9</v>
      </c>
      <c r="F574" s="32">
        <v>1803</v>
      </c>
      <c r="G574" s="33">
        <f>(D574-F574)/F574</f>
        <v>0.606211869107044</v>
      </c>
    </row>
    <row r="575" ht="31" customHeight="1" spans="1:7">
      <c r="A575" s="6" t="s">
        <v>965</v>
      </c>
      <c r="B575" s="12" t="s">
        <v>966</v>
      </c>
      <c r="C575" s="4" t="s">
        <v>16</v>
      </c>
      <c r="D575" s="7">
        <v>2014</v>
      </c>
      <c r="E575" s="31" t="s">
        <v>9</v>
      </c>
      <c r="F575" s="32">
        <v>1255</v>
      </c>
      <c r="G575" s="33">
        <f>(D575-F575)/F575</f>
        <v>0.604780876494024</v>
      </c>
    </row>
    <row r="576" ht="31" customHeight="1" spans="1:7">
      <c r="A576" s="6" t="s">
        <v>967</v>
      </c>
      <c r="B576" s="12" t="s">
        <v>968</v>
      </c>
      <c r="C576" s="4" t="s">
        <v>12</v>
      </c>
      <c r="D576" s="7">
        <v>608.15</v>
      </c>
      <c r="E576" s="31" t="s">
        <v>9</v>
      </c>
      <c r="F576" s="32">
        <v>451.8</v>
      </c>
      <c r="G576" s="33">
        <f>(D576-F576)/F576</f>
        <v>0.346060203629925</v>
      </c>
    </row>
    <row r="577" spans="1:7">
      <c r="A577" s="40"/>
      <c r="B577" s="12" t="s">
        <v>969</v>
      </c>
      <c r="C577" s="4"/>
      <c r="D577" s="7"/>
      <c r="E577" s="31" t="s">
        <v>9</v>
      </c>
    </row>
    <row r="578" ht="46.5" customHeight="1" spans="1:7">
      <c r="A578" s="6" t="s">
        <v>970</v>
      </c>
      <c r="B578" s="12" t="s">
        <v>971</v>
      </c>
      <c r="C578" s="4"/>
      <c r="D578" s="14"/>
      <c r="E578" s="31" t="s">
        <v>9</v>
      </c>
    </row>
    <row r="579" spans="1:7">
      <c r="A579" s="6" t="s">
        <v>972</v>
      </c>
      <c r="B579" s="3" t="s">
        <v>928</v>
      </c>
      <c r="C579" s="4" t="s">
        <v>16</v>
      </c>
      <c r="D579" s="7">
        <v>94463</v>
      </c>
      <c r="E579" s="31" t="s">
        <v>9</v>
      </c>
      <c r="F579" s="32">
        <v>41797</v>
      </c>
      <c r="G579" s="33">
        <f>(D579-F579)/F579</f>
        <v>1.26004258678853</v>
      </c>
    </row>
    <row r="580" spans="1:7">
      <c r="A580" s="6" t="s">
        <v>973</v>
      </c>
      <c r="B580" s="3" t="s">
        <v>930</v>
      </c>
      <c r="C580" s="4" t="s">
        <v>16</v>
      </c>
      <c r="D580" s="7">
        <v>108686</v>
      </c>
      <c r="E580" s="31" t="s">
        <v>9</v>
      </c>
      <c r="F580" s="32">
        <v>42571</v>
      </c>
      <c r="G580" s="33">
        <f>(D580-F580)/F580</f>
        <v>1.55305254750887</v>
      </c>
    </row>
    <row r="581" spans="1:7">
      <c r="A581" s="6" t="s">
        <v>974</v>
      </c>
      <c r="B581" s="12" t="s">
        <v>975</v>
      </c>
      <c r="C581" s="4"/>
      <c r="D581" s="14"/>
      <c r="E581" s="31" t="s">
        <v>9</v>
      </c>
      <c r="F581" s="34"/>
    </row>
    <row r="582" spans="1:7">
      <c r="A582" s="6" t="s">
        <v>976</v>
      </c>
      <c r="B582" s="3" t="s">
        <v>977</v>
      </c>
      <c r="C582" s="4" t="s">
        <v>16</v>
      </c>
      <c r="D582" s="7">
        <v>3779</v>
      </c>
      <c r="E582" s="31" t="s">
        <v>9</v>
      </c>
      <c r="F582" s="32">
        <v>2351</v>
      </c>
      <c r="G582" s="33">
        <f>(D582-F582)/F582</f>
        <v>0.607401105912378</v>
      </c>
    </row>
    <row r="583" spans="1:7">
      <c r="A583" s="6" t="s">
        <v>978</v>
      </c>
      <c r="B583" s="3" t="s">
        <v>979</v>
      </c>
      <c r="C583" s="4" t="s">
        <v>16</v>
      </c>
      <c r="D583" s="7">
        <v>10706</v>
      </c>
      <c r="E583" s="31" t="s">
        <v>9</v>
      </c>
      <c r="F583" s="32">
        <v>6661</v>
      </c>
      <c r="G583" s="33">
        <f>(D583-F583)/F583</f>
        <v>0.607266176249812</v>
      </c>
    </row>
    <row r="584" ht="46.5" customHeight="1" spans="1:7">
      <c r="A584" s="6" t="s">
        <v>980</v>
      </c>
      <c r="B584" s="12" t="s">
        <v>981</v>
      </c>
      <c r="C584" s="4" t="s">
        <v>982</v>
      </c>
      <c r="D584" s="7">
        <v>303.5</v>
      </c>
      <c r="E584" s="31" t="s">
        <v>9</v>
      </c>
      <c r="F584" s="32">
        <v>25.8</v>
      </c>
      <c r="G584" s="33">
        <f>(D584-F584)/F584</f>
        <v>10.7635658914729</v>
      </c>
    </row>
    <row r="585" spans="1:7">
      <c r="A585" s="43"/>
      <c r="B585" s="12" t="s">
        <v>983</v>
      </c>
      <c r="C585" s="18"/>
      <c r="D585" s="27"/>
    </row>
    <row r="586" spans="1:7">
      <c r="A586" s="6" t="s">
        <v>984</v>
      </c>
      <c r="B586" s="12" t="s">
        <v>985</v>
      </c>
      <c r="C586" s="4" t="s">
        <v>16</v>
      </c>
      <c r="D586" s="7">
        <v>2896</v>
      </c>
      <c r="E586" s="31" t="s">
        <v>9</v>
      </c>
      <c r="F586" s="32">
        <v>1803</v>
      </c>
      <c r="G586" s="33">
        <f>(D586-F586)/F586</f>
        <v>0.606211869107044</v>
      </c>
    </row>
    <row r="587" ht="31" customHeight="1" spans="1:7">
      <c r="A587" s="6" t="s">
        <v>986</v>
      </c>
      <c r="B587" s="12" t="s">
        <v>987</v>
      </c>
      <c r="C587" s="4" t="s">
        <v>156</v>
      </c>
      <c r="D587" s="7">
        <v>54.55</v>
      </c>
      <c r="E587" s="31" t="s">
        <v>9</v>
      </c>
      <c r="F587" s="32">
        <v>35.45</v>
      </c>
      <c r="G587" s="33">
        <f>(D587-F587)/F587</f>
        <v>0.538787023977433</v>
      </c>
    </row>
    <row r="588" ht="93" customHeight="1" spans="1:7">
      <c r="A588" s="6" t="s">
        <v>988</v>
      </c>
      <c r="B588" s="12" t="s">
        <v>989</v>
      </c>
      <c r="C588" s="4"/>
      <c r="D588" s="14"/>
      <c r="E588" s="31" t="s">
        <v>9</v>
      </c>
    </row>
    <row r="589" spans="1:7">
      <c r="A589" s="6" t="s">
        <v>990</v>
      </c>
      <c r="B589" s="3" t="s">
        <v>991</v>
      </c>
      <c r="C589" s="4"/>
      <c r="D589" s="44"/>
      <c r="E589" s="31" t="s">
        <v>9</v>
      </c>
    </row>
    <row r="590" spans="1:7">
      <c r="A590" s="6" t="s">
        <v>992</v>
      </c>
      <c r="B590" s="3" t="s">
        <v>993</v>
      </c>
      <c r="C590" s="4" t="s">
        <v>12</v>
      </c>
      <c r="D590" s="20">
        <v>2854.35</v>
      </c>
      <c r="E590" s="31" t="s">
        <v>9</v>
      </c>
      <c r="F590" s="32">
        <v>1387.1</v>
      </c>
      <c r="G590" s="33">
        <f>(D590-F590)/F590</f>
        <v>1.05778242376181</v>
      </c>
    </row>
    <row r="591" spans="1:7">
      <c r="A591" s="6" t="s">
        <v>994</v>
      </c>
      <c r="B591" s="3" t="s">
        <v>995</v>
      </c>
      <c r="C591" s="4"/>
      <c r="D591" s="44"/>
      <c r="E591" s="31" t="s">
        <v>9</v>
      </c>
    </row>
    <row r="592" spans="1:7">
      <c r="A592" s="6" t="s">
        <v>996</v>
      </c>
      <c r="B592" s="3" t="s">
        <v>993</v>
      </c>
      <c r="C592" s="4" t="s">
        <v>12</v>
      </c>
      <c r="D592" s="20">
        <v>2932.6</v>
      </c>
      <c r="E592" s="31" t="s">
        <v>9</v>
      </c>
      <c r="F592" s="32">
        <v>1387.1</v>
      </c>
      <c r="G592" s="33">
        <f>(D592-F592)/F592</f>
        <v>1.11419508326725</v>
      </c>
    </row>
    <row r="593" ht="62" customHeight="1" spans="1:7">
      <c r="A593" s="6" t="s">
        <v>997</v>
      </c>
      <c r="B593" s="12" t="s">
        <v>998</v>
      </c>
      <c r="C593" s="4"/>
      <c r="D593" s="44"/>
      <c r="E593" s="31" t="s">
        <v>9</v>
      </c>
    </row>
    <row r="594" spans="1:7">
      <c r="A594" s="6" t="s">
        <v>999</v>
      </c>
      <c r="B594" s="3" t="s">
        <v>928</v>
      </c>
      <c r="C594" s="4" t="s">
        <v>12</v>
      </c>
      <c r="D594" s="20">
        <v>1833.25</v>
      </c>
      <c r="E594" s="31" t="s">
        <v>9</v>
      </c>
      <c r="F594" s="32">
        <v>873.2</v>
      </c>
      <c r="G594" s="33">
        <f>(D594-F594)/F594</f>
        <v>1.09946174988548</v>
      </c>
    </row>
    <row r="595" spans="1:7">
      <c r="A595" s="6" t="s">
        <v>1000</v>
      </c>
      <c r="B595" s="3" t="s">
        <v>930</v>
      </c>
      <c r="C595" s="4" t="s">
        <v>12</v>
      </c>
      <c r="D595" s="20">
        <v>1901.55</v>
      </c>
      <c r="E595" s="31" t="s">
        <v>9</v>
      </c>
      <c r="F595" s="32">
        <v>873.2</v>
      </c>
      <c r="G595" s="33">
        <f>(D595-F595)/F595</f>
        <v>1.17767979844251</v>
      </c>
    </row>
    <row r="596" ht="46.5" customHeight="1" spans="1:7">
      <c r="A596" s="6" t="s">
        <v>1001</v>
      </c>
      <c r="B596" s="12" t="s">
        <v>1002</v>
      </c>
      <c r="C596" s="4" t="s">
        <v>12</v>
      </c>
      <c r="D596" s="20">
        <v>2159.9</v>
      </c>
      <c r="E596" s="31" t="s">
        <v>9</v>
      </c>
      <c r="F596" s="32">
        <v>1001.35</v>
      </c>
      <c r="G596" s="33">
        <f>(D596-F596)/F596</f>
        <v>1.15698806611075</v>
      </c>
    </row>
    <row r="597" ht="31" customHeight="1" spans="1:7">
      <c r="A597" s="6" t="s">
        <v>1003</v>
      </c>
      <c r="B597" s="12" t="s">
        <v>1004</v>
      </c>
      <c r="C597" s="4" t="s">
        <v>156</v>
      </c>
      <c r="D597" s="20">
        <v>6788.85</v>
      </c>
      <c r="E597" s="31" t="s">
        <v>9</v>
      </c>
      <c r="F597" s="32">
        <v>3135.1</v>
      </c>
      <c r="G597" s="33">
        <f>(D597-F597)/F597</f>
        <v>1.16543331951134</v>
      </c>
    </row>
    <row r="598" ht="62" customHeight="1" spans="1:7">
      <c r="A598" s="6" t="s">
        <v>1005</v>
      </c>
      <c r="B598" s="12" t="s">
        <v>1006</v>
      </c>
      <c r="C598" s="4"/>
      <c r="D598" s="44"/>
      <c r="E598" s="31" t="s">
        <v>9</v>
      </c>
    </row>
    <row r="599" spans="1:7">
      <c r="A599" s="6" t="s">
        <v>1007</v>
      </c>
      <c r="B599" s="3" t="s">
        <v>928</v>
      </c>
      <c r="C599" s="4" t="s">
        <v>16</v>
      </c>
      <c r="D599" s="20">
        <v>93741.1</v>
      </c>
      <c r="E599" s="31" t="s">
        <v>9</v>
      </c>
      <c r="F599" s="32">
        <v>41029.55</v>
      </c>
      <c r="G599" s="33">
        <f>(D599-F599)/F599</f>
        <v>1.28472162136801</v>
      </c>
    </row>
    <row r="600" spans="1:7">
      <c r="A600" s="6" t="s">
        <v>1008</v>
      </c>
      <c r="B600" s="3" t="s">
        <v>930</v>
      </c>
      <c r="C600" s="4" t="s">
        <v>16</v>
      </c>
      <c r="D600" s="20">
        <v>107965.1</v>
      </c>
      <c r="E600" s="31" t="s">
        <v>9</v>
      </c>
      <c r="F600" s="32">
        <v>41803.55</v>
      </c>
      <c r="G600" s="33">
        <f>(D600-F600)/F600</f>
        <v>1.58267778693436</v>
      </c>
    </row>
    <row r="601" ht="62" customHeight="1" spans="1:7">
      <c r="A601" s="6" t="s">
        <v>1009</v>
      </c>
      <c r="B601" s="12" t="s">
        <v>1010</v>
      </c>
      <c r="C601" s="4"/>
      <c r="D601" s="44"/>
      <c r="E601" s="31" t="s">
        <v>9</v>
      </c>
    </row>
    <row r="602" spans="1:7">
      <c r="A602" s="6" t="s">
        <v>1011</v>
      </c>
      <c r="B602" s="3" t="s">
        <v>928</v>
      </c>
      <c r="C602" s="4" t="s">
        <v>12</v>
      </c>
      <c r="D602" s="20">
        <v>14931.55</v>
      </c>
      <c r="E602" s="31" t="s">
        <v>9</v>
      </c>
      <c r="F602" s="32">
        <v>6560.75</v>
      </c>
      <c r="G602" s="33">
        <f>(D602-F602)/F602</f>
        <v>1.27589071371413</v>
      </c>
    </row>
    <row r="603" spans="1:7">
      <c r="A603" s="6" t="s">
        <v>1012</v>
      </c>
      <c r="B603" s="3" t="s">
        <v>930</v>
      </c>
      <c r="C603" s="4" t="s">
        <v>12</v>
      </c>
      <c r="D603" s="20">
        <v>14994.15</v>
      </c>
      <c r="E603" s="31" t="s">
        <v>9</v>
      </c>
      <c r="F603" s="32">
        <v>6560.75</v>
      </c>
      <c r="G603" s="33">
        <f>(D603-F603)/F603</f>
        <v>1.28543230575773</v>
      </c>
    </row>
    <row r="604" ht="31" customHeight="1" spans="1:7">
      <c r="A604" s="6" t="s">
        <v>1013</v>
      </c>
      <c r="B604" s="12" t="s">
        <v>1014</v>
      </c>
      <c r="C604" s="4" t="s">
        <v>370</v>
      </c>
      <c r="D604" s="20">
        <v>1098.8</v>
      </c>
      <c r="E604" s="31" t="s">
        <v>9</v>
      </c>
      <c r="F604" s="32">
        <v>475.5</v>
      </c>
      <c r="G604" s="33">
        <f>(D604-F604)/F604</f>
        <v>1.31083070452156</v>
      </c>
    </row>
    <row r="605" ht="77.5" customHeight="1" spans="1:7">
      <c r="A605" s="40"/>
      <c r="B605" s="12" t="s">
        <v>1015</v>
      </c>
      <c r="C605" s="4"/>
      <c r="D605" s="44"/>
      <c r="E605" s="31" t="s">
        <v>9</v>
      </c>
    </row>
    <row r="606" spans="1:7">
      <c r="A606" s="6" t="s">
        <v>1016</v>
      </c>
      <c r="B606" s="12" t="s">
        <v>1017</v>
      </c>
      <c r="C606" s="4" t="s">
        <v>16</v>
      </c>
      <c r="D606" s="23">
        <v>467.55</v>
      </c>
      <c r="E606" s="31" t="s">
        <v>9</v>
      </c>
      <c r="F606" s="32">
        <v>192.7</v>
      </c>
      <c r="G606" s="33">
        <f>(D606-F606)/F606</f>
        <v>1.42631032693306</v>
      </c>
    </row>
    <row r="607" ht="46.5" customHeight="1" spans="1:7">
      <c r="A607" s="6" t="s">
        <v>1018</v>
      </c>
      <c r="B607" s="12" t="s">
        <v>1019</v>
      </c>
      <c r="C607" s="4"/>
      <c r="D607" s="14"/>
      <c r="E607" s="31" t="s">
        <v>9</v>
      </c>
    </row>
    <row r="608" spans="1:7">
      <c r="A608" s="6" t="s">
        <v>1020</v>
      </c>
      <c r="B608" s="3" t="s">
        <v>1021</v>
      </c>
      <c r="C608" s="4"/>
      <c r="D608" s="14"/>
      <c r="E608" s="31" t="s">
        <v>9</v>
      </c>
    </row>
    <row r="609" spans="1:7">
      <c r="A609" s="6" t="s">
        <v>1022</v>
      </c>
      <c r="B609" s="3" t="s">
        <v>1023</v>
      </c>
      <c r="C609" s="4" t="s">
        <v>12</v>
      </c>
      <c r="D609" s="7">
        <v>3094.55</v>
      </c>
      <c r="E609" s="31" t="s">
        <v>9</v>
      </c>
      <c r="F609" s="32">
        <v>1796.65</v>
      </c>
      <c r="G609" s="33">
        <f>(D609-F609)/F609</f>
        <v>0.722400022263657</v>
      </c>
    </row>
    <row r="610" spans="1:7">
      <c r="A610" s="6" t="s">
        <v>1024</v>
      </c>
      <c r="B610" s="3" t="s">
        <v>1025</v>
      </c>
      <c r="C610" s="4" t="s">
        <v>12</v>
      </c>
      <c r="D610" s="7">
        <v>2766.45</v>
      </c>
      <c r="E610" s="31" t="s">
        <v>9</v>
      </c>
      <c r="F610" s="32">
        <v>1558.55</v>
      </c>
      <c r="G610" s="33">
        <f>(D610-F610)/F610</f>
        <v>0.775015238522986</v>
      </c>
    </row>
    <row r="611" spans="1:7">
      <c r="A611" s="45"/>
      <c r="C611" s="34"/>
      <c r="D611" s="34"/>
    </row>
    <row r="612" spans="1:7">
      <c r="A612" s="45"/>
      <c r="C612" s="34"/>
      <c r="D612" s="34"/>
    </row>
    <row r="613" spans="1:7">
      <c r="A613" s="45"/>
      <c r="B613" s="46"/>
      <c r="C613" s="34"/>
      <c r="D613" s="34"/>
      <c r="E613" s="45"/>
    </row>
    <row r="614" spans="1:7">
      <c r="A614" s="47" t="s">
        <v>1026</v>
      </c>
      <c r="B614" s="3"/>
      <c r="C614" s="2"/>
      <c r="D614" s="2"/>
      <c r="E614" s="2"/>
    </row>
    <row r="615" spans="1:7">
      <c r="A615" s="6" t="s">
        <v>204</v>
      </c>
      <c r="B615" s="12" t="s">
        <v>2</v>
      </c>
      <c r="C615" s="4" t="s">
        <v>205</v>
      </c>
      <c r="D615" s="14" t="s">
        <v>4</v>
      </c>
    </row>
    <row r="616" ht="77.5" customHeight="1" spans="1:7">
      <c r="A616" s="6" t="s">
        <v>1027</v>
      </c>
      <c r="B616" s="12" t="s">
        <v>1028</v>
      </c>
      <c r="C616" s="4"/>
      <c r="D616" s="14"/>
    </row>
    <row r="617" spans="1:7">
      <c r="A617" s="6" t="s">
        <v>1029</v>
      </c>
      <c r="B617" s="3" t="s">
        <v>1030</v>
      </c>
      <c r="C617" s="4"/>
      <c r="D617" s="14"/>
    </row>
    <row r="618" spans="1:7">
      <c r="A618" s="6" t="s">
        <v>1031</v>
      </c>
      <c r="B618" s="3" t="s">
        <v>1032</v>
      </c>
      <c r="C618" s="4" t="s">
        <v>12</v>
      </c>
      <c r="D618" s="7">
        <v>5742.55</v>
      </c>
      <c r="F618" s="32">
        <v>2903.65</v>
      </c>
      <c r="G618" s="33">
        <f>(D618-F618)/F618</f>
        <v>0.977700480429804</v>
      </c>
    </row>
    <row r="619" spans="1:7">
      <c r="A619" s="6" t="s">
        <v>1033</v>
      </c>
      <c r="B619" s="3" t="s">
        <v>1034</v>
      </c>
      <c r="C619" s="4" t="s">
        <v>12</v>
      </c>
      <c r="D619" s="7">
        <v>5938</v>
      </c>
      <c r="F619" s="32">
        <v>3035.5</v>
      </c>
      <c r="G619" s="33">
        <f>(D619-F619)/F619</f>
        <v>0.956185142480646</v>
      </c>
    </row>
    <row r="620" ht="93" customHeight="1" spans="1:7">
      <c r="A620" s="6" t="s">
        <v>1035</v>
      </c>
      <c r="B620" s="12" t="s">
        <v>1036</v>
      </c>
      <c r="C620" s="4"/>
      <c r="D620" s="14"/>
    </row>
    <row r="621" spans="1:7">
      <c r="A621" s="6" t="s">
        <v>1037</v>
      </c>
      <c r="B621" s="3" t="s">
        <v>1038</v>
      </c>
      <c r="C621" s="4"/>
      <c r="D621" s="14"/>
    </row>
    <row r="622" spans="1:7">
      <c r="A622" s="6" t="s">
        <v>1039</v>
      </c>
      <c r="B622" s="3" t="s">
        <v>1032</v>
      </c>
      <c r="C622" s="4" t="s">
        <v>12</v>
      </c>
      <c r="D622" s="7">
        <v>3414.8</v>
      </c>
      <c r="F622" s="32">
        <v>1949.45</v>
      </c>
      <c r="G622" s="33">
        <f>(D622-F622)/F622</f>
        <v>0.751673548949704</v>
      </c>
    </row>
    <row r="623" spans="1:7">
      <c r="A623" s="6" t="s">
        <v>1040</v>
      </c>
      <c r="B623" s="3" t="s">
        <v>1034</v>
      </c>
      <c r="C623" s="4" t="s">
        <v>12</v>
      </c>
      <c r="D623" s="7">
        <v>3078.4</v>
      </c>
      <c r="F623" s="32">
        <v>1850.15</v>
      </c>
      <c r="G623" s="33">
        <f>(D623-F623)/F623</f>
        <v>0.663865092019566</v>
      </c>
    </row>
    <row r="624" spans="1:7">
      <c r="A624" s="6" t="s">
        <v>1041</v>
      </c>
      <c r="B624" s="3" t="s">
        <v>1042</v>
      </c>
      <c r="C624" s="4"/>
      <c r="D624" s="7"/>
    </row>
    <row r="625" spans="1:7">
      <c r="A625" s="6" t="s">
        <v>1043</v>
      </c>
      <c r="B625" s="3" t="s">
        <v>1032</v>
      </c>
      <c r="C625" s="4" t="s">
        <v>12</v>
      </c>
      <c r="D625" s="7">
        <v>5413.5</v>
      </c>
    </row>
    <row r="626" spans="1:7">
      <c r="A626" s="6" t="s">
        <v>1044</v>
      </c>
      <c r="B626" s="3" t="s">
        <v>1034</v>
      </c>
      <c r="C626" s="4" t="s">
        <v>12</v>
      </c>
      <c r="D626" s="7">
        <v>5136.3</v>
      </c>
    </row>
    <row r="627" spans="1:7">
      <c r="A627" s="6" t="s">
        <v>1045</v>
      </c>
      <c r="B627" s="3" t="s">
        <v>1046</v>
      </c>
      <c r="C627" s="4"/>
      <c r="D627" s="7"/>
    </row>
    <row r="628" spans="1:7">
      <c r="A628" s="6" t="s">
        <v>1047</v>
      </c>
      <c r="B628" s="3" t="s">
        <v>1032</v>
      </c>
      <c r="C628" s="4" t="s">
        <v>12</v>
      </c>
      <c r="D628" s="7">
        <v>4170.7</v>
      </c>
    </row>
    <row r="629" spans="1:7">
      <c r="A629" s="6" t="s">
        <v>1048</v>
      </c>
      <c r="B629" s="3" t="s">
        <v>1034</v>
      </c>
      <c r="C629" s="4" t="s">
        <v>12</v>
      </c>
      <c r="D629" s="7">
        <v>3848.7</v>
      </c>
    </row>
    <row r="630" ht="46.5" customHeight="1" spans="1:7">
      <c r="A630" s="6" t="s">
        <v>1049</v>
      </c>
      <c r="B630" s="12" t="s">
        <v>1050</v>
      </c>
      <c r="C630" s="4"/>
      <c r="D630" s="14"/>
    </row>
    <row r="631" spans="1:7">
      <c r="A631" s="6" t="s">
        <v>1051</v>
      </c>
      <c r="B631" s="3" t="s">
        <v>1052</v>
      </c>
      <c r="C631" s="4" t="s">
        <v>49</v>
      </c>
      <c r="D631" s="7">
        <v>298.6</v>
      </c>
      <c r="F631" s="32">
        <v>144.7</v>
      </c>
      <c r="G631" s="33">
        <f>(D631-F631)/F631</f>
        <v>1.0635798203179</v>
      </c>
    </row>
    <row r="632" spans="1:7">
      <c r="A632" s="6" t="s">
        <v>1053</v>
      </c>
      <c r="B632" s="3" t="s">
        <v>1054</v>
      </c>
      <c r="C632" s="4" t="s">
        <v>49</v>
      </c>
      <c r="D632" s="7">
        <v>510.95</v>
      </c>
      <c r="F632" s="32">
        <v>245.7</v>
      </c>
      <c r="G632" s="33">
        <f>(D632-F632)/F632</f>
        <v>1.07956857956858</v>
      </c>
    </row>
    <row r="633" ht="46.5" customHeight="1" spans="1:7">
      <c r="A633" s="6" t="s">
        <v>1055</v>
      </c>
      <c r="B633" s="12" t="s">
        <v>1056</v>
      </c>
      <c r="C633" s="4" t="s">
        <v>49</v>
      </c>
      <c r="D633" s="7">
        <v>568.55</v>
      </c>
      <c r="F633" s="32">
        <v>266.25</v>
      </c>
      <c r="G633" s="33">
        <f>(D633-F633)/F633</f>
        <v>1.13539906103286</v>
      </c>
    </row>
    <row r="634" ht="62" customHeight="1" spans="1:7">
      <c r="A634" s="6" t="s">
        <v>1057</v>
      </c>
      <c r="B634" s="12" t="s">
        <v>1058</v>
      </c>
      <c r="C634" s="4" t="s">
        <v>156</v>
      </c>
      <c r="D634" s="7">
        <v>978.7</v>
      </c>
      <c r="F634" s="32">
        <v>427.95</v>
      </c>
      <c r="G634" s="33">
        <f>(D634-F634)/F634</f>
        <v>1.2869494099778</v>
      </c>
    </row>
    <row r="635" ht="31" customHeight="1" spans="1:7">
      <c r="A635" s="6" t="s">
        <v>1059</v>
      </c>
      <c r="B635" s="12" t="s">
        <v>1060</v>
      </c>
      <c r="C635" s="4" t="s">
        <v>12</v>
      </c>
      <c r="D635" s="7">
        <v>506.7</v>
      </c>
      <c r="F635" s="32">
        <v>231.5</v>
      </c>
      <c r="G635" s="33">
        <f>(D635-F635)/F635</f>
        <v>1.18876889848812</v>
      </c>
    </row>
    <row r="636" ht="46.5" customHeight="1" spans="1:7">
      <c r="A636" s="6" t="s">
        <v>1061</v>
      </c>
      <c r="B636" s="12" t="s">
        <v>1062</v>
      </c>
      <c r="C636" s="4"/>
      <c r="D636" s="14"/>
    </row>
    <row r="637" spans="1:7">
      <c r="A637" s="6" t="s">
        <v>1063</v>
      </c>
      <c r="B637" s="3" t="s">
        <v>1064</v>
      </c>
      <c r="C637" s="4" t="s">
        <v>575</v>
      </c>
      <c r="D637" s="7">
        <v>723.45</v>
      </c>
      <c r="F637" s="32">
        <v>542.55</v>
      </c>
      <c r="G637" s="33">
        <f>(D637-F637)/F637</f>
        <v>0.333425490738181</v>
      </c>
    </row>
    <row r="638" spans="1:7">
      <c r="A638" s="6" t="s">
        <v>1065</v>
      </c>
      <c r="B638" s="3" t="s">
        <v>1066</v>
      </c>
      <c r="C638" s="4" t="s">
        <v>575</v>
      </c>
      <c r="D638" s="7">
        <v>714.4</v>
      </c>
      <c r="F638" s="32">
        <v>521.1</v>
      </c>
      <c r="G638" s="33">
        <f>(D638-F638)/F638</f>
        <v>0.370946075609288</v>
      </c>
    </row>
    <row r="639" ht="31" customHeight="1" spans="1:7">
      <c r="A639" s="6" t="s">
        <v>1067</v>
      </c>
      <c r="B639" s="12" t="s">
        <v>1068</v>
      </c>
      <c r="C639" s="4"/>
      <c r="D639" s="14"/>
    </row>
    <row r="640" spans="1:7">
      <c r="A640" s="6" t="s">
        <v>1069</v>
      </c>
      <c r="B640" s="3" t="s">
        <v>1070</v>
      </c>
      <c r="C640" s="4"/>
      <c r="D640" s="14"/>
    </row>
    <row r="641" spans="1:7">
      <c r="A641" s="6" t="s">
        <v>1071</v>
      </c>
      <c r="B641" s="3" t="s">
        <v>1072</v>
      </c>
      <c r="C641" s="4" t="s">
        <v>156</v>
      </c>
      <c r="D641" s="7">
        <v>36.75</v>
      </c>
      <c r="F641" s="32">
        <v>25.25</v>
      </c>
      <c r="G641" s="33">
        <f>(D641-F641)/F641</f>
        <v>0.455445544554455</v>
      </c>
    </row>
    <row r="642" spans="1:7">
      <c r="A642" s="6" t="s">
        <v>1073</v>
      </c>
      <c r="B642" s="3" t="s">
        <v>1074</v>
      </c>
      <c r="C642" s="4" t="s">
        <v>156</v>
      </c>
      <c r="D642" s="7">
        <v>40</v>
      </c>
      <c r="F642" s="32">
        <v>25.55</v>
      </c>
      <c r="G642" s="33">
        <f>(D642-F642)/F642</f>
        <v>0.565557729941291</v>
      </c>
    </row>
    <row r="643" spans="1:7">
      <c r="A643" s="6" t="s">
        <v>1075</v>
      </c>
      <c r="B643" s="3" t="s">
        <v>1076</v>
      </c>
      <c r="C643" s="4" t="s">
        <v>156</v>
      </c>
      <c r="D643" s="7">
        <v>61.7</v>
      </c>
      <c r="F643" s="32">
        <v>44.45</v>
      </c>
      <c r="G643" s="33">
        <f>(D643-F643)/F643</f>
        <v>0.388076490438695</v>
      </c>
    </row>
    <row r="644" ht="46.5" customHeight="1" spans="1:7">
      <c r="A644" s="6" t="s">
        <v>1077</v>
      </c>
      <c r="B644" s="12" t="s">
        <v>1078</v>
      </c>
      <c r="C644" s="4"/>
      <c r="D644" s="14"/>
    </row>
    <row r="645" spans="1:7">
      <c r="A645" s="6" t="s">
        <v>1079</v>
      </c>
      <c r="B645" s="3" t="s">
        <v>1080</v>
      </c>
      <c r="C645" s="4"/>
      <c r="D645" s="14"/>
    </row>
    <row r="646" spans="1:7">
      <c r="A646" s="6" t="s">
        <v>1081</v>
      </c>
      <c r="B646" s="3" t="s">
        <v>1082</v>
      </c>
      <c r="C646" s="4" t="s">
        <v>12</v>
      </c>
      <c r="D646" s="7">
        <v>3190.3</v>
      </c>
      <c r="F646" s="32">
        <v>1634.65</v>
      </c>
      <c r="G646" s="33">
        <f>(D646-F646)/F646</f>
        <v>0.951671611659988</v>
      </c>
    </row>
    <row r="647" spans="1:7">
      <c r="A647" s="6" t="s">
        <v>1083</v>
      </c>
      <c r="B647" s="3" t="s">
        <v>1084</v>
      </c>
      <c r="C647" s="4" t="s">
        <v>12</v>
      </c>
      <c r="D647" s="7">
        <v>3617.55</v>
      </c>
      <c r="F647" s="32">
        <v>2018</v>
      </c>
      <c r="G647" s="33">
        <f>(D647-F647)/F647</f>
        <v>0.792641228939544</v>
      </c>
    </row>
    <row r="648" ht="77.5" customHeight="1" spans="1:7">
      <c r="A648" s="6" t="s">
        <v>1085</v>
      </c>
      <c r="B648" s="12" t="s">
        <v>1086</v>
      </c>
      <c r="C648" s="4"/>
      <c r="D648" s="14"/>
    </row>
    <row r="649" spans="1:7">
      <c r="A649" s="6" t="s">
        <v>1087</v>
      </c>
      <c r="B649" s="3" t="s">
        <v>1088</v>
      </c>
      <c r="C649" s="4" t="s">
        <v>12</v>
      </c>
      <c r="D649" s="7">
        <v>3500.45</v>
      </c>
      <c r="F649" s="32">
        <v>2831.95</v>
      </c>
      <c r="G649" s="33">
        <f>(D649-F649)/F649</f>
        <v>0.236056427549921</v>
      </c>
    </row>
    <row r="650" spans="1:7">
      <c r="A650" s="6" t="s">
        <v>1089</v>
      </c>
      <c r="B650" s="3" t="s">
        <v>1090</v>
      </c>
      <c r="C650" s="4" t="s">
        <v>12</v>
      </c>
      <c r="D650" s="7">
        <v>4051.85</v>
      </c>
      <c r="F650" s="32">
        <v>2831.95</v>
      </c>
      <c r="G650" s="33">
        <f>(D650-F650)/F650</f>
        <v>0.430763255000971</v>
      </c>
    </row>
    <row r="651" ht="108.5" customHeight="1" spans="1:7">
      <c r="A651" s="6" t="s">
        <v>1091</v>
      </c>
      <c r="B651" s="12" t="s">
        <v>1092</v>
      </c>
      <c r="C651" s="4"/>
      <c r="D651" s="14"/>
    </row>
    <row r="652" ht="31" customHeight="1" spans="1:7">
      <c r="A652" s="6" t="s">
        <v>1093</v>
      </c>
      <c r="B652" s="3" t="s">
        <v>1094</v>
      </c>
      <c r="C652" s="4" t="s">
        <v>12</v>
      </c>
      <c r="D652" s="7">
        <v>10414.8</v>
      </c>
      <c r="F652" s="32">
        <v>6647.35</v>
      </c>
      <c r="G652" s="33">
        <f>(D652-F652)/F652</f>
        <v>0.566759686190737</v>
      </c>
    </row>
    <row r="653" ht="77.5" customHeight="1" spans="1:7">
      <c r="A653" s="6" t="s">
        <v>1095</v>
      </c>
      <c r="B653" s="12" t="s">
        <v>1096</v>
      </c>
      <c r="C653" s="4"/>
      <c r="D653" s="14"/>
      <c r="E653" s="31">
        <v>7.23</v>
      </c>
    </row>
    <row r="654" spans="1:7">
      <c r="A654" s="6" t="s">
        <v>1097</v>
      </c>
      <c r="B654" s="3" t="s">
        <v>1098</v>
      </c>
      <c r="C654" s="4"/>
      <c r="D654" s="14"/>
      <c r="E654" s="31" t="s">
        <v>1099</v>
      </c>
    </row>
    <row r="655" spans="1:7">
      <c r="A655" s="6" t="s">
        <v>1100</v>
      </c>
      <c r="B655" s="3" t="s">
        <v>1101</v>
      </c>
      <c r="C655" s="4" t="s">
        <v>12</v>
      </c>
      <c r="D655" s="7">
        <v>6282.4</v>
      </c>
      <c r="E655" s="31" t="s">
        <v>1102</v>
      </c>
      <c r="F655" s="32">
        <v>2774.75</v>
      </c>
      <c r="G655" s="33">
        <f>(D655-F655)/F655</f>
        <v>1.26413190377511</v>
      </c>
    </row>
    <row r="656" spans="1:7">
      <c r="A656" s="6" t="s">
        <v>1103</v>
      </c>
      <c r="B656" s="3" t="s">
        <v>1104</v>
      </c>
      <c r="C656" s="4" t="s">
        <v>12</v>
      </c>
      <c r="D656" s="7">
        <v>6035.85</v>
      </c>
      <c r="E656" s="31" t="s">
        <v>1105</v>
      </c>
      <c r="F656" s="32">
        <v>2670.75</v>
      </c>
      <c r="G656" s="33">
        <f>(D656-F656)/F656</f>
        <v>1.25998315080034</v>
      </c>
    </row>
    <row r="657" spans="1:7">
      <c r="A657" s="6" t="s">
        <v>1106</v>
      </c>
      <c r="B657" s="3" t="s">
        <v>554</v>
      </c>
      <c r="C657" s="4" t="s">
        <v>12</v>
      </c>
      <c r="D657" s="7">
        <v>5789.9</v>
      </c>
      <c r="E657" s="31" t="s">
        <v>1107</v>
      </c>
      <c r="F657" s="32">
        <v>2567.05</v>
      </c>
      <c r="G657" s="33">
        <f>(D657-F657)/F657</f>
        <v>1.25546833914415</v>
      </c>
    </row>
    <row r="658" spans="1:7">
      <c r="A658" s="6" t="s">
        <v>1108</v>
      </c>
      <c r="B658" s="3" t="s">
        <v>556</v>
      </c>
      <c r="C658" s="4" t="s">
        <v>12</v>
      </c>
      <c r="D658" s="7">
        <v>5542.6</v>
      </c>
      <c r="E658" s="31" t="s">
        <v>1109</v>
      </c>
      <c r="F658" s="32">
        <v>2462.9</v>
      </c>
      <c r="G658" s="33">
        <f>(D658-F658)/F658</f>
        <v>1.25043647732348</v>
      </c>
    </row>
    <row r="659" spans="1:7">
      <c r="A659" s="6" t="s">
        <v>1110</v>
      </c>
      <c r="B659" s="3" t="s">
        <v>1111</v>
      </c>
      <c r="C659" s="4" t="s">
        <v>12</v>
      </c>
      <c r="D659" s="7">
        <v>5295.9</v>
      </c>
      <c r="E659" s="31" t="s">
        <v>1112</v>
      </c>
      <c r="F659" s="32">
        <v>2358.85</v>
      </c>
      <c r="G659" s="33">
        <f>(D659-F659)/F659</f>
        <v>1.24511944379677</v>
      </c>
    </row>
    <row r="660" spans="1:7">
      <c r="A660" s="6" t="s">
        <v>1113</v>
      </c>
      <c r="B660" s="3" t="s">
        <v>1114</v>
      </c>
      <c r="C660" s="4"/>
      <c r="D660" s="14"/>
      <c r="E660" s="31" t="s">
        <v>1115</v>
      </c>
    </row>
    <row r="661" spans="1:7">
      <c r="A661" s="6" t="s">
        <v>1116</v>
      </c>
      <c r="B661" s="3" t="s">
        <v>1101</v>
      </c>
      <c r="C661" s="4" t="s">
        <v>12</v>
      </c>
      <c r="D661" s="7">
        <v>8502.25</v>
      </c>
      <c r="E661" s="31" t="s">
        <v>1117</v>
      </c>
      <c r="F661" s="32">
        <v>3744.85</v>
      </c>
      <c r="G661" s="33">
        <f>(D661-F661)/F661</f>
        <v>1.27038466160193</v>
      </c>
    </row>
    <row r="662" spans="1:7">
      <c r="A662" s="6" t="s">
        <v>1118</v>
      </c>
      <c r="B662" s="3" t="s">
        <v>1104</v>
      </c>
      <c r="C662" s="4" t="s">
        <v>12</v>
      </c>
      <c r="D662" s="7">
        <v>8255.75</v>
      </c>
      <c r="E662" s="31" t="s">
        <v>1119</v>
      </c>
      <c r="F662" s="32">
        <v>3640.85</v>
      </c>
      <c r="G662" s="33">
        <f>(D662-F662)/F662</f>
        <v>1.2675336803219</v>
      </c>
    </row>
    <row r="663" spans="1:7">
      <c r="A663" s="6" t="s">
        <v>1120</v>
      </c>
      <c r="B663" s="3" t="s">
        <v>554</v>
      </c>
      <c r="C663" s="4" t="s">
        <v>12</v>
      </c>
      <c r="D663" s="7">
        <v>8009.75</v>
      </c>
      <c r="E663" s="31" t="s">
        <v>1121</v>
      </c>
      <c r="F663" s="32">
        <v>3537.1</v>
      </c>
      <c r="G663" s="33">
        <f>(D663-F663)/F663</f>
        <v>1.26449633880863</v>
      </c>
    </row>
    <row r="664" spans="1:7">
      <c r="A664" s="6" t="s">
        <v>1122</v>
      </c>
      <c r="B664" s="3" t="s">
        <v>556</v>
      </c>
      <c r="C664" s="4" t="s">
        <v>12</v>
      </c>
      <c r="D664" s="7">
        <v>7762.5</v>
      </c>
      <c r="E664" s="31" t="s">
        <v>1123</v>
      </c>
      <c r="F664" s="32">
        <v>3433</v>
      </c>
      <c r="G664" s="33">
        <f>(D664-F664)/F664</f>
        <v>1.26114185843286</v>
      </c>
    </row>
    <row r="665" spans="1:7">
      <c r="A665" s="6" t="s">
        <v>1124</v>
      </c>
      <c r="B665" s="3" t="s">
        <v>1111</v>
      </c>
      <c r="C665" s="4" t="s">
        <v>12</v>
      </c>
      <c r="D665" s="7">
        <v>7515.8</v>
      </c>
      <c r="E665" s="31" t="s">
        <v>1125</v>
      </c>
      <c r="F665" s="32">
        <v>3328.95</v>
      </c>
      <c r="G665" s="33">
        <f>(D665-F665)/F665</f>
        <v>1.25770888718665</v>
      </c>
    </row>
    <row r="666" spans="1:7">
      <c r="A666" s="6" t="s">
        <v>1126</v>
      </c>
      <c r="B666" s="3" t="s">
        <v>1127</v>
      </c>
      <c r="C666" s="4"/>
      <c r="D666" s="14"/>
      <c r="E666" s="31" t="s">
        <v>1128</v>
      </c>
    </row>
    <row r="667" spans="1:7">
      <c r="A667" s="6" t="s">
        <v>1129</v>
      </c>
      <c r="B667" s="3" t="s">
        <v>1101</v>
      </c>
      <c r="C667" s="4" t="s">
        <v>12</v>
      </c>
      <c r="D667" s="7">
        <v>7278.2</v>
      </c>
      <c r="E667" s="31" t="s">
        <v>1130</v>
      </c>
      <c r="F667" s="32">
        <v>2828.95</v>
      </c>
      <c r="G667" s="33">
        <f>(D667-F667)/F667</f>
        <v>1.57275667650542</v>
      </c>
    </row>
    <row r="668" spans="1:7">
      <c r="A668" s="6" t="s">
        <v>1131</v>
      </c>
      <c r="B668" s="3" t="s">
        <v>1104</v>
      </c>
      <c r="C668" s="4" t="s">
        <v>12</v>
      </c>
      <c r="D668" s="7">
        <v>6889.45</v>
      </c>
      <c r="E668" s="31" t="s">
        <v>1132</v>
      </c>
      <c r="F668" s="32">
        <v>2717.25</v>
      </c>
      <c r="G668" s="33">
        <f>(D668-F668)/F668</f>
        <v>1.53544944337106</v>
      </c>
    </row>
    <row r="669" spans="1:7">
      <c r="A669" s="6" t="s">
        <v>1133</v>
      </c>
      <c r="B669" s="3" t="s">
        <v>554</v>
      </c>
      <c r="C669" s="4" t="s">
        <v>12</v>
      </c>
      <c r="D669" s="7">
        <v>6501.55</v>
      </c>
      <c r="E669" s="31" t="s">
        <v>1134</v>
      </c>
      <c r="F669" s="32">
        <v>2605.75</v>
      </c>
      <c r="G669" s="33">
        <f>(D669-F669)/F669</f>
        <v>1.49507819245899</v>
      </c>
    </row>
    <row r="670" spans="1:7">
      <c r="A670" s="6" t="s">
        <v>1135</v>
      </c>
      <c r="B670" s="3" t="s">
        <v>556</v>
      </c>
      <c r="C670" s="4" t="s">
        <v>12</v>
      </c>
      <c r="D670" s="7">
        <v>6110.75</v>
      </c>
      <c r="E670" s="31" t="s">
        <v>1136</v>
      </c>
      <c r="F670" s="32">
        <v>2493.65</v>
      </c>
      <c r="G670" s="33">
        <f>(D670-F670)/F670</f>
        <v>1.45052433180278</v>
      </c>
    </row>
    <row r="671" spans="1:7">
      <c r="A671" s="6" t="s">
        <v>1137</v>
      </c>
      <c r="B671" s="3" t="s">
        <v>1111</v>
      </c>
      <c r="C671" s="4" t="s">
        <v>12</v>
      </c>
      <c r="D671" s="7">
        <v>5722.6</v>
      </c>
      <c r="E671" s="31" t="s">
        <v>1138</v>
      </c>
      <c r="F671" s="32">
        <v>2382.1</v>
      </c>
      <c r="G671" s="33">
        <f>(D671-F671)/F671</f>
        <v>1.40233407497586</v>
      </c>
    </row>
    <row r="672" spans="1:7">
      <c r="A672" s="6" t="s">
        <v>1139</v>
      </c>
      <c r="B672" s="3" t="s">
        <v>1140</v>
      </c>
      <c r="C672" s="4"/>
      <c r="D672" s="14"/>
      <c r="E672" s="31" t="s">
        <v>1141</v>
      </c>
    </row>
    <row r="673" spans="1:7">
      <c r="A673" s="6" t="s">
        <v>1142</v>
      </c>
      <c r="B673" s="3" t="s">
        <v>1101</v>
      </c>
      <c r="C673" s="4" t="s">
        <v>12</v>
      </c>
      <c r="D673" s="7">
        <v>9498.1</v>
      </c>
      <c r="E673" s="31" t="s">
        <v>1143</v>
      </c>
      <c r="F673" s="32">
        <v>3799.05</v>
      </c>
      <c r="G673" s="33">
        <f>(D673-F673)/F673</f>
        <v>1.50012503125781</v>
      </c>
    </row>
    <row r="674" spans="1:7">
      <c r="A674" s="6" t="s">
        <v>1144</v>
      </c>
      <c r="B674" s="3" t="s">
        <v>1104</v>
      </c>
      <c r="C674" s="4" t="s">
        <v>12</v>
      </c>
      <c r="D674" s="7">
        <v>9109.3</v>
      </c>
      <c r="E674" s="31" t="s">
        <v>1145</v>
      </c>
      <c r="F674" s="32">
        <v>3687.35</v>
      </c>
      <c r="G674" s="33">
        <f>(D674-F674)/F674</f>
        <v>1.47041913569366</v>
      </c>
    </row>
    <row r="675" spans="1:7">
      <c r="A675" s="6" t="s">
        <v>1146</v>
      </c>
      <c r="B675" s="3" t="s">
        <v>554</v>
      </c>
      <c r="C675" s="4" t="s">
        <v>12</v>
      </c>
      <c r="D675" s="7">
        <v>8721.45</v>
      </c>
      <c r="E675" s="31" t="s">
        <v>1147</v>
      </c>
      <c r="F675" s="32">
        <v>3575.85</v>
      </c>
      <c r="G675" s="33">
        <f>(D675-F675)/F675</f>
        <v>1.43898653467008</v>
      </c>
    </row>
    <row r="676" spans="1:7">
      <c r="A676" s="6" t="s">
        <v>1148</v>
      </c>
      <c r="B676" s="3" t="s">
        <v>556</v>
      </c>
      <c r="C676" s="4" t="s">
        <v>12</v>
      </c>
      <c r="D676" s="7">
        <v>8330.65</v>
      </c>
      <c r="E676" s="31" t="s">
        <v>1149</v>
      </c>
      <c r="F676" s="32">
        <v>3463.7</v>
      </c>
      <c r="G676" s="33">
        <f>(D676-F676)/F676</f>
        <v>1.40513035193579</v>
      </c>
    </row>
    <row r="677" spans="1:7">
      <c r="A677" s="6" t="s">
        <v>1150</v>
      </c>
      <c r="B677" s="3" t="s">
        <v>1111</v>
      </c>
      <c r="C677" s="4" t="s">
        <v>12</v>
      </c>
      <c r="D677" s="7">
        <v>7942.5</v>
      </c>
      <c r="E677" s="31" t="s">
        <v>1151</v>
      </c>
      <c r="F677" s="32">
        <v>3352.15</v>
      </c>
      <c r="G677" s="33">
        <f>(D677-F677)/F677</f>
        <v>1.36937487880912</v>
      </c>
    </row>
    <row r="678" spans="1:7">
      <c r="A678" s="6" t="s">
        <v>1152</v>
      </c>
      <c r="B678" s="3" t="s">
        <v>1153</v>
      </c>
      <c r="C678" s="4"/>
      <c r="D678" s="14"/>
      <c r="E678" s="31" t="s">
        <v>1154</v>
      </c>
    </row>
    <row r="679" spans="1:7">
      <c r="A679" s="6" t="s">
        <v>1155</v>
      </c>
      <c r="B679" s="3" t="s">
        <v>1156</v>
      </c>
      <c r="C679" s="4" t="s">
        <v>12</v>
      </c>
      <c r="D679" s="7">
        <v>3256.65</v>
      </c>
      <c r="E679" s="31" t="s">
        <v>1157</v>
      </c>
      <c r="F679" s="32">
        <v>1572.55</v>
      </c>
      <c r="G679" s="33">
        <f>(D679-F679)/F679</f>
        <v>1.07093574131188</v>
      </c>
    </row>
    <row r="680" spans="1:7">
      <c r="A680" s="6" t="s">
        <v>1158</v>
      </c>
      <c r="B680" s="3" t="s">
        <v>1159</v>
      </c>
      <c r="C680" s="4" t="s">
        <v>12</v>
      </c>
      <c r="D680" s="7">
        <v>3119.2</v>
      </c>
      <c r="E680" s="31" t="s">
        <v>1160</v>
      </c>
      <c r="F680" s="32">
        <v>1511.55</v>
      </c>
      <c r="G680" s="33">
        <f>(D680-F680)/F680</f>
        <v>1.06357712282095</v>
      </c>
    </row>
    <row r="681" ht="62" customHeight="1" spans="1:7">
      <c r="A681" s="6" t="s">
        <v>1161</v>
      </c>
      <c r="B681" s="12" t="s">
        <v>1162</v>
      </c>
      <c r="C681" s="4" t="s">
        <v>575</v>
      </c>
      <c r="D681" s="7">
        <v>714.4</v>
      </c>
      <c r="E681" s="31">
        <v>7.25</v>
      </c>
      <c r="F681" s="32">
        <v>521.1</v>
      </c>
      <c r="G681" s="33">
        <f>(D681-F681)/F681</f>
        <v>0.370946075609288</v>
      </c>
    </row>
    <row r="682" ht="46.5" customHeight="1" spans="1:7">
      <c r="A682" s="6" t="s">
        <v>1163</v>
      </c>
      <c r="B682" s="12" t="s">
        <v>1164</v>
      </c>
      <c r="C682" s="4" t="s">
        <v>156</v>
      </c>
      <c r="D682" s="7">
        <v>43.9</v>
      </c>
      <c r="E682" s="31">
        <v>7.27</v>
      </c>
      <c r="F682" s="32">
        <v>29.8</v>
      </c>
      <c r="G682" s="33">
        <f>(D682-F682)/F682</f>
        <v>0.473154362416107</v>
      </c>
    </row>
    <row r="683" ht="108.5" customHeight="1" spans="1:7">
      <c r="A683" s="6" t="s">
        <v>1165</v>
      </c>
      <c r="B683" s="12" t="s">
        <v>1166</v>
      </c>
      <c r="C683" s="4" t="s">
        <v>12</v>
      </c>
      <c r="D683" s="7">
        <v>3135</v>
      </c>
      <c r="E683" s="31">
        <v>7.36</v>
      </c>
      <c r="F683" s="32">
        <v>1588.2</v>
      </c>
      <c r="G683" s="33">
        <f>(D683-F683)/F683</f>
        <v>0.973932754061201</v>
      </c>
    </row>
    <row r="684" ht="77.5" customHeight="1" spans="1:7">
      <c r="A684" s="6" t="s">
        <v>1167</v>
      </c>
      <c r="B684" s="12" t="s">
        <v>1168</v>
      </c>
      <c r="C684" s="4"/>
      <c r="D684" s="14"/>
      <c r="E684" s="31">
        <v>7.37</v>
      </c>
    </row>
    <row r="685" spans="1:7">
      <c r="A685" s="6" t="s">
        <v>1169</v>
      </c>
      <c r="B685" s="3" t="s">
        <v>1170</v>
      </c>
      <c r="C685" s="4"/>
      <c r="D685" s="14"/>
      <c r="E685" s="31" t="s">
        <v>1171</v>
      </c>
    </row>
    <row r="686" spans="1:7">
      <c r="A686" s="6" t="s">
        <v>1172</v>
      </c>
      <c r="B686" s="3" t="s">
        <v>558</v>
      </c>
      <c r="C686" s="4" t="s">
        <v>12</v>
      </c>
      <c r="D686" s="7">
        <v>2651.35</v>
      </c>
      <c r="E686" s="31" t="s">
        <v>1173</v>
      </c>
      <c r="F686" s="32">
        <v>1801.1</v>
      </c>
      <c r="G686" s="33">
        <f>(D686-F686)/F686</f>
        <v>0.472072622286381</v>
      </c>
    </row>
    <row r="687" ht="31" customHeight="1" spans="1:7">
      <c r="A687" s="6" t="s">
        <v>1174</v>
      </c>
      <c r="B687" s="12" t="s">
        <v>1175</v>
      </c>
      <c r="C687" s="4" t="s">
        <v>12</v>
      </c>
      <c r="D687" s="7">
        <v>165.85</v>
      </c>
      <c r="E687" s="31">
        <v>7.39</v>
      </c>
    </row>
    <row r="688" spans="1:7">
      <c r="A688" s="40"/>
      <c r="B688" s="12" t="s">
        <v>1176</v>
      </c>
      <c r="C688" s="4"/>
      <c r="D688" s="7"/>
    </row>
    <row r="689" ht="93" customHeight="1" spans="1:7">
      <c r="A689" s="6" t="s">
        <v>1177</v>
      </c>
      <c r="B689" s="12" t="s">
        <v>1178</v>
      </c>
      <c r="C689" s="4"/>
      <c r="D689" s="14"/>
      <c r="E689" s="48">
        <v>7.4</v>
      </c>
    </row>
    <row r="690" spans="1:7">
      <c r="A690" s="6" t="s">
        <v>1179</v>
      </c>
      <c r="B690" s="3" t="s">
        <v>1180</v>
      </c>
      <c r="C690" s="4" t="s">
        <v>12</v>
      </c>
      <c r="D690" s="7">
        <v>2902.65</v>
      </c>
      <c r="E690" s="31" t="s">
        <v>1181</v>
      </c>
      <c r="F690" s="32">
        <v>1439.75</v>
      </c>
      <c r="G690" s="33">
        <f>(D690-F690)/F690</f>
        <v>1.01607918041327</v>
      </c>
    </row>
    <row r="691" spans="1:7">
      <c r="A691" s="6" t="s">
        <v>1182</v>
      </c>
      <c r="B691" s="3" t="s">
        <v>1183</v>
      </c>
      <c r="C691" s="4" t="s">
        <v>12</v>
      </c>
      <c r="D691" s="7">
        <v>3040.1</v>
      </c>
      <c r="E691" s="31" t="s">
        <v>1184</v>
      </c>
      <c r="F691" s="32">
        <v>1500.75</v>
      </c>
      <c r="G691" s="33">
        <f>(D691-F691)/F691</f>
        <v>1.02572047309678</v>
      </c>
    </row>
    <row r="692" ht="248" customHeight="1" spans="1:7">
      <c r="A692" s="6" t="s">
        <v>1185</v>
      </c>
      <c r="B692" s="12" t="s">
        <v>1186</v>
      </c>
      <c r="C692" s="4" t="s">
        <v>575</v>
      </c>
      <c r="D692" s="7">
        <v>269.95</v>
      </c>
      <c r="E692" s="31">
        <v>7.41</v>
      </c>
      <c r="F692" s="32">
        <v>134.75</v>
      </c>
      <c r="G692" s="33">
        <f>(D692-F692)/F692</f>
        <v>1.00333951762523</v>
      </c>
    </row>
    <row r="693" ht="77.5" customHeight="1" spans="1:7">
      <c r="A693" s="6" t="s">
        <v>1187</v>
      </c>
      <c r="B693" s="12" t="s">
        <v>1188</v>
      </c>
      <c r="C693" s="4" t="s">
        <v>156</v>
      </c>
      <c r="D693" s="7">
        <v>437</v>
      </c>
      <c r="E693" s="31">
        <v>7.42</v>
      </c>
      <c r="F693" s="32">
        <v>217.15</v>
      </c>
      <c r="G693" s="33">
        <f>(D693-F693)/F693</f>
        <v>1.01243380151969</v>
      </c>
    </row>
    <row r="694" ht="31" customHeight="1" spans="1:7">
      <c r="A694" s="6" t="s">
        <v>1189</v>
      </c>
      <c r="B694" s="12" t="s">
        <v>1190</v>
      </c>
      <c r="C694" s="4" t="s">
        <v>156</v>
      </c>
      <c r="D694" s="7">
        <v>40.85</v>
      </c>
      <c r="E694" s="31">
        <v>9.32</v>
      </c>
      <c r="F694" s="32">
        <v>21.85</v>
      </c>
      <c r="G694" s="33">
        <f>(D694-F694)/F694</f>
        <v>0.869565217391304</v>
      </c>
    </row>
    <row r="695" ht="46.5" customHeight="1" spans="1:7">
      <c r="A695" s="6" t="s">
        <v>1191</v>
      </c>
      <c r="B695" s="12" t="s">
        <v>1192</v>
      </c>
      <c r="C695" s="4"/>
      <c r="D695" s="14"/>
      <c r="E695" s="49">
        <v>9.33</v>
      </c>
    </row>
    <row r="696" spans="1:7">
      <c r="A696" s="6" t="s">
        <v>1193</v>
      </c>
      <c r="B696" s="3" t="s">
        <v>1194</v>
      </c>
      <c r="C696" s="4" t="s">
        <v>156</v>
      </c>
      <c r="D696" s="7">
        <v>22.35</v>
      </c>
      <c r="E696" s="31" t="s">
        <v>1195</v>
      </c>
      <c r="F696" s="32">
        <v>15.8</v>
      </c>
      <c r="G696" s="33">
        <f>(D696-F696)/F696</f>
        <v>0.414556962025316</v>
      </c>
    </row>
    <row r="697" spans="1:7">
      <c r="A697" s="6" t="s">
        <v>1196</v>
      </c>
      <c r="B697" s="3" t="s">
        <v>1197</v>
      </c>
      <c r="C697" s="4" t="s">
        <v>156</v>
      </c>
      <c r="D697" s="7">
        <v>24.05</v>
      </c>
      <c r="E697" s="31" t="s">
        <v>1198</v>
      </c>
      <c r="F697" s="32">
        <v>18</v>
      </c>
      <c r="G697" s="33">
        <f>(D697-F697)/F697</f>
        <v>0.336111111111111</v>
      </c>
    </row>
    <row r="698" spans="1:7">
      <c r="A698" s="6" t="s">
        <v>1199</v>
      </c>
      <c r="B698" s="3" t="s">
        <v>1200</v>
      </c>
      <c r="C698" s="4" t="s">
        <v>156</v>
      </c>
      <c r="D698" s="7">
        <v>28.3</v>
      </c>
      <c r="E698" s="31" t="s">
        <v>1201</v>
      </c>
      <c r="F698" s="32">
        <v>21.5</v>
      </c>
      <c r="G698" s="33">
        <f>(D698-F698)/F698</f>
        <v>0.316279069767442</v>
      </c>
    </row>
    <row r="699" spans="1:7">
      <c r="A699" s="6" t="s">
        <v>1202</v>
      </c>
      <c r="B699" s="3" t="s">
        <v>1203</v>
      </c>
      <c r="C699" s="4" t="s">
        <v>156</v>
      </c>
      <c r="D699" s="7">
        <v>29.75</v>
      </c>
      <c r="E699" s="31" t="s">
        <v>1204</v>
      </c>
      <c r="F699" s="32">
        <v>22.65</v>
      </c>
      <c r="G699" s="33">
        <f>(D699-F699)/F699</f>
        <v>0.313465783664459</v>
      </c>
    </row>
    <row r="700" ht="31" customHeight="1" spans="1:7">
      <c r="A700" s="6" t="s">
        <v>1205</v>
      </c>
      <c r="B700" s="12" t="s">
        <v>1206</v>
      </c>
      <c r="C700" s="4"/>
      <c r="D700" s="14"/>
      <c r="E700" s="31">
        <v>9.34</v>
      </c>
    </row>
    <row r="701" spans="1:7">
      <c r="A701" s="6" t="s">
        <v>1207</v>
      </c>
      <c r="B701" s="3" t="s">
        <v>556</v>
      </c>
      <c r="C701" s="4" t="s">
        <v>12</v>
      </c>
      <c r="D701" s="7">
        <v>6646.7</v>
      </c>
      <c r="E701" s="31" t="s">
        <v>1208</v>
      </c>
      <c r="F701" s="32">
        <v>4579.1</v>
      </c>
      <c r="G701" s="33">
        <f>(D701-F701)/F701</f>
        <v>0.451529776593654</v>
      </c>
    </row>
    <row r="702" spans="1:7">
      <c r="A702" s="6" t="s">
        <v>1209</v>
      </c>
      <c r="B702" s="3" t="s">
        <v>558</v>
      </c>
      <c r="C702" s="4" t="s">
        <v>12</v>
      </c>
      <c r="D702" s="7">
        <v>4437.8</v>
      </c>
      <c r="E702" s="31" t="s">
        <v>1210</v>
      </c>
      <c r="F702" s="32">
        <v>2995.75</v>
      </c>
      <c r="G702" s="33">
        <f>(D702-F702)/F702</f>
        <v>0.481365267462238</v>
      </c>
    </row>
    <row r="703" spans="1:7">
      <c r="A703" s="6" t="s">
        <v>1211</v>
      </c>
      <c r="B703" s="3" t="s">
        <v>1212</v>
      </c>
      <c r="C703" s="4" t="s">
        <v>12</v>
      </c>
      <c r="D703" s="7">
        <v>3601.3</v>
      </c>
      <c r="E703" s="31" t="s">
        <v>1213</v>
      </c>
      <c r="F703" s="32">
        <v>2425.95</v>
      </c>
      <c r="G703" s="33">
        <f>(D703-F703)/F703</f>
        <v>0.484490611925225</v>
      </c>
    </row>
    <row r="704" spans="1:7">
      <c r="A704" s="6" t="s">
        <v>1214</v>
      </c>
      <c r="B704" s="3" t="s">
        <v>1215</v>
      </c>
      <c r="C704" s="4" t="s">
        <v>12</v>
      </c>
      <c r="D704" s="7">
        <v>2423.25</v>
      </c>
      <c r="E704" s="31" t="s">
        <v>1216</v>
      </c>
      <c r="F704" s="32">
        <v>1581.5</v>
      </c>
      <c r="G704" s="33">
        <f>(D704-F704)/F704</f>
        <v>0.532247865950047</v>
      </c>
    </row>
    <row r="705" ht="62" customHeight="1" spans="1:7">
      <c r="A705" s="6" t="s">
        <v>1217</v>
      </c>
      <c r="B705" s="12" t="s">
        <v>1218</v>
      </c>
      <c r="C705" s="4"/>
      <c r="D705" s="14"/>
      <c r="E705" s="31">
        <v>9.35</v>
      </c>
    </row>
    <row r="706" spans="1:7">
      <c r="A706" s="6" t="s">
        <v>1219</v>
      </c>
      <c r="B706" s="3" t="s">
        <v>1215</v>
      </c>
      <c r="C706" s="4" t="s">
        <v>12</v>
      </c>
      <c r="D706" s="7">
        <v>1430.2</v>
      </c>
      <c r="E706" s="31" t="s">
        <v>1220</v>
      </c>
      <c r="F706" s="32">
        <v>954</v>
      </c>
      <c r="G706" s="33">
        <f>(D706-F706)/F706</f>
        <v>0.49916142557652</v>
      </c>
    </row>
    <row r="707" spans="1:7">
      <c r="A707" s="6" t="s">
        <v>1221</v>
      </c>
      <c r="B707" s="3" t="s">
        <v>1222</v>
      </c>
      <c r="C707" s="4" t="s">
        <v>12</v>
      </c>
      <c r="D707" s="7">
        <v>1492.8</v>
      </c>
      <c r="E707" s="31" t="s">
        <v>1223</v>
      </c>
      <c r="F707" s="32">
        <v>1097.1</v>
      </c>
      <c r="G707" s="33">
        <f>(D707-F707)/F707</f>
        <v>0.360678151490293</v>
      </c>
    </row>
    <row r="708" spans="1:7">
      <c r="A708" s="6" t="s">
        <v>1224</v>
      </c>
      <c r="B708" s="3" t="s">
        <v>558</v>
      </c>
      <c r="C708" s="4" t="s">
        <v>12</v>
      </c>
      <c r="D708" s="7">
        <v>1979.5</v>
      </c>
      <c r="E708" s="31" t="s">
        <v>1225</v>
      </c>
      <c r="F708" s="32">
        <v>1422.9</v>
      </c>
      <c r="G708" s="33">
        <f>(D708-F708)/F708</f>
        <v>0.391172956637852</v>
      </c>
    </row>
    <row r="709" ht="31" customHeight="1" spans="1:7">
      <c r="A709" s="6" t="s">
        <v>1226</v>
      </c>
      <c r="B709" s="12" t="s">
        <v>1227</v>
      </c>
      <c r="C709" s="4"/>
      <c r="D709" s="14"/>
      <c r="E709" s="31">
        <v>9.36</v>
      </c>
    </row>
    <row r="710" spans="1:7">
      <c r="A710" s="6" t="s">
        <v>1228</v>
      </c>
      <c r="B710" s="3" t="s">
        <v>1229</v>
      </c>
      <c r="C710" s="4" t="s">
        <v>16</v>
      </c>
      <c r="D710" s="7">
        <v>187277.65</v>
      </c>
      <c r="E710" s="31" t="s">
        <v>1230</v>
      </c>
      <c r="F710" s="32">
        <v>99169.3</v>
      </c>
      <c r="G710" s="33">
        <f>(D710-F710)/F710</f>
        <v>0.888463970200455</v>
      </c>
    </row>
    <row r="711" ht="46.5" customHeight="1" spans="1:7">
      <c r="A711" s="6" t="s">
        <v>1231</v>
      </c>
      <c r="B711" s="12" t="s">
        <v>1232</v>
      </c>
      <c r="C711" s="4"/>
      <c r="D711" s="7"/>
      <c r="E711" s="31">
        <v>9.37</v>
      </c>
    </row>
    <row r="712" spans="1:7">
      <c r="A712" s="6" t="s">
        <v>1233</v>
      </c>
      <c r="B712" s="3" t="s">
        <v>1234</v>
      </c>
      <c r="C712" s="4" t="s">
        <v>12</v>
      </c>
      <c r="D712" s="7">
        <v>1946.25</v>
      </c>
      <c r="E712" s="31" t="s">
        <v>1235</v>
      </c>
      <c r="F712" s="32">
        <v>1030.7</v>
      </c>
      <c r="G712" s="33">
        <f>(D712-F712)/F712</f>
        <v>0.888279809837974</v>
      </c>
    </row>
    <row r="713" ht="31" customHeight="1" spans="1:7">
      <c r="A713" s="6" t="s">
        <v>1236</v>
      </c>
      <c r="B713" s="12" t="s">
        <v>1237</v>
      </c>
      <c r="C713" s="4" t="s">
        <v>12</v>
      </c>
      <c r="D713" s="7">
        <v>1825.05</v>
      </c>
      <c r="E713" s="31">
        <v>9.38</v>
      </c>
      <c r="F713" s="32">
        <v>1030.7</v>
      </c>
      <c r="G713" s="33">
        <f>(D713-F713)/F713</f>
        <v>0.770689822450761</v>
      </c>
    </row>
    <row r="714" ht="77.5" customHeight="1" spans="1:7">
      <c r="A714" s="6" t="s">
        <v>1238</v>
      </c>
      <c r="B714" s="12" t="s">
        <v>1239</v>
      </c>
      <c r="C714" s="4"/>
      <c r="D714" s="14"/>
      <c r="E714" s="31">
        <v>9.39</v>
      </c>
    </row>
    <row r="715" spans="1:7">
      <c r="A715" s="6" t="s">
        <v>1240</v>
      </c>
      <c r="B715" s="3" t="s">
        <v>1222</v>
      </c>
      <c r="C715" s="4" t="s">
        <v>12</v>
      </c>
      <c r="D715" s="7">
        <v>1976.45</v>
      </c>
      <c r="E715" s="31" t="s">
        <v>1241</v>
      </c>
      <c r="F715" s="32">
        <v>1287.15</v>
      </c>
      <c r="G715" s="33">
        <f>(D715-F715)/F715</f>
        <v>0.535524220176359</v>
      </c>
    </row>
    <row r="716" spans="1:7">
      <c r="A716" s="6" t="s">
        <v>1242</v>
      </c>
      <c r="B716" s="3" t="s">
        <v>558</v>
      </c>
      <c r="C716" s="4" t="s">
        <v>12</v>
      </c>
      <c r="D716" s="7">
        <v>2463.1</v>
      </c>
      <c r="E716" s="31" t="s">
        <v>1243</v>
      </c>
      <c r="F716" s="32">
        <v>1612.95</v>
      </c>
      <c r="G716" s="33">
        <f>(D716-F716)/F716</f>
        <v>0.527077714746272</v>
      </c>
    </row>
    <row r="717" ht="93" customHeight="1" spans="1:7">
      <c r="A717" s="6" t="s">
        <v>1244</v>
      </c>
      <c r="B717" s="12" t="s">
        <v>1245</v>
      </c>
      <c r="C717" s="4" t="s">
        <v>12</v>
      </c>
      <c r="D717" s="7">
        <v>1267.95</v>
      </c>
      <c r="E717" s="2">
        <v>11.36</v>
      </c>
      <c r="F717" s="32">
        <v>744.8</v>
      </c>
      <c r="G717" s="33">
        <f>(D717-F717)/F717</f>
        <v>0.702403329752954</v>
      </c>
    </row>
    <row r="718" ht="46.5" customHeight="1" spans="1:7">
      <c r="A718" s="6" t="s">
        <v>1246</v>
      </c>
      <c r="B718" s="12" t="s">
        <v>1247</v>
      </c>
      <c r="C718" s="4"/>
      <c r="D718" s="14"/>
      <c r="E718" s="31">
        <v>25.7</v>
      </c>
    </row>
    <row r="719" ht="46.5" customHeight="1" spans="1:7">
      <c r="A719" s="40"/>
      <c r="B719" s="12" t="s">
        <v>1248</v>
      </c>
      <c r="C719" s="4"/>
      <c r="D719" s="14"/>
      <c r="E719" s="31" t="s">
        <v>9</v>
      </c>
    </row>
    <row r="720" ht="124" customHeight="1" spans="1:7">
      <c r="A720" s="40"/>
      <c r="B720" s="12" t="s">
        <v>1249</v>
      </c>
      <c r="C720" s="4"/>
      <c r="D720" s="14"/>
      <c r="E720" s="31" t="s">
        <v>9</v>
      </c>
    </row>
    <row r="721" ht="46.5" customHeight="1" spans="1:7">
      <c r="A721" s="40"/>
      <c r="B721" s="12" t="s">
        <v>1250</v>
      </c>
      <c r="C721" s="4" t="s">
        <v>12</v>
      </c>
      <c r="D721" s="7">
        <v>5015.05</v>
      </c>
      <c r="E721" s="31" t="s">
        <v>9</v>
      </c>
      <c r="F721" s="32">
        <v>3405.9</v>
      </c>
      <c r="G721" s="33">
        <f>(D721-F721)/F721</f>
        <v>0.47245955547726</v>
      </c>
    </row>
    <row r="722" spans="1:7">
      <c r="D722" s="16"/>
    </row>
    <row r="723" spans="1:7">
      <c r="D723" s="16"/>
    </row>
    <row r="724" spans="1:7">
      <c r="D724" s="16"/>
    </row>
    <row r="725" ht="31" customHeight="1" spans="1:7">
      <c r="A725" s="41" t="s">
        <v>1251</v>
      </c>
      <c r="C725" s="31"/>
      <c r="D725" s="31"/>
    </row>
    <row r="726" spans="1:7">
      <c r="A726" s="6" t="s">
        <v>204</v>
      </c>
      <c r="B726" s="12" t="s">
        <v>2</v>
      </c>
      <c r="C726" s="4" t="s">
        <v>205</v>
      </c>
      <c r="D726" s="14" t="s">
        <v>4</v>
      </c>
    </row>
    <row r="727" spans="1:7">
      <c r="A727" s="40"/>
      <c r="B727" s="12" t="s">
        <v>1252</v>
      </c>
      <c r="C727" s="4"/>
      <c r="D727" s="14"/>
    </row>
    <row r="728" ht="46.5" customHeight="1" spans="1:7">
      <c r="A728" s="6" t="s">
        <v>1253</v>
      </c>
      <c r="B728" s="12" t="s">
        <v>1254</v>
      </c>
      <c r="C728" s="4"/>
      <c r="D728" s="14"/>
    </row>
    <row r="729" spans="1:7">
      <c r="A729" s="6" t="s">
        <v>1255</v>
      </c>
      <c r="B729" s="3" t="s">
        <v>1256</v>
      </c>
      <c r="C729" s="4" t="s">
        <v>16</v>
      </c>
      <c r="D729" s="7">
        <v>142949.7</v>
      </c>
      <c r="F729" s="32">
        <v>92743.05</v>
      </c>
      <c r="G729" s="33">
        <f>(D729-F729)/F729</f>
        <v>0.541352155228882</v>
      </c>
    </row>
    <row r="730" spans="1:7">
      <c r="A730" s="6" t="s">
        <v>1257</v>
      </c>
      <c r="B730" s="3" t="s">
        <v>1258</v>
      </c>
      <c r="C730" s="4" t="s">
        <v>16</v>
      </c>
      <c r="D730" s="7">
        <v>116520.3</v>
      </c>
      <c r="F730" s="32">
        <v>85386.95</v>
      </c>
      <c r="G730" s="33">
        <f>(D730-F730)/F730</f>
        <v>0.364614850395757</v>
      </c>
    </row>
    <row r="731" spans="1:7">
      <c r="A731" s="6" t="s">
        <v>1259</v>
      </c>
      <c r="B731" s="3" t="s">
        <v>1229</v>
      </c>
      <c r="C731" s="4" t="s">
        <v>16</v>
      </c>
      <c r="D731" s="7">
        <v>83378.05</v>
      </c>
      <c r="F731" s="32">
        <v>54930.25</v>
      </c>
      <c r="G731" s="33">
        <f>(D731-F731)/F731</f>
        <v>0.51788950532721</v>
      </c>
    </row>
    <row r="732" ht="62" customHeight="1" spans="1:7">
      <c r="A732" s="6" t="s">
        <v>1260</v>
      </c>
      <c r="B732" s="12" t="s">
        <v>1261</v>
      </c>
      <c r="C732" s="4" t="s">
        <v>16</v>
      </c>
      <c r="D732" s="7">
        <v>131981.1</v>
      </c>
      <c r="F732" s="32">
        <v>98053.6</v>
      </c>
      <c r="G732" s="33">
        <f>(D732-F732)/F732</f>
        <v>0.346009733451908</v>
      </c>
    </row>
    <row r="733" ht="31" customHeight="1" spans="1:7">
      <c r="A733" s="6" t="s">
        <v>1262</v>
      </c>
      <c r="B733" s="12" t="s">
        <v>1263</v>
      </c>
      <c r="C733" s="4"/>
      <c r="D733" s="14"/>
      <c r="E733" s="2"/>
    </row>
    <row r="734" spans="1:7">
      <c r="A734" s="6" t="s">
        <v>1264</v>
      </c>
      <c r="B734" s="3" t="s">
        <v>1258</v>
      </c>
      <c r="C734" s="4" t="s">
        <v>16</v>
      </c>
      <c r="D734" s="7">
        <v>104754.35</v>
      </c>
      <c r="F734" s="32">
        <v>80046.45</v>
      </c>
      <c r="G734" s="33">
        <f>(D734-F734)/F734</f>
        <v>0.308669528754867</v>
      </c>
    </row>
    <row r="735" spans="1:7">
      <c r="A735" s="6" t="s">
        <v>1265</v>
      </c>
      <c r="B735" s="3" t="s">
        <v>1229</v>
      </c>
      <c r="C735" s="4" t="s">
        <v>16</v>
      </c>
      <c r="D735" s="7">
        <v>71337.85</v>
      </c>
      <c r="F735" s="32">
        <v>49465.1</v>
      </c>
      <c r="G735" s="33">
        <f>(D735-F735)/F735</f>
        <v>0.44218550048418</v>
      </c>
    </row>
    <row r="736" spans="1:7">
      <c r="A736" s="6" t="s">
        <v>1266</v>
      </c>
      <c r="B736" s="12" t="s">
        <v>1267</v>
      </c>
      <c r="C736" s="4"/>
      <c r="D736" s="14"/>
    </row>
    <row r="737" spans="1:7">
      <c r="A737" s="6" t="s">
        <v>1268</v>
      </c>
      <c r="B737" s="3" t="s">
        <v>1256</v>
      </c>
      <c r="C737" s="4" t="s">
        <v>16</v>
      </c>
      <c r="D737" s="7">
        <v>14294.95</v>
      </c>
      <c r="F737" s="32">
        <v>9274.15</v>
      </c>
      <c r="G737" s="33">
        <f>(D737-F737)/F737</f>
        <v>0.541375759503567</v>
      </c>
    </row>
    <row r="738" spans="1:7">
      <c r="A738" s="6" t="s">
        <v>1269</v>
      </c>
      <c r="B738" s="3" t="s">
        <v>1258</v>
      </c>
      <c r="C738" s="4" t="s">
        <v>16</v>
      </c>
      <c r="D738" s="7">
        <v>11652.05</v>
      </c>
      <c r="F738" s="32">
        <v>8538.9</v>
      </c>
      <c r="G738" s="33">
        <f>(D738-F738)/F738</f>
        <v>0.364584431249927</v>
      </c>
    </row>
    <row r="739" spans="1:7">
      <c r="A739" s="6" t="s">
        <v>1270</v>
      </c>
      <c r="B739" s="3" t="s">
        <v>1229</v>
      </c>
      <c r="C739" s="4" t="s">
        <v>16</v>
      </c>
      <c r="D739" s="7">
        <v>8338.1</v>
      </c>
      <c r="F739" s="32">
        <v>5493.05</v>
      </c>
      <c r="G739" s="33">
        <f>(D739-F739)/F739</f>
        <v>0.517936301326221</v>
      </c>
    </row>
    <row r="740" ht="62" customHeight="1" spans="1:7">
      <c r="A740" s="6" t="s">
        <v>1271</v>
      </c>
      <c r="B740" s="12" t="s">
        <v>1272</v>
      </c>
      <c r="C740" s="4"/>
      <c r="D740" s="14"/>
    </row>
    <row r="741" spans="1:7">
      <c r="A741" s="6" t="s">
        <v>1273</v>
      </c>
      <c r="B741" s="3" t="s">
        <v>1256</v>
      </c>
      <c r="C741" s="4"/>
      <c r="D741" s="14"/>
    </row>
    <row r="742" spans="1:7">
      <c r="A742" s="6" t="s">
        <v>1274</v>
      </c>
      <c r="B742" s="3" t="s">
        <v>1275</v>
      </c>
      <c r="C742" s="4" t="s">
        <v>12</v>
      </c>
      <c r="D742" s="7">
        <v>4111.95</v>
      </c>
      <c r="F742" s="32">
        <v>2548.15</v>
      </c>
      <c r="G742" s="33">
        <f>(D742-F742)/F742</f>
        <v>0.613700135392343</v>
      </c>
    </row>
    <row r="743" spans="1:7">
      <c r="A743" s="6" t="s">
        <v>1276</v>
      </c>
      <c r="B743" s="3" t="s">
        <v>1277</v>
      </c>
      <c r="C743" s="4" t="s">
        <v>12</v>
      </c>
      <c r="D743" s="7">
        <v>3747.3</v>
      </c>
      <c r="F743" s="32">
        <v>2293.6</v>
      </c>
      <c r="G743" s="33">
        <f>(D743-F743)/F743</f>
        <v>0.633807115451692</v>
      </c>
    </row>
    <row r="744" spans="1:7">
      <c r="A744" s="6" t="s">
        <v>1278</v>
      </c>
      <c r="B744" s="3" t="s">
        <v>1229</v>
      </c>
      <c r="C744" s="4"/>
      <c r="D744" s="14"/>
    </row>
    <row r="745" spans="1:7">
      <c r="A745" s="6" t="s">
        <v>1279</v>
      </c>
      <c r="B745" s="3" t="s">
        <v>1275</v>
      </c>
      <c r="C745" s="4" t="s">
        <v>12</v>
      </c>
      <c r="D745" s="7">
        <v>2869.1</v>
      </c>
      <c r="F745" s="32">
        <v>1795.6</v>
      </c>
      <c r="G745" s="33">
        <f>(D745-F745)/F745</f>
        <v>0.59785030073513</v>
      </c>
    </row>
    <row r="746" spans="1:7">
      <c r="A746" s="6" t="s">
        <v>1280</v>
      </c>
      <c r="B746" s="3" t="s">
        <v>1277</v>
      </c>
      <c r="C746" s="4" t="s">
        <v>12</v>
      </c>
      <c r="D746" s="7">
        <v>2676.85</v>
      </c>
      <c r="F746" s="32">
        <v>1645.5</v>
      </c>
      <c r="G746" s="33">
        <f>(D746-F746)/F746</f>
        <v>0.626769978729869</v>
      </c>
    </row>
    <row r="747" spans="1:7">
      <c r="A747" s="6" t="s">
        <v>1281</v>
      </c>
      <c r="B747" s="3" t="s">
        <v>1282</v>
      </c>
      <c r="C747" s="4"/>
      <c r="D747" s="14"/>
    </row>
    <row r="748" spans="1:7">
      <c r="A748" s="6" t="s">
        <v>1283</v>
      </c>
      <c r="B748" s="3" t="s">
        <v>1275</v>
      </c>
      <c r="C748" s="4" t="s">
        <v>12</v>
      </c>
      <c r="D748" s="7">
        <v>3638.35</v>
      </c>
      <c r="F748" s="32">
        <v>2500.15</v>
      </c>
      <c r="G748" s="33">
        <f>(D748-F748)/F748</f>
        <v>0.45525268483891</v>
      </c>
    </row>
    <row r="749" spans="1:7">
      <c r="A749" s="6" t="s">
        <v>1284</v>
      </c>
      <c r="B749" s="3" t="s">
        <v>1277</v>
      </c>
      <c r="C749" s="4" t="s">
        <v>12</v>
      </c>
      <c r="D749" s="7">
        <v>3338.65</v>
      </c>
      <c r="F749" s="32">
        <v>2237.4</v>
      </c>
      <c r="G749" s="33">
        <f>(D749-F749)/F749</f>
        <v>0.492200768749441</v>
      </c>
    </row>
    <row r="750" ht="77.5" customHeight="1" spans="1:7">
      <c r="A750" s="6" t="s">
        <v>1285</v>
      </c>
      <c r="B750" s="12" t="s">
        <v>1286</v>
      </c>
      <c r="C750" s="4"/>
      <c r="D750" s="14"/>
    </row>
    <row r="751" ht="46.5" customHeight="1" spans="1:7">
      <c r="A751" s="6" t="s">
        <v>1287</v>
      </c>
      <c r="B751" s="3" t="s">
        <v>1288</v>
      </c>
      <c r="C751" s="4" t="s">
        <v>12</v>
      </c>
      <c r="D751" s="7">
        <v>3069.05</v>
      </c>
      <c r="F751" s="32">
        <v>2301.9</v>
      </c>
      <c r="G751" s="33">
        <f>(D751-F751)/F751</f>
        <v>0.333268169772796</v>
      </c>
    </row>
    <row r="752" ht="62" customHeight="1" spans="1:7">
      <c r="A752" s="6" t="s">
        <v>1289</v>
      </c>
      <c r="B752" s="3" t="s">
        <v>1290</v>
      </c>
      <c r="C752" s="4" t="s">
        <v>12</v>
      </c>
      <c r="D752" s="7">
        <v>3212.7</v>
      </c>
      <c r="F752" s="32">
        <v>2418.05</v>
      </c>
      <c r="G752" s="33">
        <f>(D752-F752)/F752</f>
        <v>0.328632575835901</v>
      </c>
    </row>
    <row r="753" ht="77.5" customHeight="1" spans="1:7">
      <c r="A753" s="6" t="s">
        <v>1291</v>
      </c>
      <c r="B753" s="3" t="s">
        <v>1292</v>
      </c>
      <c r="C753" s="4" t="s">
        <v>12</v>
      </c>
      <c r="D753" s="7">
        <v>3450.3</v>
      </c>
      <c r="F753" s="32">
        <v>2650.35</v>
      </c>
      <c r="G753" s="33">
        <f>(D753-F753)/F753</f>
        <v>0.301828060444847</v>
      </c>
    </row>
    <row r="754" ht="62" customHeight="1" spans="1:7">
      <c r="A754" s="6" t="s">
        <v>1293</v>
      </c>
      <c r="B754" s="12" t="s">
        <v>1294</v>
      </c>
      <c r="C754" s="4"/>
      <c r="D754" s="14"/>
    </row>
    <row r="755" spans="1:7">
      <c r="A755" s="6" t="s">
        <v>1295</v>
      </c>
      <c r="B755" s="3" t="s">
        <v>1256</v>
      </c>
      <c r="C755" s="4" t="s">
        <v>12</v>
      </c>
      <c r="D755" s="7">
        <v>3323.2</v>
      </c>
      <c r="F755" s="32">
        <v>2037.05</v>
      </c>
      <c r="G755" s="33">
        <f>(D755-F755)/F755</f>
        <v>0.631378709408213</v>
      </c>
    </row>
    <row r="756" spans="1:7">
      <c r="A756" s="6" t="s">
        <v>1296</v>
      </c>
      <c r="B756" s="3" t="s">
        <v>1229</v>
      </c>
      <c r="C756" s="4" t="s">
        <v>12</v>
      </c>
      <c r="D756" s="7">
        <v>2326.95</v>
      </c>
      <c r="F756" s="32">
        <v>1434.4</v>
      </c>
      <c r="G756" s="33">
        <f>(D756-F756)/F756</f>
        <v>0.622246235359732</v>
      </c>
    </row>
    <row r="757" spans="1:7">
      <c r="A757" s="6" t="s">
        <v>1297</v>
      </c>
      <c r="B757" s="3" t="s">
        <v>1298</v>
      </c>
      <c r="C757" s="4"/>
      <c r="D757" s="14"/>
    </row>
    <row r="758" spans="1:7">
      <c r="A758" s="6" t="s">
        <v>1299</v>
      </c>
      <c r="B758" s="3" t="s">
        <v>1300</v>
      </c>
      <c r="C758" s="4" t="s">
        <v>12</v>
      </c>
      <c r="D758" s="7">
        <v>2724.25</v>
      </c>
      <c r="F758" s="32">
        <v>1643.7</v>
      </c>
      <c r="G758" s="33">
        <f>(D758-F758)/F758</f>
        <v>0.657388817910811</v>
      </c>
    </row>
    <row r="759" ht="31" customHeight="1" spans="1:7">
      <c r="A759" s="6" t="s">
        <v>1301</v>
      </c>
      <c r="B759" s="3" t="s">
        <v>1302</v>
      </c>
      <c r="C759" s="4" t="s">
        <v>12</v>
      </c>
      <c r="D759" s="7">
        <v>2698.4</v>
      </c>
      <c r="F759" s="32">
        <v>1704.2</v>
      </c>
      <c r="G759" s="33">
        <f>(D759-F759)/F759</f>
        <v>0.583382232132379</v>
      </c>
    </row>
    <row r="760" spans="1:7">
      <c r="A760" s="6" t="s">
        <v>1303</v>
      </c>
      <c r="B760" s="3" t="s">
        <v>1304</v>
      </c>
      <c r="C760" s="4"/>
      <c r="D760" s="14"/>
    </row>
    <row r="761" ht="31" customHeight="1" spans="1:7">
      <c r="A761" s="6" t="s">
        <v>1305</v>
      </c>
      <c r="B761" s="3" t="s">
        <v>1302</v>
      </c>
      <c r="C761" s="4" t="s">
        <v>12</v>
      </c>
      <c r="D761" s="7">
        <v>2907.05</v>
      </c>
      <c r="F761" s="32">
        <v>1845</v>
      </c>
      <c r="G761" s="33">
        <f>(D761-F761)/F761</f>
        <v>0.575636856368564</v>
      </c>
    </row>
    <row r="762" spans="1:7">
      <c r="A762" s="6" t="s">
        <v>1306</v>
      </c>
      <c r="B762" s="3" t="s">
        <v>1307</v>
      </c>
      <c r="C762" s="4"/>
      <c r="D762" s="14"/>
    </row>
    <row r="763" ht="31" customHeight="1" spans="1:7">
      <c r="A763" s="6" t="s">
        <v>1308</v>
      </c>
      <c r="B763" s="3" t="s">
        <v>1309</v>
      </c>
      <c r="C763" s="4" t="s">
        <v>12</v>
      </c>
      <c r="D763" s="7">
        <v>1693</v>
      </c>
      <c r="F763" s="32">
        <v>972.1</v>
      </c>
      <c r="G763" s="33">
        <f>(D763-F763)/F763</f>
        <v>0.741590371360971</v>
      </c>
    </row>
    <row r="764" ht="31" customHeight="1" spans="1:7">
      <c r="A764" s="6" t="s">
        <v>1310</v>
      </c>
      <c r="B764" s="3" t="s">
        <v>1311</v>
      </c>
      <c r="C764" s="4" t="s">
        <v>12</v>
      </c>
      <c r="D764" s="7">
        <v>2012.05</v>
      </c>
      <c r="F764" s="32">
        <v>1239.6</v>
      </c>
      <c r="G764" s="33">
        <f>(D764-F764)/F764</f>
        <v>0.623144562762181</v>
      </c>
    </row>
    <row r="765" ht="31" customHeight="1" spans="1:7">
      <c r="A765" s="6" t="s">
        <v>1312</v>
      </c>
      <c r="B765" s="3" t="s">
        <v>1313</v>
      </c>
      <c r="C765" s="4" t="s">
        <v>12</v>
      </c>
      <c r="D765" s="7">
        <v>2081.05</v>
      </c>
      <c r="F765" s="32">
        <v>1300.15</v>
      </c>
      <c r="G765" s="33">
        <f>(D765-F765)/F765</f>
        <v>0.60062300503788</v>
      </c>
    </row>
    <row r="766" ht="31" customHeight="1" spans="1:7">
      <c r="A766" s="6" t="s">
        <v>1314</v>
      </c>
      <c r="B766" s="3" t="s">
        <v>1315</v>
      </c>
      <c r="C766" s="4" t="s">
        <v>12</v>
      </c>
      <c r="D766" s="7">
        <v>2053.45</v>
      </c>
      <c r="F766" s="32">
        <v>1346.6</v>
      </c>
      <c r="G766" s="33">
        <f>(D766-F766)/F766</f>
        <v>0.52491459973266</v>
      </c>
    </row>
    <row r="767" spans="1:7">
      <c r="A767" s="6" t="s">
        <v>1316</v>
      </c>
      <c r="B767" s="3" t="s">
        <v>1317</v>
      </c>
      <c r="C767" s="4"/>
      <c r="D767" s="14"/>
    </row>
    <row r="768" spans="1:7">
      <c r="A768" s="6" t="s">
        <v>1318</v>
      </c>
      <c r="B768" s="3" t="s">
        <v>1215</v>
      </c>
      <c r="C768" s="4" t="s">
        <v>12</v>
      </c>
      <c r="D768" s="7">
        <v>2253.45</v>
      </c>
      <c r="F768" s="32">
        <v>1493.05</v>
      </c>
      <c r="G768" s="33">
        <f>(D768-F768)/F768</f>
        <v>0.509293057834634</v>
      </c>
    </row>
    <row r="769" spans="1:7">
      <c r="A769" s="6" t="s">
        <v>1319</v>
      </c>
      <c r="B769" s="3" t="s">
        <v>1320</v>
      </c>
      <c r="C769" s="4"/>
      <c r="D769" s="14"/>
    </row>
    <row r="770" spans="1:7">
      <c r="A770" s="6" t="s">
        <v>1321</v>
      </c>
      <c r="B770" s="3" t="s">
        <v>1322</v>
      </c>
      <c r="C770" s="4" t="s">
        <v>12</v>
      </c>
      <c r="D770" s="7">
        <v>2241.8</v>
      </c>
      <c r="F770" s="32">
        <v>1169.6</v>
      </c>
      <c r="G770" s="33">
        <f>(D770-F770)/F770</f>
        <v>0.916723666210671</v>
      </c>
    </row>
    <row r="771" spans="1:7">
      <c r="A771" s="6" t="s">
        <v>1323</v>
      </c>
      <c r="B771" s="3" t="s">
        <v>1324</v>
      </c>
      <c r="C771" s="4" t="s">
        <v>12</v>
      </c>
      <c r="D771" s="7">
        <v>2600.45</v>
      </c>
      <c r="F771" s="32">
        <v>1456.8</v>
      </c>
      <c r="G771" s="33">
        <f>(D771-F771)/F771</f>
        <v>0.785042559033498</v>
      </c>
    </row>
    <row r="772" ht="31" customHeight="1" spans="1:7">
      <c r="A772" s="6" t="s">
        <v>1325</v>
      </c>
      <c r="B772" s="3" t="s">
        <v>1326</v>
      </c>
      <c r="C772" s="4" t="s">
        <v>12</v>
      </c>
      <c r="D772" s="7">
        <v>1800.45</v>
      </c>
      <c r="F772" s="32">
        <v>1383.5</v>
      </c>
      <c r="G772" s="33">
        <f>(D772-F772)/F772</f>
        <v>0.301373328514637</v>
      </c>
    </row>
    <row r="773" ht="46.5" customHeight="1" spans="1:7">
      <c r="A773" s="6" t="s">
        <v>1327</v>
      </c>
      <c r="B773" s="12" t="s">
        <v>1328</v>
      </c>
      <c r="C773" s="4"/>
      <c r="D773" s="14"/>
    </row>
    <row r="774" spans="1:7">
      <c r="A774" s="6" t="s">
        <v>1329</v>
      </c>
      <c r="B774" s="3" t="s">
        <v>1256</v>
      </c>
      <c r="C774" s="4"/>
      <c r="D774" s="14"/>
    </row>
    <row r="775" spans="1:7">
      <c r="A775" s="6" t="s">
        <v>1330</v>
      </c>
      <c r="B775" s="3" t="s">
        <v>1331</v>
      </c>
      <c r="C775" s="4" t="s">
        <v>12</v>
      </c>
      <c r="D775" s="7">
        <v>4940.2</v>
      </c>
      <c r="F775" s="32">
        <v>3059.6</v>
      </c>
      <c r="G775" s="33">
        <f>(D775-F775)/F775</f>
        <v>0.614655510524251</v>
      </c>
    </row>
    <row r="776" spans="1:7">
      <c r="A776" s="6" t="s">
        <v>1332</v>
      </c>
      <c r="B776" s="3" t="s">
        <v>1111</v>
      </c>
      <c r="C776" s="4" t="s">
        <v>12</v>
      </c>
      <c r="D776" s="7">
        <v>4523.4</v>
      </c>
      <c r="F776" s="32">
        <v>2768.7</v>
      </c>
      <c r="G776" s="33">
        <f>(D776-F776)/F776</f>
        <v>0.633763137934771</v>
      </c>
    </row>
    <row r="777" spans="1:7">
      <c r="A777" s="6" t="s">
        <v>1333</v>
      </c>
      <c r="B777" s="3" t="s">
        <v>1229</v>
      </c>
      <c r="C777" s="4"/>
      <c r="D777" s="14"/>
    </row>
    <row r="778" spans="1:7">
      <c r="A778" s="6" t="s">
        <v>1334</v>
      </c>
      <c r="B778" s="3" t="s">
        <v>1331</v>
      </c>
      <c r="C778" s="4" t="s">
        <v>12</v>
      </c>
      <c r="D778" s="7">
        <v>3524.85</v>
      </c>
      <c r="F778" s="32">
        <v>2202.6</v>
      </c>
      <c r="G778" s="33">
        <f>(D778-F778)/F778</f>
        <v>0.600313266140016</v>
      </c>
    </row>
    <row r="779" spans="1:7">
      <c r="A779" s="6" t="s">
        <v>1335</v>
      </c>
      <c r="B779" s="3" t="s">
        <v>1111</v>
      </c>
      <c r="C779" s="4" t="s">
        <v>12</v>
      </c>
      <c r="D779" s="7">
        <v>3305.2</v>
      </c>
      <c r="F779" s="32">
        <v>2031.1</v>
      </c>
      <c r="G779" s="33">
        <f>(D779-F779)/F779</f>
        <v>0.627295554133228</v>
      </c>
    </row>
    <row r="780" spans="1:7">
      <c r="A780" s="6" t="s">
        <v>1336</v>
      </c>
      <c r="B780" s="3" t="s">
        <v>1282</v>
      </c>
      <c r="C780" s="4"/>
      <c r="D780" s="14"/>
    </row>
    <row r="781" spans="1:7">
      <c r="A781" s="6" t="s">
        <v>1337</v>
      </c>
      <c r="B781" s="3" t="s">
        <v>1331</v>
      </c>
      <c r="C781" s="4" t="s">
        <v>12</v>
      </c>
      <c r="D781" s="7">
        <v>4401.55</v>
      </c>
      <c r="F781" s="32">
        <v>3005</v>
      </c>
      <c r="G781" s="33">
        <f>(D781-F781)/F781</f>
        <v>0.464742096505824</v>
      </c>
    </row>
    <row r="782" spans="1:7">
      <c r="A782" s="6" t="s">
        <v>1338</v>
      </c>
      <c r="B782" s="3" t="s">
        <v>1111</v>
      </c>
      <c r="C782" s="4" t="s">
        <v>12</v>
      </c>
      <c r="D782" s="7">
        <v>4059.05</v>
      </c>
      <c r="F782" s="32">
        <v>2721.65</v>
      </c>
      <c r="G782" s="33">
        <f>(D782-F782)/F782</f>
        <v>0.491393088751309</v>
      </c>
    </row>
    <row r="783" ht="77.5" customHeight="1" spans="1:7">
      <c r="A783" s="6" t="s">
        <v>1339</v>
      </c>
      <c r="B783" s="12" t="s">
        <v>1340</v>
      </c>
      <c r="C783" s="4"/>
      <c r="D783" s="14"/>
    </row>
    <row r="784" spans="1:7">
      <c r="A784" s="6" t="s">
        <v>1341</v>
      </c>
      <c r="B784" s="3" t="s">
        <v>1277</v>
      </c>
      <c r="C784" s="4" t="s">
        <v>12</v>
      </c>
      <c r="D784" s="7">
        <v>3066.2</v>
      </c>
      <c r="F784" s="32">
        <v>2301.9</v>
      </c>
      <c r="G784" s="33">
        <f>(D784-F784)/F784</f>
        <v>0.332030062122594</v>
      </c>
    </row>
    <row r="785" ht="46.5" customHeight="1" spans="1:7">
      <c r="A785" s="6" t="s">
        <v>1342</v>
      </c>
      <c r="B785" s="12" t="s">
        <v>1343</v>
      </c>
      <c r="C785" s="4"/>
      <c r="D785" s="14"/>
    </row>
    <row r="786" ht="31" customHeight="1" spans="1:7">
      <c r="A786" s="6" t="s">
        <v>1344</v>
      </c>
      <c r="B786" s="3" t="s">
        <v>1345</v>
      </c>
      <c r="C786" s="4" t="s">
        <v>12</v>
      </c>
      <c r="D786" s="7">
        <v>295.9</v>
      </c>
      <c r="F786" s="32">
        <v>236.95</v>
      </c>
      <c r="G786" s="33">
        <f>(D786-F786)/F786</f>
        <v>0.248786663853134</v>
      </c>
    </row>
    <row r="787" ht="62" customHeight="1" spans="1:7">
      <c r="A787" s="6" t="s">
        <v>1346</v>
      </c>
      <c r="B787" s="12" t="s">
        <v>1347</v>
      </c>
      <c r="C787" s="4" t="s">
        <v>12</v>
      </c>
      <c r="D787" s="7">
        <v>176.4</v>
      </c>
      <c r="F787" s="32">
        <v>74.35</v>
      </c>
      <c r="G787" s="33">
        <f>(D787-F787)/F787</f>
        <v>1.37256220578346</v>
      </c>
    </row>
    <row r="788" ht="62" customHeight="1" spans="1:7">
      <c r="A788" s="6" t="s">
        <v>1348</v>
      </c>
      <c r="B788" s="12" t="s">
        <v>1349</v>
      </c>
      <c r="C788" s="4" t="s">
        <v>12</v>
      </c>
      <c r="D788" s="7">
        <v>73.95</v>
      </c>
      <c r="F788" s="32">
        <v>39.3</v>
      </c>
      <c r="G788" s="33">
        <f>(D788-F788)/F788</f>
        <v>0.881679389312977</v>
      </c>
    </row>
    <row r="789" ht="46.5" customHeight="1" spans="1:7">
      <c r="A789" s="6" t="s">
        <v>1350</v>
      </c>
      <c r="B789" s="12" t="s">
        <v>1351</v>
      </c>
      <c r="C789" s="4" t="s">
        <v>12</v>
      </c>
      <c r="D789" s="7">
        <v>193.55</v>
      </c>
      <c r="F789" s="32">
        <v>99.8</v>
      </c>
      <c r="G789" s="33">
        <f>(D789-F789)/F789</f>
        <v>0.93937875751503</v>
      </c>
    </row>
    <row r="790" spans="1:7">
      <c r="A790" s="6" t="s">
        <v>1352</v>
      </c>
      <c r="B790" s="12" t="s">
        <v>1353</v>
      </c>
      <c r="C790" s="4"/>
      <c r="D790" s="14"/>
    </row>
    <row r="791" spans="1:7">
      <c r="A791" s="6" t="s">
        <v>1354</v>
      </c>
      <c r="B791" s="3" t="s">
        <v>1355</v>
      </c>
      <c r="C791" s="4"/>
      <c r="D791" s="14"/>
      <c r="F791" s="34"/>
    </row>
    <row r="792" spans="1:7">
      <c r="A792" s="6" t="s">
        <v>1356</v>
      </c>
      <c r="B792" s="3" t="s">
        <v>1357</v>
      </c>
      <c r="C792" s="4" t="s">
        <v>12</v>
      </c>
      <c r="D792" s="7">
        <v>253.3</v>
      </c>
      <c r="F792" s="32">
        <v>150.25</v>
      </c>
      <c r="G792" s="33">
        <f>(D792-F792)/F792</f>
        <v>0.68585690515807</v>
      </c>
    </row>
    <row r="793" ht="31" customHeight="1" spans="1:7">
      <c r="A793" s="6" t="s">
        <v>1358</v>
      </c>
      <c r="B793" s="3" t="s">
        <v>1359</v>
      </c>
      <c r="C793" s="4"/>
      <c r="D793" s="14"/>
    </row>
    <row r="794" spans="1:7">
      <c r="A794" s="6" t="s">
        <v>1360</v>
      </c>
      <c r="B794" s="3" t="s">
        <v>1357</v>
      </c>
      <c r="C794" s="4" t="s">
        <v>12</v>
      </c>
      <c r="D794" s="7">
        <v>59.8</v>
      </c>
      <c r="F794" s="32">
        <v>50.45</v>
      </c>
      <c r="G794" s="33">
        <f>(D794-F794)/F794</f>
        <v>0.185332011892963</v>
      </c>
    </row>
    <row r="795" spans="1:7">
      <c r="A795" s="6" t="s">
        <v>1361</v>
      </c>
      <c r="B795" s="12" t="s">
        <v>1362</v>
      </c>
      <c r="C795" s="4"/>
      <c r="D795" s="14"/>
    </row>
    <row r="796" spans="1:7">
      <c r="A796" s="6" t="s">
        <v>1363</v>
      </c>
      <c r="B796" s="3" t="s">
        <v>1364</v>
      </c>
      <c r="C796" s="4"/>
      <c r="D796" s="14"/>
    </row>
    <row r="797" ht="31" customHeight="1" spans="1:7">
      <c r="A797" s="6" t="s">
        <v>1365</v>
      </c>
      <c r="B797" s="3" t="s">
        <v>1366</v>
      </c>
      <c r="C797" s="4" t="s">
        <v>12</v>
      </c>
      <c r="D797" s="7">
        <v>4402.85</v>
      </c>
      <c r="F797" s="32">
        <v>2613.05</v>
      </c>
      <c r="G797" s="33">
        <f>(D797-F797)/F797</f>
        <v>0.684946709783586</v>
      </c>
    </row>
    <row r="798" ht="31" customHeight="1" spans="1:7">
      <c r="A798" s="6" t="s">
        <v>1367</v>
      </c>
      <c r="B798" s="3" t="s">
        <v>1368</v>
      </c>
      <c r="C798" s="4" t="s">
        <v>12</v>
      </c>
      <c r="D798" s="7">
        <v>4542.9</v>
      </c>
      <c r="F798" s="32">
        <v>2744.6</v>
      </c>
      <c r="G798" s="33">
        <f>(D798-F798)/F798</f>
        <v>0.655213874517234</v>
      </c>
    </row>
    <row r="799" spans="1:7">
      <c r="A799" s="6" t="s">
        <v>1369</v>
      </c>
      <c r="B799" s="3" t="s">
        <v>1370</v>
      </c>
      <c r="C799" s="4"/>
      <c r="D799" s="14"/>
    </row>
    <row r="800" ht="31" customHeight="1" spans="1:7">
      <c r="A800" s="6" t="s">
        <v>1371</v>
      </c>
      <c r="B800" s="3" t="s">
        <v>1372</v>
      </c>
      <c r="C800" s="4" t="s">
        <v>12</v>
      </c>
      <c r="D800" s="7">
        <v>4193.25</v>
      </c>
      <c r="F800" s="32">
        <v>2537.85</v>
      </c>
      <c r="G800" s="33">
        <f>(D800-F800)/F800</f>
        <v>0.652284413972457</v>
      </c>
    </row>
    <row r="801" ht="31" customHeight="1" spans="1:7">
      <c r="A801" s="6" t="s">
        <v>1373</v>
      </c>
      <c r="B801" s="3" t="s">
        <v>1368</v>
      </c>
      <c r="C801" s="4" t="s">
        <v>12</v>
      </c>
      <c r="D801" s="7">
        <v>4241.15</v>
      </c>
      <c r="F801" s="32">
        <v>2572.5</v>
      </c>
      <c r="G801" s="33">
        <f>(D801-F801)/F801</f>
        <v>0.648649173955296</v>
      </c>
    </row>
    <row r="802" ht="46.5" customHeight="1" spans="1:7">
      <c r="A802" s="6" t="s">
        <v>1374</v>
      </c>
      <c r="B802" s="12" t="s">
        <v>1375</v>
      </c>
      <c r="C802" s="4"/>
      <c r="D802" s="14"/>
    </row>
    <row r="803" spans="1:7">
      <c r="A803" s="6" t="s">
        <v>1376</v>
      </c>
      <c r="B803" s="3" t="s">
        <v>1215</v>
      </c>
      <c r="C803" s="4" t="s">
        <v>12</v>
      </c>
      <c r="D803" s="7">
        <v>802.95</v>
      </c>
      <c r="F803" s="32">
        <v>542.05</v>
      </c>
      <c r="G803" s="33">
        <f>(D803-F803)/F803</f>
        <v>0.481320911355041</v>
      </c>
    </row>
    <row r="804" spans="1:7">
      <c r="A804" s="6" t="s">
        <v>1377</v>
      </c>
      <c r="B804" s="3" t="s">
        <v>1222</v>
      </c>
      <c r="C804" s="4" t="s">
        <v>12</v>
      </c>
      <c r="D804" s="7">
        <v>1020.95</v>
      </c>
      <c r="F804" s="32">
        <v>677.95</v>
      </c>
      <c r="G804" s="33">
        <f>(D804-F804)/F804</f>
        <v>0.50593701600413</v>
      </c>
    </row>
    <row r="805" ht="77.5" customHeight="1" spans="1:7">
      <c r="A805" s="6" t="s">
        <v>1378</v>
      </c>
      <c r="B805" s="12" t="s">
        <v>1379</v>
      </c>
      <c r="C805" s="4"/>
      <c r="D805" s="14"/>
    </row>
    <row r="806" spans="1:7">
      <c r="A806" s="6" t="s">
        <v>1380</v>
      </c>
      <c r="B806" s="3" t="s">
        <v>1222</v>
      </c>
      <c r="C806" s="4" t="s">
        <v>12</v>
      </c>
      <c r="D806" s="7">
        <v>1245.75</v>
      </c>
      <c r="F806" s="32">
        <v>990.5</v>
      </c>
      <c r="G806" s="33">
        <f>(D806-F806)/F806</f>
        <v>0.257698132256436</v>
      </c>
    </row>
    <row r="807" spans="1:7">
      <c r="A807" s="6" t="s">
        <v>1381</v>
      </c>
      <c r="B807" s="3" t="s">
        <v>558</v>
      </c>
      <c r="C807" s="4" t="s">
        <v>12</v>
      </c>
      <c r="D807" s="7">
        <v>1715.2</v>
      </c>
      <c r="F807" s="32">
        <v>1304.55</v>
      </c>
      <c r="G807" s="33">
        <f>(D807-F807)/F807</f>
        <v>0.314782875320992</v>
      </c>
    </row>
    <row r="808" ht="62" customHeight="1" spans="1:7">
      <c r="A808" s="6" t="s">
        <v>1382</v>
      </c>
      <c r="B808" s="12" t="s">
        <v>1383</v>
      </c>
      <c r="C808" s="4"/>
      <c r="D808" s="14"/>
    </row>
    <row r="809" spans="1:7">
      <c r="A809" s="6" t="s">
        <v>1384</v>
      </c>
      <c r="B809" s="3" t="s">
        <v>1385</v>
      </c>
      <c r="C809" s="4" t="s">
        <v>12</v>
      </c>
      <c r="D809" s="7">
        <v>3473.85</v>
      </c>
      <c r="F809" s="32">
        <v>2488.95</v>
      </c>
      <c r="G809" s="33">
        <f>(D809-F809)/F809</f>
        <v>0.395709033929971</v>
      </c>
    </row>
    <row r="810" spans="1:7">
      <c r="A810" s="6" t="s">
        <v>1386</v>
      </c>
      <c r="B810" s="3" t="s">
        <v>1387</v>
      </c>
      <c r="C810" s="4" t="s">
        <v>12</v>
      </c>
      <c r="D810" s="7">
        <v>3167.95</v>
      </c>
      <c r="F810" s="32">
        <v>2372.8</v>
      </c>
      <c r="G810" s="33">
        <f>(D810-F810)/F810</f>
        <v>0.335110418071477</v>
      </c>
    </row>
    <row r="811" ht="31" customHeight="1" spans="1:7">
      <c r="A811" s="6" t="s">
        <v>1388</v>
      </c>
      <c r="B811" s="3" t="s">
        <v>1389</v>
      </c>
      <c r="C811" s="4" t="s">
        <v>12</v>
      </c>
      <c r="D811" s="7">
        <v>2819.25</v>
      </c>
      <c r="F811" s="32">
        <v>2129.1</v>
      </c>
      <c r="G811" s="33">
        <f>(D811-F811)/F811</f>
        <v>0.324151049739327</v>
      </c>
    </row>
    <row r="812" ht="62" customHeight="1" spans="1:7">
      <c r="A812" s="6" t="s">
        <v>1390</v>
      </c>
      <c r="B812" s="12" t="s">
        <v>1391</v>
      </c>
      <c r="C812" s="4"/>
      <c r="D812" s="14"/>
    </row>
    <row r="813" spans="1:7">
      <c r="A813" s="6" t="s">
        <v>1392</v>
      </c>
      <c r="B813" s="3" t="s">
        <v>1385</v>
      </c>
      <c r="C813" s="4" t="s">
        <v>12</v>
      </c>
      <c r="D813" s="7">
        <v>2392.65</v>
      </c>
      <c r="F813" s="32">
        <v>1559.75</v>
      </c>
      <c r="G813" s="33">
        <f>(D813-F813)/F813</f>
        <v>0.533995832665491</v>
      </c>
    </row>
    <row r="814" spans="1:7">
      <c r="A814" s="6" t="s">
        <v>1393</v>
      </c>
      <c r="B814" s="3" t="s">
        <v>1387</v>
      </c>
      <c r="C814" s="4" t="s">
        <v>12</v>
      </c>
      <c r="D814" s="7">
        <v>2172.1</v>
      </c>
      <c r="F814" s="32">
        <v>1559.75</v>
      </c>
      <c r="G814" s="33">
        <f>(D814-F814)/F814</f>
        <v>0.39259496714217</v>
      </c>
    </row>
    <row r="815" ht="31" customHeight="1" spans="1:7">
      <c r="A815" s="6" t="s">
        <v>1394</v>
      </c>
      <c r="B815" s="3" t="s">
        <v>1395</v>
      </c>
      <c r="C815" s="4" t="s">
        <v>12</v>
      </c>
      <c r="D815" s="7">
        <v>2093.7</v>
      </c>
      <c r="F815" s="32">
        <v>1501.9</v>
      </c>
      <c r="G815" s="33">
        <f>(D815-F815)/F815</f>
        <v>0.394034223317131</v>
      </c>
    </row>
    <row r="816" ht="31" customHeight="1" spans="1:7">
      <c r="A816" s="6" t="s">
        <v>1396</v>
      </c>
      <c r="B816" s="12" t="s">
        <v>1397</v>
      </c>
      <c r="C816" s="4"/>
      <c r="D816" s="14"/>
    </row>
    <row r="817" spans="1:7">
      <c r="A817" s="6" t="s">
        <v>1398</v>
      </c>
      <c r="B817" s="3" t="s">
        <v>1399</v>
      </c>
      <c r="C817" s="4" t="s">
        <v>12</v>
      </c>
      <c r="D817" s="7">
        <v>478</v>
      </c>
      <c r="F817" s="32">
        <v>394.9</v>
      </c>
      <c r="G817" s="33">
        <f>(D817-F817)/F817</f>
        <v>0.210433021017979</v>
      </c>
    </row>
    <row r="818" ht="31" customHeight="1" spans="1:7">
      <c r="A818" s="6" t="s">
        <v>1400</v>
      </c>
      <c r="B818" s="12" t="s">
        <v>1401</v>
      </c>
      <c r="C818" s="4" t="s">
        <v>12</v>
      </c>
      <c r="D818" s="7">
        <v>462.35</v>
      </c>
      <c r="F818" s="32">
        <v>365.85</v>
      </c>
      <c r="G818" s="33">
        <f>(D818-F818)/F818</f>
        <v>0.26376930435971</v>
      </c>
    </row>
    <row r="819" ht="31" customHeight="1" spans="1:7">
      <c r="A819" s="6" t="s">
        <v>1402</v>
      </c>
      <c r="B819" s="12" t="s">
        <v>1403</v>
      </c>
      <c r="C819" s="4"/>
      <c r="D819" s="14"/>
    </row>
    <row r="820" spans="1:7">
      <c r="A820" s="6" t="s">
        <v>1404</v>
      </c>
      <c r="B820" s="3" t="s">
        <v>1405</v>
      </c>
      <c r="C820" s="4" t="s">
        <v>12</v>
      </c>
      <c r="D820" s="7">
        <v>199.15</v>
      </c>
      <c r="F820" s="32">
        <v>162.6</v>
      </c>
      <c r="G820" s="33">
        <f>(D820-F820)/F820</f>
        <v>0.224784747847479</v>
      </c>
    </row>
    <row r="821" spans="1:7">
      <c r="A821" s="6" t="s">
        <v>1406</v>
      </c>
      <c r="B821" s="3" t="s">
        <v>1407</v>
      </c>
      <c r="C821" s="4" t="s">
        <v>12</v>
      </c>
      <c r="D821" s="7">
        <v>206.3</v>
      </c>
      <c r="F821" s="32">
        <v>174.25</v>
      </c>
      <c r="G821" s="33">
        <f>(D821-F821)/F821</f>
        <v>0.183931133428981</v>
      </c>
    </row>
    <row r="822" ht="31" customHeight="1" spans="1:7">
      <c r="A822" s="6" t="s">
        <v>1408</v>
      </c>
      <c r="B822" s="12" t="s">
        <v>1409</v>
      </c>
      <c r="C822" s="4"/>
      <c r="D822" s="14"/>
    </row>
    <row r="823" spans="1:7">
      <c r="A823" s="6" t="s">
        <v>1410</v>
      </c>
      <c r="B823" s="3" t="s">
        <v>1411</v>
      </c>
      <c r="C823" s="4" t="s">
        <v>12</v>
      </c>
      <c r="D823" s="7">
        <v>405.45</v>
      </c>
      <c r="F823" s="32">
        <v>377.5</v>
      </c>
      <c r="G823" s="33">
        <f>(D823-F823)/F823</f>
        <v>0.0740397350993377</v>
      </c>
    </row>
    <row r="824" spans="1:7">
      <c r="A824" s="6" t="s">
        <v>1412</v>
      </c>
      <c r="B824" s="12" t="s">
        <v>1413</v>
      </c>
      <c r="C824" s="4" t="s">
        <v>12</v>
      </c>
      <c r="D824" s="7">
        <v>106.7</v>
      </c>
      <c r="F824" s="32">
        <v>127.75</v>
      </c>
      <c r="G824" s="33">
        <f>(D824-F824)/F824</f>
        <v>-0.164774951076321</v>
      </c>
    </row>
    <row r="825" ht="46.5" customHeight="1" spans="1:7">
      <c r="A825" s="6" t="s">
        <v>1414</v>
      </c>
      <c r="B825" s="12" t="s">
        <v>1415</v>
      </c>
      <c r="C825" s="4"/>
      <c r="D825" s="14"/>
    </row>
    <row r="826" spans="1:7">
      <c r="A826" s="6" t="s">
        <v>1416</v>
      </c>
      <c r="B826" s="3" t="s">
        <v>1275</v>
      </c>
      <c r="C826" s="4"/>
      <c r="D826" s="14"/>
    </row>
    <row r="827" spans="1:7">
      <c r="A827" s="6" t="s">
        <v>1417</v>
      </c>
      <c r="B827" s="3" t="s">
        <v>1418</v>
      </c>
      <c r="C827" s="4"/>
      <c r="D827" s="14"/>
    </row>
    <row r="828" spans="1:7">
      <c r="A828" s="6" t="s">
        <v>1419</v>
      </c>
      <c r="B828" s="3" t="s">
        <v>1256</v>
      </c>
      <c r="C828" s="4" t="s">
        <v>12</v>
      </c>
      <c r="D828" s="7">
        <v>4852.3</v>
      </c>
      <c r="F828" s="32">
        <v>2940.5</v>
      </c>
      <c r="G828" s="33">
        <f>(D828-F828)/F828</f>
        <v>0.650161537153545</v>
      </c>
    </row>
    <row r="829" spans="1:7">
      <c r="A829" s="6" t="s">
        <v>1420</v>
      </c>
      <c r="B829" s="3" t="s">
        <v>1229</v>
      </c>
      <c r="C829" s="4" t="s">
        <v>12</v>
      </c>
      <c r="D829" s="7">
        <v>3599.4</v>
      </c>
      <c r="F829" s="32">
        <v>2181.85</v>
      </c>
      <c r="G829" s="33">
        <f>(D829-F829)/F829</f>
        <v>0.649700941861265</v>
      </c>
    </row>
    <row r="830" spans="1:7">
      <c r="A830" s="6" t="s">
        <v>1421</v>
      </c>
      <c r="B830" s="3" t="s">
        <v>1422</v>
      </c>
      <c r="C830" s="4" t="s">
        <v>12</v>
      </c>
      <c r="D830" s="7">
        <v>4375</v>
      </c>
      <c r="F830" s="32">
        <v>2892.1</v>
      </c>
      <c r="G830" s="33">
        <f>(D830-F830)/F830</f>
        <v>0.512741606445144</v>
      </c>
    </row>
    <row r="831" spans="1:7">
      <c r="A831" s="6" t="s">
        <v>1423</v>
      </c>
      <c r="B831" s="3" t="s">
        <v>1424</v>
      </c>
      <c r="C831" s="4"/>
      <c r="D831" s="14"/>
    </row>
    <row r="832" spans="1:7">
      <c r="A832" s="6" t="s">
        <v>1425</v>
      </c>
      <c r="B832" s="3" t="s">
        <v>1256</v>
      </c>
      <c r="C832" s="4" t="s">
        <v>12</v>
      </c>
      <c r="D832" s="7">
        <v>5045.85</v>
      </c>
      <c r="F832" s="32">
        <v>3040.3</v>
      </c>
      <c r="G832" s="33">
        <f>(D832-F832)/F832</f>
        <v>0.659655297174621</v>
      </c>
    </row>
    <row r="833" spans="1:7">
      <c r="A833" s="6" t="s">
        <v>1426</v>
      </c>
      <c r="B833" s="3" t="s">
        <v>1229</v>
      </c>
      <c r="C833" s="4" t="s">
        <v>12</v>
      </c>
      <c r="D833" s="7">
        <v>3792.95</v>
      </c>
      <c r="F833" s="32">
        <v>2281.65</v>
      </c>
      <c r="G833" s="33">
        <f>(D833-F833)/F833</f>
        <v>0.662371529375671</v>
      </c>
    </row>
    <row r="834" spans="1:7">
      <c r="A834" s="6" t="s">
        <v>1427</v>
      </c>
      <c r="B834" s="3" t="s">
        <v>1422</v>
      </c>
      <c r="C834" s="4" t="s">
        <v>12</v>
      </c>
      <c r="D834" s="7">
        <v>4568.5</v>
      </c>
      <c r="F834" s="32">
        <v>2991.95</v>
      </c>
      <c r="G834" s="33">
        <f>(D834-F834)/F834</f>
        <v>0.526930597102224</v>
      </c>
    </row>
    <row r="835" spans="1:7">
      <c r="A835" s="6" t="s">
        <v>1428</v>
      </c>
      <c r="B835" s="3" t="s">
        <v>1277</v>
      </c>
      <c r="C835" s="4"/>
      <c r="D835" s="14"/>
    </row>
    <row r="836" spans="1:7">
      <c r="A836" s="6" t="s">
        <v>1429</v>
      </c>
      <c r="B836" s="3" t="s">
        <v>1418</v>
      </c>
      <c r="C836" s="4"/>
      <c r="D836" s="14"/>
    </row>
    <row r="837" spans="1:7">
      <c r="A837" s="6" t="s">
        <v>1430</v>
      </c>
      <c r="B837" s="3" t="s">
        <v>1256</v>
      </c>
      <c r="C837" s="4" t="s">
        <v>12</v>
      </c>
      <c r="D837" s="7">
        <v>4326.8</v>
      </c>
      <c r="F837" s="32">
        <v>2609.95</v>
      </c>
      <c r="G837" s="33">
        <f>(D837-F837)/F837</f>
        <v>0.657809536581161</v>
      </c>
    </row>
    <row r="838" spans="1:7">
      <c r="A838" s="6" t="s">
        <v>1431</v>
      </c>
      <c r="B838" s="3" t="s">
        <v>1229</v>
      </c>
      <c r="C838" s="4" t="s">
        <v>12</v>
      </c>
      <c r="D838" s="7">
        <v>3254.25</v>
      </c>
      <c r="F838" s="32">
        <v>1961.8</v>
      </c>
      <c r="G838" s="33">
        <f>(D838-F838)/F838</f>
        <v>0.658808237333061</v>
      </c>
    </row>
    <row r="839" spans="1:7">
      <c r="A839" s="6" t="s">
        <v>1432</v>
      </c>
      <c r="B839" s="3" t="s">
        <v>1422</v>
      </c>
      <c r="C839" s="4" t="s">
        <v>12</v>
      </c>
      <c r="D839" s="7">
        <v>3918.15</v>
      </c>
      <c r="F839" s="32">
        <v>2568.5</v>
      </c>
      <c r="G839" s="33">
        <f>(D839-F839)/F839</f>
        <v>0.525462332100448</v>
      </c>
    </row>
    <row r="840" spans="1:7">
      <c r="A840" s="6" t="s">
        <v>1433</v>
      </c>
      <c r="B840" s="3" t="s">
        <v>1424</v>
      </c>
      <c r="C840" s="4"/>
      <c r="D840" s="14"/>
    </row>
    <row r="841" spans="1:7">
      <c r="A841" s="6" t="s">
        <v>1434</v>
      </c>
      <c r="B841" s="3" t="s">
        <v>1256</v>
      </c>
      <c r="C841" s="4" t="s">
        <v>12</v>
      </c>
      <c r="D841" s="7">
        <v>4520.3</v>
      </c>
      <c r="F841" s="32">
        <v>2709.75</v>
      </c>
      <c r="G841" s="33">
        <f>(D841-F841)/F841</f>
        <v>0.668161269489805</v>
      </c>
    </row>
    <row r="842" spans="1:7">
      <c r="A842" s="6" t="s">
        <v>1435</v>
      </c>
      <c r="B842" s="3" t="s">
        <v>1229</v>
      </c>
      <c r="C842" s="4" t="s">
        <v>12</v>
      </c>
      <c r="D842" s="7">
        <v>3447.8</v>
      </c>
      <c r="F842" s="32">
        <v>2061.5</v>
      </c>
      <c r="G842" s="33">
        <f>(D842-F842)/F842</f>
        <v>0.67247150133398</v>
      </c>
    </row>
    <row r="843" spans="1:7">
      <c r="A843" s="6" t="s">
        <v>1436</v>
      </c>
      <c r="B843" s="3" t="s">
        <v>1422</v>
      </c>
      <c r="C843" s="4" t="s">
        <v>12</v>
      </c>
      <c r="D843" s="7">
        <v>4111.7</v>
      </c>
      <c r="F843" s="32">
        <v>2668.35</v>
      </c>
      <c r="G843" s="33">
        <f>(D843-F843)/F843</f>
        <v>0.540914797534057</v>
      </c>
    </row>
    <row r="844" ht="93" customHeight="1" spans="1:7">
      <c r="A844" s="6" t="s">
        <v>1437</v>
      </c>
      <c r="B844" s="12" t="s">
        <v>1438</v>
      </c>
      <c r="C844" s="4"/>
      <c r="D844" s="14"/>
    </row>
    <row r="845" spans="1:7">
      <c r="A845" s="6" t="s">
        <v>1439</v>
      </c>
      <c r="B845" s="3" t="s">
        <v>1275</v>
      </c>
      <c r="C845" s="4" t="s">
        <v>12</v>
      </c>
      <c r="D845" s="7">
        <v>3066.2</v>
      </c>
      <c r="F845" s="32">
        <v>2301.9</v>
      </c>
      <c r="G845" s="33">
        <f>(D845-F845)/F845</f>
        <v>0.332030062122594</v>
      </c>
    </row>
    <row r="846" spans="1:7">
      <c r="A846" s="6" t="s">
        <v>1440</v>
      </c>
      <c r="B846" s="3" t="s">
        <v>1277</v>
      </c>
      <c r="C846" s="4" t="s">
        <v>12</v>
      </c>
      <c r="D846" s="7">
        <v>2803</v>
      </c>
      <c r="F846" s="32">
        <v>2069.6</v>
      </c>
      <c r="G846" s="33">
        <f>(D846-F846)/F846</f>
        <v>0.35436799381523</v>
      </c>
    </row>
    <row r="847" spans="1:7">
      <c r="A847" s="40"/>
      <c r="B847" s="12" t="s">
        <v>1441</v>
      </c>
      <c r="C847" s="4"/>
      <c r="D847" s="14"/>
    </row>
    <row r="848" ht="31" customHeight="1" spans="1:7">
      <c r="A848" s="6" t="s">
        <v>1442</v>
      </c>
      <c r="B848" s="12" t="s">
        <v>1443</v>
      </c>
      <c r="C848" s="4"/>
      <c r="D848" s="14"/>
    </row>
    <row r="849" spans="1:7">
      <c r="A849" s="6" t="s">
        <v>1444</v>
      </c>
      <c r="B849" s="3" t="s">
        <v>1445</v>
      </c>
      <c r="C849" s="4"/>
      <c r="D849" s="14"/>
    </row>
    <row r="850" spans="1:7">
      <c r="A850" s="6" t="s">
        <v>1446</v>
      </c>
      <c r="B850" s="3" t="s">
        <v>1447</v>
      </c>
      <c r="C850" s="4" t="s">
        <v>49</v>
      </c>
      <c r="D850" s="7">
        <v>221.1</v>
      </c>
      <c r="F850" s="32">
        <v>119.65</v>
      </c>
      <c r="G850" s="33">
        <f>(D850-F850)/F850</f>
        <v>0.847889678228165</v>
      </c>
    </row>
    <row r="851" spans="1:7">
      <c r="A851" s="6" t="s">
        <v>1448</v>
      </c>
      <c r="B851" s="3" t="s">
        <v>1449</v>
      </c>
      <c r="C851" s="4" t="s">
        <v>49</v>
      </c>
      <c r="D851" s="7">
        <v>271.75</v>
      </c>
      <c r="F851" s="32">
        <v>154.75</v>
      </c>
      <c r="G851" s="33">
        <f>(D851-F851)/F851</f>
        <v>0.756058158319871</v>
      </c>
    </row>
    <row r="852" spans="1:7">
      <c r="A852" s="6" t="s">
        <v>1450</v>
      </c>
      <c r="B852" s="3" t="s">
        <v>1229</v>
      </c>
      <c r="C852" s="4"/>
      <c r="D852" s="14"/>
    </row>
    <row r="853" spans="1:7">
      <c r="A853" s="6" t="s">
        <v>1451</v>
      </c>
      <c r="B853" s="3" t="s">
        <v>1447</v>
      </c>
      <c r="C853" s="4" t="s">
        <v>49</v>
      </c>
      <c r="D853" s="7">
        <v>185.95</v>
      </c>
      <c r="F853" s="32">
        <v>97.8</v>
      </c>
      <c r="G853" s="33">
        <f>(D853-F853)/F853</f>
        <v>0.901329243353783</v>
      </c>
    </row>
    <row r="854" spans="1:7">
      <c r="A854" s="6" t="s">
        <v>1452</v>
      </c>
      <c r="B854" s="3" t="s">
        <v>1453</v>
      </c>
      <c r="C854" s="4" t="s">
        <v>49</v>
      </c>
      <c r="D854" s="7">
        <v>213.2</v>
      </c>
      <c r="F854" s="32">
        <v>118.35</v>
      </c>
      <c r="G854" s="33">
        <f>(D854-F854)/F854</f>
        <v>0.801436417405999</v>
      </c>
    </row>
    <row r="855" ht="31" customHeight="1" spans="1:7">
      <c r="A855" s="6" t="s">
        <v>1454</v>
      </c>
      <c r="B855" s="12" t="s">
        <v>1455</v>
      </c>
      <c r="C855" s="4"/>
      <c r="D855" s="14"/>
    </row>
    <row r="856" spans="1:7">
      <c r="A856" s="6" t="s">
        <v>1456</v>
      </c>
      <c r="B856" s="3" t="s">
        <v>1256</v>
      </c>
      <c r="C856" s="4" t="s">
        <v>12</v>
      </c>
      <c r="D856" s="7">
        <v>2945.1</v>
      </c>
      <c r="F856" s="32">
        <v>1725.45</v>
      </c>
      <c r="G856" s="33">
        <f>(D856-F856)/F856</f>
        <v>0.706859080239937</v>
      </c>
    </row>
    <row r="857" ht="108.5" customHeight="1" spans="1:7">
      <c r="A857" s="6" t="s">
        <v>1457</v>
      </c>
      <c r="B857" s="12" t="s">
        <v>1458</v>
      </c>
      <c r="C857" s="4" t="s">
        <v>49</v>
      </c>
      <c r="D857" s="7">
        <v>600.55</v>
      </c>
      <c r="F857" s="32">
        <v>367.35</v>
      </c>
      <c r="G857" s="33">
        <f>(D857-F857)/F857</f>
        <v>0.634816932081121</v>
      </c>
    </row>
    <row r="858" ht="77.5" customHeight="1" spans="1:7">
      <c r="A858" s="6" t="s">
        <v>1459</v>
      </c>
      <c r="B858" s="12" t="s">
        <v>1460</v>
      </c>
      <c r="C858" s="4" t="s">
        <v>49</v>
      </c>
      <c r="D858" s="7">
        <v>725.85</v>
      </c>
      <c r="F858" s="32">
        <v>484.5</v>
      </c>
      <c r="G858" s="33">
        <f>(D858-F858)/F858</f>
        <v>0.498142414860681</v>
      </c>
    </row>
    <row r="859" ht="31" customHeight="1" spans="1:7">
      <c r="A859" s="6" t="s">
        <v>1461</v>
      </c>
      <c r="B859" s="12" t="s">
        <v>1462</v>
      </c>
      <c r="C859" s="4"/>
      <c r="D859" s="14"/>
    </row>
    <row r="860" spans="1:7">
      <c r="A860" s="6" t="s">
        <v>1463</v>
      </c>
      <c r="B860" s="3" t="s">
        <v>1464</v>
      </c>
      <c r="C860" s="4" t="s">
        <v>49</v>
      </c>
      <c r="D860" s="7">
        <v>38.7</v>
      </c>
      <c r="F860" s="32">
        <v>33.45</v>
      </c>
      <c r="G860" s="33">
        <f>(D860-F860)/F860</f>
        <v>0.15695067264574</v>
      </c>
    </row>
    <row r="861" spans="1:7">
      <c r="A861" s="6" t="s">
        <v>1465</v>
      </c>
      <c r="B861" s="3" t="s">
        <v>1466</v>
      </c>
      <c r="C861" s="4" t="s">
        <v>49</v>
      </c>
      <c r="D861" s="7">
        <v>125.2</v>
      </c>
      <c r="F861" s="32">
        <v>92.9</v>
      </c>
      <c r="G861" s="33">
        <f>(D861-F861)/F861</f>
        <v>0.347685683530678</v>
      </c>
    </row>
    <row r="862" spans="1:7">
      <c r="A862" s="6" t="s">
        <v>1467</v>
      </c>
      <c r="B862" s="12" t="s">
        <v>1468</v>
      </c>
      <c r="C862" s="4" t="s">
        <v>49</v>
      </c>
      <c r="D862" s="7">
        <v>73.7</v>
      </c>
      <c r="F862" s="32">
        <v>41.1</v>
      </c>
      <c r="G862" s="33">
        <f>(D862-F862)/F862</f>
        <v>0.793187347931874</v>
      </c>
    </row>
    <row r="863" ht="46.5" customHeight="1" spans="1:7">
      <c r="A863" s="6" t="s">
        <v>1469</v>
      </c>
      <c r="B863" s="12" t="s">
        <v>1470</v>
      </c>
      <c r="C863" s="4"/>
      <c r="D863" s="14"/>
      <c r="E863" s="2"/>
    </row>
    <row r="864" spans="1:7">
      <c r="A864" s="6" t="s">
        <v>1471</v>
      </c>
      <c r="B864" s="3" t="s">
        <v>1472</v>
      </c>
      <c r="C864" s="4" t="s">
        <v>49</v>
      </c>
      <c r="D864" s="7">
        <v>285.1</v>
      </c>
      <c r="F864" s="32">
        <v>272.2</v>
      </c>
      <c r="G864" s="33">
        <f>(D864-F864)/F864</f>
        <v>0.0473916238060251</v>
      </c>
    </row>
    <row r="865" spans="1:7">
      <c r="A865" s="6" t="s">
        <v>1473</v>
      </c>
      <c r="B865" s="3" t="s">
        <v>1474</v>
      </c>
      <c r="C865" s="4" t="s">
        <v>49</v>
      </c>
      <c r="D865" s="7">
        <v>393.25</v>
      </c>
      <c r="F865" s="32">
        <v>359.3</v>
      </c>
      <c r="G865" s="33">
        <f>(D865-F865)/F865</f>
        <v>0.0944892847202894</v>
      </c>
    </row>
    <row r="866" spans="1:7">
      <c r="A866" s="6" t="s">
        <v>1475</v>
      </c>
      <c r="B866" s="3" t="s">
        <v>1476</v>
      </c>
      <c r="C866" s="4" t="s">
        <v>49</v>
      </c>
      <c r="D866" s="7">
        <v>525.55</v>
      </c>
      <c r="F866" s="32">
        <v>463.85</v>
      </c>
      <c r="G866" s="33">
        <f>(D866-F866)/F866</f>
        <v>0.133017139161367</v>
      </c>
    </row>
    <row r="867" spans="1:7">
      <c r="A867" s="6" t="s">
        <v>1477</v>
      </c>
      <c r="B867" s="12" t="s">
        <v>1478</v>
      </c>
      <c r="C867" s="4"/>
      <c r="D867" s="14"/>
    </row>
    <row r="868" spans="1:7">
      <c r="A868" s="6" t="s">
        <v>1479</v>
      </c>
      <c r="B868" s="3" t="s">
        <v>1480</v>
      </c>
      <c r="C868" s="4" t="s">
        <v>49</v>
      </c>
      <c r="D868" s="7">
        <v>175</v>
      </c>
      <c r="F868" s="32">
        <v>119.25</v>
      </c>
      <c r="G868" s="33">
        <f>(D868-F868)/F868</f>
        <v>0.467505241090147</v>
      </c>
    </row>
    <row r="869" spans="1:7">
      <c r="A869" s="6" t="s">
        <v>1481</v>
      </c>
      <c r="B869" s="3" t="s">
        <v>1482</v>
      </c>
      <c r="C869" s="4" t="s">
        <v>49</v>
      </c>
      <c r="D869" s="7">
        <v>186.4</v>
      </c>
      <c r="F869" s="32">
        <v>126.25</v>
      </c>
      <c r="G869" s="33">
        <f>(D869-F869)/F869</f>
        <v>0.476435643564356</v>
      </c>
    </row>
    <row r="870" ht="46.5" customHeight="1" spans="1:7">
      <c r="A870" s="6" t="s">
        <v>1483</v>
      </c>
      <c r="B870" s="12" t="s">
        <v>1484</v>
      </c>
      <c r="C870" s="4"/>
      <c r="D870" s="14"/>
    </row>
    <row r="871" spans="1:7">
      <c r="A871" s="6" t="s">
        <v>1485</v>
      </c>
      <c r="B871" s="3" t="s">
        <v>1486</v>
      </c>
      <c r="C871" s="4" t="s">
        <v>575</v>
      </c>
      <c r="D871" s="7">
        <v>219.1</v>
      </c>
      <c r="F871" s="32">
        <v>104.65</v>
      </c>
      <c r="G871" s="33">
        <f>(D871-F871)/F871</f>
        <v>1.09364548494983</v>
      </c>
    </row>
    <row r="872" spans="1:7">
      <c r="A872" s="6" t="s">
        <v>1487</v>
      </c>
      <c r="B872" s="3" t="s">
        <v>1488</v>
      </c>
      <c r="C872" s="4" t="s">
        <v>575</v>
      </c>
      <c r="D872" s="7">
        <v>238.35</v>
      </c>
      <c r="F872" s="32">
        <v>112.45</v>
      </c>
      <c r="G872" s="33">
        <f>(D872-F872)/F872</f>
        <v>1.11960871498444</v>
      </c>
    </row>
    <row r="873" ht="46.5" customHeight="1" spans="1:7">
      <c r="A873" s="6" t="s">
        <v>1489</v>
      </c>
      <c r="B873" s="12" t="s">
        <v>1490</v>
      </c>
      <c r="C873" s="4" t="s">
        <v>12</v>
      </c>
      <c r="D873" s="7">
        <v>1421.95</v>
      </c>
      <c r="F873" s="32">
        <v>910.35</v>
      </c>
      <c r="G873" s="33">
        <f>(D873-F873)/F873</f>
        <v>0.561981655407261</v>
      </c>
    </row>
    <row r="874" ht="46.5" customHeight="1" spans="1:7">
      <c r="A874" s="6" t="s">
        <v>1491</v>
      </c>
      <c r="B874" s="12" t="s">
        <v>1492</v>
      </c>
      <c r="C874" s="4" t="s">
        <v>12</v>
      </c>
      <c r="D874" s="7">
        <v>1641.15</v>
      </c>
      <c r="F874" s="32">
        <v>1054</v>
      </c>
      <c r="G874" s="33">
        <f>(D874-F874)/F874</f>
        <v>0.557068311195446</v>
      </c>
    </row>
    <row r="875" ht="46.5" customHeight="1" spans="1:7">
      <c r="A875" s="6" t="s">
        <v>1493</v>
      </c>
      <c r="B875" s="12" t="s">
        <v>1494</v>
      </c>
      <c r="C875" s="4"/>
      <c r="D875" s="14"/>
    </row>
    <row r="876" spans="1:7">
      <c r="A876" s="6" t="s">
        <v>1495</v>
      </c>
      <c r="B876" s="3" t="s">
        <v>1496</v>
      </c>
      <c r="C876" s="4" t="s">
        <v>12</v>
      </c>
      <c r="D876" s="7">
        <v>1308.35</v>
      </c>
      <c r="F876" s="32">
        <v>846.45</v>
      </c>
      <c r="G876" s="33">
        <f>(D876-F876)/F876</f>
        <v>0.545690826392581</v>
      </c>
    </row>
    <row r="877" spans="1:7">
      <c r="A877" s="6" t="s">
        <v>1497</v>
      </c>
      <c r="B877" s="3" t="s">
        <v>1498</v>
      </c>
      <c r="C877" s="4" t="s">
        <v>12</v>
      </c>
      <c r="D877" s="7">
        <v>939.2</v>
      </c>
      <c r="F877" s="32">
        <v>597</v>
      </c>
      <c r="G877" s="33">
        <f>(D877-F877)/F877</f>
        <v>0.57319932998325</v>
      </c>
    </row>
    <row r="878" ht="46.5" customHeight="1" spans="1:7">
      <c r="A878" s="6" t="s">
        <v>1499</v>
      </c>
      <c r="B878" s="12" t="s">
        <v>1500</v>
      </c>
      <c r="C878" s="4" t="s">
        <v>12</v>
      </c>
      <c r="D878" s="7">
        <v>155.1</v>
      </c>
      <c r="F878" s="32">
        <v>132.4</v>
      </c>
      <c r="G878" s="33">
        <f>(D878-F878)/F878</f>
        <v>0.171450151057402</v>
      </c>
    </row>
    <row r="879" ht="62" customHeight="1" spans="1:7">
      <c r="A879" s="6" t="s">
        <v>1501</v>
      </c>
      <c r="B879" s="12" t="s">
        <v>1502</v>
      </c>
      <c r="C879" s="4" t="s">
        <v>156</v>
      </c>
      <c r="D879" s="7">
        <v>226.55</v>
      </c>
      <c r="F879" s="32">
        <v>118.6</v>
      </c>
      <c r="G879" s="33">
        <f>(D879-F879)/F879</f>
        <v>0.910202360876897</v>
      </c>
    </row>
    <row r="880" ht="31" customHeight="1" spans="1:7">
      <c r="A880" s="6" t="s">
        <v>1503</v>
      </c>
      <c r="B880" s="12" t="s">
        <v>1504</v>
      </c>
      <c r="C880" s="4"/>
      <c r="D880" s="14"/>
    </row>
    <row r="881" spans="1:7">
      <c r="A881" s="6" t="s">
        <v>1505</v>
      </c>
      <c r="B881" s="3" t="s">
        <v>1258</v>
      </c>
      <c r="C881" s="4" t="s">
        <v>16</v>
      </c>
      <c r="D881" s="7">
        <v>103140.1</v>
      </c>
      <c r="F881" s="32">
        <v>78067.6</v>
      </c>
      <c r="G881" s="33">
        <f>(D881-F881)/F881</f>
        <v>0.321163965588797</v>
      </c>
    </row>
    <row r="882" spans="1:7">
      <c r="A882" s="6" t="s">
        <v>1506</v>
      </c>
      <c r="B882" s="3" t="s">
        <v>1507</v>
      </c>
      <c r="C882" s="4" t="s">
        <v>16</v>
      </c>
      <c r="D882" s="7">
        <v>69178.05</v>
      </c>
      <c r="F882" s="32">
        <v>48258.6</v>
      </c>
      <c r="G882" s="33">
        <f>(D882-F882)/F882</f>
        <v>0.433486466660865</v>
      </c>
    </row>
    <row r="883" spans="1:7">
      <c r="B883" s="12" t="s">
        <v>1508</v>
      </c>
    </row>
    <row r="884" ht="31" customHeight="1" spans="1:7">
      <c r="A884" s="6" t="s">
        <v>1509</v>
      </c>
      <c r="B884" s="12" t="s">
        <v>1510</v>
      </c>
      <c r="C884" s="4"/>
      <c r="D884" s="14"/>
    </row>
    <row r="885" spans="1:7">
      <c r="A885" s="6" t="s">
        <v>1511</v>
      </c>
      <c r="B885" s="3" t="s">
        <v>1512</v>
      </c>
      <c r="C885" s="4" t="s">
        <v>156</v>
      </c>
      <c r="D885" s="7">
        <v>53</v>
      </c>
      <c r="F885" s="32">
        <v>35.1</v>
      </c>
      <c r="G885" s="33">
        <f>(D885-F885)/F885</f>
        <v>0.50997150997151</v>
      </c>
    </row>
    <row r="886" spans="1:7">
      <c r="A886" s="6" t="s">
        <v>1513</v>
      </c>
      <c r="B886" s="3" t="s">
        <v>1514</v>
      </c>
      <c r="C886" s="4" t="s">
        <v>156</v>
      </c>
      <c r="D886" s="7">
        <v>45</v>
      </c>
      <c r="F886" s="32">
        <v>27.4</v>
      </c>
      <c r="G886" s="33">
        <f>(D886-F886)/F886</f>
        <v>0.642335766423358</v>
      </c>
    </row>
    <row r="887" spans="1:7">
      <c r="A887" s="6" t="s">
        <v>1515</v>
      </c>
      <c r="B887" s="3" t="s">
        <v>1516</v>
      </c>
      <c r="C887" s="4" t="s">
        <v>156</v>
      </c>
      <c r="D887" s="7">
        <v>39.3</v>
      </c>
      <c r="F887" s="32">
        <v>21.95</v>
      </c>
      <c r="G887" s="33">
        <f>(D887-F887)/F887</f>
        <v>0.790432801822323</v>
      </c>
    </row>
    <row r="888" spans="1:7">
      <c r="A888" s="6" t="s">
        <v>1517</v>
      </c>
      <c r="B888" s="3" t="s">
        <v>1518</v>
      </c>
      <c r="C888" s="4" t="s">
        <v>156</v>
      </c>
      <c r="D888" s="7">
        <v>18.85</v>
      </c>
      <c r="F888" s="32">
        <v>11.65</v>
      </c>
      <c r="G888" s="33">
        <f>(D888-F888)/F888</f>
        <v>0.618025751072961</v>
      </c>
    </row>
    <row r="889" ht="31" customHeight="1" spans="1:7">
      <c r="A889" s="6" t="s">
        <v>1519</v>
      </c>
      <c r="B889" s="12" t="s">
        <v>1520</v>
      </c>
      <c r="C889" s="4"/>
      <c r="D889" s="14"/>
    </row>
    <row r="890" spans="1:7">
      <c r="A890" s="6" t="s">
        <v>1521</v>
      </c>
      <c r="B890" s="3" t="s">
        <v>1522</v>
      </c>
      <c r="C890" s="4" t="s">
        <v>156</v>
      </c>
      <c r="D890" s="7">
        <v>71.25</v>
      </c>
      <c r="F890" s="32">
        <v>42.05</v>
      </c>
      <c r="G890" s="33">
        <f>(D890-F890)/F890</f>
        <v>0.694411414982164</v>
      </c>
    </row>
    <row r="891" spans="1:7">
      <c r="A891" s="6" t="s">
        <v>1523</v>
      </c>
      <c r="B891" s="3" t="s">
        <v>1524</v>
      </c>
      <c r="C891" s="4" t="s">
        <v>156</v>
      </c>
      <c r="D891" s="7">
        <v>62.05</v>
      </c>
      <c r="F891" s="32">
        <v>34.95</v>
      </c>
      <c r="G891" s="33">
        <f>(D891-F891)/F891</f>
        <v>0.775393419170243</v>
      </c>
    </row>
    <row r="892" spans="1:7">
      <c r="A892" s="6" t="s">
        <v>1525</v>
      </c>
      <c r="B892" s="3" t="s">
        <v>1526</v>
      </c>
      <c r="C892" s="4" t="s">
        <v>156</v>
      </c>
      <c r="D892" s="7">
        <v>48.15</v>
      </c>
      <c r="F892" s="32">
        <v>25.45</v>
      </c>
      <c r="G892" s="33">
        <f>(D892-F892)/F892</f>
        <v>0.891944990176817</v>
      </c>
    </row>
    <row r="893" spans="1:7">
      <c r="A893" s="6" t="s">
        <v>1527</v>
      </c>
      <c r="B893" s="3" t="s">
        <v>1528</v>
      </c>
      <c r="C893" s="4" t="s">
        <v>156</v>
      </c>
      <c r="D893" s="7">
        <v>27.5</v>
      </c>
      <c r="F893" s="32">
        <v>14.55</v>
      </c>
      <c r="G893" s="33">
        <f>(D893-F893)/F893</f>
        <v>0.890034364261168</v>
      </c>
    </row>
    <row r="894" ht="31" customHeight="1" spans="1:7">
      <c r="A894" s="40"/>
      <c r="B894" s="12" t="s">
        <v>1529</v>
      </c>
      <c r="C894" s="4"/>
      <c r="D894" s="7"/>
    </row>
    <row r="895" spans="1:7">
      <c r="A895" s="40"/>
      <c r="B895" s="12" t="s">
        <v>1530</v>
      </c>
      <c r="C895" s="4"/>
      <c r="D895" s="7"/>
    </row>
    <row r="896" ht="31" customHeight="1" spans="1:7">
      <c r="A896" s="6" t="s">
        <v>1531</v>
      </c>
      <c r="B896" s="12" t="s">
        <v>1532</v>
      </c>
      <c r="C896" s="4"/>
      <c r="D896" s="14"/>
    </row>
    <row r="897" spans="1:7">
      <c r="A897" s="6" t="s">
        <v>1533</v>
      </c>
      <c r="B897" s="3" t="s">
        <v>1512</v>
      </c>
      <c r="C897" s="4" t="s">
        <v>156</v>
      </c>
      <c r="D897" s="7">
        <v>55.75</v>
      </c>
      <c r="F897" s="32">
        <v>35.3</v>
      </c>
      <c r="G897" s="33">
        <f>(D897-F897)/F897</f>
        <v>0.579320113314448</v>
      </c>
    </row>
    <row r="898" spans="1:7">
      <c r="A898" s="6" t="s">
        <v>1534</v>
      </c>
      <c r="B898" s="3" t="s">
        <v>1514</v>
      </c>
      <c r="C898" s="4" t="s">
        <v>156</v>
      </c>
      <c r="D898" s="7">
        <v>48.2</v>
      </c>
      <c r="F898" s="32">
        <v>28</v>
      </c>
      <c r="G898" s="33">
        <f>(D898-F898)/F898</f>
        <v>0.721428571428572</v>
      </c>
    </row>
    <row r="899" spans="1:7">
      <c r="A899" s="6" t="s">
        <v>1535</v>
      </c>
      <c r="B899" s="3" t="s">
        <v>1516</v>
      </c>
      <c r="C899" s="4" t="s">
        <v>156</v>
      </c>
      <c r="D899" s="7">
        <v>40.5</v>
      </c>
      <c r="F899" s="32">
        <v>22.55</v>
      </c>
      <c r="G899" s="33">
        <f>(D899-F899)/F899</f>
        <v>0.796008869179601</v>
      </c>
    </row>
    <row r="900" spans="1:7">
      <c r="A900" s="6" t="s">
        <v>1536</v>
      </c>
      <c r="B900" s="3" t="s">
        <v>1518</v>
      </c>
      <c r="C900" s="4" t="s">
        <v>156</v>
      </c>
      <c r="D900" s="7">
        <v>20</v>
      </c>
      <c r="F900" s="32">
        <v>12.2</v>
      </c>
      <c r="G900" s="33">
        <f>(D900-F900)/F900</f>
        <v>0.639344262295082</v>
      </c>
    </row>
    <row r="901" ht="31" customHeight="1" spans="1:7">
      <c r="A901" s="6" t="s">
        <v>1537</v>
      </c>
      <c r="B901" s="12" t="s">
        <v>1538</v>
      </c>
      <c r="C901" s="4"/>
      <c r="D901" s="14"/>
    </row>
    <row r="902" spans="1:7">
      <c r="A902" s="6" t="s">
        <v>1539</v>
      </c>
      <c r="B902" s="3" t="s">
        <v>1540</v>
      </c>
      <c r="C902" s="4" t="s">
        <v>156</v>
      </c>
      <c r="D902" s="7">
        <v>91.7</v>
      </c>
      <c r="F902" s="32">
        <v>59.15</v>
      </c>
      <c r="G902" s="33">
        <f>(D902-F902)/F902</f>
        <v>0.550295857988166</v>
      </c>
    </row>
    <row r="903" spans="1:7">
      <c r="A903" s="6" t="s">
        <v>1541</v>
      </c>
      <c r="B903" s="3" t="s">
        <v>1542</v>
      </c>
      <c r="C903" s="4" t="s">
        <v>156</v>
      </c>
      <c r="D903" s="7">
        <v>86</v>
      </c>
      <c r="F903" s="32">
        <v>56.25</v>
      </c>
      <c r="G903" s="33">
        <f>(D903-F903)/F903</f>
        <v>0.528888888888889</v>
      </c>
    </row>
    <row r="904" spans="1:7">
      <c r="A904" s="6" t="s">
        <v>1543</v>
      </c>
      <c r="B904" s="3" t="s">
        <v>1544</v>
      </c>
      <c r="C904" s="4" t="s">
        <v>156</v>
      </c>
      <c r="D904" s="7">
        <v>75.35</v>
      </c>
      <c r="F904" s="32">
        <v>46.95</v>
      </c>
      <c r="G904" s="33">
        <f>(D904-F904)/F904</f>
        <v>0.604898828541001</v>
      </c>
    </row>
    <row r="905" spans="1:7">
      <c r="A905" s="6" t="s">
        <v>1545</v>
      </c>
      <c r="B905" s="3" t="s">
        <v>1546</v>
      </c>
      <c r="C905" s="4" t="s">
        <v>156</v>
      </c>
      <c r="D905" s="7">
        <v>66.65</v>
      </c>
      <c r="F905" s="32">
        <v>40.55</v>
      </c>
      <c r="G905" s="33">
        <f>(D905-F905)/F905</f>
        <v>0.643649815043157</v>
      </c>
    </row>
    <row r="906" ht="31" customHeight="1" spans="1:7">
      <c r="A906" s="6" t="s">
        <v>1547</v>
      </c>
      <c r="B906" s="12" t="s">
        <v>1548</v>
      </c>
      <c r="C906" s="4"/>
      <c r="D906" s="14"/>
    </row>
    <row r="907" spans="1:7">
      <c r="A907" s="6" t="s">
        <v>1549</v>
      </c>
      <c r="B907" s="3" t="s">
        <v>1550</v>
      </c>
      <c r="C907" s="4" t="s">
        <v>156</v>
      </c>
      <c r="D907" s="7">
        <v>291.35</v>
      </c>
      <c r="F907" s="32">
        <v>199.65</v>
      </c>
      <c r="G907" s="33">
        <f>(D907-F907)/F907</f>
        <v>0.459303781617831</v>
      </c>
    </row>
    <row r="908" spans="1:7">
      <c r="A908" s="6" t="s">
        <v>1551</v>
      </c>
      <c r="B908" s="3" t="s">
        <v>1552</v>
      </c>
      <c r="C908" s="4" t="s">
        <v>156</v>
      </c>
      <c r="D908" s="7">
        <v>262.9</v>
      </c>
      <c r="F908" s="32">
        <v>176.45</v>
      </c>
      <c r="G908" s="33">
        <f>(D908-F908)/F908</f>
        <v>0.489940493057523</v>
      </c>
    </row>
    <row r="909" spans="1:7">
      <c r="A909" s="6" t="s">
        <v>1553</v>
      </c>
      <c r="B909" s="3" t="s">
        <v>1554</v>
      </c>
      <c r="C909" s="4" t="s">
        <v>156</v>
      </c>
      <c r="D909" s="7">
        <v>232.7</v>
      </c>
      <c r="F909" s="32">
        <v>151.9</v>
      </c>
      <c r="G909" s="33">
        <f>(D909-F909)/F909</f>
        <v>0.531928900592495</v>
      </c>
    </row>
    <row r="910" ht="31" customHeight="1" spans="1:7">
      <c r="A910" s="6" t="s">
        <v>1555</v>
      </c>
      <c r="B910" s="12" t="s">
        <v>1556</v>
      </c>
      <c r="C910" s="4"/>
      <c r="D910" s="14"/>
    </row>
    <row r="911" spans="1:7">
      <c r="A911" s="6" t="s">
        <v>1557</v>
      </c>
      <c r="B911" s="3" t="s">
        <v>1550</v>
      </c>
      <c r="C911" s="4" t="s">
        <v>156</v>
      </c>
      <c r="D911" s="7">
        <v>326.9</v>
      </c>
      <c r="F911" s="32">
        <v>222.2</v>
      </c>
      <c r="G911" s="33">
        <f>(D911-F911)/F911</f>
        <v>0.471197119711971</v>
      </c>
    </row>
    <row r="912" spans="1:7">
      <c r="A912" s="6" t="s">
        <v>1558</v>
      </c>
      <c r="B912" s="3" t="s">
        <v>1552</v>
      </c>
      <c r="C912" s="4" t="s">
        <v>156</v>
      </c>
      <c r="D912" s="7">
        <v>291.35</v>
      </c>
      <c r="F912" s="32">
        <v>199.65</v>
      </c>
      <c r="G912" s="33">
        <f>(D912-F912)/F912</f>
        <v>0.459303781617831</v>
      </c>
    </row>
    <row r="913" spans="1:7">
      <c r="A913" s="6" t="s">
        <v>1559</v>
      </c>
      <c r="B913" s="3" t="s">
        <v>1554</v>
      </c>
      <c r="C913" s="4" t="s">
        <v>156</v>
      </c>
      <c r="D913" s="7">
        <v>261.15</v>
      </c>
      <c r="F913" s="32">
        <v>175.15</v>
      </c>
      <c r="G913" s="33">
        <f>(D913-F913)/F913</f>
        <v>0.491007707679132</v>
      </c>
    </row>
    <row r="914" ht="31" customHeight="1" spans="1:7">
      <c r="A914" s="6" t="s">
        <v>1560</v>
      </c>
      <c r="B914" s="12" t="s">
        <v>1561</v>
      </c>
      <c r="C914" s="4"/>
      <c r="D914" s="14"/>
    </row>
    <row r="915" spans="1:7">
      <c r="A915" s="6" t="s">
        <v>1562</v>
      </c>
      <c r="B915" s="3" t="s">
        <v>1563</v>
      </c>
      <c r="C915" s="4" t="s">
        <v>49</v>
      </c>
      <c r="D915" s="7">
        <v>336.45</v>
      </c>
      <c r="F915" s="32">
        <v>178.4</v>
      </c>
      <c r="G915" s="33">
        <f>(D915-F915)/F915</f>
        <v>0.885930493273542</v>
      </c>
    </row>
    <row r="916" spans="1:7">
      <c r="A916" s="6" t="s">
        <v>1564</v>
      </c>
      <c r="B916" s="3" t="s">
        <v>1565</v>
      </c>
      <c r="C916" s="4" t="s">
        <v>49</v>
      </c>
      <c r="D916" s="7">
        <v>337.9</v>
      </c>
      <c r="F916" s="32">
        <v>174.9</v>
      </c>
      <c r="G916" s="33">
        <f>(D916-F916)/F916</f>
        <v>0.931961120640366</v>
      </c>
    </row>
    <row r="917" spans="1:7">
      <c r="A917" s="6" t="s">
        <v>1566</v>
      </c>
      <c r="B917" s="3" t="s">
        <v>1567</v>
      </c>
      <c r="C917" s="4" t="s">
        <v>49</v>
      </c>
      <c r="D917" s="7">
        <v>357.8</v>
      </c>
      <c r="F917" s="32">
        <v>190</v>
      </c>
      <c r="G917" s="33">
        <f>(D917-F917)/F917</f>
        <v>0.883157894736842</v>
      </c>
    </row>
    <row r="918" ht="31" customHeight="1" spans="1:7">
      <c r="A918" s="6" t="s">
        <v>1568</v>
      </c>
      <c r="B918" s="12" t="s">
        <v>1569</v>
      </c>
      <c r="C918" s="4"/>
      <c r="D918" s="14"/>
    </row>
    <row r="919" spans="1:7">
      <c r="A919" s="6" t="s">
        <v>1570</v>
      </c>
      <c r="B919" s="3" t="s">
        <v>1571</v>
      </c>
      <c r="C919" s="4" t="s">
        <v>156</v>
      </c>
      <c r="D919" s="7">
        <v>216.55</v>
      </c>
      <c r="F919" s="32">
        <v>154.85</v>
      </c>
      <c r="G919" s="33">
        <f>(D919-F919)/F919</f>
        <v>0.398450113012593</v>
      </c>
    </row>
    <row r="920" spans="1:7">
      <c r="A920" s="6" t="s">
        <v>1572</v>
      </c>
      <c r="B920" s="3" t="s">
        <v>1573</v>
      </c>
      <c r="C920" s="4" t="s">
        <v>156</v>
      </c>
      <c r="D920" s="7">
        <v>193.7</v>
      </c>
      <c r="F920" s="32">
        <v>142.05</v>
      </c>
      <c r="G920" s="33">
        <f>(D920-F920)/F920</f>
        <v>0.363604364660331</v>
      </c>
    </row>
    <row r="921" ht="31" customHeight="1" spans="1:7">
      <c r="A921" s="6" t="s">
        <v>1574</v>
      </c>
      <c r="B921" s="12" t="s">
        <v>1575</v>
      </c>
      <c r="C921" s="4"/>
      <c r="D921" s="14"/>
    </row>
    <row r="922" spans="1:7">
      <c r="A922" s="6" t="s">
        <v>1576</v>
      </c>
      <c r="B922" s="3" t="s">
        <v>1577</v>
      </c>
      <c r="C922" s="4" t="s">
        <v>156</v>
      </c>
      <c r="D922" s="7">
        <v>83.9</v>
      </c>
      <c r="F922" s="32">
        <v>64</v>
      </c>
      <c r="G922" s="33">
        <f>(D922-F922)/F922</f>
        <v>0.3109375</v>
      </c>
    </row>
    <row r="923" spans="1:7">
      <c r="A923" s="6" t="s">
        <v>1578</v>
      </c>
      <c r="B923" s="3" t="s">
        <v>1579</v>
      </c>
      <c r="C923" s="4" t="s">
        <v>156</v>
      </c>
      <c r="D923" s="7">
        <v>69.4</v>
      </c>
      <c r="F923" s="32">
        <v>51.05</v>
      </c>
      <c r="G923" s="33">
        <f>(D923-F923)/F923</f>
        <v>0.359451518119491</v>
      </c>
    </row>
    <row r="924" spans="1:7">
      <c r="A924" s="6" t="s">
        <v>1580</v>
      </c>
      <c r="B924" s="3" t="s">
        <v>1581</v>
      </c>
      <c r="C924" s="4" t="s">
        <v>156</v>
      </c>
      <c r="D924" s="7">
        <v>59.45</v>
      </c>
      <c r="F924" s="32">
        <v>44.1</v>
      </c>
      <c r="G924" s="33">
        <f>(D924-F924)/F924</f>
        <v>0.348072562358277</v>
      </c>
    </row>
    <row r="925" spans="1:7">
      <c r="A925" s="6" t="s">
        <v>1582</v>
      </c>
      <c r="B925" s="3" t="s">
        <v>1583</v>
      </c>
      <c r="C925" s="4" t="s">
        <v>156</v>
      </c>
      <c r="D925" s="7">
        <v>44.3</v>
      </c>
      <c r="F925" s="32">
        <v>31.4</v>
      </c>
      <c r="G925" s="33">
        <f>(D925-F925)/F925</f>
        <v>0.410828025477707</v>
      </c>
    </row>
    <row r="926" ht="46.5" customHeight="1" spans="1:7">
      <c r="A926" s="6" t="s">
        <v>1584</v>
      </c>
      <c r="B926" s="12" t="s">
        <v>1585</v>
      </c>
      <c r="C926" s="4" t="s">
        <v>156</v>
      </c>
      <c r="D926" s="7">
        <v>122.15</v>
      </c>
      <c r="F926" s="32">
        <v>78.15</v>
      </c>
      <c r="G926" s="33">
        <f>(D926-F926)/F926</f>
        <v>0.563019833653231</v>
      </c>
    </row>
    <row r="927" ht="31" customHeight="1" spans="1:7">
      <c r="A927" s="6" t="s">
        <v>1586</v>
      </c>
      <c r="B927" s="12" t="s">
        <v>1587</v>
      </c>
      <c r="C927" s="4"/>
      <c r="D927" s="14"/>
    </row>
    <row r="928" spans="1:7">
      <c r="A928" s="6" t="s">
        <v>1588</v>
      </c>
      <c r="B928" s="3" t="s">
        <v>1589</v>
      </c>
      <c r="C928" s="4" t="s">
        <v>156</v>
      </c>
      <c r="D928" s="7">
        <v>98.35</v>
      </c>
      <c r="F928" s="32">
        <v>68.9</v>
      </c>
      <c r="G928" s="33">
        <f>(D928-F928)/F928</f>
        <v>0.427431059506531</v>
      </c>
    </row>
    <row r="929" spans="1:7">
      <c r="A929" s="6" t="s">
        <v>1590</v>
      </c>
      <c r="B929" s="3" t="s">
        <v>1591</v>
      </c>
      <c r="C929" s="4" t="s">
        <v>156</v>
      </c>
      <c r="D929" s="7">
        <v>79.85</v>
      </c>
      <c r="F929" s="32">
        <v>57.3</v>
      </c>
      <c r="G929" s="33">
        <f>(D929-F929)/F929</f>
        <v>0.393542757417103</v>
      </c>
    </row>
    <row r="930" ht="31" customHeight="1" spans="1:7">
      <c r="A930" s="6" t="s">
        <v>1592</v>
      </c>
      <c r="B930" s="12" t="s">
        <v>1593</v>
      </c>
      <c r="C930" s="4"/>
      <c r="D930" s="14"/>
    </row>
    <row r="931" spans="1:7">
      <c r="A931" s="6" t="s">
        <v>1594</v>
      </c>
      <c r="B931" s="3" t="s">
        <v>1552</v>
      </c>
      <c r="C931" s="4" t="s">
        <v>156</v>
      </c>
      <c r="D931" s="7">
        <v>39.95</v>
      </c>
      <c r="F931" s="32">
        <v>28.6</v>
      </c>
      <c r="G931" s="33">
        <f>(D931-F931)/F931</f>
        <v>0.396853146853147</v>
      </c>
    </row>
    <row r="932" spans="1:7">
      <c r="A932" s="6" t="s">
        <v>1595</v>
      </c>
      <c r="B932" s="3" t="s">
        <v>1554</v>
      </c>
      <c r="C932" s="4" t="s">
        <v>156</v>
      </c>
      <c r="D932" s="7">
        <v>32.55</v>
      </c>
      <c r="F932" s="32">
        <v>22.65</v>
      </c>
      <c r="G932" s="33">
        <f>(D932-F932)/F932</f>
        <v>0.437086092715232</v>
      </c>
    </row>
    <row r="933" spans="1:7">
      <c r="A933" s="6" t="s">
        <v>1596</v>
      </c>
      <c r="B933" s="3" t="s">
        <v>1597</v>
      </c>
      <c r="C933" s="4" t="s">
        <v>156</v>
      </c>
      <c r="D933" s="7">
        <v>29.7</v>
      </c>
      <c r="F933" s="32">
        <v>19.15</v>
      </c>
      <c r="G933" s="33">
        <f>(D933-F933)/F933</f>
        <v>0.550913838120105</v>
      </c>
    </row>
    <row r="934" ht="31" customHeight="1" spans="1:7">
      <c r="A934" s="6" t="s">
        <v>1598</v>
      </c>
      <c r="B934" s="12" t="s">
        <v>1599</v>
      </c>
      <c r="C934" s="4"/>
      <c r="D934" s="14"/>
    </row>
    <row r="935" spans="1:7">
      <c r="A935" s="6" t="s">
        <v>1600</v>
      </c>
      <c r="B935" s="3" t="s">
        <v>1550</v>
      </c>
      <c r="C935" s="4" t="s">
        <v>156</v>
      </c>
      <c r="D935" s="7">
        <v>33.1</v>
      </c>
      <c r="F935" s="32">
        <v>23.05</v>
      </c>
      <c r="G935" s="33">
        <f>(D935-F935)/F935</f>
        <v>0.436008676789588</v>
      </c>
    </row>
    <row r="936" spans="1:7">
      <c r="A936" s="6" t="s">
        <v>1601</v>
      </c>
      <c r="B936" s="3" t="s">
        <v>1602</v>
      </c>
      <c r="C936" s="4" t="s">
        <v>156</v>
      </c>
      <c r="D936" s="7">
        <v>29.7</v>
      </c>
      <c r="F936" s="32">
        <v>20.3</v>
      </c>
      <c r="G936" s="33">
        <f>(D936-F936)/F936</f>
        <v>0.463054187192118</v>
      </c>
    </row>
    <row r="937" spans="1:7">
      <c r="A937" s="6" t="s">
        <v>1603</v>
      </c>
      <c r="B937" s="3" t="s">
        <v>1604</v>
      </c>
      <c r="C937" s="4" t="s">
        <v>156</v>
      </c>
      <c r="D937" s="7">
        <v>25.3</v>
      </c>
      <c r="F937" s="32">
        <v>16.8</v>
      </c>
      <c r="G937" s="33">
        <f>(D937-F937)/F937</f>
        <v>0.505952380952381</v>
      </c>
    </row>
    <row r="938" ht="31" customHeight="1" spans="1:7">
      <c r="A938" s="6" t="s">
        <v>1605</v>
      </c>
      <c r="B938" s="12" t="s">
        <v>1606</v>
      </c>
      <c r="C938" s="4"/>
      <c r="D938" s="14"/>
    </row>
    <row r="939" spans="1:7">
      <c r="A939" s="6" t="s">
        <v>1607</v>
      </c>
      <c r="B939" s="3" t="s">
        <v>1608</v>
      </c>
      <c r="C939" s="4" t="s">
        <v>156</v>
      </c>
      <c r="D939" s="7">
        <v>67.4</v>
      </c>
      <c r="F939" s="32">
        <v>30.95</v>
      </c>
      <c r="G939" s="33">
        <f>(D939-F939)/F939</f>
        <v>1.17770597738288</v>
      </c>
    </row>
    <row r="940" spans="1:7">
      <c r="A940" s="6" t="s">
        <v>1609</v>
      </c>
      <c r="B940" s="3" t="s">
        <v>1610</v>
      </c>
      <c r="C940" s="4" t="s">
        <v>156</v>
      </c>
      <c r="D940" s="7">
        <v>61.05</v>
      </c>
      <c r="F940" s="32">
        <v>26.85</v>
      </c>
      <c r="G940" s="33">
        <f>(D940-F940)/F940</f>
        <v>1.27374301675978</v>
      </c>
    </row>
    <row r="941" spans="1:7">
      <c r="A941" s="6" t="s">
        <v>1611</v>
      </c>
      <c r="B941" s="3" t="s">
        <v>1612</v>
      </c>
      <c r="C941" s="4" t="s">
        <v>156</v>
      </c>
      <c r="D941" s="7">
        <v>53.95</v>
      </c>
      <c r="F941" s="32">
        <v>23.35</v>
      </c>
      <c r="G941" s="33">
        <f>(D941-F941)/F941</f>
        <v>1.31049250535332</v>
      </c>
    </row>
    <row r="942" ht="31" customHeight="1" spans="1:7">
      <c r="A942" s="6" t="s">
        <v>1613</v>
      </c>
      <c r="B942" s="12" t="s">
        <v>1614</v>
      </c>
      <c r="C942" s="4" t="s">
        <v>156</v>
      </c>
      <c r="D942" s="7">
        <v>100.6</v>
      </c>
      <c r="F942" s="32">
        <v>77.65</v>
      </c>
      <c r="G942" s="33">
        <f>(D942-F942)/F942</f>
        <v>0.295556986477785</v>
      </c>
    </row>
    <row r="943" spans="1:7">
      <c r="A943" s="40"/>
      <c r="B943" s="12" t="s">
        <v>1615</v>
      </c>
      <c r="C943" s="4"/>
      <c r="D943" s="7"/>
    </row>
    <row r="944" ht="31" customHeight="1" spans="1:7">
      <c r="A944" s="6" t="s">
        <v>1616</v>
      </c>
      <c r="B944" s="12" t="s">
        <v>1617</v>
      </c>
      <c r="C944" s="4"/>
      <c r="D944" s="14"/>
    </row>
    <row r="945" spans="1:7">
      <c r="A945" s="6" t="s">
        <v>1618</v>
      </c>
      <c r="B945" s="3" t="s">
        <v>1619</v>
      </c>
      <c r="C945" s="4" t="s">
        <v>156</v>
      </c>
      <c r="D945" s="7">
        <v>118.2</v>
      </c>
      <c r="F945" s="32">
        <v>64.85</v>
      </c>
      <c r="G945" s="33">
        <f>(D945-F945)/F945</f>
        <v>0.822667694680031</v>
      </c>
    </row>
    <row r="946" spans="1:7">
      <c r="A946" s="6" t="s">
        <v>1620</v>
      </c>
      <c r="B946" s="3" t="s">
        <v>1621</v>
      </c>
      <c r="C946" s="4" t="s">
        <v>156</v>
      </c>
      <c r="D946" s="7">
        <v>107.1</v>
      </c>
      <c r="F946" s="32">
        <v>57.7</v>
      </c>
      <c r="G946" s="33">
        <f>(D946-F946)/F946</f>
        <v>0.856152512998267</v>
      </c>
    </row>
    <row r="947" spans="1:7">
      <c r="A947" s="6" t="s">
        <v>1622</v>
      </c>
      <c r="B947" s="3" t="s">
        <v>1623</v>
      </c>
      <c r="C947" s="4" t="s">
        <v>156</v>
      </c>
      <c r="D947" s="7">
        <v>80.05</v>
      </c>
      <c r="F947" s="32">
        <v>41.45</v>
      </c>
      <c r="G947" s="33">
        <f>(D947-F947)/F947</f>
        <v>0.93124246079614</v>
      </c>
    </row>
    <row r="948" spans="1:7">
      <c r="A948" s="6" t="s">
        <v>1624</v>
      </c>
      <c r="B948" s="3" t="s">
        <v>1518</v>
      </c>
      <c r="C948" s="4" t="s">
        <v>156</v>
      </c>
      <c r="D948" s="7">
        <v>43.75</v>
      </c>
      <c r="F948" s="32">
        <v>25</v>
      </c>
      <c r="G948" s="33">
        <f>(D948-F948)/F948</f>
        <v>0.75</v>
      </c>
    </row>
    <row r="949" ht="31" customHeight="1" spans="1:7">
      <c r="A949" s="6" t="s">
        <v>1625</v>
      </c>
      <c r="B949" s="12" t="s">
        <v>1626</v>
      </c>
      <c r="C949" s="4"/>
      <c r="D949" s="14"/>
    </row>
    <row r="950" spans="1:7">
      <c r="A950" s="6" t="s">
        <v>1627</v>
      </c>
      <c r="B950" s="3" t="s">
        <v>1628</v>
      </c>
      <c r="C950" s="4" t="s">
        <v>156</v>
      </c>
      <c r="D950" s="7">
        <v>129.85</v>
      </c>
      <c r="F950" s="32">
        <v>74.15</v>
      </c>
      <c r="G950" s="33">
        <f>(D950-F950)/F950</f>
        <v>0.75118004045853</v>
      </c>
    </row>
    <row r="951" spans="1:7">
      <c r="A951" s="6" t="s">
        <v>1629</v>
      </c>
      <c r="B951" s="3" t="s">
        <v>1630</v>
      </c>
      <c r="C951" s="4" t="s">
        <v>156</v>
      </c>
      <c r="D951" s="7">
        <v>106.35</v>
      </c>
      <c r="F951" s="32">
        <v>58.9</v>
      </c>
      <c r="G951" s="33">
        <f>(D951-F951)/F951</f>
        <v>0.805602716468591</v>
      </c>
    </row>
    <row r="952" spans="1:7">
      <c r="A952" s="6" t="s">
        <v>1631</v>
      </c>
      <c r="B952" s="3" t="s">
        <v>1632</v>
      </c>
      <c r="C952" s="4" t="s">
        <v>156</v>
      </c>
      <c r="D952" s="7">
        <v>89.3</v>
      </c>
      <c r="F952" s="32">
        <v>46.7</v>
      </c>
      <c r="G952" s="33">
        <f>(D952-F952)/F952</f>
        <v>0.91220556745182</v>
      </c>
    </row>
    <row r="953" spans="1:7">
      <c r="A953" s="40"/>
      <c r="B953" s="12" t="s">
        <v>1633</v>
      </c>
      <c r="C953" s="4"/>
      <c r="D953" s="14"/>
    </row>
    <row r="954" ht="31" customHeight="1" spans="1:7">
      <c r="A954" s="6" t="s">
        <v>1634</v>
      </c>
      <c r="B954" s="12" t="s">
        <v>1635</v>
      </c>
      <c r="C954" s="4"/>
      <c r="D954" s="14"/>
    </row>
    <row r="955" spans="1:7">
      <c r="A955" s="6" t="s">
        <v>1636</v>
      </c>
      <c r="B955" s="3" t="s">
        <v>1637</v>
      </c>
      <c r="C955" s="4" t="s">
        <v>156</v>
      </c>
      <c r="D955" s="7">
        <v>268.65</v>
      </c>
      <c r="F955" s="32">
        <v>205.95</v>
      </c>
      <c r="G955" s="33">
        <f t="shared" ref="G955:G961" si="10">(D955-F955)/F955</f>
        <v>0.304442825928623</v>
      </c>
    </row>
    <row r="956" spans="1:7">
      <c r="A956" s="6" t="s">
        <v>1638</v>
      </c>
      <c r="B956" s="3" t="s">
        <v>1639</v>
      </c>
      <c r="C956" s="4" t="s">
        <v>156</v>
      </c>
      <c r="D956" s="7">
        <v>185.15</v>
      </c>
      <c r="F956" s="32">
        <v>137.2</v>
      </c>
      <c r="G956" s="33">
        <f t="shared" si="10"/>
        <v>0.349489795918367</v>
      </c>
    </row>
    <row r="957" spans="1:7">
      <c r="A957" s="6" t="s">
        <v>1640</v>
      </c>
      <c r="B957" s="3" t="s">
        <v>1641</v>
      </c>
      <c r="C957" s="4" t="s">
        <v>156</v>
      </c>
      <c r="D957" s="7">
        <v>206.4</v>
      </c>
      <c r="F957" s="32">
        <v>162.45</v>
      </c>
      <c r="G957" s="33">
        <f t="shared" si="10"/>
        <v>0.270544783010157</v>
      </c>
    </row>
    <row r="958" spans="1:7">
      <c r="A958" s="6" t="s">
        <v>1642</v>
      </c>
      <c r="B958" s="3" t="s">
        <v>1643</v>
      </c>
      <c r="C958" s="4" t="s">
        <v>156</v>
      </c>
      <c r="D958" s="7">
        <v>148.25</v>
      </c>
      <c r="F958" s="32">
        <v>109.85</v>
      </c>
      <c r="G958" s="33">
        <f t="shared" si="10"/>
        <v>0.349567592171143</v>
      </c>
    </row>
    <row r="959" spans="1:7">
      <c r="A959" s="6" t="s">
        <v>1644</v>
      </c>
      <c r="B959" s="3" t="s">
        <v>1645</v>
      </c>
      <c r="C959" s="4" t="s">
        <v>156</v>
      </c>
      <c r="D959" s="7">
        <v>173.4</v>
      </c>
      <c r="F959" s="32">
        <v>132.85</v>
      </c>
      <c r="G959" s="33">
        <f t="shared" si="10"/>
        <v>0.305231464057207</v>
      </c>
    </row>
    <row r="960" spans="1:7">
      <c r="A960" s="6" t="s">
        <v>1646</v>
      </c>
      <c r="B960" s="3" t="s">
        <v>1647</v>
      </c>
      <c r="C960" s="4" t="s">
        <v>156</v>
      </c>
      <c r="D960" s="7">
        <v>101.85</v>
      </c>
      <c r="F960" s="32">
        <v>75.45</v>
      </c>
      <c r="G960" s="33">
        <f t="shared" si="10"/>
        <v>0.349900596421471</v>
      </c>
    </row>
    <row r="961" spans="1:7">
      <c r="A961" s="6" t="s">
        <v>1648</v>
      </c>
      <c r="B961" s="3" t="s">
        <v>1649</v>
      </c>
      <c r="C961" s="4" t="s">
        <v>156</v>
      </c>
      <c r="D961" s="7">
        <v>40.9</v>
      </c>
      <c r="F961" s="32">
        <v>30.2</v>
      </c>
      <c r="G961" s="33">
        <f t="shared" si="10"/>
        <v>0.354304635761589</v>
      </c>
    </row>
    <row r="962" ht="31" customHeight="1" spans="1:7">
      <c r="A962" s="6" t="s">
        <v>1650</v>
      </c>
      <c r="B962" s="12" t="s">
        <v>1651</v>
      </c>
      <c r="C962" s="4"/>
      <c r="D962" s="14"/>
    </row>
    <row r="963" spans="1:7">
      <c r="A963" s="6" t="s">
        <v>1652</v>
      </c>
      <c r="B963" s="3" t="s">
        <v>1653</v>
      </c>
      <c r="C963" s="4" t="s">
        <v>156</v>
      </c>
      <c r="D963" s="7">
        <v>463.15</v>
      </c>
      <c r="F963" s="32">
        <v>378.7</v>
      </c>
      <c r="G963" s="33">
        <f>(D963-F963)/F963</f>
        <v>0.222999735938738</v>
      </c>
    </row>
    <row r="964" spans="1:7">
      <c r="A964" s="6" t="s">
        <v>1654</v>
      </c>
      <c r="B964" s="3" t="s">
        <v>1655</v>
      </c>
      <c r="C964" s="4" t="s">
        <v>156</v>
      </c>
      <c r="D964" s="7">
        <v>414.6</v>
      </c>
      <c r="F964" s="32">
        <v>332.25</v>
      </c>
      <c r="G964" s="33">
        <f>(D964-F964)/F964</f>
        <v>0.247855530474041</v>
      </c>
    </row>
    <row r="965" spans="1:7">
      <c r="A965" s="6" t="s">
        <v>1656</v>
      </c>
      <c r="B965" s="3" t="s">
        <v>1657</v>
      </c>
      <c r="C965" s="4" t="s">
        <v>156</v>
      </c>
      <c r="D965" s="7">
        <v>381.75</v>
      </c>
      <c r="F965" s="32">
        <v>309</v>
      </c>
      <c r="G965" s="33">
        <f>(D965-F965)/F965</f>
        <v>0.235436893203884</v>
      </c>
    </row>
    <row r="966" spans="1:7">
      <c r="A966" s="6" t="s">
        <v>1658</v>
      </c>
      <c r="B966" s="3" t="s">
        <v>1659</v>
      </c>
      <c r="C966" s="4" t="s">
        <v>156</v>
      </c>
      <c r="D966" s="7">
        <v>339.2</v>
      </c>
      <c r="F966" s="32">
        <v>268.1</v>
      </c>
      <c r="G966" s="33">
        <f>(D966-F966)/F966</f>
        <v>0.265199552405819</v>
      </c>
    </row>
    <row r="967" ht="31" customHeight="1" spans="1:7">
      <c r="A967" s="6" t="s">
        <v>1660</v>
      </c>
      <c r="B967" s="12" t="s">
        <v>1661</v>
      </c>
      <c r="C967" s="4"/>
      <c r="D967" s="14"/>
    </row>
    <row r="968" spans="1:7">
      <c r="A968" s="6" t="s">
        <v>1662</v>
      </c>
      <c r="B968" s="3" t="s">
        <v>1577</v>
      </c>
      <c r="C968" s="4" t="s">
        <v>156</v>
      </c>
      <c r="D968" s="7">
        <v>441.6</v>
      </c>
      <c r="F968" s="32">
        <v>313.2</v>
      </c>
      <c r="G968" s="33">
        <f>(D968-F968)/F968</f>
        <v>0.409961685823755</v>
      </c>
    </row>
    <row r="969" spans="1:7">
      <c r="A969" s="6" t="s">
        <v>1663</v>
      </c>
      <c r="B969" s="3" t="s">
        <v>1579</v>
      </c>
      <c r="C969" s="4" t="s">
        <v>156</v>
      </c>
      <c r="D969" s="7">
        <v>358.4</v>
      </c>
      <c r="F969" s="32">
        <v>251.5</v>
      </c>
      <c r="G969" s="33">
        <f>(D969-F969)/F969</f>
        <v>0.425049701789264</v>
      </c>
    </row>
    <row r="970" spans="1:7">
      <c r="A970" s="6" t="s">
        <v>1664</v>
      </c>
      <c r="B970" s="3" t="s">
        <v>1581</v>
      </c>
      <c r="C970" s="4" t="s">
        <v>156</v>
      </c>
      <c r="D970" s="7">
        <v>287.25</v>
      </c>
      <c r="F970" s="32">
        <v>193.45</v>
      </c>
      <c r="G970" s="33">
        <f>(D970-F970)/F970</f>
        <v>0.484879813905402</v>
      </c>
    </row>
    <row r="971" spans="1:7">
      <c r="A971" s="6" t="s">
        <v>1665</v>
      </c>
      <c r="B971" s="3" t="s">
        <v>1583</v>
      </c>
      <c r="C971" s="4" t="s">
        <v>156</v>
      </c>
      <c r="D971" s="7">
        <v>197.5</v>
      </c>
      <c r="F971" s="32">
        <v>132.1</v>
      </c>
      <c r="G971" s="33">
        <f>(D971-F971)/F971</f>
        <v>0.495079485238456</v>
      </c>
    </row>
    <row r="972" spans="1:7">
      <c r="A972" s="6" t="s">
        <v>1666</v>
      </c>
      <c r="B972" s="12" t="s">
        <v>1667</v>
      </c>
      <c r="C972" s="4"/>
      <c r="D972" s="14"/>
    </row>
    <row r="973" spans="1:7">
      <c r="A973" s="6" t="s">
        <v>1668</v>
      </c>
      <c r="B973" s="3" t="s">
        <v>1669</v>
      </c>
      <c r="C973" s="4" t="s">
        <v>156</v>
      </c>
      <c r="D973" s="7">
        <v>322.2</v>
      </c>
      <c r="F973" s="32">
        <v>227.05</v>
      </c>
      <c r="G973" s="33">
        <f>(D973-F973)/F973</f>
        <v>0.41907068927549</v>
      </c>
    </row>
    <row r="974" spans="1:7">
      <c r="A974" s="6" t="s">
        <v>1670</v>
      </c>
      <c r="B974" s="3" t="s">
        <v>1671</v>
      </c>
      <c r="C974" s="4" t="s">
        <v>156</v>
      </c>
      <c r="D974" s="7">
        <v>308</v>
      </c>
      <c r="F974" s="32">
        <v>215.4</v>
      </c>
      <c r="G974" s="33">
        <f>(D974-F974)/F974</f>
        <v>0.429897864438254</v>
      </c>
    </row>
    <row r="975" ht="31" customHeight="1" spans="1:7">
      <c r="A975" s="6" t="s">
        <v>1672</v>
      </c>
      <c r="B975" s="12" t="s">
        <v>1673</v>
      </c>
      <c r="C975" s="4" t="s">
        <v>156</v>
      </c>
      <c r="D975" s="7">
        <v>854.65</v>
      </c>
      <c r="F975" s="32">
        <v>556.45</v>
      </c>
      <c r="G975" s="33">
        <f>(D975-F975)/F975</f>
        <v>0.535897205499146</v>
      </c>
    </row>
    <row r="976" ht="31" customHeight="1" spans="1:7">
      <c r="A976" s="6" t="s">
        <v>1674</v>
      </c>
      <c r="B976" s="12" t="s">
        <v>1675</v>
      </c>
      <c r="C976" s="4" t="s">
        <v>156</v>
      </c>
      <c r="D976" s="7">
        <v>726.6</v>
      </c>
      <c r="F976" s="32">
        <v>451.95</v>
      </c>
      <c r="G976" s="33">
        <f>(D976-F976)/F976</f>
        <v>0.607699966810488</v>
      </c>
    </row>
    <row r="977" ht="31" customHeight="1" spans="1:7">
      <c r="A977" s="6" t="s">
        <v>1676</v>
      </c>
      <c r="B977" s="12" t="s">
        <v>1677</v>
      </c>
      <c r="C977" s="4" t="s">
        <v>156</v>
      </c>
      <c r="D977" s="7">
        <v>1183.3</v>
      </c>
      <c r="F977" s="32">
        <v>794.55</v>
      </c>
      <c r="G977" s="33">
        <f>(D977-F977)/F977</f>
        <v>0.48927065634636</v>
      </c>
    </row>
    <row r="978" ht="31" customHeight="1" spans="1:7">
      <c r="A978" s="6" t="s">
        <v>1678</v>
      </c>
      <c r="B978" s="12" t="s">
        <v>1679</v>
      </c>
      <c r="C978" s="4"/>
      <c r="D978" s="14"/>
    </row>
    <row r="979" spans="1:7">
      <c r="A979" s="6" t="s">
        <v>1680</v>
      </c>
      <c r="B979" s="3" t="s">
        <v>1681</v>
      </c>
      <c r="C979" s="4" t="s">
        <v>156</v>
      </c>
      <c r="D979" s="7">
        <v>311.2</v>
      </c>
      <c r="F979" s="32">
        <v>163.9</v>
      </c>
      <c r="G979" s="33">
        <f>(D979-F979)/F979</f>
        <v>0.898718730933496</v>
      </c>
    </row>
    <row r="980" spans="1:7">
      <c r="A980" s="6" t="s">
        <v>1682</v>
      </c>
      <c r="B980" s="3" t="s">
        <v>1683</v>
      </c>
      <c r="C980" s="4" t="s">
        <v>156</v>
      </c>
      <c r="D980" s="7">
        <v>356.75</v>
      </c>
      <c r="F980" s="32">
        <v>196.4</v>
      </c>
      <c r="G980" s="33">
        <f>(D980-F980)/F980</f>
        <v>0.816446028513238</v>
      </c>
    </row>
    <row r="981" spans="1:7">
      <c r="A981" s="6" t="s">
        <v>1684</v>
      </c>
      <c r="B981" s="3" t="s">
        <v>1685</v>
      </c>
      <c r="C981" s="4" t="s">
        <v>156</v>
      </c>
      <c r="D981" s="7">
        <v>362.4</v>
      </c>
      <c r="F981" s="32">
        <v>202.2</v>
      </c>
      <c r="G981" s="33">
        <f>(D981-F981)/F981</f>
        <v>0.792284866468843</v>
      </c>
    </row>
    <row r="982" spans="1:7">
      <c r="A982" s="6" t="s">
        <v>1686</v>
      </c>
      <c r="B982" s="3" t="s">
        <v>1597</v>
      </c>
      <c r="C982" s="4" t="s">
        <v>156</v>
      </c>
      <c r="D982" s="7">
        <v>386.6</v>
      </c>
      <c r="F982" s="32">
        <v>219.65</v>
      </c>
      <c r="G982" s="33">
        <f>(D982-F982)/F982</f>
        <v>0.760072843159572</v>
      </c>
    </row>
    <row r="983" ht="31" customHeight="1" spans="1:7">
      <c r="A983" s="6" t="s">
        <v>1687</v>
      </c>
      <c r="B983" s="12" t="s">
        <v>1688</v>
      </c>
      <c r="C983" s="4" t="s">
        <v>156</v>
      </c>
      <c r="D983" s="7">
        <v>74.25</v>
      </c>
      <c r="F983" s="32">
        <v>49.1</v>
      </c>
      <c r="G983" s="33">
        <f>(D983-F983)/F983</f>
        <v>0.512219959266802</v>
      </c>
    </row>
    <row r="984" spans="1:7">
      <c r="A984" s="6" t="s">
        <v>1689</v>
      </c>
      <c r="B984" s="12" t="s">
        <v>1690</v>
      </c>
      <c r="C984" s="4"/>
      <c r="D984" s="14"/>
    </row>
    <row r="985" spans="1:7">
      <c r="A985" s="6" t="s">
        <v>1691</v>
      </c>
      <c r="B985" s="3" t="s">
        <v>1552</v>
      </c>
      <c r="C985" s="4" t="s">
        <v>156</v>
      </c>
      <c r="D985" s="7">
        <v>256.65</v>
      </c>
      <c r="F985" s="32">
        <v>171.2</v>
      </c>
      <c r="G985" s="33">
        <f t="shared" ref="G985:G991" si="11">(D985-F985)/F985</f>
        <v>0.499123831775701</v>
      </c>
    </row>
    <row r="986" spans="1:7">
      <c r="A986" s="6" t="s">
        <v>1692</v>
      </c>
      <c r="B986" s="3" t="s">
        <v>1554</v>
      </c>
      <c r="C986" s="4" t="s">
        <v>156</v>
      </c>
      <c r="D986" s="7">
        <v>234.7</v>
      </c>
      <c r="F986" s="32">
        <v>159.2</v>
      </c>
      <c r="G986" s="33">
        <f t="shared" si="11"/>
        <v>0.474246231155779</v>
      </c>
    </row>
    <row r="987" spans="1:7">
      <c r="A987" s="6" t="s">
        <v>1693</v>
      </c>
      <c r="B987" s="3" t="s">
        <v>1597</v>
      </c>
      <c r="C987" s="4" t="s">
        <v>156</v>
      </c>
      <c r="D987" s="7">
        <v>184.95</v>
      </c>
      <c r="F987" s="32">
        <v>124.35</v>
      </c>
      <c r="G987" s="33">
        <f t="shared" si="11"/>
        <v>0.487334137515078</v>
      </c>
    </row>
    <row r="988" ht="31" customHeight="1" spans="1:7">
      <c r="A988" s="6" t="s">
        <v>1694</v>
      </c>
      <c r="B988" s="12" t="s">
        <v>1695</v>
      </c>
      <c r="C988" s="4" t="s">
        <v>156</v>
      </c>
      <c r="D988" s="7">
        <v>121.65</v>
      </c>
      <c r="F988" s="32">
        <v>85.15</v>
      </c>
      <c r="G988" s="33">
        <f t="shared" si="11"/>
        <v>0.428655314151497</v>
      </c>
    </row>
    <row r="989" ht="46.5" customHeight="1" spans="1:7">
      <c r="A989" s="6" t="s">
        <v>1696</v>
      </c>
      <c r="B989" s="12" t="s">
        <v>1697</v>
      </c>
      <c r="C989" s="4" t="s">
        <v>156</v>
      </c>
      <c r="D989" s="7">
        <v>1124.85</v>
      </c>
      <c r="F989" s="32">
        <v>414.45</v>
      </c>
      <c r="G989" s="33">
        <f t="shared" si="11"/>
        <v>1.71407889974665</v>
      </c>
    </row>
    <row r="990" ht="62" customHeight="1" spans="1:7">
      <c r="A990" s="6" t="s">
        <v>1698</v>
      </c>
      <c r="B990" s="12" t="s">
        <v>1699</v>
      </c>
      <c r="C990" s="4" t="s">
        <v>156</v>
      </c>
      <c r="D990" s="7">
        <v>983.15</v>
      </c>
      <c r="F990" s="32">
        <v>388.4</v>
      </c>
      <c r="G990" s="33">
        <f t="shared" si="11"/>
        <v>1.53128218331617</v>
      </c>
    </row>
    <row r="991" ht="31" customHeight="1" spans="1:7">
      <c r="A991" s="6" t="s">
        <v>1700</v>
      </c>
      <c r="B991" s="12" t="s">
        <v>1701</v>
      </c>
      <c r="C991" s="4" t="s">
        <v>156</v>
      </c>
      <c r="D991" s="7">
        <v>89</v>
      </c>
      <c r="F991" s="32">
        <v>68.55</v>
      </c>
      <c r="G991" s="33">
        <f t="shared" si="11"/>
        <v>0.298322392414296</v>
      </c>
    </row>
    <row r="992" ht="31" customHeight="1" spans="1:7">
      <c r="A992" s="6" t="s">
        <v>1702</v>
      </c>
      <c r="B992" s="12" t="s">
        <v>1703</v>
      </c>
      <c r="C992" s="4"/>
      <c r="D992" s="14"/>
    </row>
    <row r="993" spans="1:7">
      <c r="A993" s="6" t="s">
        <v>1704</v>
      </c>
      <c r="B993" s="3" t="s">
        <v>1705</v>
      </c>
      <c r="C993" s="4" t="s">
        <v>156</v>
      </c>
      <c r="D993" s="7">
        <v>218.15</v>
      </c>
      <c r="F993" s="32">
        <v>169.15</v>
      </c>
      <c r="G993" s="33">
        <f>(D993-F993)/F993</f>
        <v>0.289683712681052</v>
      </c>
    </row>
    <row r="994" spans="1:7">
      <c r="A994" s="6" t="s">
        <v>1706</v>
      </c>
      <c r="B994" s="3" t="s">
        <v>1707</v>
      </c>
      <c r="C994" s="4" t="s">
        <v>156</v>
      </c>
      <c r="D994" s="7">
        <v>175.8</v>
      </c>
      <c r="F994" s="32">
        <v>138.25</v>
      </c>
      <c r="G994" s="33">
        <f>(D994-F994)/F994</f>
        <v>0.271609403254973</v>
      </c>
    </row>
    <row r="995" spans="1:7">
      <c r="A995" s="6" t="s">
        <v>1708</v>
      </c>
      <c r="B995" s="3" t="s">
        <v>1709</v>
      </c>
      <c r="C995" s="4" t="s">
        <v>156</v>
      </c>
      <c r="D995" s="7">
        <v>167.25</v>
      </c>
      <c r="F995" s="32">
        <v>126.65</v>
      </c>
      <c r="G995" s="33">
        <f>(D995-F995)/F995</f>
        <v>0.320568495854718</v>
      </c>
    </row>
    <row r="996" ht="31" customHeight="1" spans="1:7">
      <c r="A996" s="6" t="s">
        <v>1710</v>
      </c>
      <c r="B996" s="12" t="s">
        <v>1711</v>
      </c>
      <c r="C996" s="4"/>
      <c r="D996" s="14"/>
    </row>
    <row r="997" spans="1:7">
      <c r="A997" s="6" t="s">
        <v>1712</v>
      </c>
      <c r="B997" s="3" t="s">
        <v>1550</v>
      </c>
      <c r="C997" s="4" t="s">
        <v>156</v>
      </c>
      <c r="D997" s="7">
        <v>139.1</v>
      </c>
      <c r="F997" s="32">
        <v>104.8</v>
      </c>
      <c r="G997" s="33">
        <f>(D997-F997)/F997</f>
        <v>0.327290076335878</v>
      </c>
    </row>
    <row r="998" spans="1:7">
      <c r="A998" s="6" t="s">
        <v>1713</v>
      </c>
      <c r="B998" s="3" t="s">
        <v>1602</v>
      </c>
      <c r="C998" s="4" t="s">
        <v>156</v>
      </c>
      <c r="D998" s="7">
        <v>126</v>
      </c>
      <c r="F998" s="32">
        <v>88.1</v>
      </c>
      <c r="G998" s="33">
        <f>(D998-F998)/F998</f>
        <v>0.430192962542565</v>
      </c>
    </row>
    <row r="999" spans="1:7">
      <c r="A999" s="6" t="s">
        <v>1714</v>
      </c>
      <c r="B999" s="3" t="s">
        <v>1604</v>
      </c>
      <c r="C999" s="4" t="s">
        <v>156</v>
      </c>
      <c r="D999" s="7">
        <v>111.05</v>
      </c>
      <c r="F999" s="32">
        <v>77.65</v>
      </c>
      <c r="G999" s="33">
        <f>(D999-F999)/F999</f>
        <v>0.430135222150676</v>
      </c>
    </row>
    <row r="1000" spans="1:7">
      <c r="A1000" s="40"/>
      <c r="B1000" s="12" t="s">
        <v>1715</v>
      </c>
      <c r="C1000" s="4"/>
      <c r="D1000" s="14"/>
    </row>
    <row r="1001" ht="31" customHeight="1" spans="1:7">
      <c r="A1001" s="6" t="s">
        <v>1716</v>
      </c>
      <c r="B1001" s="12" t="s">
        <v>1717</v>
      </c>
      <c r="C1001" s="4" t="s">
        <v>156</v>
      </c>
      <c r="D1001" s="7">
        <v>998.35</v>
      </c>
      <c r="F1001" s="32">
        <v>678.4</v>
      </c>
      <c r="G1001" s="33">
        <f>(D1001-F1001)/F1001</f>
        <v>0.471624410377359</v>
      </c>
    </row>
    <row r="1002" ht="31" customHeight="1" spans="1:7">
      <c r="A1002" s="6" t="s">
        <v>1718</v>
      </c>
      <c r="B1002" s="12" t="s">
        <v>1719</v>
      </c>
      <c r="C1002" s="4" t="s">
        <v>156</v>
      </c>
      <c r="D1002" s="7">
        <v>952.8</v>
      </c>
      <c r="F1002" s="32">
        <v>730.7</v>
      </c>
      <c r="G1002" s="33">
        <f>(D1002-F1002)/F1002</f>
        <v>0.303955111536882</v>
      </c>
    </row>
    <row r="1003" ht="31" customHeight="1" spans="1:7">
      <c r="A1003" s="6" t="s">
        <v>1720</v>
      </c>
      <c r="B1003" s="12" t="s">
        <v>1721</v>
      </c>
      <c r="C1003" s="4"/>
      <c r="D1003" s="14"/>
    </row>
    <row r="1004" spans="1:7">
      <c r="A1004" s="6" t="s">
        <v>1722</v>
      </c>
      <c r="B1004" s="3" t="s">
        <v>1723</v>
      </c>
      <c r="C1004" s="4" t="s">
        <v>156</v>
      </c>
      <c r="D1004" s="7">
        <v>319.75</v>
      </c>
      <c r="F1004" s="32">
        <v>168.5</v>
      </c>
      <c r="G1004" s="33">
        <f>(D1004-F1004)/F1004</f>
        <v>0.897626112759644</v>
      </c>
    </row>
    <row r="1005" spans="1:7">
      <c r="A1005" s="6" t="s">
        <v>1724</v>
      </c>
      <c r="B1005" s="3" t="s">
        <v>1725</v>
      </c>
      <c r="C1005" s="4" t="s">
        <v>156</v>
      </c>
      <c r="D1005" s="7">
        <v>333.95</v>
      </c>
      <c r="F1005" s="32">
        <v>180.15</v>
      </c>
      <c r="G1005" s="33">
        <f>(D1005-F1005)/F1005</f>
        <v>0.853733000277546</v>
      </c>
    </row>
    <row r="1006" spans="1:7">
      <c r="A1006" s="6" t="s">
        <v>1726</v>
      </c>
      <c r="B1006" s="3" t="s">
        <v>1727</v>
      </c>
      <c r="C1006" s="4" t="s">
        <v>156</v>
      </c>
      <c r="D1006" s="7">
        <v>372.4</v>
      </c>
      <c r="F1006" s="32">
        <v>208</v>
      </c>
      <c r="G1006" s="33">
        <f>(D1006-F1006)/F1006</f>
        <v>0.790384615384615</v>
      </c>
    </row>
    <row r="1007" spans="1:7">
      <c r="A1007" s="6" t="s">
        <v>1728</v>
      </c>
      <c r="B1007" s="3" t="s">
        <v>1729</v>
      </c>
      <c r="C1007" s="4" t="s">
        <v>156</v>
      </c>
      <c r="D1007" s="7">
        <v>409.35</v>
      </c>
      <c r="F1007" s="32">
        <v>237.05</v>
      </c>
      <c r="G1007" s="33">
        <f>(D1007-F1007)/F1007</f>
        <v>0.726850875342755</v>
      </c>
    </row>
    <row r="1008" ht="31" customHeight="1" spans="1:7">
      <c r="A1008" s="6" t="s">
        <v>1730</v>
      </c>
      <c r="B1008" s="12" t="s">
        <v>1731</v>
      </c>
      <c r="C1008" s="4" t="s">
        <v>156</v>
      </c>
      <c r="D1008" s="7">
        <v>151.05</v>
      </c>
      <c r="F1008" s="32">
        <v>107.2</v>
      </c>
      <c r="G1008" s="33">
        <f>(D1008-F1008)/F1008</f>
        <v>0.409048507462687</v>
      </c>
    </row>
    <row r="1009" spans="1:7">
      <c r="A1009" s="6" t="s">
        <v>1732</v>
      </c>
      <c r="B1009" s="12" t="s">
        <v>1733</v>
      </c>
      <c r="C1009" s="4"/>
      <c r="D1009" s="14"/>
    </row>
    <row r="1010" spans="1:7">
      <c r="A1010" s="6" t="s">
        <v>1734</v>
      </c>
      <c r="B1010" s="3" t="s">
        <v>1552</v>
      </c>
      <c r="C1010" s="4" t="s">
        <v>156</v>
      </c>
      <c r="D1010" s="7">
        <v>231.05</v>
      </c>
      <c r="F1010" s="32">
        <v>211.85</v>
      </c>
      <c r="G1010" s="33">
        <f>(D1010-F1010)/F1010</f>
        <v>0.090630162851074</v>
      </c>
    </row>
    <row r="1011" spans="1:7">
      <c r="A1011" s="6" t="s">
        <v>1735</v>
      </c>
      <c r="B1011" s="3" t="s">
        <v>1554</v>
      </c>
      <c r="C1011" s="4" t="s">
        <v>156</v>
      </c>
      <c r="D1011" s="7">
        <v>206.25</v>
      </c>
      <c r="F1011" s="32">
        <v>182.45</v>
      </c>
      <c r="G1011" s="33">
        <f>(D1011-F1011)/F1011</f>
        <v>0.130446697725404</v>
      </c>
    </row>
    <row r="1012" spans="1:7">
      <c r="A1012" s="6" t="s">
        <v>1736</v>
      </c>
      <c r="B1012" s="3" t="s">
        <v>1597</v>
      </c>
      <c r="C1012" s="4" t="s">
        <v>156</v>
      </c>
      <c r="D1012" s="7">
        <v>176.4</v>
      </c>
      <c r="F1012" s="32">
        <v>159.2</v>
      </c>
      <c r="G1012" s="33">
        <f>(D1012-F1012)/F1012</f>
        <v>0.108040201005025</v>
      </c>
    </row>
    <row r="1013" ht="31" customHeight="1" spans="1:7">
      <c r="A1013" s="6" t="s">
        <v>1737</v>
      </c>
      <c r="B1013" s="12" t="s">
        <v>1738</v>
      </c>
      <c r="C1013" s="4" t="s">
        <v>156</v>
      </c>
      <c r="D1013" s="7">
        <v>155.45</v>
      </c>
      <c r="F1013" s="32">
        <v>125</v>
      </c>
      <c r="G1013" s="33">
        <f>(D1013-F1013)/F1013</f>
        <v>0.2436</v>
      </c>
    </row>
    <row r="1014" ht="31" customHeight="1" spans="1:7">
      <c r="A1014" s="6" t="s">
        <v>1739</v>
      </c>
      <c r="B1014" s="12" t="s">
        <v>1740</v>
      </c>
      <c r="C1014" s="4"/>
      <c r="D1014" s="14"/>
    </row>
    <row r="1015" spans="1:7">
      <c r="A1015" s="6" t="s">
        <v>1741</v>
      </c>
      <c r="B1015" s="3" t="s">
        <v>1705</v>
      </c>
      <c r="C1015" s="4" t="s">
        <v>156</v>
      </c>
      <c r="D1015" s="7">
        <v>215.2</v>
      </c>
      <c r="F1015" s="32">
        <v>188.9</v>
      </c>
      <c r="G1015" s="33">
        <f>(D1015-F1015)/F1015</f>
        <v>0.139227104287983</v>
      </c>
    </row>
    <row r="1016" spans="1:7">
      <c r="A1016" s="6" t="s">
        <v>1742</v>
      </c>
      <c r="B1016" s="3" t="s">
        <v>1707</v>
      </c>
      <c r="C1016" s="4" t="s">
        <v>156</v>
      </c>
      <c r="D1016" s="7">
        <v>191</v>
      </c>
      <c r="F1016" s="32">
        <v>165.65</v>
      </c>
      <c r="G1016" s="33">
        <f>(D1016-F1016)/F1016</f>
        <v>0.153033504376698</v>
      </c>
    </row>
    <row r="1017" spans="1:7">
      <c r="A1017" s="6" t="s">
        <v>1743</v>
      </c>
      <c r="B1017" s="3" t="s">
        <v>1709</v>
      </c>
      <c r="C1017" s="4" t="s">
        <v>156</v>
      </c>
      <c r="D1017" s="7">
        <v>166.8</v>
      </c>
      <c r="F1017" s="32">
        <v>148.25</v>
      </c>
      <c r="G1017" s="33">
        <f>(D1017-F1017)/F1017</f>
        <v>0.125126475548061</v>
      </c>
    </row>
    <row r="1018" spans="1:7">
      <c r="A1018" s="40"/>
      <c r="B1018" s="12" t="s">
        <v>1744</v>
      </c>
      <c r="C1018" s="4"/>
      <c r="D1018" s="14"/>
    </row>
    <row r="1019" ht="46.5" customHeight="1" spans="1:7">
      <c r="A1019" s="6" t="s">
        <v>1745</v>
      </c>
      <c r="B1019" s="12" t="s">
        <v>1746</v>
      </c>
      <c r="C1019" s="4"/>
      <c r="D1019" s="14"/>
    </row>
    <row r="1020" spans="1:7">
      <c r="A1020" s="6" t="s">
        <v>1747</v>
      </c>
      <c r="B1020" s="3" t="s">
        <v>1748</v>
      </c>
      <c r="C1020" s="4" t="s">
        <v>156</v>
      </c>
      <c r="D1020" s="7">
        <v>150.1</v>
      </c>
      <c r="F1020" s="32">
        <v>118.2</v>
      </c>
      <c r="G1020" s="33">
        <f t="shared" ref="G1020:G1027" si="12">(D1020-F1020)/F1020</f>
        <v>0.269881556683587</v>
      </c>
    </row>
    <row r="1021" spans="1:7">
      <c r="A1021" s="6" t="s">
        <v>1749</v>
      </c>
      <c r="B1021" s="3" t="s">
        <v>1750</v>
      </c>
      <c r="C1021" s="4" t="s">
        <v>156</v>
      </c>
      <c r="D1021" s="7">
        <v>126.65</v>
      </c>
      <c r="F1021" s="32">
        <v>98.45</v>
      </c>
      <c r="G1021" s="33">
        <f t="shared" si="12"/>
        <v>0.286439817166074</v>
      </c>
    </row>
    <row r="1022" spans="1:7">
      <c r="A1022" s="6" t="s">
        <v>1751</v>
      </c>
      <c r="B1022" s="3" t="s">
        <v>1752</v>
      </c>
      <c r="C1022" s="4" t="s">
        <v>156</v>
      </c>
      <c r="D1022" s="7">
        <v>115.4</v>
      </c>
      <c r="F1022" s="32">
        <v>87.55</v>
      </c>
      <c r="G1022" s="33">
        <f t="shared" si="12"/>
        <v>0.318103940605368</v>
      </c>
    </row>
    <row r="1023" spans="1:7">
      <c r="A1023" s="6" t="s">
        <v>1753</v>
      </c>
      <c r="B1023" s="3" t="s">
        <v>1754</v>
      </c>
      <c r="C1023" s="4" t="s">
        <v>156</v>
      </c>
      <c r="D1023" s="7">
        <v>104.75</v>
      </c>
      <c r="F1023" s="32">
        <v>79.45</v>
      </c>
      <c r="G1023" s="33">
        <f t="shared" si="12"/>
        <v>0.31843926998112</v>
      </c>
    </row>
    <row r="1024" spans="1:7">
      <c r="A1024" s="6" t="s">
        <v>1755</v>
      </c>
      <c r="B1024" s="3" t="s">
        <v>1756</v>
      </c>
      <c r="C1024" s="4" t="s">
        <v>156</v>
      </c>
      <c r="D1024" s="7">
        <v>96.9</v>
      </c>
      <c r="F1024" s="32">
        <v>73.05</v>
      </c>
      <c r="G1024" s="33">
        <f t="shared" si="12"/>
        <v>0.326488706365503</v>
      </c>
    </row>
    <row r="1025" spans="1:7">
      <c r="A1025" s="6" t="s">
        <v>1757</v>
      </c>
      <c r="B1025" s="3" t="s">
        <v>1758</v>
      </c>
      <c r="C1025" s="4" t="s">
        <v>156</v>
      </c>
      <c r="D1025" s="7">
        <v>87.9</v>
      </c>
      <c r="F1025" s="32">
        <v>62.05</v>
      </c>
      <c r="G1025" s="33">
        <f t="shared" si="12"/>
        <v>0.416599516518937</v>
      </c>
    </row>
    <row r="1026" spans="1:7">
      <c r="A1026" s="6" t="s">
        <v>1759</v>
      </c>
      <c r="B1026" s="3" t="s">
        <v>1760</v>
      </c>
      <c r="C1026" s="4" t="s">
        <v>156</v>
      </c>
      <c r="D1026" s="7">
        <v>81.5</v>
      </c>
      <c r="F1026" s="32">
        <v>56.25</v>
      </c>
      <c r="G1026" s="33">
        <f t="shared" si="12"/>
        <v>0.448888888888889</v>
      </c>
    </row>
    <row r="1027" spans="1:7">
      <c r="A1027" s="6" t="s">
        <v>1761</v>
      </c>
      <c r="B1027" s="3" t="s">
        <v>1762</v>
      </c>
      <c r="C1027" s="4" t="s">
        <v>156</v>
      </c>
      <c r="D1027" s="7">
        <v>76.5</v>
      </c>
      <c r="F1027" s="32">
        <v>52.8</v>
      </c>
      <c r="G1027" s="33">
        <f t="shared" si="12"/>
        <v>0.448863636363636</v>
      </c>
    </row>
    <row r="1028" ht="31" customHeight="1" spans="1:7">
      <c r="A1028" s="40"/>
      <c r="B1028" s="12" t="s">
        <v>1763</v>
      </c>
      <c r="C1028" s="4"/>
      <c r="D1028" s="7"/>
    </row>
    <row r="1029" ht="46.5" customHeight="1" spans="1:7">
      <c r="A1029" s="6" t="s">
        <v>1764</v>
      </c>
      <c r="B1029" s="12" t="s">
        <v>1765</v>
      </c>
      <c r="C1029" s="4"/>
      <c r="D1029" s="14"/>
    </row>
    <row r="1030" spans="1:7">
      <c r="A1030" s="6" t="s">
        <v>1766</v>
      </c>
      <c r="B1030" s="3" t="s">
        <v>1571</v>
      </c>
      <c r="C1030" s="4" t="s">
        <v>156</v>
      </c>
      <c r="D1030" s="7">
        <v>303.25</v>
      </c>
      <c r="F1030" s="32">
        <v>212.45</v>
      </c>
      <c r="G1030" s="33">
        <f>(D1030-F1030)/F1030</f>
        <v>0.427394681101436</v>
      </c>
    </row>
    <row r="1031" spans="1:7">
      <c r="A1031" s="6" t="s">
        <v>1767</v>
      </c>
      <c r="B1031" s="3" t="s">
        <v>1573</v>
      </c>
      <c r="C1031" s="4" t="s">
        <v>156</v>
      </c>
      <c r="D1031" s="7">
        <v>260.6</v>
      </c>
      <c r="F1031" s="32">
        <v>189.2</v>
      </c>
      <c r="G1031" s="33">
        <f>(D1031-F1031)/F1031</f>
        <v>0.377378435517971</v>
      </c>
    </row>
    <row r="1032" ht="46.5" customHeight="1" spans="1:7">
      <c r="A1032" s="6" t="s">
        <v>1768</v>
      </c>
      <c r="B1032" s="12" t="s">
        <v>1769</v>
      </c>
      <c r="C1032" s="4"/>
      <c r="D1032" s="14"/>
    </row>
    <row r="1033" spans="1:7">
      <c r="A1033" s="6" t="s">
        <v>1770</v>
      </c>
      <c r="B1033" s="3" t="s">
        <v>1771</v>
      </c>
      <c r="C1033" s="4" t="s">
        <v>156</v>
      </c>
      <c r="D1033" s="7">
        <v>130.1</v>
      </c>
      <c r="F1033" s="32">
        <v>99.7</v>
      </c>
      <c r="G1033" s="33">
        <f t="shared" ref="G1033:G1039" si="13">(D1033-F1033)/F1033</f>
        <v>0.304914744232698</v>
      </c>
    </row>
    <row r="1034" spans="1:7">
      <c r="A1034" s="6" t="s">
        <v>1772</v>
      </c>
      <c r="B1034" s="3" t="s">
        <v>1577</v>
      </c>
      <c r="C1034" s="4" t="s">
        <v>156</v>
      </c>
      <c r="D1034" s="7">
        <v>115.15</v>
      </c>
      <c r="F1034" s="32">
        <v>88.1</v>
      </c>
      <c r="G1034" s="33">
        <f t="shared" si="13"/>
        <v>0.307037457434733</v>
      </c>
    </row>
    <row r="1035" spans="1:7">
      <c r="A1035" s="6" t="s">
        <v>1773</v>
      </c>
      <c r="B1035" s="3" t="s">
        <v>1579</v>
      </c>
      <c r="C1035" s="4" t="s">
        <v>156</v>
      </c>
      <c r="D1035" s="7">
        <v>99.7</v>
      </c>
      <c r="F1035" s="32">
        <v>76.15</v>
      </c>
      <c r="G1035" s="33">
        <f t="shared" si="13"/>
        <v>0.309258043335522</v>
      </c>
    </row>
    <row r="1036" spans="1:7">
      <c r="A1036" s="6" t="s">
        <v>1774</v>
      </c>
      <c r="B1036" s="3" t="s">
        <v>1581</v>
      </c>
      <c r="C1036" s="4" t="s">
        <v>156</v>
      </c>
      <c r="D1036" s="7">
        <v>82.55</v>
      </c>
      <c r="F1036" s="32">
        <v>64.3</v>
      </c>
      <c r="G1036" s="33">
        <f t="shared" si="13"/>
        <v>0.283825816485226</v>
      </c>
    </row>
    <row r="1037" spans="1:7">
      <c r="A1037" s="6" t="s">
        <v>1775</v>
      </c>
      <c r="B1037" s="3" t="s">
        <v>1583</v>
      </c>
      <c r="C1037" s="4" t="s">
        <v>156</v>
      </c>
      <c r="D1037" s="7">
        <v>64.7</v>
      </c>
      <c r="F1037" s="32">
        <v>49.2</v>
      </c>
      <c r="G1037" s="33">
        <f t="shared" si="13"/>
        <v>0.315040650406504</v>
      </c>
    </row>
    <row r="1038" ht="46.5" customHeight="1" spans="1:7">
      <c r="A1038" s="6" t="s">
        <v>1776</v>
      </c>
      <c r="B1038" s="12" t="s">
        <v>1777</v>
      </c>
      <c r="C1038" s="4" t="s">
        <v>156</v>
      </c>
      <c r="D1038" s="7">
        <v>100.8</v>
      </c>
      <c r="F1038" s="32">
        <v>66.55</v>
      </c>
      <c r="G1038" s="33">
        <f t="shared" si="13"/>
        <v>0.514650638617581</v>
      </c>
    </row>
    <row r="1039" ht="46.5" customHeight="1" spans="1:7">
      <c r="A1039" s="6" t="s">
        <v>1778</v>
      </c>
      <c r="B1039" s="12" t="s">
        <v>1779</v>
      </c>
      <c r="C1039" s="4" t="s">
        <v>156</v>
      </c>
      <c r="D1039" s="7">
        <v>239.4</v>
      </c>
      <c r="F1039" s="32">
        <v>184.45</v>
      </c>
      <c r="G1039" s="33">
        <f t="shared" si="13"/>
        <v>0.297912713472486</v>
      </c>
    </row>
    <row r="1040" ht="46.5" customHeight="1" spans="1:7">
      <c r="A1040" s="6" t="s">
        <v>1780</v>
      </c>
      <c r="B1040" s="12" t="s">
        <v>1781</v>
      </c>
      <c r="C1040" s="4"/>
      <c r="D1040" s="14"/>
    </row>
    <row r="1041" spans="1:7">
      <c r="A1041" s="6" t="s">
        <v>1782</v>
      </c>
      <c r="B1041" s="3" t="s">
        <v>1552</v>
      </c>
      <c r="C1041" s="4" t="s">
        <v>156</v>
      </c>
      <c r="D1041" s="7">
        <v>66.25</v>
      </c>
      <c r="F1041" s="32">
        <v>51.1</v>
      </c>
      <c r="G1041" s="33">
        <f>(D1041-F1041)/F1041</f>
        <v>0.296477495107632</v>
      </c>
    </row>
    <row r="1042" spans="1:7">
      <c r="A1042" s="6" t="s">
        <v>1783</v>
      </c>
      <c r="B1042" s="3" t="s">
        <v>1554</v>
      </c>
      <c r="C1042" s="4" t="s">
        <v>156</v>
      </c>
      <c r="D1042" s="7">
        <v>59.55</v>
      </c>
      <c r="F1042" s="32">
        <v>45.1</v>
      </c>
      <c r="G1042" s="33">
        <f>(D1042-F1042)/F1042</f>
        <v>0.32039911308204</v>
      </c>
    </row>
    <row r="1043" spans="1:7">
      <c r="A1043" s="6" t="s">
        <v>1784</v>
      </c>
      <c r="B1043" s="3" t="s">
        <v>1597</v>
      </c>
      <c r="C1043" s="4" t="s">
        <v>156</v>
      </c>
      <c r="D1043" s="7">
        <v>51.75</v>
      </c>
      <c r="F1043" s="32">
        <v>38.95</v>
      </c>
      <c r="G1043" s="33">
        <f>(D1043-F1043)/F1043</f>
        <v>0.328626444159178</v>
      </c>
    </row>
    <row r="1044" ht="46.5" customHeight="1" spans="1:7">
      <c r="A1044" s="6" t="s">
        <v>1785</v>
      </c>
      <c r="B1044" s="12" t="s">
        <v>1786</v>
      </c>
      <c r="C1044" s="4"/>
      <c r="D1044" s="14"/>
    </row>
    <row r="1045" spans="1:7">
      <c r="A1045" s="6" t="s">
        <v>1787</v>
      </c>
      <c r="B1045" s="3" t="s">
        <v>1788</v>
      </c>
      <c r="C1045" s="4" t="s">
        <v>156</v>
      </c>
      <c r="D1045" s="7">
        <v>39.6</v>
      </c>
      <c r="F1045" s="32">
        <v>27.55</v>
      </c>
      <c r="G1045" s="33">
        <f>(D1045-F1045)/F1045</f>
        <v>0.437386569872958</v>
      </c>
    </row>
    <row r="1046" spans="1:7">
      <c r="A1046" s="6" t="s">
        <v>1789</v>
      </c>
      <c r="B1046" s="3" t="s">
        <v>1790</v>
      </c>
      <c r="C1046" s="4" t="s">
        <v>156</v>
      </c>
      <c r="D1046" s="7">
        <v>72.35</v>
      </c>
      <c r="F1046" s="32">
        <v>38</v>
      </c>
      <c r="G1046" s="33">
        <f>(D1046-F1046)/F1046</f>
        <v>0.903947368421052</v>
      </c>
    </row>
    <row r="1047" ht="46.5" customHeight="1" spans="1:7">
      <c r="A1047" s="6" t="s">
        <v>1791</v>
      </c>
      <c r="B1047" s="12" t="s">
        <v>1792</v>
      </c>
      <c r="C1047" s="4" t="s">
        <v>156</v>
      </c>
      <c r="D1047" s="7">
        <v>71.5</v>
      </c>
      <c r="F1047" s="32">
        <v>49.5</v>
      </c>
      <c r="G1047" s="33">
        <f>(D1047-F1047)/F1047</f>
        <v>0.444444444444444</v>
      </c>
    </row>
    <row r="1048" ht="46.5" customHeight="1" spans="1:7">
      <c r="A1048" s="6" t="s">
        <v>1793</v>
      </c>
      <c r="B1048" s="12" t="s">
        <v>1794</v>
      </c>
      <c r="C1048" s="4" t="s">
        <v>156</v>
      </c>
      <c r="D1048" s="7">
        <v>868.95</v>
      </c>
      <c r="F1048" s="32">
        <v>622.15</v>
      </c>
      <c r="G1048" s="33">
        <f>(D1048-F1048)/F1048</f>
        <v>0.39668890139034</v>
      </c>
    </row>
    <row r="1049" ht="31" customHeight="1" spans="1:7">
      <c r="A1049" s="6" t="s">
        <v>1795</v>
      </c>
      <c r="B1049" s="12" t="s">
        <v>1796</v>
      </c>
      <c r="C1049" s="4" t="s">
        <v>49</v>
      </c>
      <c r="D1049" s="7">
        <v>160.35</v>
      </c>
      <c r="F1049" s="32">
        <v>64.55</v>
      </c>
      <c r="G1049" s="33">
        <f>(D1049-F1049)/F1049</f>
        <v>1.48412083656081</v>
      </c>
    </row>
    <row r="1050" spans="1:7">
      <c r="A1050" s="40"/>
      <c r="B1050" s="12" t="s">
        <v>1797</v>
      </c>
      <c r="C1050" s="4"/>
      <c r="D1050" s="14"/>
    </row>
    <row r="1051" ht="310" customHeight="1" spans="1:7">
      <c r="A1051" s="6" t="s">
        <v>1798</v>
      </c>
      <c r="B1051" s="12" t="s">
        <v>1799</v>
      </c>
      <c r="C1051" s="4"/>
      <c r="D1051" s="14"/>
    </row>
    <row r="1052" ht="46.5" customHeight="1" spans="1:7">
      <c r="A1052" s="6" t="s">
        <v>1800</v>
      </c>
      <c r="B1052" s="3" t="s">
        <v>1801</v>
      </c>
      <c r="C1052" s="4" t="s">
        <v>12</v>
      </c>
      <c r="D1052" s="7">
        <v>2131.1</v>
      </c>
      <c r="F1052" s="32">
        <v>1309.65</v>
      </c>
      <c r="G1052" s="33">
        <f>(D1052-F1052)/F1052</f>
        <v>0.627228648875654</v>
      </c>
    </row>
    <row r="1053" ht="46.5" customHeight="1" spans="1:7">
      <c r="A1053" s="6" t="s">
        <v>1802</v>
      </c>
      <c r="B1053" s="3" t="s">
        <v>1803</v>
      </c>
      <c r="C1053" s="4" t="s">
        <v>12</v>
      </c>
      <c r="D1053" s="7">
        <v>1818.15</v>
      </c>
      <c r="F1053" s="32">
        <v>1181.85</v>
      </c>
      <c r="G1053" s="33">
        <f>(D1053-F1053)/F1053</f>
        <v>0.538393197106232</v>
      </c>
    </row>
    <row r="1054" ht="62" customHeight="1" spans="1:7">
      <c r="A1054" s="6" t="s">
        <v>1804</v>
      </c>
      <c r="B1054" s="3" t="s">
        <v>1805</v>
      </c>
      <c r="C1054" s="4" t="s">
        <v>12</v>
      </c>
      <c r="D1054" s="7">
        <v>2225</v>
      </c>
      <c r="F1054" s="32">
        <v>1309.65</v>
      </c>
      <c r="G1054" s="33">
        <f>(D1054-F1054)/F1054</f>
        <v>0.69892719428855</v>
      </c>
    </row>
    <row r="1055" ht="62" customHeight="1" spans="1:7">
      <c r="A1055" s="6" t="s">
        <v>1806</v>
      </c>
      <c r="B1055" s="3" t="s">
        <v>1807</v>
      </c>
      <c r="C1055" s="4" t="s">
        <v>12</v>
      </c>
      <c r="D1055" s="7">
        <v>2062.85</v>
      </c>
      <c r="F1055" s="32">
        <v>1228.35</v>
      </c>
      <c r="G1055" s="33">
        <f>(D1055-F1055)/F1055</f>
        <v>0.679366630032157</v>
      </c>
    </row>
    <row r="1056" ht="46.5" customHeight="1" spans="1:7">
      <c r="A1056" s="6" t="s">
        <v>1808</v>
      </c>
      <c r="B1056" s="3" t="s">
        <v>1809</v>
      </c>
      <c r="C1056" s="4" t="s">
        <v>12</v>
      </c>
      <c r="D1056" s="7">
        <v>2034.4</v>
      </c>
      <c r="F1056" s="32">
        <v>1222.6</v>
      </c>
      <c r="G1056" s="33">
        <f>(D1056-F1056)/F1056</f>
        <v>0.663994765254376</v>
      </c>
    </row>
    <row r="1057" spans="1:7">
      <c r="A1057" s="6" t="s">
        <v>1810</v>
      </c>
      <c r="B1057" s="12" t="s">
        <v>1811</v>
      </c>
      <c r="C1057" s="4"/>
      <c r="D1057" s="14"/>
    </row>
    <row r="1058" spans="1:7">
      <c r="A1058" s="6" t="s">
        <v>1812</v>
      </c>
      <c r="B1058" s="3" t="s">
        <v>1813</v>
      </c>
      <c r="C1058" s="4" t="s">
        <v>156</v>
      </c>
      <c r="D1058" s="7">
        <v>42.95</v>
      </c>
      <c r="F1058" s="32">
        <v>34.4</v>
      </c>
      <c r="G1058" s="33">
        <f>(D1058-F1058)/F1058</f>
        <v>0.248546511627907</v>
      </c>
    </row>
    <row r="1059" spans="1:7">
      <c r="A1059" s="6" t="s">
        <v>1814</v>
      </c>
      <c r="B1059" s="3" t="s">
        <v>1815</v>
      </c>
      <c r="C1059" s="4" t="s">
        <v>156</v>
      </c>
      <c r="D1059" s="7">
        <v>41.55</v>
      </c>
      <c r="F1059" s="32">
        <v>34.4</v>
      </c>
      <c r="G1059" s="33">
        <f>(D1059-F1059)/F1059</f>
        <v>0.207848837209302</v>
      </c>
    </row>
    <row r="1060" spans="1:7">
      <c r="A1060" s="6" t="s">
        <v>1816</v>
      </c>
      <c r="B1060" s="12" t="s">
        <v>1817</v>
      </c>
      <c r="C1060" s="4"/>
      <c r="D1060" s="14"/>
    </row>
    <row r="1061" spans="1:7">
      <c r="A1061" s="6" t="s">
        <v>1818</v>
      </c>
      <c r="B1061" s="3" t="s">
        <v>1819</v>
      </c>
      <c r="C1061" s="4" t="s">
        <v>156</v>
      </c>
      <c r="D1061" s="7">
        <v>75.9</v>
      </c>
      <c r="F1061" s="32">
        <v>55.65</v>
      </c>
      <c r="G1061" s="33">
        <f>(D1061-F1061)/F1061</f>
        <v>0.363881401617251</v>
      </c>
    </row>
    <row r="1062" spans="1:7">
      <c r="A1062" s="6" t="s">
        <v>1820</v>
      </c>
      <c r="B1062" s="3" t="s">
        <v>1821</v>
      </c>
      <c r="C1062" s="4" t="s">
        <v>156</v>
      </c>
      <c r="D1062" s="7">
        <v>89.1</v>
      </c>
      <c r="F1062" s="32">
        <v>69.8</v>
      </c>
      <c r="G1062" s="33">
        <f>(D1062-F1062)/F1062</f>
        <v>0.276504297994269</v>
      </c>
    </row>
    <row r="1063" ht="31" customHeight="1" spans="1:7">
      <c r="A1063" s="6" t="s">
        <v>1822</v>
      </c>
      <c r="B1063" s="12" t="s">
        <v>1823</v>
      </c>
      <c r="C1063" s="4"/>
      <c r="D1063" s="14"/>
    </row>
    <row r="1064" spans="1:7">
      <c r="A1064" s="6" t="s">
        <v>1824</v>
      </c>
      <c r="B1064" s="3" t="s">
        <v>1825</v>
      </c>
      <c r="C1064" s="4" t="s">
        <v>156</v>
      </c>
      <c r="D1064" s="7">
        <v>69.75</v>
      </c>
      <c r="F1064" s="32">
        <v>66.25</v>
      </c>
      <c r="G1064" s="33">
        <f>(D1064-F1064)/F1064</f>
        <v>0.0528301886792453</v>
      </c>
    </row>
    <row r="1065" spans="1:7">
      <c r="A1065" s="6" t="s">
        <v>1826</v>
      </c>
      <c r="B1065" s="3" t="s">
        <v>1827</v>
      </c>
      <c r="C1065" s="4" t="s">
        <v>156</v>
      </c>
      <c r="D1065" s="7">
        <v>106.15</v>
      </c>
      <c r="F1065" s="32">
        <v>91.7</v>
      </c>
      <c r="G1065" s="33">
        <f>(D1065-F1065)/F1065</f>
        <v>0.157579062159215</v>
      </c>
    </row>
    <row r="1066" ht="31" customHeight="1" spans="1:7">
      <c r="A1066" s="6" t="s">
        <v>1828</v>
      </c>
      <c r="B1066" s="12" t="s">
        <v>1829</v>
      </c>
      <c r="C1066" s="4" t="s">
        <v>156</v>
      </c>
      <c r="D1066" s="7">
        <v>40.05</v>
      </c>
      <c r="F1066" s="32">
        <v>32.15</v>
      </c>
      <c r="G1066" s="33">
        <f>(D1066-F1066)/F1066</f>
        <v>0.245723172628305</v>
      </c>
    </row>
    <row r="1067" ht="62" customHeight="1" spans="1:7">
      <c r="A1067" s="6" t="s">
        <v>1830</v>
      </c>
      <c r="B1067" s="12" t="s">
        <v>1831</v>
      </c>
      <c r="C1067" s="4" t="s">
        <v>12</v>
      </c>
      <c r="D1067" s="7">
        <v>689.4</v>
      </c>
      <c r="F1067" s="32">
        <v>434.5</v>
      </c>
      <c r="G1067" s="33">
        <f>(D1067-F1067)/F1067</f>
        <v>0.586651323360184</v>
      </c>
    </row>
    <row r="1068" ht="46.5" customHeight="1" spans="1:7">
      <c r="A1068" s="6" t="s">
        <v>1832</v>
      </c>
      <c r="B1068" s="12" t="s">
        <v>1833</v>
      </c>
      <c r="C1068" s="4"/>
      <c r="D1068" s="14"/>
    </row>
    <row r="1069" spans="1:7">
      <c r="A1069" s="6" t="s">
        <v>1834</v>
      </c>
      <c r="B1069" s="3" t="s">
        <v>1835</v>
      </c>
      <c r="C1069" s="4" t="s">
        <v>49</v>
      </c>
      <c r="D1069" s="7">
        <v>354.35</v>
      </c>
      <c r="F1069" s="32">
        <v>197.3</v>
      </c>
      <c r="G1069" s="33">
        <f>(D1069-F1069)/F1069</f>
        <v>0.795995945261024</v>
      </c>
    </row>
    <row r="1070" ht="46.5" customHeight="1" spans="1:7">
      <c r="A1070" s="6" t="s">
        <v>1836</v>
      </c>
      <c r="B1070" s="12" t="s">
        <v>1837</v>
      </c>
      <c r="C1070" s="4" t="s">
        <v>49</v>
      </c>
      <c r="D1070" s="7">
        <v>102.15</v>
      </c>
      <c r="F1070" s="32">
        <v>64.35</v>
      </c>
      <c r="G1070" s="33">
        <f>(D1070-F1070)/F1070</f>
        <v>0.587412587412588</v>
      </c>
    </row>
    <row r="1071" ht="46.5" customHeight="1" spans="1:7">
      <c r="A1071" s="6" t="s">
        <v>1838</v>
      </c>
      <c r="B1071" s="12" t="s">
        <v>1839</v>
      </c>
      <c r="C1071" s="4" t="s">
        <v>156</v>
      </c>
      <c r="D1071" s="7">
        <v>850.05</v>
      </c>
      <c r="F1071" s="32">
        <v>473.65</v>
      </c>
      <c r="G1071" s="33">
        <f>(D1071-F1071)/F1071</f>
        <v>0.794679615750026</v>
      </c>
    </row>
    <row r="1072" ht="31" customHeight="1" spans="1:7">
      <c r="A1072" s="6" t="s">
        <v>1840</v>
      </c>
      <c r="B1072" s="12" t="s">
        <v>1841</v>
      </c>
      <c r="C1072" s="4"/>
      <c r="D1072" s="14"/>
    </row>
    <row r="1073" spans="1:7">
      <c r="A1073" s="6" t="s">
        <v>1842</v>
      </c>
      <c r="B1073" s="3" t="s">
        <v>1843</v>
      </c>
      <c r="C1073" s="4" t="s">
        <v>156</v>
      </c>
      <c r="D1073" s="7">
        <v>52.5</v>
      </c>
      <c r="F1073" s="32">
        <v>28.45</v>
      </c>
      <c r="G1073" s="33">
        <f>(D1073-F1073)/F1073</f>
        <v>0.845342706502636</v>
      </c>
    </row>
    <row r="1074" spans="1:7">
      <c r="A1074" s="6" t="s">
        <v>1844</v>
      </c>
      <c r="B1074" s="3" t="s">
        <v>1845</v>
      </c>
      <c r="C1074" s="4" t="s">
        <v>156</v>
      </c>
      <c r="D1074" s="7">
        <v>39.7</v>
      </c>
      <c r="F1074" s="32">
        <v>21.5</v>
      </c>
      <c r="G1074" s="33">
        <f>(D1074-F1074)/F1074</f>
        <v>0.846511627906977</v>
      </c>
    </row>
    <row r="1075" ht="31" customHeight="1" spans="1:7">
      <c r="A1075" s="6" t="s">
        <v>1846</v>
      </c>
      <c r="B1075" s="12" t="s">
        <v>1847</v>
      </c>
      <c r="C1075" s="4" t="s">
        <v>1848</v>
      </c>
      <c r="D1075" s="7">
        <v>414.2</v>
      </c>
      <c r="F1075" s="32">
        <v>198.25</v>
      </c>
      <c r="G1075" s="33">
        <f>(D1075-F1075)/F1075</f>
        <v>1.08928121059269</v>
      </c>
    </row>
    <row r="1076" ht="46.5" customHeight="1" spans="1:7">
      <c r="A1076" s="6" t="s">
        <v>1849</v>
      </c>
      <c r="B1076" s="12" t="s">
        <v>1850</v>
      </c>
      <c r="C1076" s="4" t="s">
        <v>156</v>
      </c>
      <c r="D1076" s="7">
        <v>20.4</v>
      </c>
      <c r="F1076" s="32">
        <v>12.55</v>
      </c>
      <c r="G1076" s="33">
        <f>(D1076-F1076)/F1076</f>
        <v>0.625498007968127</v>
      </c>
    </row>
    <row r="1077" ht="108.5" customHeight="1" spans="1:7">
      <c r="A1077" s="6" t="s">
        <v>1851</v>
      </c>
      <c r="B1077" s="12" t="s">
        <v>1852</v>
      </c>
      <c r="C1077" s="4"/>
      <c r="D1077" s="14"/>
    </row>
    <row r="1078" spans="1:7">
      <c r="A1078" s="6" t="s">
        <v>1853</v>
      </c>
      <c r="B1078" s="3" t="s">
        <v>1854</v>
      </c>
      <c r="C1078" s="4" t="s">
        <v>49</v>
      </c>
      <c r="D1078" s="7">
        <v>270.2</v>
      </c>
      <c r="F1078" s="32">
        <v>216.8</v>
      </c>
      <c r="G1078" s="33">
        <f>(D1078-F1078)/F1078</f>
        <v>0.246309963099631</v>
      </c>
    </row>
    <row r="1079" spans="1:7">
      <c r="A1079" s="6" t="s">
        <v>1855</v>
      </c>
      <c r="B1079" s="3" t="s">
        <v>1856</v>
      </c>
      <c r="C1079" s="4" t="s">
        <v>49</v>
      </c>
      <c r="D1079" s="7">
        <v>331.35</v>
      </c>
      <c r="F1079" s="32">
        <v>205.2</v>
      </c>
      <c r="G1079" s="33">
        <f>(D1079-F1079)/F1079</f>
        <v>0.614766081871345</v>
      </c>
    </row>
    <row r="1080" spans="1:7">
      <c r="A1080" s="6" t="s">
        <v>1857</v>
      </c>
      <c r="B1080" s="12" t="s">
        <v>1858</v>
      </c>
      <c r="C1080" s="4"/>
      <c r="D1080" s="14"/>
    </row>
    <row r="1081" ht="201.5" customHeight="1" spans="1:7">
      <c r="A1081" s="6" t="s">
        <v>1859</v>
      </c>
      <c r="B1081" s="3" t="s">
        <v>1860</v>
      </c>
      <c r="C1081" s="4" t="s">
        <v>12</v>
      </c>
      <c r="D1081" s="7">
        <v>2969.25</v>
      </c>
      <c r="F1081" s="32">
        <v>1800.45</v>
      </c>
      <c r="G1081" s="33">
        <f>(D1081-F1081)/F1081</f>
        <v>0.64917104057319</v>
      </c>
    </row>
    <row r="1082" ht="201.5" customHeight="1" spans="1:7">
      <c r="A1082" s="6" t="s">
        <v>1861</v>
      </c>
      <c r="B1082" s="3" t="s">
        <v>1862</v>
      </c>
      <c r="C1082" s="4" t="s">
        <v>12</v>
      </c>
      <c r="D1082" s="7">
        <v>3253.8</v>
      </c>
      <c r="F1082" s="32">
        <v>1948</v>
      </c>
      <c r="G1082" s="33">
        <f>(D1082-F1082)/F1082</f>
        <v>0.670328542094456</v>
      </c>
    </row>
    <row r="1083" ht="170.5" customHeight="1" spans="1:7">
      <c r="A1083" s="6" t="s">
        <v>1863</v>
      </c>
      <c r="B1083" s="3" t="s">
        <v>1864</v>
      </c>
      <c r="C1083" s="4" t="s">
        <v>12</v>
      </c>
      <c r="D1083" s="7">
        <v>3068.85</v>
      </c>
      <c r="F1083" s="32">
        <v>2154.75</v>
      </c>
      <c r="G1083" s="33">
        <f>(D1083-F1083)/F1083</f>
        <v>0.424225548207449</v>
      </c>
    </row>
    <row r="1084" ht="108.5" customHeight="1" spans="1:7">
      <c r="A1084" s="6" t="s">
        <v>1865</v>
      </c>
      <c r="B1084" s="12" t="s">
        <v>1866</v>
      </c>
      <c r="C1084" s="4" t="s">
        <v>49</v>
      </c>
      <c r="D1084" s="7">
        <v>492.7</v>
      </c>
      <c r="F1084" s="32">
        <v>438.75</v>
      </c>
      <c r="G1084" s="33">
        <f>(D1084-F1084)/F1084</f>
        <v>0.122962962962963</v>
      </c>
    </row>
    <row r="1085" ht="248" customHeight="1" spans="1:7">
      <c r="A1085" s="6" t="s">
        <v>1867</v>
      </c>
      <c r="B1085" s="12" t="s">
        <v>1868</v>
      </c>
      <c r="C1085" s="4"/>
      <c r="D1085" s="14"/>
    </row>
    <row r="1086" spans="1:7">
      <c r="A1086" s="6" t="s">
        <v>1869</v>
      </c>
      <c r="B1086" s="3" t="s">
        <v>1870</v>
      </c>
      <c r="C1086" s="4" t="s">
        <v>12</v>
      </c>
      <c r="D1086" s="7">
        <v>3182.95</v>
      </c>
      <c r="F1086" s="32">
        <v>2768.1</v>
      </c>
      <c r="G1086" s="33">
        <f>(D1086-F1086)/F1086</f>
        <v>0.149868140601857</v>
      </c>
    </row>
    <row r="1087" spans="1:7">
      <c r="A1087" s="6" t="s">
        <v>1871</v>
      </c>
      <c r="B1087" s="3" t="s">
        <v>1872</v>
      </c>
      <c r="C1087" s="4" t="s">
        <v>12</v>
      </c>
      <c r="D1087" s="7">
        <v>3663.8</v>
      </c>
      <c r="F1087" s="32">
        <v>3232.7</v>
      </c>
      <c r="G1087" s="33">
        <f>(D1087-F1087)/F1087</f>
        <v>0.13335601818913</v>
      </c>
    </row>
    <row r="1088" ht="93" customHeight="1" spans="1:7">
      <c r="A1088" s="6" t="s">
        <v>1873</v>
      </c>
      <c r="B1088" s="12" t="s">
        <v>1874</v>
      </c>
      <c r="C1088" s="4" t="s">
        <v>49</v>
      </c>
      <c r="D1088" s="7">
        <v>570.95</v>
      </c>
      <c r="F1088" s="32">
        <v>415.5</v>
      </c>
      <c r="G1088" s="33">
        <f>(D1088-F1088)/F1088</f>
        <v>0.374127557160048</v>
      </c>
    </row>
    <row r="1089" spans="1:19">
      <c r="A1089" s="6" t="s">
        <v>1875</v>
      </c>
      <c r="B1089" s="12" t="s">
        <v>1858</v>
      </c>
      <c r="C1089" s="4"/>
      <c r="D1089" s="14"/>
    </row>
    <row r="1090" ht="93" customHeight="1" spans="1:19">
      <c r="A1090" s="6" t="s">
        <v>1876</v>
      </c>
      <c r="B1090" s="3" t="s">
        <v>1877</v>
      </c>
      <c r="C1090" s="4" t="s">
        <v>12</v>
      </c>
      <c r="D1090" s="7">
        <v>3720.75</v>
      </c>
      <c r="F1090" s="32">
        <v>2187.35</v>
      </c>
      <c r="G1090" s="33">
        <f>(D1090-F1090)/F1090</f>
        <v>0.701030927835052</v>
      </c>
    </row>
    <row r="1091" ht="108.5" customHeight="1" spans="1:19">
      <c r="A1091" s="6" t="s">
        <v>1878</v>
      </c>
      <c r="B1091" s="3" t="s">
        <v>1879</v>
      </c>
      <c r="C1091" s="4" t="s">
        <v>12</v>
      </c>
      <c r="D1091" s="7">
        <v>4488.95</v>
      </c>
      <c r="F1091" s="32">
        <v>2535.8</v>
      </c>
      <c r="G1091" s="33">
        <f>(D1091-F1091)/F1091</f>
        <v>0.770230302074296</v>
      </c>
    </row>
    <row r="1092" ht="170.5" customHeight="1" spans="1:19">
      <c r="A1092" s="6" t="s">
        <v>1880</v>
      </c>
      <c r="B1092" s="12" t="s">
        <v>1881</v>
      </c>
      <c r="C1092" s="4" t="s">
        <v>49</v>
      </c>
      <c r="D1092" s="7">
        <v>696</v>
      </c>
      <c r="F1092" s="32">
        <v>380.7</v>
      </c>
      <c r="G1092" s="33">
        <f>(D1092-F1092)/F1092</f>
        <v>0.828211189913318</v>
      </c>
    </row>
    <row r="1093" ht="77.5" customHeight="1" spans="1:19">
      <c r="A1093" s="6" t="s">
        <v>1882</v>
      </c>
      <c r="B1093" s="12" t="s">
        <v>1883</v>
      </c>
      <c r="C1093" s="4" t="s">
        <v>49</v>
      </c>
      <c r="D1093" s="7">
        <v>135.8</v>
      </c>
    </row>
    <row r="1094" ht="263.5" customHeight="1" spans="1:19">
      <c r="A1094" s="6" t="s">
        <v>1884</v>
      </c>
      <c r="B1094" s="12" t="s">
        <v>1885</v>
      </c>
      <c r="C1094" s="4"/>
      <c r="D1094" s="7"/>
      <c r="F1094" s="32">
        <v>2535.8</v>
      </c>
      <c r="G1094" s="33">
        <f>(D1094-F1094)/F1094</f>
        <v>-1</v>
      </c>
      <c r="S1094" s="34" t="s">
        <v>1886</v>
      </c>
    </row>
    <row r="1095" ht="77.5" customHeight="1" spans="1:19">
      <c r="A1095" s="6" t="s">
        <v>1887</v>
      </c>
      <c r="B1095" s="12" t="s">
        <v>1888</v>
      </c>
      <c r="C1095" s="4" t="s">
        <v>12</v>
      </c>
      <c r="D1095" s="7">
        <v>3754.2</v>
      </c>
    </row>
    <row r="1096" ht="62" customHeight="1" spans="1:19">
      <c r="A1096" s="6" t="s">
        <v>1889</v>
      </c>
      <c r="B1096" s="12" t="s">
        <v>1890</v>
      </c>
      <c r="C1096" s="4" t="s">
        <v>12</v>
      </c>
      <c r="D1096" s="7">
        <v>4138.35</v>
      </c>
    </row>
    <row r="1097" ht="62" customHeight="1" spans="1:19">
      <c r="A1097" s="6" t="s">
        <v>1891</v>
      </c>
      <c r="B1097" s="12" t="s">
        <v>1892</v>
      </c>
      <c r="C1097" s="4" t="s">
        <v>12</v>
      </c>
      <c r="D1097" s="7">
        <v>4678.95</v>
      </c>
    </row>
    <row r="1098" ht="62" customHeight="1" spans="1:19">
      <c r="A1098" s="6" t="s">
        <v>1893</v>
      </c>
      <c r="B1098" s="12" t="s">
        <v>1894</v>
      </c>
      <c r="C1098" s="4"/>
      <c r="D1098" s="14"/>
    </row>
    <row r="1099" spans="1:19">
      <c r="A1099" s="6" t="s">
        <v>1895</v>
      </c>
      <c r="B1099" s="3" t="s">
        <v>1896</v>
      </c>
      <c r="C1099" s="4" t="s">
        <v>12</v>
      </c>
      <c r="D1099" s="7">
        <v>2486.25</v>
      </c>
      <c r="F1099" s="32">
        <v>1446.6</v>
      </c>
      <c r="G1099" s="33">
        <f>(D1099-F1099)/F1099</f>
        <v>0.718685192866031</v>
      </c>
    </row>
    <row r="1100" spans="1:19">
      <c r="A1100" s="6" t="s">
        <v>1897</v>
      </c>
      <c r="B1100" s="3" t="s">
        <v>1898</v>
      </c>
      <c r="C1100" s="4" t="s">
        <v>12</v>
      </c>
      <c r="D1100" s="7">
        <v>2777.7</v>
      </c>
      <c r="F1100" s="32">
        <v>1633.8</v>
      </c>
      <c r="G1100" s="33">
        <f>(D1100-F1100)/F1100</f>
        <v>0.700146896804994</v>
      </c>
    </row>
    <row r="1101" ht="62" customHeight="1" spans="1:19">
      <c r="A1101" s="6" t="s">
        <v>1899</v>
      </c>
      <c r="B1101" s="12" t="s">
        <v>1900</v>
      </c>
      <c r="C1101" s="4"/>
      <c r="D1101" s="14"/>
    </row>
    <row r="1102" spans="1:19">
      <c r="A1102" s="6" t="s">
        <v>1901</v>
      </c>
      <c r="B1102" s="3" t="s">
        <v>1902</v>
      </c>
      <c r="C1102" s="4" t="s">
        <v>12</v>
      </c>
      <c r="D1102" s="7">
        <v>1045.95</v>
      </c>
      <c r="F1102" s="32">
        <v>837.4</v>
      </c>
      <c r="G1102" s="33">
        <f>(D1102-F1102)/F1102</f>
        <v>0.2490446620492</v>
      </c>
    </row>
    <row r="1103" spans="1:19">
      <c r="A1103" s="6" t="s">
        <v>1903</v>
      </c>
      <c r="B1103" s="3" t="s">
        <v>1904</v>
      </c>
      <c r="C1103" s="4" t="s">
        <v>12</v>
      </c>
      <c r="D1103" s="7">
        <v>897.3</v>
      </c>
      <c r="F1103" s="32">
        <v>518</v>
      </c>
      <c r="G1103" s="33">
        <f>(D1103-F1103)/F1103</f>
        <v>0.732239382239382</v>
      </c>
    </row>
    <row r="1104" ht="186" customHeight="1" spans="1:19">
      <c r="A1104" s="6" t="s">
        <v>1905</v>
      </c>
      <c r="B1104" s="12" t="s">
        <v>1906</v>
      </c>
      <c r="C1104" s="4" t="s">
        <v>12</v>
      </c>
      <c r="D1104" s="7">
        <v>5207.45</v>
      </c>
      <c r="F1104" s="32">
        <v>4113.35</v>
      </c>
      <c r="G1104" s="33">
        <f>(D1104-F1104)/F1104</f>
        <v>0.265987577035749</v>
      </c>
    </row>
    <row r="1105" ht="93" customHeight="1" spans="1:7">
      <c r="A1105" s="6" t="s">
        <v>1907</v>
      </c>
      <c r="B1105" s="12" t="s">
        <v>1908</v>
      </c>
      <c r="C1105" s="4" t="s">
        <v>12</v>
      </c>
      <c r="D1105" s="7">
        <v>2307.35</v>
      </c>
      <c r="F1105" s="32">
        <v>1590.8</v>
      </c>
      <c r="G1105" s="33">
        <f>(D1105-F1105)/F1105</f>
        <v>0.450433744028162</v>
      </c>
    </row>
    <row r="1106" ht="62" customHeight="1" spans="1:7">
      <c r="A1106" s="6" t="s">
        <v>1909</v>
      </c>
      <c r="B1106" s="12" t="s">
        <v>1910</v>
      </c>
      <c r="C1106" s="4"/>
      <c r="D1106" s="14"/>
    </row>
    <row r="1107" spans="1:7">
      <c r="A1107" s="6" t="s">
        <v>1911</v>
      </c>
      <c r="B1107" s="3" t="s">
        <v>1912</v>
      </c>
      <c r="C1107" s="4" t="s">
        <v>12</v>
      </c>
      <c r="D1107" s="7">
        <v>1927.5</v>
      </c>
      <c r="F1107" s="32">
        <v>1370.1</v>
      </c>
      <c r="G1107" s="33">
        <f>(D1107-F1107)/F1107</f>
        <v>0.406831618130064</v>
      </c>
    </row>
    <row r="1108" spans="1:7">
      <c r="A1108" s="6" t="s">
        <v>1913</v>
      </c>
      <c r="B1108" s="3" t="s">
        <v>1914</v>
      </c>
      <c r="C1108" s="4" t="s">
        <v>12</v>
      </c>
      <c r="D1108" s="7">
        <v>1809.4</v>
      </c>
      <c r="F1108" s="32">
        <v>1565.55</v>
      </c>
      <c r="G1108" s="33">
        <f>(D1108-F1108)/F1108</f>
        <v>0.155759956564786</v>
      </c>
    </row>
    <row r="1109" ht="124" customHeight="1" spans="1:7">
      <c r="A1109" s="6" t="s">
        <v>1915</v>
      </c>
      <c r="B1109" s="12" t="s">
        <v>1916</v>
      </c>
      <c r="C1109" s="4"/>
      <c r="D1109" s="14"/>
    </row>
    <row r="1110" spans="1:7">
      <c r="A1110" s="6" t="s">
        <v>1917</v>
      </c>
      <c r="B1110" s="3" t="s">
        <v>558</v>
      </c>
      <c r="C1110" s="4" t="s">
        <v>12</v>
      </c>
      <c r="D1110" s="7">
        <v>1801.6</v>
      </c>
      <c r="F1110" s="32">
        <v>1270.3</v>
      </c>
      <c r="G1110" s="33">
        <f>(D1110-F1110)/F1110</f>
        <v>0.418247658033535</v>
      </c>
    </row>
    <row r="1111" ht="31" customHeight="1" spans="1:7">
      <c r="A1111" s="6" t="s">
        <v>1918</v>
      </c>
      <c r="B1111" s="12" t="s">
        <v>1919</v>
      </c>
      <c r="C1111" s="4" t="s">
        <v>575</v>
      </c>
      <c r="D1111" s="7">
        <v>596.15</v>
      </c>
      <c r="F1111" s="32">
        <v>437.8</v>
      </c>
      <c r="G1111" s="33">
        <f>(D1111-F1111)/F1111</f>
        <v>0.361694837825491</v>
      </c>
    </row>
    <row r="1112" ht="155" customHeight="1" spans="1:7">
      <c r="A1112" s="6" t="s">
        <v>1920</v>
      </c>
      <c r="B1112" s="12" t="s">
        <v>1921</v>
      </c>
      <c r="C1112" s="4"/>
      <c r="D1112" s="14"/>
    </row>
    <row r="1113" ht="46.5" customHeight="1" spans="1:7">
      <c r="A1113" s="6" t="s">
        <v>1922</v>
      </c>
      <c r="B1113" s="3" t="s">
        <v>1923</v>
      </c>
      <c r="C1113" s="4"/>
      <c r="D1113" s="14"/>
    </row>
    <row r="1114" spans="1:7">
      <c r="A1114" s="6" t="s">
        <v>1924</v>
      </c>
      <c r="B1114" s="3" t="s">
        <v>1925</v>
      </c>
      <c r="C1114" s="4" t="s">
        <v>12</v>
      </c>
      <c r="D1114" s="7">
        <v>1790.95</v>
      </c>
      <c r="F1114" s="32">
        <v>1014.1</v>
      </c>
      <c r="G1114" s="33">
        <f>(D1114-F1114)/F1114</f>
        <v>0.76604871314466</v>
      </c>
    </row>
    <row r="1115" spans="1:7">
      <c r="A1115" s="6" t="s">
        <v>1926</v>
      </c>
      <c r="B1115" s="3" t="s">
        <v>1927</v>
      </c>
      <c r="C1115" s="4"/>
      <c r="D1115" s="14"/>
    </row>
    <row r="1116" spans="1:7">
      <c r="A1116" s="6" t="s">
        <v>1928</v>
      </c>
      <c r="B1116" s="3" t="s">
        <v>1929</v>
      </c>
      <c r="C1116" s="4" t="s">
        <v>12</v>
      </c>
      <c r="D1116" s="7">
        <v>1443.45</v>
      </c>
      <c r="F1116" s="32">
        <v>777.7</v>
      </c>
      <c r="G1116" s="33">
        <f>(D1116-F1116)/F1116</f>
        <v>0.856049890703356</v>
      </c>
    </row>
    <row r="1117" spans="1:7">
      <c r="A1117" s="6" t="s">
        <v>1930</v>
      </c>
      <c r="B1117" s="3" t="s">
        <v>1931</v>
      </c>
      <c r="C1117" s="4" t="s">
        <v>12</v>
      </c>
      <c r="D1117" s="7">
        <v>1427.8</v>
      </c>
      <c r="F1117" s="32">
        <v>771.3</v>
      </c>
      <c r="G1117" s="33">
        <f>(D1117-F1117)/F1117</f>
        <v>0.851160378581616</v>
      </c>
    </row>
    <row r="1118" ht="31" customHeight="1" spans="1:7">
      <c r="A1118" s="6" t="s">
        <v>1932</v>
      </c>
      <c r="B1118" s="3" t="s">
        <v>1933</v>
      </c>
      <c r="C1118" s="4"/>
      <c r="D1118" s="14"/>
    </row>
    <row r="1119" spans="1:7">
      <c r="A1119" s="6" t="s">
        <v>1934</v>
      </c>
      <c r="B1119" s="3" t="s">
        <v>1935</v>
      </c>
      <c r="C1119" s="4" t="s">
        <v>12</v>
      </c>
      <c r="D1119" s="7">
        <v>1308.85</v>
      </c>
      <c r="F1119" s="32">
        <v>752.1</v>
      </c>
      <c r="G1119" s="33">
        <f>(D1119-F1119)/F1119</f>
        <v>0.740260603643132</v>
      </c>
    </row>
    <row r="1120" ht="46.5" customHeight="1" spans="1:7">
      <c r="A1120" s="6" t="s">
        <v>1936</v>
      </c>
      <c r="B1120" s="12" t="s">
        <v>1937</v>
      </c>
      <c r="C1120" s="4"/>
      <c r="D1120" s="14"/>
    </row>
    <row r="1121" spans="1:7">
      <c r="A1121" s="6" t="s">
        <v>1938</v>
      </c>
      <c r="B1121" s="3" t="s">
        <v>1275</v>
      </c>
      <c r="C1121" s="4"/>
      <c r="D1121" s="14"/>
    </row>
    <row r="1122" spans="1:7">
      <c r="A1122" s="6" t="s">
        <v>1939</v>
      </c>
      <c r="B1122" s="3" t="s">
        <v>1418</v>
      </c>
      <c r="C1122" s="4"/>
      <c r="D1122" s="14"/>
    </row>
    <row r="1123" spans="1:7">
      <c r="A1123" s="6" t="s">
        <v>1940</v>
      </c>
      <c r="B1123" s="3" t="s">
        <v>1256</v>
      </c>
      <c r="C1123" s="4" t="s">
        <v>12</v>
      </c>
      <c r="D1123" s="7">
        <v>5024.15</v>
      </c>
      <c r="F1123" s="32">
        <v>3236.2</v>
      </c>
      <c r="G1123" s="33">
        <f>(D1123-F1123)/F1123</f>
        <v>0.552484395278413</v>
      </c>
    </row>
    <row r="1124" spans="1:7">
      <c r="A1124" s="6" t="s">
        <v>1941</v>
      </c>
      <c r="B1124" s="3" t="s">
        <v>1229</v>
      </c>
      <c r="C1124" s="4" t="s">
        <v>12</v>
      </c>
      <c r="D1124" s="7">
        <v>3771.2</v>
      </c>
      <c r="F1124" s="32">
        <v>2477.55</v>
      </c>
      <c r="G1124" s="33">
        <f>(D1124-F1124)/F1124</f>
        <v>0.522148897095921</v>
      </c>
    </row>
    <row r="1125" spans="1:7">
      <c r="A1125" s="6" t="s">
        <v>1942</v>
      </c>
      <c r="B1125" s="3" t="s">
        <v>1422</v>
      </c>
      <c r="C1125" s="4" t="s">
        <v>12</v>
      </c>
      <c r="D1125" s="7">
        <v>4546.8</v>
      </c>
      <c r="F1125" s="32">
        <v>3187.8</v>
      </c>
      <c r="G1125" s="33">
        <f>(D1125-F1125)/F1125</f>
        <v>0.426312817617165</v>
      </c>
    </row>
    <row r="1126" spans="1:7">
      <c r="A1126" s="6" t="s">
        <v>1943</v>
      </c>
      <c r="B1126" s="3" t="s">
        <v>1424</v>
      </c>
      <c r="C1126" s="4"/>
      <c r="D1126" s="14"/>
    </row>
    <row r="1127" spans="1:7">
      <c r="A1127" s="6" t="s">
        <v>1944</v>
      </c>
      <c r="B1127" s="3" t="s">
        <v>1256</v>
      </c>
      <c r="C1127" s="4" t="s">
        <v>12</v>
      </c>
      <c r="D1127" s="7">
        <v>5217.65</v>
      </c>
      <c r="F1127" s="32">
        <v>3336</v>
      </c>
      <c r="G1127" s="33">
        <f>(D1127-F1127)/F1127</f>
        <v>0.564043764988009</v>
      </c>
    </row>
    <row r="1128" spans="1:7">
      <c r="A1128" s="6" t="s">
        <v>1945</v>
      </c>
      <c r="B1128" s="3" t="s">
        <v>1229</v>
      </c>
      <c r="C1128" s="4" t="s">
        <v>12</v>
      </c>
      <c r="D1128" s="7">
        <v>3964.75</v>
      </c>
      <c r="F1128" s="32">
        <v>2577.35</v>
      </c>
      <c r="G1128" s="33">
        <f>(D1128-F1128)/F1128</f>
        <v>0.538304848002794</v>
      </c>
    </row>
    <row r="1129" spans="1:7">
      <c r="A1129" s="6" t="s">
        <v>1946</v>
      </c>
      <c r="B1129" s="3" t="s">
        <v>1422</v>
      </c>
      <c r="C1129" s="4" t="s">
        <v>12</v>
      </c>
      <c r="D1129" s="7">
        <v>4740.3</v>
      </c>
    </row>
    <row r="1130" spans="1:7">
      <c r="A1130" s="6" t="s">
        <v>1947</v>
      </c>
      <c r="B1130" s="3" t="s">
        <v>1277</v>
      </c>
      <c r="C1130" s="4"/>
      <c r="D1130" s="50"/>
      <c r="E1130" s="40"/>
    </row>
    <row r="1131" ht="31" customHeight="1" spans="1:7">
      <c r="A1131" s="6" t="s">
        <v>1948</v>
      </c>
      <c r="B1131" s="3" t="s">
        <v>1949</v>
      </c>
      <c r="C1131" s="50"/>
      <c r="D1131" s="50"/>
      <c r="E1131" s="40"/>
    </row>
    <row r="1132" spans="1:7">
      <c r="A1132" s="6" t="s">
        <v>1950</v>
      </c>
      <c r="B1132" s="3" t="s">
        <v>1256</v>
      </c>
      <c r="C1132" s="4" t="s">
        <v>12</v>
      </c>
      <c r="D1132" s="7">
        <v>4498.6</v>
      </c>
      <c r="F1132" s="32">
        <v>2905.6</v>
      </c>
      <c r="G1132" s="33">
        <f>(D1132-F1132)/F1132</f>
        <v>0.548251651982379</v>
      </c>
    </row>
    <row r="1133" spans="1:7">
      <c r="A1133" s="6" t="s">
        <v>1951</v>
      </c>
      <c r="B1133" s="3" t="s">
        <v>1952</v>
      </c>
      <c r="C1133" s="4" t="s">
        <v>12</v>
      </c>
      <c r="D1133" s="7">
        <v>3426.05</v>
      </c>
      <c r="F1133" s="32">
        <v>2257.4</v>
      </c>
      <c r="G1133" s="33">
        <f>(D1133-F1133)/F1133</f>
        <v>0.517697350934704</v>
      </c>
    </row>
    <row r="1134" spans="1:7">
      <c r="A1134" s="6" t="s">
        <v>1953</v>
      </c>
      <c r="B1134" s="3" t="s">
        <v>1422</v>
      </c>
      <c r="C1134" s="4" t="s">
        <v>12</v>
      </c>
      <c r="D1134" s="7">
        <v>4090</v>
      </c>
      <c r="F1134" s="32">
        <v>2864.2</v>
      </c>
      <c r="G1134" s="33">
        <f>(D1134-F1134)/F1134</f>
        <v>0.427972906919908</v>
      </c>
    </row>
    <row r="1135" spans="1:7">
      <c r="A1135" s="6" t="s">
        <v>1954</v>
      </c>
      <c r="B1135" s="3" t="s">
        <v>1424</v>
      </c>
      <c r="C1135" s="4"/>
      <c r="D1135" s="14"/>
    </row>
    <row r="1136" spans="1:7">
      <c r="A1136" s="6" t="s">
        <v>1955</v>
      </c>
      <c r="B1136" s="3" t="s">
        <v>1256</v>
      </c>
      <c r="C1136" s="4" t="s">
        <v>12</v>
      </c>
      <c r="D1136" s="7">
        <v>4692.1</v>
      </c>
      <c r="F1136" s="32">
        <v>3005.45</v>
      </c>
      <c r="G1136" s="33">
        <f>(D1136-F1136)/F1136</f>
        <v>0.5611971584954</v>
      </c>
    </row>
    <row r="1137" spans="1:7">
      <c r="A1137" s="6" t="s">
        <v>1956</v>
      </c>
      <c r="B1137" s="3" t="s">
        <v>1229</v>
      </c>
      <c r="C1137" s="4" t="s">
        <v>12</v>
      </c>
      <c r="D1137" s="7">
        <v>3619.6</v>
      </c>
      <c r="F1137" s="32">
        <v>2357.35</v>
      </c>
      <c r="G1137" s="33">
        <f>(D1137-F1137)/F1137</f>
        <v>0.535452945044223</v>
      </c>
    </row>
    <row r="1138" spans="1:7">
      <c r="A1138" s="6" t="s">
        <v>1957</v>
      </c>
      <c r="B1138" s="3" t="s">
        <v>1422</v>
      </c>
      <c r="C1138" s="4" t="s">
        <v>12</v>
      </c>
      <c r="D1138" s="7">
        <v>4283.5</v>
      </c>
      <c r="F1138" s="32">
        <v>2964.05</v>
      </c>
      <c r="G1138" s="33">
        <f>(D1138-F1138)/F1138</f>
        <v>0.445151060204787</v>
      </c>
    </row>
    <row r="1139" ht="46.5" customHeight="1" spans="1:7">
      <c r="A1139" s="6" t="s">
        <v>1958</v>
      </c>
      <c r="B1139" s="12" t="s">
        <v>1959</v>
      </c>
      <c r="C1139" s="4"/>
      <c r="D1139" s="14"/>
    </row>
    <row r="1140" spans="1:7">
      <c r="A1140" s="6" t="s">
        <v>1960</v>
      </c>
      <c r="B1140" s="3" t="s">
        <v>1961</v>
      </c>
      <c r="C1140" s="4" t="s">
        <v>12</v>
      </c>
      <c r="D1140" s="7">
        <v>1597.15</v>
      </c>
      <c r="F1140" s="32">
        <v>1343.55</v>
      </c>
      <c r="G1140" s="33">
        <f t="shared" ref="G1140:G1145" si="14">(D1140-F1140)/F1140</f>
        <v>0.188753674965576</v>
      </c>
    </row>
    <row r="1141" spans="1:7">
      <c r="A1141" s="6" t="s">
        <v>1962</v>
      </c>
      <c r="B1141" s="3" t="s">
        <v>1498</v>
      </c>
      <c r="C1141" s="4" t="s">
        <v>12</v>
      </c>
      <c r="D1141" s="7">
        <v>1228</v>
      </c>
      <c r="F1141" s="32">
        <v>1094.1</v>
      </c>
      <c r="G1141" s="33">
        <f t="shared" si="14"/>
        <v>0.122383694360662</v>
      </c>
    </row>
    <row r="1142" ht="108.5" customHeight="1" spans="1:7">
      <c r="A1142" s="6" t="s">
        <v>1963</v>
      </c>
      <c r="B1142" s="12" t="s">
        <v>1964</v>
      </c>
      <c r="C1142" s="4" t="s">
        <v>49</v>
      </c>
      <c r="D1142" s="7">
        <v>1709.25</v>
      </c>
      <c r="F1142" s="32">
        <v>1249.2</v>
      </c>
      <c r="G1142" s="33">
        <f t="shared" si="14"/>
        <v>0.368275696445725</v>
      </c>
    </row>
    <row r="1143" ht="124" customHeight="1" spans="1:7">
      <c r="A1143" s="6" t="s">
        <v>1965</v>
      </c>
      <c r="B1143" s="12" t="s">
        <v>1966</v>
      </c>
      <c r="C1143" s="4" t="s">
        <v>12</v>
      </c>
      <c r="D1143" s="7">
        <v>7533.2</v>
      </c>
      <c r="F1143" s="32">
        <v>5335.85</v>
      </c>
      <c r="G1143" s="33">
        <f t="shared" si="14"/>
        <v>0.411808802721216</v>
      </c>
    </row>
    <row r="1144" ht="217" customHeight="1" spans="1:7">
      <c r="A1144" s="6" t="s">
        <v>1967</v>
      </c>
      <c r="B1144" s="12" t="s">
        <v>1968</v>
      </c>
      <c r="C1144" s="4" t="s">
        <v>12</v>
      </c>
      <c r="D1144" s="7">
        <v>40405.55</v>
      </c>
      <c r="F1144" s="32">
        <v>27339.45</v>
      </c>
      <c r="G1144" s="33">
        <f t="shared" si="14"/>
        <v>0.47792109936374</v>
      </c>
    </row>
    <row r="1145" ht="46.5" customHeight="1" spans="1:7">
      <c r="A1145" s="6" t="s">
        <v>1969</v>
      </c>
      <c r="B1145" s="12" t="s">
        <v>1970</v>
      </c>
      <c r="C1145" s="4" t="s">
        <v>156</v>
      </c>
      <c r="D1145" s="7">
        <v>8366.15</v>
      </c>
      <c r="F1145" s="32">
        <v>6143.3</v>
      </c>
      <c r="G1145" s="33">
        <f t="shared" si="14"/>
        <v>0.361833216675077</v>
      </c>
    </row>
    <row r="1146" ht="46.5" customHeight="1" spans="1:7">
      <c r="A1146" s="6" t="s">
        <v>1971</v>
      </c>
      <c r="B1146" s="12" t="s">
        <v>1972</v>
      </c>
      <c r="C1146" s="4"/>
      <c r="D1146" s="14"/>
    </row>
    <row r="1147" spans="1:7">
      <c r="A1147" s="6" t="s">
        <v>1973</v>
      </c>
      <c r="B1147" s="3" t="s">
        <v>1974</v>
      </c>
      <c r="C1147" s="4" t="s">
        <v>12</v>
      </c>
      <c r="D1147" s="7">
        <v>1224.65</v>
      </c>
      <c r="F1147" s="32">
        <v>1074.65</v>
      </c>
      <c r="G1147" s="33">
        <f>(D1147-F1147)/F1147</f>
        <v>0.13958032847904</v>
      </c>
    </row>
    <row r="1148" ht="139.5" customHeight="1" spans="1:7">
      <c r="A1148" s="6" t="s">
        <v>1975</v>
      </c>
      <c r="B1148" s="12" t="s">
        <v>1976</v>
      </c>
      <c r="C1148" s="4" t="s">
        <v>49</v>
      </c>
      <c r="D1148" s="7">
        <v>573.45</v>
      </c>
      <c r="F1148" s="32">
        <v>614.5</v>
      </c>
      <c r="G1148" s="33">
        <f>(D1148-F1148)/F1148</f>
        <v>-0.0668022782750203</v>
      </c>
    </row>
    <row r="1149" ht="217" customHeight="1" spans="1:7">
      <c r="A1149" s="6" t="s">
        <v>1977</v>
      </c>
      <c r="B1149" s="12" t="s">
        <v>1978</v>
      </c>
      <c r="C1149" s="4"/>
      <c r="D1149" s="14"/>
    </row>
    <row r="1150" spans="1:7">
      <c r="A1150" s="6" t="s">
        <v>1979</v>
      </c>
      <c r="B1150" s="3" t="s">
        <v>1980</v>
      </c>
      <c r="C1150" s="4" t="s">
        <v>12</v>
      </c>
      <c r="D1150" s="7">
        <v>3997.45</v>
      </c>
      <c r="F1150" s="32">
        <v>2718.45</v>
      </c>
      <c r="G1150" s="33">
        <f t="shared" ref="G1150:G1155" si="15">(D1150-F1150)/F1150</f>
        <v>0.470488697603414</v>
      </c>
    </row>
    <row r="1151" spans="1:7">
      <c r="A1151" s="6" t="s">
        <v>1981</v>
      </c>
      <c r="B1151" s="3" t="s">
        <v>1982</v>
      </c>
      <c r="C1151" s="4" t="s">
        <v>12</v>
      </c>
      <c r="D1151" s="7">
        <v>4713.05</v>
      </c>
      <c r="F1151" s="32">
        <v>3241.1</v>
      </c>
      <c r="G1151" s="33">
        <f t="shared" si="15"/>
        <v>0.454151368362593</v>
      </c>
    </row>
    <row r="1152" ht="124" customHeight="1" spans="1:7">
      <c r="A1152" s="6" t="s">
        <v>1983</v>
      </c>
      <c r="B1152" s="12" t="s">
        <v>1984</v>
      </c>
      <c r="C1152" s="4" t="s">
        <v>49</v>
      </c>
      <c r="D1152" s="7">
        <v>623</v>
      </c>
      <c r="F1152" s="32">
        <v>425.9</v>
      </c>
      <c r="G1152" s="33">
        <f t="shared" si="15"/>
        <v>0.462784691242076</v>
      </c>
    </row>
    <row r="1153" ht="155" customHeight="1" spans="1:7">
      <c r="A1153" s="6" t="s">
        <v>1985</v>
      </c>
      <c r="B1153" s="12" t="s">
        <v>1986</v>
      </c>
      <c r="C1153" s="4" t="s">
        <v>12</v>
      </c>
      <c r="D1153" s="7">
        <v>4076.05</v>
      </c>
      <c r="F1153" s="32">
        <v>2967.8</v>
      </c>
      <c r="G1153" s="33">
        <f t="shared" si="15"/>
        <v>0.373424759080801</v>
      </c>
    </row>
    <row r="1154" ht="139.5" customHeight="1" spans="1:7">
      <c r="A1154" s="6" t="s">
        <v>1987</v>
      </c>
      <c r="B1154" s="12" t="s">
        <v>1988</v>
      </c>
      <c r="C1154" s="4" t="s">
        <v>49</v>
      </c>
      <c r="D1154" s="7">
        <v>763.85</v>
      </c>
      <c r="F1154" s="32">
        <v>472.35</v>
      </c>
      <c r="G1154" s="33">
        <f t="shared" si="15"/>
        <v>0.617127130305917</v>
      </c>
    </row>
    <row r="1155" ht="201.5" customHeight="1" spans="1:7">
      <c r="A1155" s="6" t="s">
        <v>1989</v>
      </c>
      <c r="B1155" s="12" t="s">
        <v>1990</v>
      </c>
      <c r="C1155" s="4" t="s">
        <v>12</v>
      </c>
      <c r="D1155" s="7">
        <v>4362</v>
      </c>
      <c r="F1155" s="32">
        <v>3200.1</v>
      </c>
      <c r="G1155" s="33">
        <f t="shared" si="15"/>
        <v>0.363082403674885</v>
      </c>
    </row>
    <row r="1156" ht="372" customHeight="1" spans="1:7">
      <c r="A1156" s="6" t="s">
        <v>1991</v>
      </c>
      <c r="B1156" s="12" t="s">
        <v>1992</v>
      </c>
      <c r="C1156" s="4"/>
      <c r="D1156" s="7"/>
    </row>
    <row r="1157" ht="62" customHeight="1" spans="1:7">
      <c r="A1157" s="40"/>
      <c r="B1157" s="12" t="s">
        <v>1993</v>
      </c>
      <c r="C1157" s="4"/>
      <c r="D1157" s="7"/>
    </row>
    <row r="1158" ht="31" customHeight="1" spans="1:7">
      <c r="A1158" s="6" t="s">
        <v>1994</v>
      </c>
      <c r="B1158" s="3" t="s">
        <v>1995</v>
      </c>
      <c r="C1158" s="4"/>
      <c r="D1158" s="7"/>
    </row>
    <row r="1159" ht="46.5" customHeight="1" spans="1:7">
      <c r="A1159" s="6" t="s">
        <v>1996</v>
      </c>
      <c r="B1159" s="3" t="s">
        <v>1997</v>
      </c>
      <c r="C1159" s="4" t="s">
        <v>12</v>
      </c>
      <c r="D1159" s="7">
        <v>8298.85</v>
      </c>
    </row>
    <row r="1160" ht="46.5" customHeight="1" spans="1:7">
      <c r="A1160" s="6" t="s">
        <v>1998</v>
      </c>
      <c r="B1160" s="3" t="s">
        <v>1999</v>
      </c>
      <c r="C1160" s="4" t="s">
        <v>12</v>
      </c>
      <c r="D1160" s="7">
        <v>8799.25</v>
      </c>
    </row>
    <row r="1161" ht="46.5" customHeight="1" spans="1:7">
      <c r="A1161" s="6" t="s">
        <v>2000</v>
      </c>
      <c r="B1161" s="3" t="s">
        <v>2001</v>
      </c>
      <c r="C1161" s="4" t="s">
        <v>12</v>
      </c>
      <c r="D1161" s="7">
        <v>9628.6</v>
      </c>
    </row>
    <row r="1162" ht="46.5" customHeight="1" spans="1:7">
      <c r="A1162" s="6" t="s">
        <v>2002</v>
      </c>
      <c r="B1162" s="3" t="s">
        <v>2003</v>
      </c>
      <c r="C1162" s="4"/>
      <c r="D1162" s="7"/>
    </row>
    <row r="1163" ht="31" customHeight="1" spans="1:7">
      <c r="A1163" s="6" t="s">
        <v>2004</v>
      </c>
      <c r="B1163" s="3" t="s">
        <v>2005</v>
      </c>
      <c r="C1163" s="4" t="s">
        <v>12</v>
      </c>
      <c r="D1163" s="7">
        <v>7860.35</v>
      </c>
    </row>
    <row r="1164" ht="31" customHeight="1" spans="1:7">
      <c r="A1164" s="6" t="s">
        <v>2006</v>
      </c>
      <c r="B1164" s="3" t="s">
        <v>2007</v>
      </c>
      <c r="C1164" s="4" t="s">
        <v>12</v>
      </c>
      <c r="D1164" s="7">
        <v>8579.55</v>
      </c>
    </row>
    <row r="1165" ht="31" customHeight="1" spans="1:7">
      <c r="A1165" s="6" t="s">
        <v>2008</v>
      </c>
      <c r="B1165" s="3" t="s">
        <v>2009</v>
      </c>
      <c r="C1165" s="4"/>
      <c r="D1165" s="7"/>
    </row>
    <row r="1166" ht="46.5" customHeight="1" spans="1:7">
      <c r="A1166" s="6" t="s">
        <v>2010</v>
      </c>
      <c r="B1166" s="3" t="s">
        <v>2011</v>
      </c>
      <c r="C1166" s="4" t="s">
        <v>12</v>
      </c>
      <c r="D1166" s="7">
        <v>9873.05</v>
      </c>
    </row>
    <row r="1167" ht="62" customHeight="1" spans="1:7">
      <c r="A1167" s="6" t="s">
        <v>2012</v>
      </c>
      <c r="B1167" s="3" t="s">
        <v>2013</v>
      </c>
      <c r="C1167" s="4" t="s">
        <v>12</v>
      </c>
      <c r="D1167" s="7">
        <v>9968.7</v>
      </c>
    </row>
    <row r="1168" ht="31" customHeight="1" spans="1:7">
      <c r="A1168" s="6" t="s">
        <v>2014</v>
      </c>
      <c r="B1168" s="3" t="s">
        <v>2015</v>
      </c>
      <c r="C1168" s="4"/>
      <c r="D1168" s="7"/>
    </row>
    <row r="1169" ht="46.5" customHeight="1" spans="1:4">
      <c r="A1169" s="6" t="s">
        <v>2016</v>
      </c>
      <c r="B1169" s="3" t="s">
        <v>2017</v>
      </c>
      <c r="C1169" s="4" t="s">
        <v>12</v>
      </c>
      <c r="D1169" s="7">
        <v>10993.55</v>
      </c>
    </row>
    <row r="1170" ht="46.5" customHeight="1" spans="1:4">
      <c r="A1170" s="6" t="s">
        <v>2018</v>
      </c>
      <c r="B1170" s="3" t="s">
        <v>2019</v>
      </c>
      <c r="C1170" s="4" t="s">
        <v>12</v>
      </c>
      <c r="D1170" s="7">
        <v>10874.2</v>
      </c>
    </row>
    <row r="1171" ht="46.5" customHeight="1" spans="1:4">
      <c r="A1171" s="6" t="s">
        <v>2020</v>
      </c>
      <c r="B1171" s="3" t="s">
        <v>2021</v>
      </c>
      <c r="C1171" s="4" t="s">
        <v>12</v>
      </c>
      <c r="D1171" s="7">
        <v>12372.25</v>
      </c>
    </row>
    <row r="1172" ht="31" customHeight="1" spans="1:4">
      <c r="A1172" s="6" t="s">
        <v>2022</v>
      </c>
      <c r="B1172" s="3" t="s">
        <v>2023</v>
      </c>
      <c r="C1172" s="4"/>
      <c r="D1172" s="7"/>
    </row>
    <row r="1173" ht="46.5" customHeight="1" spans="1:4">
      <c r="A1173" s="6" t="s">
        <v>2024</v>
      </c>
      <c r="B1173" s="3" t="s">
        <v>2025</v>
      </c>
      <c r="C1173" s="4" t="s">
        <v>12</v>
      </c>
      <c r="D1173" s="7">
        <v>8748.35</v>
      </c>
    </row>
    <row r="1174" ht="46.5" customHeight="1" spans="1:4">
      <c r="A1174" s="6" t="s">
        <v>2026</v>
      </c>
      <c r="B1174" s="3" t="s">
        <v>2027</v>
      </c>
      <c r="C1174" s="4" t="s">
        <v>12</v>
      </c>
      <c r="D1174" s="7">
        <v>8543.6</v>
      </c>
    </row>
    <row r="1175" ht="46.5" customHeight="1" spans="1:4">
      <c r="A1175" s="6" t="s">
        <v>2028</v>
      </c>
      <c r="B1175" s="3" t="s">
        <v>2029</v>
      </c>
      <c r="C1175" s="4" t="s">
        <v>12</v>
      </c>
      <c r="D1175" s="7">
        <v>9888.35</v>
      </c>
    </row>
    <row r="1176" ht="46.5" customHeight="1" spans="1:4">
      <c r="A1176" s="6" t="s">
        <v>2030</v>
      </c>
      <c r="B1176" s="3" t="s">
        <v>2031</v>
      </c>
      <c r="C1176" s="4"/>
      <c r="D1176" s="7"/>
    </row>
    <row r="1177" ht="31" customHeight="1" spans="1:4">
      <c r="A1177" s="6" t="s">
        <v>2032</v>
      </c>
      <c r="B1177" s="3" t="s">
        <v>2033</v>
      </c>
      <c r="C1177" s="4" t="s">
        <v>12</v>
      </c>
      <c r="D1177" s="7">
        <v>8106.3</v>
      </c>
    </row>
    <row r="1178" ht="31" customHeight="1" spans="1:4">
      <c r="A1178" s="6" t="s">
        <v>2034</v>
      </c>
      <c r="B1178" s="3" t="s">
        <v>2035</v>
      </c>
      <c r="C1178" s="4" t="s">
        <v>12</v>
      </c>
      <c r="D1178" s="7">
        <v>7732.85</v>
      </c>
    </row>
    <row r="1179" ht="46.5" customHeight="1" spans="1:4">
      <c r="A1179" s="6" t="s">
        <v>2036</v>
      </c>
      <c r="B1179" s="3" t="s">
        <v>2037</v>
      </c>
      <c r="C1179" s="4"/>
      <c r="D1179" s="7"/>
    </row>
    <row r="1180" ht="31" customHeight="1" spans="1:4">
      <c r="A1180" s="6" t="s">
        <v>2038</v>
      </c>
      <c r="B1180" s="3" t="s">
        <v>2033</v>
      </c>
      <c r="C1180" s="4" t="s">
        <v>12</v>
      </c>
      <c r="D1180" s="7">
        <v>7345.35</v>
      </c>
    </row>
    <row r="1181" ht="31" customHeight="1" spans="1:4">
      <c r="A1181" s="6" t="s">
        <v>2039</v>
      </c>
      <c r="B1181" s="3" t="s">
        <v>2035</v>
      </c>
      <c r="C1181" s="4" t="s">
        <v>12</v>
      </c>
      <c r="D1181" s="7">
        <v>7196.7</v>
      </c>
    </row>
    <row r="1182" ht="62" customHeight="1" spans="1:4">
      <c r="A1182" s="6" t="s">
        <v>2040</v>
      </c>
      <c r="B1182" s="3" t="s">
        <v>2041</v>
      </c>
      <c r="C1182" s="4"/>
      <c r="D1182" s="7"/>
    </row>
    <row r="1183" ht="31" customHeight="1" spans="1:4">
      <c r="A1183" s="6" t="s">
        <v>2042</v>
      </c>
      <c r="B1183" s="3" t="s">
        <v>2043</v>
      </c>
      <c r="C1183" s="4" t="s">
        <v>12</v>
      </c>
      <c r="D1183" s="7">
        <v>10078.95</v>
      </c>
    </row>
    <row r="1184" ht="31" customHeight="1" spans="1:4">
      <c r="A1184" s="6" t="s">
        <v>2044</v>
      </c>
      <c r="B1184" s="3" t="s">
        <v>2045</v>
      </c>
      <c r="C1184" s="4" t="s">
        <v>12</v>
      </c>
      <c r="D1184" s="7">
        <v>9894.8</v>
      </c>
    </row>
    <row r="1185" ht="46.5" customHeight="1" spans="1:4">
      <c r="A1185" s="6" t="s">
        <v>2046</v>
      </c>
      <c r="B1185" s="3" t="s">
        <v>2047</v>
      </c>
      <c r="C1185" s="4"/>
      <c r="D1185" s="7"/>
    </row>
    <row r="1186" ht="31" customHeight="1" spans="1:4">
      <c r="A1186" s="6" t="s">
        <v>2048</v>
      </c>
      <c r="B1186" s="3" t="s">
        <v>2049</v>
      </c>
      <c r="C1186" s="4" t="s">
        <v>12</v>
      </c>
      <c r="D1186" s="7">
        <v>8287.05</v>
      </c>
    </row>
    <row r="1187" ht="31" customHeight="1" spans="1:4">
      <c r="A1187" s="6" t="s">
        <v>2050</v>
      </c>
      <c r="B1187" s="3" t="s">
        <v>2051</v>
      </c>
      <c r="C1187" s="4" t="s">
        <v>12</v>
      </c>
      <c r="D1187" s="7">
        <v>7943.95</v>
      </c>
    </row>
    <row r="1188" spans="1:4">
      <c r="A1188" s="6" t="s">
        <v>2052</v>
      </c>
      <c r="B1188" s="3" t="s">
        <v>2053</v>
      </c>
      <c r="C1188" s="4"/>
      <c r="D1188" s="7"/>
    </row>
    <row r="1189" spans="1:4">
      <c r="A1189" s="6" t="s">
        <v>2054</v>
      </c>
      <c r="B1189" s="3" t="s">
        <v>2055</v>
      </c>
      <c r="C1189" s="4" t="s">
        <v>12</v>
      </c>
      <c r="D1189" s="7">
        <v>8247.25</v>
      </c>
    </row>
    <row r="1190" spans="1:4">
      <c r="A1190" s="6" t="s">
        <v>2056</v>
      </c>
      <c r="B1190" s="3" t="s">
        <v>2057</v>
      </c>
      <c r="C1190" s="4" t="s">
        <v>12</v>
      </c>
      <c r="D1190" s="7">
        <v>8054.75</v>
      </c>
    </row>
    <row r="1191" spans="1:4">
      <c r="A1191" s="6" t="s">
        <v>2058</v>
      </c>
      <c r="B1191" s="3" t="s">
        <v>2059</v>
      </c>
      <c r="C1191" s="4" t="s">
        <v>12</v>
      </c>
      <c r="D1191" s="7">
        <v>7080.05</v>
      </c>
    </row>
    <row r="1192" spans="1:4">
      <c r="A1192" s="6" t="s">
        <v>2060</v>
      </c>
      <c r="B1192" s="3" t="s">
        <v>2061</v>
      </c>
      <c r="C1192" s="4" t="s">
        <v>12</v>
      </c>
      <c r="D1192" s="7">
        <v>6032.85</v>
      </c>
    </row>
    <row r="1193" spans="1:4">
      <c r="A1193" s="6" t="s">
        <v>2062</v>
      </c>
      <c r="B1193" s="3" t="s">
        <v>2063</v>
      </c>
      <c r="C1193" s="4"/>
      <c r="D1193" s="7"/>
    </row>
    <row r="1194" ht="31" customHeight="1" spans="1:4">
      <c r="A1194" s="6" t="s">
        <v>2064</v>
      </c>
      <c r="B1194" s="3" t="s">
        <v>2065</v>
      </c>
      <c r="C1194" s="4" t="s">
        <v>12</v>
      </c>
      <c r="D1194" s="7">
        <v>9155.2</v>
      </c>
    </row>
    <row r="1195" ht="31" customHeight="1" spans="1:4">
      <c r="A1195" s="6" t="s">
        <v>2066</v>
      </c>
      <c r="B1195" s="3" t="s">
        <v>2067</v>
      </c>
      <c r="C1195" s="4" t="s">
        <v>12</v>
      </c>
      <c r="D1195" s="7">
        <v>8765.4</v>
      </c>
    </row>
    <row r="1196" ht="31" customHeight="1" spans="1:4">
      <c r="A1196" s="6" t="s">
        <v>2068</v>
      </c>
      <c r="B1196" s="3" t="s">
        <v>2069</v>
      </c>
      <c r="C1196" s="4" t="s">
        <v>12</v>
      </c>
      <c r="D1196" s="7">
        <v>7827.75</v>
      </c>
    </row>
    <row r="1197" ht="31" customHeight="1" spans="1:4">
      <c r="A1197" s="6" t="s">
        <v>2070</v>
      </c>
      <c r="B1197" s="3" t="s">
        <v>2071</v>
      </c>
      <c r="C1197" s="4" t="s">
        <v>12</v>
      </c>
      <c r="D1197" s="7">
        <v>6528.8</v>
      </c>
    </row>
    <row r="1198" ht="46.5" customHeight="1" spans="1:4">
      <c r="A1198" s="6" t="s">
        <v>2072</v>
      </c>
      <c r="B1198" s="3" t="s">
        <v>2073</v>
      </c>
      <c r="C1198" s="4"/>
      <c r="D1198" s="7"/>
    </row>
    <row r="1199" ht="31" customHeight="1" spans="1:4">
      <c r="A1199" s="6" t="s">
        <v>2074</v>
      </c>
      <c r="B1199" s="3" t="s">
        <v>2075</v>
      </c>
      <c r="C1199" s="4" t="s">
        <v>12</v>
      </c>
      <c r="D1199" s="7">
        <v>13201.2</v>
      </c>
    </row>
    <row r="1200" ht="31" customHeight="1" spans="1:4">
      <c r="A1200" s="6" t="s">
        <v>2076</v>
      </c>
      <c r="B1200" s="3" t="s">
        <v>2077</v>
      </c>
      <c r="C1200" s="4" t="s">
        <v>12</v>
      </c>
      <c r="D1200" s="7">
        <v>12254.9</v>
      </c>
    </row>
    <row r="1201" ht="31" customHeight="1" spans="1:4">
      <c r="A1201" s="6" t="s">
        <v>2078</v>
      </c>
      <c r="B1201" s="3" t="s">
        <v>2079</v>
      </c>
      <c r="C1201" s="4" t="s">
        <v>12</v>
      </c>
      <c r="D1201" s="7">
        <v>11919.85</v>
      </c>
    </row>
    <row r="1202" ht="31" customHeight="1" spans="1:4">
      <c r="A1202" s="6" t="s">
        <v>2080</v>
      </c>
      <c r="B1202" s="3" t="s">
        <v>2081</v>
      </c>
      <c r="C1202" s="4"/>
      <c r="D1202" s="7"/>
    </row>
    <row r="1203" ht="31" customHeight="1" spans="1:4">
      <c r="A1203" s="6" t="s">
        <v>2082</v>
      </c>
      <c r="B1203" s="3" t="s">
        <v>2083</v>
      </c>
      <c r="C1203" s="4" t="s">
        <v>12</v>
      </c>
      <c r="D1203" s="7">
        <v>14449.25</v>
      </c>
    </row>
    <row r="1204" ht="31" customHeight="1" spans="1:4">
      <c r="A1204" s="6" t="s">
        <v>2084</v>
      </c>
      <c r="B1204" s="3" t="s">
        <v>2085</v>
      </c>
      <c r="C1204" s="4" t="s">
        <v>12</v>
      </c>
      <c r="D1204" s="7">
        <v>13387.15</v>
      </c>
    </row>
    <row r="1205" ht="31" customHeight="1" spans="1:4">
      <c r="A1205" s="6" t="s">
        <v>2086</v>
      </c>
      <c r="B1205" s="3" t="s">
        <v>2087</v>
      </c>
      <c r="C1205" s="4" t="s">
        <v>12</v>
      </c>
      <c r="D1205" s="7">
        <v>14587.05</v>
      </c>
    </row>
    <row r="1206" ht="46.5" customHeight="1" spans="1:4">
      <c r="A1206" s="6" t="s">
        <v>2088</v>
      </c>
      <c r="B1206" s="3" t="s">
        <v>2089</v>
      </c>
      <c r="C1206" s="4"/>
      <c r="D1206" s="7"/>
    </row>
    <row r="1207" ht="31" customHeight="1" spans="1:4">
      <c r="A1207" s="6" t="s">
        <v>2090</v>
      </c>
      <c r="B1207" s="3" t="s">
        <v>2091</v>
      </c>
      <c r="C1207" s="4" t="s">
        <v>12</v>
      </c>
      <c r="D1207" s="7">
        <v>13078.7</v>
      </c>
    </row>
    <row r="1208" ht="31" customHeight="1" spans="1:4">
      <c r="A1208" s="6" t="s">
        <v>2092</v>
      </c>
      <c r="B1208" s="3" t="s">
        <v>2093</v>
      </c>
      <c r="C1208" s="4" t="s">
        <v>12</v>
      </c>
      <c r="D1208" s="7">
        <v>12472.95</v>
      </c>
    </row>
    <row r="1209" ht="31" customHeight="1" spans="1:4">
      <c r="A1209" s="6" t="s">
        <v>2094</v>
      </c>
      <c r="B1209" s="3" t="s">
        <v>2095</v>
      </c>
      <c r="C1209" s="4" t="s">
        <v>12</v>
      </c>
      <c r="D1209" s="7">
        <v>13477.1</v>
      </c>
    </row>
    <row r="1210" ht="46.5" customHeight="1" spans="1:4">
      <c r="A1210" s="6" t="s">
        <v>2096</v>
      </c>
      <c r="B1210" s="3" t="s">
        <v>2097</v>
      </c>
      <c r="C1210" s="4"/>
      <c r="D1210" s="7"/>
    </row>
    <row r="1211" ht="46.5" customHeight="1" spans="1:4">
      <c r="A1211" s="6" t="s">
        <v>2098</v>
      </c>
      <c r="B1211" s="3" t="s">
        <v>2099</v>
      </c>
      <c r="C1211" s="4" t="s">
        <v>12</v>
      </c>
      <c r="D1211" s="7">
        <v>11715.95</v>
      </c>
    </row>
    <row r="1212" ht="46.5" customHeight="1" spans="1:4">
      <c r="A1212" s="6" t="s">
        <v>2100</v>
      </c>
      <c r="B1212" s="3" t="s">
        <v>2101</v>
      </c>
      <c r="C1212" s="4" t="s">
        <v>12</v>
      </c>
      <c r="D1212" s="7">
        <v>11466.8</v>
      </c>
    </row>
    <row r="1213" ht="46.5" customHeight="1" spans="1:4">
      <c r="A1213" s="6" t="s">
        <v>2102</v>
      </c>
      <c r="B1213" s="3" t="s">
        <v>2103</v>
      </c>
      <c r="C1213" s="4" t="s">
        <v>12</v>
      </c>
      <c r="D1213" s="7">
        <v>12496.3</v>
      </c>
    </row>
    <row r="1214" ht="46.5" customHeight="1" spans="1:4">
      <c r="A1214" s="6" t="s">
        <v>2104</v>
      </c>
      <c r="B1214" s="3" t="s">
        <v>2105</v>
      </c>
      <c r="C1214" s="4"/>
      <c r="D1214" s="7"/>
    </row>
    <row r="1215" ht="46.5" customHeight="1" spans="1:4">
      <c r="A1215" s="6" t="s">
        <v>2106</v>
      </c>
      <c r="B1215" s="3" t="s">
        <v>2107</v>
      </c>
      <c r="C1215" s="4" t="s">
        <v>12</v>
      </c>
      <c r="D1215" s="7">
        <v>9870.15</v>
      </c>
    </row>
    <row r="1216" ht="46.5" customHeight="1" spans="1:4">
      <c r="A1216" s="6" t="s">
        <v>2108</v>
      </c>
      <c r="B1216" s="3" t="s">
        <v>2109</v>
      </c>
      <c r="C1216" s="4" t="s">
        <v>12</v>
      </c>
      <c r="D1216" s="7">
        <v>9308</v>
      </c>
    </row>
    <row r="1217" ht="46.5" customHeight="1" spans="1:4">
      <c r="A1217" s="6" t="s">
        <v>2110</v>
      </c>
      <c r="B1217" s="3" t="s">
        <v>2111</v>
      </c>
      <c r="C1217" s="4" t="s">
        <v>12</v>
      </c>
      <c r="D1217" s="7">
        <v>10212.6</v>
      </c>
    </row>
    <row r="1218" ht="46.5" customHeight="1" spans="1:4">
      <c r="A1218" s="6" t="s">
        <v>2112</v>
      </c>
      <c r="B1218" s="3" t="s">
        <v>2113</v>
      </c>
      <c r="C1218" s="4"/>
      <c r="D1218" s="7"/>
    </row>
    <row r="1219" ht="46.5" customHeight="1" spans="1:4">
      <c r="A1219" s="6" t="s">
        <v>2114</v>
      </c>
      <c r="B1219" s="3" t="s">
        <v>2115</v>
      </c>
      <c r="C1219" s="4" t="s">
        <v>12</v>
      </c>
      <c r="D1219" s="7">
        <v>10474.05</v>
      </c>
    </row>
    <row r="1220" ht="46.5" customHeight="1" spans="1:4">
      <c r="A1220" s="6" t="s">
        <v>2116</v>
      </c>
      <c r="B1220" s="3" t="s">
        <v>2117</v>
      </c>
      <c r="C1220" s="4" t="s">
        <v>12</v>
      </c>
      <c r="D1220" s="7">
        <v>10051.2</v>
      </c>
    </row>
    <row r="1221" ht="46.5" customHeight="1" spans="1:4">
      <c r="A1221" s="6" t="s">
        <v>2118</v>
      </c>
      <c r="B1221" s="3" t="s">
        <v>2119</v>
      </c>
      <c r="C1221" s="4" t="s">
        <v>12</v>
      </c>
      <c r="D1221" s="7">
        <v>10200.75</v>
      </c>
    </row>
    <row r="1222" ht="62" customHeight="1" spans="1:4">
      <c r="A1222" s="6" t="s">
        <v>2120</v>
      </c>
      <c r="B1222" s="3" t="s">
        <v>2121</v>
      </c>
      <c r="C1222" s="4"/>
      <c r="D1222" s="7"/>
    </row>
    <row r="1223" ht="46.5" customHeight="1" spans="1:4">
      <c r="A1223" s="6" t="s">
        <v>2122</v>
      </c>
      <c r="B1223" s="3" t="s">
        <v>2123</v>
      </c>
      <c r="C1223" s="4" t="s">
        <v>12</v>
      </c>
      <c r="D1223" s="7">
        <v>22785.35</v>
      </c>
    </row>
    <row r="1224" ht="62" customHeight="1" spans="1:4">
      <c r="A1224" s="6" t="s">
        <v>2124</v>
      </c>
      <c r="B1224" s="3" t="s">
        <v>2125</v>
      </c>
      <c r="C1224" s="4"/>
      <c r="D1224" s="7"/>
    </row>
    <row r="1225" ht="62" customHeight="1" spans="1:4">
      <c r="A1225" s="6" t="s">
        <v>2126</v>
      </c>
      <c r="B1225" s="3" t="s">
        <v>2127</v>
      </c>
      <c r="C1225" s="4" t="s">
        <v>12</v>
      </c>
      <c r="D1225" s="7">
        <v>20576.3</v>
      </c>
    </row>
    <row r="1226" ht="62" customHeight="1" spans="1:4">
      <c r="A1226" s="6" t="s">
        <v>2128</v>
      </c>
      <c r="B1226" s="3" t="s">
        <v>2129</v>
      </c>
      <c r="C1226" s="4"/>
      <c r="D1226" s="7"/>
    </row>
    <row r="1227" ht="62" customHeight="1" spans="1:4">
      <c r="A1227" s="6" t="s">
        <v>2130</v>
      </c>
      <c r="B1227" s="3" t="s">
        <v>2131</v>
      </c>
      <c r="C1227" s="4" t="s">
        <v>12</v>
      </c>
      <c r="D1227" s="7">
        <v>19047.6</v>
      </c>
    </row>
    <row r="1228" ht="31" customHeight="1" spans="1:4">
      <c r="A1228" s="6" t="s">
        <v>2132</v>
      </c>
      <c r="B1228" s="3" t="s">
        <v>2133</v>
      </c>
      <c r="C1228" s="4"/>
      <c r="D1228" s="7"/>
    </row>
    <row r="1229" ht="31" customHeight="1" spans="1:4">
      <c r="A1229" s="6" t="s">
        <v>2134</v>
      </c>
      <c r="B1229" s="3" t="s">
        <v>2135</v>
      </c>
      <c r="C1229" s="4" t="s">
        <v>12</v>
      </c>
      <c r="D1229" s="7">
        <v>12496.05</v>
      </c>
    </row>
    <row r="1230" ht="31" customHeight="1" spans="1:4">
      <c r="A1230" s="6" t="s">
        <v>2136</v>
      </c>
      <c r="B1230" s="3" t="s">
        <v>2137</v>
      </c>
      <c r="C1230" s="4" t="s">
        <v>12</v>
      </c>
      <c r="D1230" s="7">
        <v>12454.4</v>
      </c>
    </row>
    <row r="1231" ht="46.5" customHeight="1" spans="1:4">
      <c r="A1231" s="6" t="s">
        <v>2138</v>
      </c>
      <c r="B1231" s="3" t="s">
        <v>2139</v>
      </c>
      <c r="C1231" s="4"/>
      <c r="D1231" s="7"/>
    </row>
    <row r="1232" ht="46.5" customHeight="1" spans="1:4">
      <c r="A1232" s="6" t="s">
        <v>2140</v>
      </c>
      <c r="B1232" s="3" t="s">
        <v>2141</v>
      </c>
      <c r="C1232" s="4" t="s">
        <v>12</v>
      </c>
      <c r="D1232" s="7">
        <v>11903.75</v>
      </c>
    </row>
    <row r="1233" ht="46.5" customHeight="1" spans="1:7">
      <c r="A1233" s="6" t="s">
        <v>2142</v>
      </c>
      <c r="B1233" s="3" t="s">
        <v>2143</v>
      </c>
      <c r="C1233" s="4" t="s">
        <v>12</v>
      </c>
      <c r="D1233" s="7">
        <v>11818.95</v>
      </c>
    </row>
    <row r="1234" ht="77.5" customHeight="1" spans="1:7">
      <c r="A1234" s="6" t="s">
        <v>2144</v>
      </c>
      <c r="B1234" s="3" t="s">
        <v>2145</v>
      </c>
      <c r="C1234" s="4"/>
      <c r="D1234" s="7"/>
    </row>
    <row r="1235" ht="46.5" customHeight="1" spans="1:7">
      <c r="A1235" s="6" t="s">
        <v>2146</v>
      </c>
      <c r="B1235" s="3" t="s">
        <v>2147</v>
      </c>
      <c r="C1235" s="4" t="s">
        <v>12</v>
      </c>
      <c r="D1235" s="7">
        <v>19994.4</v>
      </c>
    </row>
    <row r="1236" ht="46.5" customHeight="1" spans="1:7">
      <c r="A1236" s="6" t="s">
        <v>2148</v>
      </c>
      <c r="B1236" s="12" t="s">
        <v>2149</v>
      </c>
      <c r="C1236" s="4"/>
      <c r="D1236" s="14"/>
    </row>
    <row r="1237" spans="1:7">
      <c r="A1237" s="6" t="s">
        <v>2150</v>
      </c>
      <c r="B1237" s="3" t="s">
        <v>2151</v>
      </c>
      <c r="C1237" s="4" t="s">
        <v>156</v>
      </c>
      <c r="D1237" s="7">
        <v>381.3</v>
      </c>
      <c r="F1237" s="32">
        <v>241.8</v>
      </c>
      <c r="G1237" s="33">
        <f t="shared" ref="G1237:G1248" si="16">(D1237-F1237)/F1237</f>
        <v>0.576923076923077</v>
      </c>
    </row>
    <row r="1238" spans="1:7">
      <c r="A1238" s="6" t="s">
        <v>2152</v>
      </c>
      <c r="B1238" s="3" t="s">
        <v>2153</v>
      </c>
      <c r="C1238" s="4" t="s">
        <v>156</v>
      </c>
      <c r="D1238" s="7">
        <v>422.55</v>
      </c>
      <c r="F1238" s="32">
        <v>270.85</v>
      </c>
      <c r="G1238" s="33">
        <f t="shared" si="16"/>
        <v>0.560088609931696</v>
      </c>
    </row>
    <row r="1239" spans="1:7">
      <c r="A1239" s="6" t="s">
        <v>2154</v>
      </c>
      <c r="B1239" s="3" t="s">
        <v>2155</v>
      </c>
      <c r="C1239" s="4" t="s">
        <v>156</v>
      </c>
      <c r="D1239" s="7">
        <v>459.55</v>
      </c>
      <c r="F1239" s="32">
        <v>288.25</v>
      </c>
      <c r="G1239" s="33">
        <f t="shared" si="16"/>
        <v>0.594275802254987</v>
      </c>
    </row>
    <row r="1240" spans="1:7">
      <c r="A1240" s="6" t="s">
        <v>2156</v>
      </c>
      <c r="B1240" s="3" t="s">
        <v>2157</v>
      </c>
      <c r="C1240" s="4" t="s">
        <v>156</v>
      </c>
      <c r="D1240" s="7">
        <v>624.6</v>
      </c>
      <c r="F1240" s="32">
        <v>387</v>
      </c>
      <c r="G1240" s="33">
        <f t="shared" si="16"/>
        <v>0.613953488372093</v>
      </c>
    </row>
    <row r="1241" spans="1:7">
      <c r="A1241" s="6" t="s">
        <v>2158</v>
      </c>
      <c r="B1241" s="3" t="s">
        <v>2159</v>
      </c>
      <c r="C1241" s="4" t="s">
        <v>156</v>
      </c>
      <c r="D1241" s="7">
        <v>610.35</v>
      </c>
      <c r="F1241" s="32">
        <v>421.8</v>
      </c>
      <c r="G1241" s="33">
        <f t="shared" si="16"/>
        <v>0.44701280227596</v>
      </c>
    </row>
    <row r="1242" ht="31" customHeight="1" spans="1:7">
      <c r="A1242" s="6" t="s">
        <v>2160</v>
      </c>
      <c r="B1242" s="12" t="s">
        <v>2161</v>
      </c>
      <c r="C1242" s="4" t="s">
        <v>156</v>
      </c>
      <c r="D1242" s="7">
        <v>231.05</v>
      </c>
      <c r="F1242" s="32">
        <v>149.95</v>
      </c>
      <c r="G1242" s="33">
        <f t="shared" si="16"/>
        <v>0.540846948982995</v>
      </c>
    </row>
    <row r="1243" ht="31" customHeight="1" spans="1:7">
      <c r="A1243" s="6" t="s">
        <v>2162</v>
      </c>
      <c r="B1243" s="12" t="s">
        <v>2163</v>
      </c>
      <c r="C1243" s="4" t="s">
        <v>156</v>
      </c>
      <c r="D1243" s="7">
        <v>204</v>
      </c>
      <c r="F1243" s="32">
        <v>124.4</v>
      </c>
      <c r="G1243" s="33">
        <f t="shared" si="16"/>
        <v>0.639871382636656</v>
      </c>
    </row>
    <row r="1244" ht="31" customHeight="1" spans="1:7">
      <c r="A1244" s="6" t="s">
        <v>2164</v>
      </c>
      <c r="B1244" s="12" t="s">
        <v>2165</v>
      </c>
      <c r="C1244" s="4" t="s">
        <v>156</v>
      </c>
      <c r="D1244" s="7">
        <v>115.8</v>
      </c>
      <c r="F1244" s="32">
        <v>72.15</v>
      </c>
      <c r="G1244" s="33">
        <f t="shared" si="16"/>
        <v>0.604989604989605</v>
      </c>
    </row>
    <row r="1245" spans="1:7">
      <c r="A1245" s="6" t="s">
        <v>2166</v>
      </c>
      <c r="B1245" s="12" t="s">
        <v>2167</v>
      </c>
      <c r="C1245" s="4" t="s">
        <v>156</v>
      </c>
      <c r="D1245" s="7">
        <v>185.5</v>
      </c>
      <c r="F1245" s="32">
        <v>112.8</v>
      </c>
      <c r="G1245" s="33">
        <f t="shared" si="16"/>
        <v>0.644503546099291</v>
      </c>
    </row>
    <row r="1246" ht="31" customHeight="1" spans="1:7">
      <c r="A1246" s="6" t="s">
        <v>2168</v>
      </c>
      <c r="B1246" s="12" t="s">
        <v>2169</v>
      </c>
      <c r="C1246" s="4" t="s">
        <v>156</v>
      </c>
      <c r="D1246" s="7">
        <v>198.3</v>
      </c>
      <c r="F1246" s="32">
        <v>136.05</v>
      </c>
      <c r="G1246" s="33">
        <f t="shared" si="16"/>
        <v>0.45755237045204</v>
      </c>
    </row>
    <row r="1247" ht="124" customHeight="1" spans="1:7">
      <c r="A1247" s="6" t="s">
        <v>2170</v>
      </c>
      <c r="B1247" s="12" t="s">
        <v>2171</v>
      </c>
      <c r="C1247" s="4" t="s">
        <v>575</v>
      </c>
      <c r="D1247" s="7">
        <v>166.8</v>
      </c>
      <c r="F1247" s="32">
        <v>78.45</v>
      </c>
      <c r="G1247" s="33">
        <f t="shared" si="16"/>
        <v>1.12619502868069</v>
      </c>
    </row>
    <row r="1248" ht="77.5" customHeight="1" spans="1:7">
      <c r="A1248" s="6" t="s">
        <v>2172</v>
      </c>
      <c r="B1248" s="12" t="s">
        <v>2173</v>
      </c>
      <c r="C1248" s="4" t="s">
        <v>12</v>
      </c>
      <c r="D1248" s="7">
        <v>1956.9</v>
      </c>
      <c r="F1248" s="32">
        <v>1155.15</v>
      </c>
      <c r="G1248" s="33">
        <f t="shared" si="16"/>
        <v>0.6940657057525</v>
      </c>
    </row>
    <row r="1249" ht="46.5" customHeight="1" spans="1:7">
      <c r="A1249" s="6" t="s">
        <v>2174</v>
      </c>
      <c r="B1249" s="12" t="s">
        <v>2175</v>
      </c>
      <c r="C1249" s="4"/>
      <c r="D1249" s="14"/>
    </row>
    <row r="1250" ht="31" customHeight="1" spans="1:7">
      <c r="A1250" s="6" t="s">
        <v>2176</v>
      </c>
      <c r="B1250" s="3" t="s">
        <v>2177</v>
      </c>
      <c r="C1250" s="4" t="s">
        <v>12</v>
      </c>
      <c r="D1250" s="7">
        <v>1031.5</v>
      </c>
      <c r="F1250" s="32">
        <v>700.55</v>
      </c>
      <c r="G1250" s="33">
        <f>(D1250-F1250)/F1250</f>
        <v>0.472414531439583</v>
      </c>
    </row>
    <row r="1251" ht="31" customHeight="1" spans="1:7">
      <c r="A1251" s="6" t="s">
        <v>2178</v>
      </c>
      <c r="B1251" s="3" t="s">
        <v>2179</v>
      </c>
      <c r="C1251" s="4" t="s">
        <v>12</v>
      </c>
      <c r="D1251" s="7">
        <v>1248</v>
      </c>
      <c r="F1251" s="32">
        <v>869.45</v>
      </c>
      <c r="G1251" s="33">
        <f>(D1251-F1251)/F1251</f>
        <v>0.435390189200069</v>
      </c>
    </row>
    <row r="1252" ht="62" customHeight="1" spans="1:7">
      <c r="A1252" s="6" t="s">
        <v>2180</v>
      </c>
      <c r="B1252" s="12" t="s">
        <v>2181</v>
      </c>
      <c r="C1252" s="4"/>
      <c r="D1252" s="14"/>
    </row>
    <row r="1253" ht="31" customHeight="1" spans="1:7">
      <c r="A1253" s="6" t="s">
        <v>2182</v>
      </c>
      <c r="B1253" s="3" t="s">
        <v>2183</v>
      </c>
      <c r="C1253" s="4" t="s">
        <v>12</v>
      </c>
      <c r="D1253" s="7">
        <v>1415.7</v>
      </c>
      <c r="F1253" s="32">
        <v>1024.5</v>
      </c>
      <c r="G1253" s="33">
        <f>(D1253-F1253)/F1253</f>
        <v>0.381844802342606</v>
      </c>
    </row>
    <row r="1254" ht="31" customHeight="1" spans="1:7">
      <c r="A1254" s="6" t="s">
        <v>2184</v>
      </c>
      <c r="B1254" s="3" t="s">
        <v>2185</v>
      </c>
      <c r="C1254" s="4" t="s">
        <v>12</v>
      </c>
      <c r="D1254" s="7">
        <v>1874.7</v>
      </c>
      <c r="F1254" s="32">
        <v>1393.4</v>
      </c>
      <c r="G1254" s="33">
        <f>(D1254-F1254)/F1254</f>
        <v>0.345414095019377</v>
      </c>
    </row>
    <row r="1255" ht="46.5" customHeight="1" spans="1:7">
      <c r="A1255" s="6" t="s">
        <v>2186</v>
      </c>
      <c r="B1255" s="12" t="s">
        <v>2187</v>
      </c>
      <c r="C1255" s="4"/>
      <c r="D1255" s="14"/>
    </row>
    <row r="1256" spans="1:7">
      <c r="A1256" s="6" t="s">
        <v>2188</v>
      </c>
      <c r="B1256" s="3" t="s">
        <v>2189</v>
      </c>
      <c r="C1256" s="4" t="s">
        <v>12</v>
      </c>
      <c r="D1256" s="7">
        <v>1212.75</v>
      </c>
      <c r="F1256" s="32">
        <v>749.1</v>
      </c>
      <c r="G1256" s="33">
        <f>(D1256-F1256)/F1256</f>
        <v>0.618942731277533</v>
      </c>
    </row>
    <row r="1257" spans="1:7">
      <c r="A1257" s="6" t="s">
        <v>2190</v>
      </c>
      <c r="B1257" s="3" t="s">
        <v>2191</v>
      </c>
      <c r="C1257" s="4" t="s">
        <v>12</v>
      </c>
      <c r="D1257" s="7">
        <v>1436.55</v>
      </c>
      <c r="F1257" s="32">
        <v>915.2</v>
      </c>
      <c r="G1257" s="33">
        <f>(D1257-F1257)/F1257</f>
        <v>0.569656905594406</v>
      </c>
    </row>
    <row r="1258" spans="1:7">
      <c r="A1258" s="6" t="s">
        <v>2192</v>
      </c>
      <c r="B1258" s="3" t="s">
        <v>2193</v>
      </c>
      <c r="C1258" s="4" t="s">
        <v>12</v>
      </c>
      <c r="D1258" s="7">
        <v>1912.25</v>
      </c>
      <c r="F1258" s="32">
        <v>1298.5</v>
      </c>
      <c r="G1258" s="33">
        <f>(D1258-F1258)/F1258</f>
        <v>0.472660762418175</v>
      </c>
    </row>
    <row r="1259" ht="77.5" customHeight="1" spans="1:7">
      <c r="A1259" s="6" t="s">
        <v>2194</v>
      </c>
      <c r="B1259" s="12" t="s">
        <v>2195</v>
      </c>
      <c r="C1259" s="4" t="s">
        <v>12</v>
      </c>
      <c r="D1259" s="7">
        <v>2135.25</v>
      </c>
      <c r="F1259" s="32">
        <v>1484.65</v>
      </c>
      <c r="G1259" s="33">
        <f>(D1259-F1259)/F1259</f>
        <v>0.438217761762031</v>
      </c>
    </row>
    <row r="1260" ht="77.5" customHeight="1" spans="1:7">
      <c r="A1260" s="6" t="s">
        <v>2196</v>
      </c>
      <c r="B1260" s="12" t="s">
        <v>2197</v>
      </c>
      <c r="C1260" s="4"/>
      <c r="D1260" s="14"/>
    </row>
    <row r="1261" spans="1:7">
      <c r="A1261" s="6" t="s">
        <v>2198</v>
      </c>
      <c r="B1261" s="3" t="s">
        <v>2191</v>
      </c>
      <c r="C1261" s="4" t="s">
        <v>12</v>
      </c>
      <c r="D1261" s="7">
        <v>2076.65</v>
      </c>
      <c r="F1261" s="32">
        <v>1279.5</v>
      </c>
      <c r="G1261" s="33">
        <f t="shared" ref="G1261:G1266" si="17">(D1261-F1261)/F1261</f>
        <v>0.623016803438843</v>
      </c>
    </row>
    <row r="1262" spans="1:7">
      <c r="A1262" s="6" t="s">
        <v>2199</v>
      </c>
      <c r="B1262" s="3" t="s">
        <v>2193</v>
      </c>
      <c r="C1262" s="4" t="s">
        <v>12</v>
      </c>
      <c r="D1262" s="7">
        <v>2552.4</v>
      </c>
      <c r="F1262" s="32">
        <v>1662.8</v>
      </c>
      <c r="G1262" s="33">
        <f t="shared" si="17"/>
        <v>0.535001202790474</v>
      </c>
    </row>
    <row r="1263" ht="155" customHeight="1" spans="1:7">
      <c r="A1263" s="6" t="s">
        <v>2200</v>
      </c>
      <c r="B1263" s="12" t="s">
        <v>2201</v>
      </c>
      <c r="C1263" s="4" t="s">
        <v>49</v>
      </c>
      <c r="D1263" s="7">
        <v>2202.9</v>
      </c>
      <c r="F1263" s="32">
        <v>1260</v>
      </c>
      <c r="G1263" s="33">
        <f t="shared" si="17"/>
        <v>0.748333333333333</v>
      </c>
    </row>
    <row r="1264" ht="155" customHeight="1" spans="1:7">
      <c r="A1264" s="6" t="s">
        <v>2202</v>
      </c>
      <c r="B1264" s="12" t="s">
        <v>2203</v>
      </c>
      <c r="C1264" s="4" t="s">
        <v>12</v>
      </c>
      <c r="D1264" s="7">
        <v>12017.9</v>
      </c>
      <c r="F1264" s="32">
        <v>6839.35</v>
      </c>
      <c r="G1264" s="33">
        <f t="shared" si="17"/>
        <v>0.757169906496962</v>
      </c>
    </row>
    <row r="1265" ht="155" customHeight="1" spans="1:7">
      <c r="A1265" s="6" t="s">
        <v>2204</v>
      </c>
      <c r="B1265" s="12" t="s">
        <v>2205</v>
      </c>
      <c r="C1265" s="4" t="s">
        <v>49</v>
      </c>
      <c r="D1265" s="7">
        <v>2202.9</v>
      </c>
      <c r="F1265" s="32">
        <v>1260</v>
      </c>
      <c r="G1265" s="33">
        <f t="shared" si="17"/>
        <v>0.748333333333333</v>
      </c>
    </row>
    <row r="1266" ht="217" customHeight="1" spans="1:7">
      <c r="A1266" s="6" t="s">
        <v>2206</v>
      </c>
      <c r="B1266" s="12" t="s">
        <v>2207</v>
      </c>
      <c r="C1266" s="4" t="s">
        <v>12</v>
      </c>
      <c r="D1266" s="7">
        <v>43677.65</v>
      </c>
      <c r="F1266" s="32">
        <v>34058.9</v>
      </c>
      <c r="G1266" s="33">
        <f t="shared" si="17"/>
        <v>0.282415169016028</v>
      </c>
    </row>
    <row r="1267" ht="31" customHeight="1" spans="1:7">
      <c r="A1267" s="6" t="s">
        <v>2208</v>
      </c>
      <c r="B1267" s="12" t="s">
        <v>2209</v>
      </c>
      <c r="C1267" s="4"/>
      <c r="D1267" s="14"/>
    </row>
    <row r="1268" spans="1:7">
      <c r="A1268" s="6" t="s">
        <v>2210</v>
      </c>
      <c r="B1268" s="3" t="s">
        <v>1552</v>
      </c>
      <c r="C1268" s="4" t="s">
        <v>156</v>
      </c>
      <c r="D1268" s="7">
        <v>119.2</v>
      </c>
      <c r="F1268" s="32">
        <v>89.7</v>
      </c>
      <c r="G1268" s="33">
        <f>(D1268-F1268)/F1268</f>
        <v>0.328874024526198</v>
      </c>
    </row>
    <row r="1269" spans="1:7">
      <c r="A1269" s="6" t="s">
        <v>2211</v>
      </c>
      <c r="B1269" s="3" t="s">
        <v>2212</v>
      </c>
      <c r="C1269" s="4" t="s">
        <v>156</v>
      </c>
      <c r="D1269" s="7">
        <v>90.45</v>
      </c>
      <c r="F1269" s="32">
        <v>66.5</v>
      </c>
      <c r="G1269" s="33">
        <f>(D1269-F1269)/F1269</f>
        <v>0.36015037593985</v>
      </c>
    </row>
    <row r="1270" spans="1:7">
      <c r="A1270" s="6" t="s">
        <v>2213</v>
      </c>
      <c r="B1270" s="3" t="s">
        <v>1597</v>
      </c>
      <c r="C1270" s="4" t="s">
        <v>156</v>
      </c>
      <c r="D1270" s="7">
        <v>58.75</v>
      </c>
      <c r="F1270" s="32">
        <v>43.25</v>
      </c>
      <c r="G1270" s="33">
        <f>(D1270-F1270)/F1270</f>
        <v>0.358381502890173</v>
      </c>
    </row>
    <row r="1271" ht="77.5" customHeight="1" spans="1:7">
      <c r="A1271" s="6" t="s">
        <v>2214</v>
      </c>
      <c r="B1271" s="12" t="s">
        <v>2215</v>
      </c>
      <c r="C1271" s="4"/>
      <c r="D1271" s="14"/>
    </row>
    <row r="1272" spans="1:7">
      <c r="A1272" s="6" t="s">
        <v>2216</v>
      </c>
      <c r="B1272" s="3" t="s">
        <v>1222</v>
      </c>
      <c r="C1272" s="4" t="s">
        <v>12</v>
      </c>
      <c r="D1272" s="7">
        <v>1362.3</v>
      </c>
    </row>
    <row r="1273" ht="62" customHeight="1" spans="1:7">
      <c r="A1273" s="6" t="s">
        <v>2217</v>
      </c>
      <c r="B1273" s="12" t="s">
        <v>2218</v>
      </c>
      <c r="C1273" s="4" t="s">
        <v>12</v>
      </c>
      <c r="D1273" s="7">
        <v>1010.6</v>
      </c>
    </row>
    <row r="1274" ht="93" customHeight="1" spans="1:7">
      <c r="A1274" s="6" t="s">
        <v>2219</v>
      </c>
      <c r="B1274" s="12" t="s">
        <v>2220</v>
      </c>
      <c r="C1274" s="4" t="s">
        <v>12</v>
      </c>
      <c r="D1274" s="7">
        <v>2829.25</v>
      </c>
    </row>
    <row r="1275" ht="62" customHeight="1" spans="1:7">
      <c r="A1275" s="6" t="s">
        <v>2221</v>
      </c>
      <c r="B1275" s="12" t="s">
        <v>2222</v>
      </c>
      <c r="C1275" s="4" t="s">
        <v>12</v>
      </c>
      <c r="D1275" s="7">
        <v>2593.15</v>
      </c>
    </row>
    <row r="1276" ht="31" customHeight="1" spans="1:7">
      <c r="A1276" s="6" t="s">
        <v>2223</v>
      </c>
      <c r="B1276" s="12" t="s">
        <v>2224</v>
      </c>
      <c r="C1276" s="4"/>
      <c r="D1276" s="14"/>
    </row>
    <row r="1277" spans="1:7">
      <c r="A1277" s="6" t="s">
        <v>2225</v>
      </c>
      <c r="B1277" s="3" t="s">
        <v>2226</v>
      </c>
      <c r="C1277" s="4" t="s">
        <v>156</v>
      </c>
      <c r="D1277" s="7">
        <v>186.65</v>
      </c>
    </row>
    <row r="1278" ht="62" customHeight="1" spans="1:7">
      <c r="A1278" s="6" t="s">
        <v>2227</v>
      </c>
      <c r="B1278" s="12" t="s">
        <v>2228</v>
      </c>
      <c r="C1278" s="4" t="s">
        <v>156</v>
      </c>
      <c r="D1278" s="7">
        <v>272</v>
      </c>
    </row>
    <row r="1279" ht="46.5" customHeight="1" spans="1:7">
      <c r="A1279" s="6" t="s">
        <v>2229</v>
      </c>
      <c r="B1279" s="12" t="s">
        <v>2230</v>
      </c>
      <c r="C1279" s="4" t="s">
        <v>1848</v>
      </c>
      <c r="D1279" s="7">
        <v>885.1</v>
      </c>
    </row>
    <row r="1280" ht="139.5" customHeight="1" spans="1:7">
      <c r="A1280" s="6" t="s">
        <v>2231</v>
      </c>
      <c r="B1280" s="12" t="s">
        <v>2232</v>
      </c>
      <c r="C1280" s="4" t="s">
        <v>575</v>
      </c>
      <c r="D1280" s="7">
        <v>533.25</v>
      </c>
    </row>
    <row r="1281" ht="46.5" customHeight="1" spans="1:7">
      <c r="A1281" s="6" t="s">
        <v>2233</v>
      </c>
      <c r="B1281" s="12" t="s">
        <v>2234</v>
      </c>
      <c r="C1281" s="4" t="s">
        <v>49</v>
      </c>
      <c r="D1281" s="7">
        <v>43.8</v>
      </c>
    </row>
    <row r="1282" spans="1:7">
      <c r="D1282" s="16"/>
    </row>
    <row r="1283" spans="1:7">
      <c r="D1283" s="16"/>
    </row>
    <row r="1284" spans="1:7">
      <c r="D1284" s="16"/>
    </row>
    <row r="1285" spans="1:7">
      <c r="D1285" s="16"/>
    </row>
    <row r="1286" spans="1:7">
      <c r="D1286" s="16"/>
    </row>
    <row r="1287" spans="1:7">
      <c r="D1287" s="16"/>
    </row>
    <row r="1288" spans="1:7">
      <c r="D1288" s="16"/>
    </row>
    <row r="1289" spans="1:7">
      <c r="D1289" s="16"/>
    </row>
    <row r="1290" spans="1:7">
      <c r="D1290" s="16"/>
    </row>
    <row r="1291" spans="1:7">
      <c r="A1291" s="41" t="s">
        <v>2235</v>
      </c>
      <c r="C1291" s="31"/>
      <c r="D1291" s="31"/>
      <c r="E1291" s="31" t="s">
        <v>9</v>
      </c>
    </row>
    <row r="1292" spans="1:7">
      <c r="A1292" s="6" t="s">
        <v>204</v>
      </c>
      <c r="B1292" s="12" t="s">
        <v>2</v>
      </c>
      <c r="C1292" s="4" t="s">
        <v>205</v>
      </c>
      <c r="D1292" s="14" t="s">
        <v>4</v>
      </c>
      <c r="E1292" s="31" t="s">
        <v>9</v>
      </c>
    </row>
    <row r="1293" ht="46.5" customHeight="1" spans="1:7">
      <c r="A1293" s="6" t="s">
        <v>2236</v>
      </c>
      <c r="B1293" s="12" t="s">
        <v>2237</v>
      </c>
      <c r="C1293" s="4" t="s">
        <v>575</v>
      </c>
      <c r="D1293" s="7">
        <v>117.35</v>
      </c>
      <c r="E1293" s="31" t="s">
        <v>9</v>
      </c>
      <c r="F1293" s="32">
        <v>58.45</v>
      </c>
      <c r="G1293" s="33">
        <f>(D1293-F1293)/F1293</f>
        <v>1.00769888793841</v>
      </c>
    </row>
    <row r="1294" ht="46.5" customHeight="1" spans="1:7">
      <c r="A1294" s="6" t="s">
        <v>2238</v>
      </c>
      <c r="B1294" s="12" t="s">
        <v>2239</v>
      </c>
      <c r="C1294" s="4" t="s">
        <v>575</v>
      </c>
      <c r="D1294" s="7">
        <v>133.7</v>
      </c>
      <c r="E1294" s="31" t="s">
        <v>9</v>
      </c>
      <c r="F1294" s="32">
        <v>67.6</v>
      </c>
      <c r="G1294" s="33">
        <f>(D1294-F1294)/F1294</f>
        <v>0.977810650887574</v>
      </c>
    </row>
    <row r="1295" ht="77.5" customHeight="1" spans="1:7">
      <c r="A1295" s="6" t="s">
        <v>2240</v>
      </c>
      <c r="B1295" s="12" t="s">
        <v>2241</v>
      </c>
      <c r="C1295" s="4" t="s">
        <v>12</v>
      </c>
      <c r="D1295" s="7">
        <v>11439.6</v>
      </c>
      <c r="E1295" s="31" t="s">
        <v>9</v>
      </c>
      <c r="F1295" s="32">
        <v>5360.65</v>
      </c>
      <c r="G1295" s="33">
        <f>(D1295-F1295)/F1295</f>
        <v>1.13399494464291</v>
      </c>
    </row>
    <row r="1296" ht="62" customHeight="1" spans="1:7">
      <c r="A1296" s="6" t="s">
        <v>2242</v>
      </c>
      <c r="B1296" s="12" t="s">
        <v>2243</v>
      </c>
      <c r="C1296" s="4" t="s">
        <v>12</v>
      </c>
      <c r="D1296" s="7">
        <v>6566.2</v>
      </c>
      <c r="E1296" s="31" t="s">
        <v>9</v>
      </c>
      <c r="F1296" s="32">
        <v>3292</v>
      </c>
      <c r="G1296" s="33">
        <f>(D1296-F1296)/F1296</f>
        <v>0.994592952612394</v>
      </c>
    </row>
    <row r="1297" ht="46.5" customHeight="1" spans="1:7">
      <c r="A1297" s="6" t="s">
        <v>2244</v>
      </c>
      <c r="B1297" s="12" t="s">
        <v>2245</v>
      </c>
      <c r="C1297" s="4"/>
      <c r="D1297" s="14"/>
      <c r="E1297" s="31" t="s">
        <v>9</v>
      </c>
    </row>
    <row r="1298" spans="1:7">
      <c r="A1298" s="6" t="s">
        <v>2246</v>
      </c>
      <c r="B1298" s="3" t="s">
        <v>2247</v>
      </c>
      <c r="C1298" s="4" t="s">
        <v>12</v>
      </c>
      <c r="D1298" s="7">
        <v>5804.35</v>
      </c>
      <c r="E1298" s="31" t="s">
        <v>9</v>
      </c>
      <c r="F1298" s="32">
        <v>2870.25</v>
      </c>
      <c r="G1298" s="33">
        <f>(D1298-F1298)/F1298</f>
        <v>1.0222454490027</v>
      </c>
    </row>
    <row r="1299" spans="1:7">
      <c r="A1299" s="6" t="s">
        <v>2248</v>
      </c>
      <c r="B1299" s="3" t="s">
        <v>2249</v>
      </c>
      <c r="C1299" s="4" t="s">
        <v>12</v>
      </c>
      <c r="D1299" s="7">
        <v>5563.75</v>
      </c>
      <c r="E1299" s="31" t="s">
        <v>9</v>
      </c>
      <c r="F1299" s="32">
        <v>2761.9</v>
      </c>
      <c r="G1299" s="33">
        <f>(D1299-F1299)/F1299</f>
        <v>1.01446468011152</v>
      </c>
    </row>
    <row r="1300" ht="108.5" customHeight="1" spans="1:7">
      <c r="A1300" s="6" t="s">
        <v>2250</v>
      </c>
      <c r="B1300" s="12" t="s">
        <v>2251</v>
      </c>
      <c r="C1300" s="4"/>
      <c r="D1300" s="14"/>
      <c r="E1300" s="31" t="s">
        <v>9</v>
      </c>
    </row>
    <row r="1301" spans="1:7">
      <c r="A1301" s="6" t="s">
        <v>2252</v>
      </c>
      <c r="B1301" s="3" t="s">
        <v>2253</v>
      </c>
      <c r="C1301" s="4" t="s">
        <v>12</v>
      </c>
      <c r="D1301" s="7">
        <v>3653.2</v>
      </c>
      <c r="E1301" s="31" t="s">
        <v>9</v>
      </c>
      <c r="F1301" s="32">
        <v>2316.1</v>
      </c>
      <c r="G1301" s="33">
        <f>(D1301-F1301)/F1301</f>
        <v>0.577306679331635</v>
      </c>
    </row>
    <row r="1302" spans="1:7">
      <c r="A1302" s="6" t="s">
        <v>2254</v>
      </c>
      <c r="B1302" s="3" t="s">
        <v>2255</v>
      </c>
      <c r="C1302" s="4" t="s">
        <v>12</v>
      </c>
      <c r="D1302" s="7">
        <v>3307.05</v>
      </c>
      <c r="E1302" s="31" t="s">
        <v>9</v>
      </c>
      <c r="F1302" s="32">
        <v>1841.4</v>
      </c>
      <c r="G1302" s="33">
        <f>(D1302-F1302)/F1302</f>
        <v>0.79594330400782</v>
      </c>
    </row>
    <row r="1303" spans="1:7">
      <c r="A1303" s="6" t="s">
        <v>2256</v>
      </c>
      <c r="B1303" s="3" t="s">
        <v>2257</v>
      </c>
      <c r="C1303" s="4" t="s">
        <v>12</v>
      </c>
      <c r="D1303" s="7">
        <v>3191.35</v>
      </c>
      <c r="E1303" s="31" t="s">
        <v>9</v>
      </c>
      <c r="F1303" s="32">
        <v>1717.5</v>
      </c>
      <c r="G1303" s="33">
        <f>(D1303-F1303)/F1303</f>
        <v>0.858136826783115</v>
      </c>
    </row>
    <row r="1304" spans="1:7">
      <c r="A1304" s="6" t="s">
        <v>2258</v>
      </c>
      <c r="B1304" s="12" t="s">
        <v>2259</v>
      </c>
      <c r="C1304" s="4" t="s">
        <v>156</v>
      </c>
      <c r="D1304" s="7">
        <v>492.35</v>
      </c>
      <c r="E1304" s="31" t="s">
        <v>9</v>
      </c>
      <c r="F1304" s="32">
        <v>379.3</v>
      </c>
      <c r="G1304" s="33">
        <f>(D1304-F1304)/F1304</f>
        <v>0.298049037701028</v>
      </c>
    </row>
    <row r="1305" ht="31" customHeight="1" spans="1:7">
      <c r="A1305" s="6" t="s">
        <v>2260</v>
      </c>
      <c r="B1305" s="12" t="s">
        <v>2261</v>
      </c>
      <c r="C1305" s="4"/>
      <c r="D1305" s="14"/>
      <c r="E1305" s="31" t="s">
        <v>9</v>
      </c>
    </row>
    <row r="1306" spans="1:7">
      <c r="A1306" s="6" t="s">
        <v>2262</v>
      </c>
      <c r="B1306" s="3" t="s">
        <v>2263</v>
      </c>
      <c r="C1306" s="4" t="s">
        <v>12</v>
      </c>
      <c r="D1306" s="7">
        <v>1281.35</v>
      </c>
      <c r="E1306" s="31" t="s">
        <v>9</v>
      </c>
      <c r="F1306" s="32">
        <v>724.05</v>
      </c>
      <c r="G1306" s="33">
        <f>(D1306-F1306)/F1306</f>
        <v>0.769698225260686</v>
      </c>
    </row>
    <row r="1307" spans="1:7">
      <c r="A1307" s="6" t="s">
        <v>2264</v>
      </c>
      <c r="B1307" s="3" t="s">
        <v>2265</v>
      </c>
      <c r="C1307" s="4" t="s">
        <v>12</v>
      </c>
      <c r="D1307" s="7">
        <v>1181.8</v>
      </c>
      <c r="E1307" s="31" t="s">
        <v>9</v>
      </c>
      <c r="F1307" s="32">
        <v>724.05</v>
      </c>
      <c r="G1307" s="33">
        <f>(D1307-F1307)/F1307</f>
        <v>0.632207720461294</v>
      </c>
    </row>
    <row r="1308" ht="31" customHeight="1" spans="1:7">
      <c r="A1308" s="6" t="s">
        <v>2266</v>
      </c>
      <c r="B1308" s="12" t="s">
        <v>2267</v>
      </c>
      <c r="C1308" s="4" t="s">
        <v>12</v>
      </c>
      <c r="D1308" s="7">
        <v>768.25</v>
      </c>
      <c r="E1308" s="31" t="s">
        <v>9</v>
      </c>
      <c r="F1308" s="32">
        <v>313.6</v>
      </c>
      <c r="G1308" s="33">
        <f>(D1308-F1308)/F1308</f>
        <v>1.44977678571429</v>
      </c>
    </row>
    <row r="1309" ht="62" customHeight="1" spans="1:7">
      <c r="A1309" s="6" t="s">
        <v>2268</v>
      </c>
      <c r="B1309" s="12" t="s">
        <v>2269</v>
      </c>
      <c r="C1309" s="4"/>
      <c r="D1309" s="14"/>
      <c r="E1309" s="31" t="s">
        <v>9</v>
      </c>
    </row>
    <row r="1310" ht="31" customHeight="1" spans="1:7">
      <c r="A1310" s="6" t="s">
        <v>2270</v>
      </c>
      <c r="B1310" s="3" t="s">
        <v>2271</v>
      </c>
      <c r="C1310" s="4" t="s">
        <v>575</v>
      </c>
      <c r="D1310" s="7">
        <v>82.45</v>
      </c>
      <c r="E1310" s="31" t="s">
        <v>9</v>
      </c>
      <c r="F1310" s="32">
        <v>39.05</v>
      </c>
      <c r="G1310" s="33">
        <f>(D1310-F1310)/F1310</f>
        <v>1.11139564660691</v>
      </c>
    </row>
    <row r="1311" ht="31" customHeight="1" spans="1:7">
      <c r="A1311" s="6" t="s">
        <v>2272</v>
      </c>
      <c r="B1311" s="3" t="s">
        <v>2273</v>
      </c>
      <c r="C1311" s="4" t="s">
        <v>575</v>
      </c>
      <c r="D1311" s="7">
        <v>40.8</v>
      </c>
      <c r="E1311" s="31" t="s">
        <v>9</v>
      </c>
      <c r="F1311" s="32">
        <v>20.25</v>
      </c>
      <c r="G1311" s="33">
        <f>(D1311-F1311)/F1311</f>
        <v>1.01481481481481</v>
      </c>
    </row>
    <row r="1312" ht="108.5" customHeight="1" spans="1:7">
      <c r="A1312" s="6" t="s">
        <v>2274</v>
      </c>
      <c r="B1312" s="12" t="s">
        <v>2275</v>
      </c>
      <c r="C1312" s="4"/>
      <c r="D1312" s="14"/>
      <c r="E1312" s="31" t="s">
        <v>9</v>
      </c>
    </row>
    <row r="1313" ht="31" customHeight="1" spans="1:7">
      <c r="A1313" s="6" t="s">
        <v>2276</v>
      </c>
      <c r="B1313" s="3" t="s">
        <v>2271</v>
      </c>
      <c r="C1313" s="4" t="s">
        <v>575</v>
      </c>
      <c r="D1313" s="7">
        <v>131.05</v>
      </c>
      <c r="E1313" s="31" t="s">
        <v>9</v>
      </c>
      <c r="F1313" s="32">
        <v>113.6</v>
      </c>
      <c r="G1313" s="33">
        <f>(D1313-F1313)/F1313</f>
        <v>0.153609154929578</v>
      </c>
    </row>
    <row r="1314" ht="31" customHeight="1" spans="1:7">
      <c r="A1314" s="6" t="s">
        <v>2277</v>
      </c>
      <c r="B1314" s="3" t="s">
        <v>2273</v>
      </c>
      <c r="C1314" s="4" t="s">
        <v>575</v>
      </c>
      <c r="D1314" s="7">
        <v>128.25</v>
      </c>
      <c r="E1314" s="31" t="s">
        <v>9</v>
      </c>
      <c r="F1314" s="32">
        <v>84.2</v>
      </c>
      <c r="G1314" s="33">
        <f>(D1314-F1314)/F1314</f>
        <v>0.523159144893112</v>
      </c>
    </row>
    <row r="1315" ht="46.5" customHeight="1" spans="1:7">
      <c r="A1315" s="6" t="s">
        <v>2278</v>
      </c>
      <c r="B1315" s="12" t="s">
        <v>2279</v>
      </c>
      <c r="C1315" s="4" t="s">
        <v>49</v>
      </c>
      <c r="D1315" s="7">
        <v>49.6</v>
      </c>
      <c r="E1315" s="31" t="s">
        <v>9</v>
      </c>
      <c r="F1315" s="32">
        <v>38.35</v>
      </c>
      <c r="G1315" s="33">
        <f>(D1315-F1315)/F1315</f>
        <v>0.293350717079531</v>
      </c>
    </row>
    <row r="1316" ht="46.5" customHeight="1" spans="1:7">
      <c r="A1316" s="6" t="s">
        <v>2280</v>
      </c>
      <c r="B1316" s="12" t="s">
        <v>2281</v>
      </c>
      <c r="C1316" s="4"/>
      <c r="D1316" s="14"/>
      <c r="E1316" s="31" t="s">
        <v>9</v>
      </c>
    </row>
    <row r="1317" ht="31" customHeight="1" spans="1:7">
      <c r="A1317" s="6" t="s">
        <v>2282</v>
      </c>
      <c r="B1317" s="3" t="s">
        <v>2283</v>
      </c>
      <c r="C1317" s="4" t="s">
        <v>575</v>
      </c>
      <c r="D1317" s="7">
        <v>141.7</v>
      </c>
      <c r="E1317" s="31" t="s">
        <v>9</v>
      </c>
      <c r="F1317" s="32">
        <v>74.05</v>
      </c>
      <c r="G1317" s="33">
        <f>(D1317-F1317)/F1317</f>
        <v>0.913571910871033</v>
      </c>
    </row>
    <row r="1318" ht="31" customHeight="1" spans="1:7">
      <c r="A1318" s="6" t="s">
        <v>2284</v>
      </c>
      <c r="B1318" s="3" t="s">
        <v>2273</v>
      </c>
      <c r="C1318" s="4" t="s">
        <v>575</v>
      </c>
      <c r="D1318" s="7">
        <v>136</v>
      </c>
      <c r="E1318" s="31" t="s">
        <v>9</v>
      </c>
      <c r="F1318" s="32">
        <v>70.45</v>
      </c>
      <c r="G1318" s="33">
        <f>(D1318-F1318)/F1318</f>
        <v>0.930447125621008</v>
      </c>
    </row>
    <row r="1319" ht="108.5" customHeight="1" spans="1:7">
      <c r="A1319" s="6" t="s">
        <v>2285</v>
      </c>
      <c r="B1319" s="12" t="s">
        <v>2286</v>
      </c>
      <c r="C1319" s="4"/>
      <c r="D1319" s="14"/>
      <c r="E1319" s="31" t="s">
        <v>9</v>
      </c>
    </row>
    <row r="1320" spans="1:7">
      <c r="A1320" s="6" t="s">
        <v>2287</v>
      </c>
      <c r="B1320" s="3" t="s">
        <v>2288</v>
      </c>
      <c r="C1320" s="4"/>
      <c r="D1320" s="14"/>
      <c r="E1320" s="31" t="s">
        <v>9</v>
      </c>
    </row>
    <row r="1321" spans="1:7">
      <c r="A1321" s="6" t="s">
        <v>2289</v>
      </c>
      <c r="B1321" s="3" t="s">
        <v>2290</v>
      </c>
      <c r="C1321" s="4" t="s">
        <v>49</v>
      </c>
      <c r="D1321" s="7">
        <v>583.3</v>
      </c>
      <c r="E1321" s="31" t="s">
        <v>9</v>
      </c>
      <c r="F1321" s="32">
        <v>340.35</v>
      </c>
      <c r="G1321" s="33">
        <f>(D1321-F1321)/F1321</f>
        <v>0.713824004701043</v>
      </c>
    </row>
    <row r="1322" ht="31" customHeight="1" spans="1:7">
      <c r="A1322" s="6" t="s">
        <v>2291</v>
      </c>
      <c r="B1322" s="3" t="s">
        <v>2273</v>
      </c>
      <c r="C1322" s="4" t="s">
        <v>49</v>
      </c>
      <c r="D1322" s="7">
        <v>570.4</v>
      </c>
      <c r="E1322" s="31" t="s">
        <v>9</v>
      </c>
      <c r="F1322" s="32">
        <v>332.3</v>
      </c>
      <c r="G1322" s="33">
        <f>(D1322-F1322)/F1322</f>
        <v>0.716521215768883</v>
      </c>
    </row>
    <row r="1323" spans="1:7">
      <c r="A1323" s="6" t="s">
        <v>2292</v>
      </c>
      <c r="B1323" s="3" t="s">
        <v>2293</v>
      </c>
      <c r="C1323" s="4"/>
      <c r="D1323" s="14"/>
      <c r="E1323" s="31" t="s">
        <v>9</v>
      </c>
    </row>
    <row r="1324" spans="1:7">
      <c r="A1324" s="6" t="s">
        <v>2294</v>
      </c>
      <c r="B1324" s="3" t="s">
        <v>2290</v>
      </c>
      <c r="C1324" s="4" t="s">
        <v>49</v>
      </c>
      <c r="D1324" s="7">
        <v>611.75</v>
      </c>
      <c r="E1324" s="31" t="s">
        <v>9</v>
      </c>
      <c r="F1324" s="32">
        <v>363.55</v>
      </c>
      <c r="G1324" s="33">
        <f>(D1324-F1324)/F1324</f>
        <v>0.682712144134232</v>
      </c>
    </row>
    <row r="1325" ht="31" customHeight="1" spans="1:7">
      <c r="A1325" s="6" t="s">
        <v>2295</v>
      </c>
      <c r="B1325" s="3" t="s">
        <v>2273</v>
      </c>
      <c r="C1325" s="4" t="s">
        <v>49</v>
      </c>
      <c r="D1325" s="7">
        <v>598.85</v>
      </c>
      <c r="E1325" s="31" t="s">
        <v>9</v>
      </c>
      <c r="F1325" s="32">
        <v>355.55</v>
      </c>
      <c r="G1325" s="33">
        <f>(D1325-F1325)/F1325</f>
        <v>0.684291942061595</v>
      </c>
    </row>
    <row r="1326" spans="1:7">
      <c r="A1326" s="6" t="s">
        <v>2296</v>
      </c>
      <c r="B1326" s="3" t="s">
        <v>2297</v>
      </c>
      <c r="C1326" s="4"/>
      <c r="D1326" s="14"/>
      <c r="E1326" s="31" t="s">
        <v>9</v>
      </c>
      <c r="F1326" s="34"/>
    </row>
    <row r="1327" spans="1:7">
      <c r="A1327" s="6" t="s">
        <v>2298</v>
      </c>
      <c r="B1327" s="3" t="s">
        <v>2290</v>
      </c>
      <c r="C1327" s="4" t="s">
        <v>49</v>
      </c>
      <c r="D1327" s="7">
        <v>640.2</v>
      </c>
      <c r="E1327" s="31" t="s">
        <v>9</v>
      </c>
      <c r="F1327" s="32">
        <v>398.4</v>
      </c>
      <c r="G1327" s="33">
        <f>(D1327-F1327)/F1327</f>
        <v>0.606927710843374</v>
      </c>
    </row>
    <row r="1328" ht="31" customHeight="1" spans="1:7">
      <c r="A1328" s="6" t="s">
        <v>2299</v>
      </c>
      <c r="B1328" s="3" t="s">
        <v>2273</v>
      </c>
      <c r="C1328" s="4" t="s">
        <v>49</v>
      </c>
      <c r="D1328" s="7">
        <v>627.3</v>
      </c>
      <c r="E1328" s="31" t="s">
        <v>9</v>
      </c>
      <c r="F1328" s="32">
        <v>390.4</v>
      </c>
      <c r="G1328" s="33">
        <f>(D1328-F1328)/F1328</f>
        <v>0.606813524590164</v>
      </c>
    </row>
    <row r="1329" ht="62" customHeight="1" spans="1:7">
      <c r="A1329" s="6" t="s">
        <v>2300</v>
      </c>
      <c r="B1329" s="12" t="s">
        <v>2301</v>
      </c>
      <c r="C1329" s="4"/>
      <c r="D1329" s="14"/>
      <c r="E1329" s="31" t="s">
        <v>9</v>
      </c>
    </row>
    <row r="1330" ht="31" customHeight="1" spans="1:7">
      <c r="A1330" s="6" t="s">
        <v>2302</v>
      </c>
      <c r="B1330" s="3" t="s">
        <v>2271</v>
      </c>
      <c r="C1330" s="4" t="s">
        <v>575</v>
      </c>
      <c r="D1330" s="7">
        <v>195.2</v>
      </c>
      <c r="E1330" s="31" t="s">
        <v>9</v>
      </c>
      <c r="F1330" s="32">
        <v>124.05</v>
      </c>
      <c r="G1330" s="33">
        <f>(D1330-F1330)/F1330</f>
        <v>0.573559048770657</v>
      </c>
    </row>
    <row r="1331" ht="31" customHeight="1" spans="1:7">
      <c r="A1331" s="6" t="s">
        <v>2303</v>
      </c>
      <c r="B1331" s="3" t="s">
        <v>2273</v>
      </c>
      <c r="C1331" s="4" t="s">
        <v>575</v>
      </c>
      <c r="D1331" s="7">
        <v>181.25</v>
      </c>
      <c r="E1331" s="31" t="s">
        <v>9</v>
      </c>
      <c r="F1331" s="32">
        <v>115.3</v>
      </c>
      <c r="G1331" s="33">
        <f>(D1331-F1331)/F1331</f>
        <v>0.571986123156982</v>
      </c>
    </row>
    <row r="1332" ht="46.5" customHeight="1" spans="1:7">
      <c r="A1332" s="6" t="s">
        <v>2304</v>
      </c>
      <c r="B1332" s="12" t="s">
        <v>2305</v>
      </c>
      <c r="C1332" s="4"/>
      <c r="D1332" s="14"/>
      <c r="E1332" s="31" t="s">
        <v>9</v>
      </c>
    </row>
    <row r="1333" spans="1:7">
      <c r="A1333" s="6" t="s">
        <v>2306</v>
      </c>
      <c r="B1333" s="3" t="s">
        <v>2307</v>
      </c>
      <c r="C1333" s="4" t="s">
        <v>575</v>
      </c>
      <c r="D1333" s="7">
        <v>194.4</v>
      </c>
      <c r="E1333" s="31" t="s">
        <v>9</v>
      </c>
      <c r="F1333" s="32">
        <v>90.25</v>
      </c>
      <c r="G1333" s="33">
        <f t="shared" ref="G1333:G1341" si="18">(D1333-F1333)/F1333</f>
        <v>1.15401662049862</v>
      </c>
    </row>
    <row r="1334" spans="1:7">
      <c r="A1334" s="6" t="s">
        <v>2308</v>
      </c>
      <c r="B1334" s="3" t="s">
        <v>2309</v>
      </c>
      <c r="C1334" s="4" t="s">
        <v>575</v>
      </c>
      <c r="D1334" s="7">
        <v>206.35</v>
      </c>
      <c r="E1334" s="31" t="s">
        <v>9</v>
      </c>
      <c r="F1334" s="32">
        <v>93.9</v>
      </c>
      <c r="G1334" s="33">
        <f t="shared" si="18"/>
        <v>1.1975505857295</v>
      </c>
    </row>
    <row r="1335" spans="1:7">
      <c r="A1335" s="6" t="s">
        <v>2310</v>
      </c>
      <c r="B1335" s="3" t="s">
        <v>2311</v>
      </c>
      <c r="C1335" s="4" t="s">
        <v>575</v>
      </c>
      <c r="D1335" s="7">
        <v>194.4</v>
      </c>
      <c r="E1335" s="31" t="s">
        <v>9</v>
      </c>
      <c r="F1335" s="32">
        <v>112.2</v>
      </c>
      <c r="G1335" s="33">
        <f t="shared" si="18"/>
        <v>0.732620320855615</v>
      </c>
    </row>
    <row r="1336" ht="46.5" customHeight="1" spans="1:7">
      <c r="A1336" s="6" t="s">
        <v>2312</v>
      </c>
      <c r="B1336" s="12" t="s">
        <v>2313</v>
      </c>
      <c r="C1336" s="4" t="s">
        <v>156</v>
      </c>
      <c r="D1336" s="7">
        <v>226</v>
      </c>
      <c r="E1336" s="31" t="s">
        <v>9</v>
      </c>
      <c r="F1336" s="32">
        <v>112.15</v>
      </c>
      <c r="G1336" s="33">
        <f t="shared" si="18"/>
        <v>1.01515827017387</v>
      </c>
    </row>
    <row r="1337" ht="77.5" customHeight="1" spans="1:7">
      <c r="A1337" s="6" t="s">
        <v>2314</v>
      </c>
      <c r="B1337" s="12" t="s">
        <v>2315</v>
      </c>
      <c r="C1337" s="4" t="s">
        <v>156</v>
      </c>
      <c r="D1337" s="7">
        <v>220.65</v>
      </c>
      <c r="E1337" s="31" t="s">
        <v>9</v>
      </c>
      <c r="F1337" s="32">
        <v>130.1</v>
      </c>
      <c r="G1337" s="33">
        <f t="shared" si="18"/>
        <v>0.696003074558032</v>
      </c>
    </row>
    <row r="1338" ht="31" customHeight="1" spans="1:7">
      <c r="A1338" s="6" t="s">
        <v>2316</v>
      </c>
      <c r="B1338" s="12" t="s">
        <v>2317</v>
      </c>
      <c r="C1338" s="4" t="s">
        <v>575</v>
      </c>
      <c r="D1338" s="7">
        <v>97.2</v>
      </c>
      <c r="E1338" s="31" t="s">
        <v>9</v>
      </c>
      <c r="F1338" s="32">
        <v>68</v>
      </c>
      <c r="G1338" s="33">
        <f t="shared" si="18"/>
        <v>0.429411764705882</v>
      </c>
    </row>
    <row r="1339" spans="1:7">
      <c r="A1339" s="6" t="s">
        <v>2318</v>
      </c>
      <c r="B1339" s="12" t="s">
        <v>2319</v>
      </c>
      <c r="C1339" s="4" t="s">
        <v>575</v>
      </c>
      <c r="D1339" s="7">
        <v>159.35</v>
      </c>
      <c r="E1339" s="31" t="s">
        <v>9</v>
      </c>
      <c r="F1339" s="32">
        <v>96.25</v>
      </c>
      <c r="G1339" s="33">
        <f t="shared" si="18"/>
        <v>0.655584415584415</v>
      </c>
    </row>
    <row r="1340" spans="1:7">
      <c r="A1340" s="6" t="s">
        <v>2320</v>
      </c>
      <c r="B1340" s="12" t="s">
        <v>2321</v>
      </c>
      <c r="C1340" s="4" t="s">
        <v>575</v>
      </c>
      <c r="D1340" s="7">
        <v>278.3</v>
      </c>
      <c r="E1340" s="31" t="s">
        <v>9</v>
      </c>
      <c r="F1340" s="32">
        <v>140.7</v>
      </c>
      <c r="G1340" s="33">
        <f t="shared" si="18"/>
        <v>0.977967306325516</v>
      </c>
    </row>
    <row r="1341" spans="1:7">
      <c r="A1341" s="6" t="s">
        <v>2322</v>
      </c>
      <c r="B1341" s="12" t="s">
        <v>2323</v>
      </c>
      <c r="C1341" s="4" t="s">
        <v>2324</v>
      </c>
      <c r="D1341" s="7">
        <v>5.1</v>
      </c>
      <c r="E1341" s="31" t="s">
        <v>9</v>
      </c>
      <c r="F1341" s="32">
        <v>2.85</v>
      </c>
      <c r="G1341" s="33">
        <f t="shared" si="18"/>
        <v>0.789473684210526</v>
      </c>
    </row>
    <row r="1342" ht="46.5" customHeight="1" spans="1:7">
      <c r="A1342" s="6" t="s">
        <v>2325</v>
      </c>
      <c r="B1342" s="12" t="s">
        <v>2326</v>
      </c>
      <c r="C1342" s="4"/>
      <c r="D1342" s="14"/>
      <c r="E1342" s="31" t="s">
        <v>9</v>
      </c>
    </row>
    <row r="1343" ht="31" customHeight="1" spans="1:7">
      <c r="A1343" s="6" t="s">
        <v>2327</v>
      </c>
      <c r="B1343" s="3" t="s">
        <v>2328</v>
      </c>
      <c r="C1343" s="4" t="s">
        <v>575</v>
      </c>
      <c r="D1343" s="7">
        <v>123.6</v>
      </c>
      <c r="E1343" s="31" t="s">
        <v>9</v>
      </c>
      <c r="F1343" s="32">
        <v>65.8</v>
      </c>
      <c r="G1343" s="33">
        <f>(D1343-F1343)/F1343</f>
        <v>0.878419452887538</v>
      </c>
    </row>
    <row r="1344" spans="1:7">
      <c r="A1344" s="6" t="s">
        <v>2329</v>
      </c>
      <c r="B1344" s="3" t="s">
        <v>2330</v>
      </c>
      <c r="C1344" s="4" t="s">
        <v>575</v>
      </c>
      <c r="D1344" s="7">
        <v>172.6</v>
      </c>
      <c r="E1344" s="31" t="s">
        <v>9</v>
      </c>
      <c r="F1344" s="32">
        <v>85.95</v>
      </c>
      <c r="G1344" s="33">
        <f>(D1344-F1344)/F1344</f>
        <v>1.00814426992437</v>
      </c>
    </row>
    <row r="1345" ht="46.5" customHeight="1" spans="1:7">
      <c r="A1345" s="6" t="s">
        <v>2331</v>
      </c>
      <c r="B1345" s="12" t="s">
        <v>2332</v>
      </c>
      <c r="C1345" s="4"/>
      <c r="D1345" s="14"/>
      <c r="E1345" s="31" t="s">
        <v>9</v>
      </c>
    </row>
    <row r="1346" spans="1:7">
      <c r="A1346" s="6" t="s">
        <v>2333</v>
      </c>
      <c r="B1346" s="3" t="s">
        <v>2334</v>
      </c>
      <c r="C1346" s="4" t="s">
        <v>575</v>
      </c>
      <c r="D1346" s="7">
        <v>196.8</v>
      </c>
      <c r="E1346" s="31" t="s">
        <v>9</v>
      </c>
      <c r="F1346" s="32">
        <v>92</v>
      </c>
      <c r="G1346" s="33">
        <f>(D1346-F1346)/F1346</f>
        <v>1.13913043478261</v>
      </c>
    </row>
    <row r="1347" spans="1:7">
      <c r="A1347" s="6" t="s">
        <v>2335</v>
      </c>
      <c r="B1347" s="3" t="s">
        <v>2336</v>
      </c>
      <c r="C1347" s="4" t="s">
        <v>575</v>
      </c>
      <c r="D1347" s="7">
        <v>205.75</v>
      </c>
      <c r="E1347" s="31" t="s">
        <v>9</v>
      </c>
      <c r="F1347" s="32">
        <v>118.05</v>
      </c>
      <c r="G1347" s="33">
        <f>(D1347-F1347)/F1347</f>
        <v>0.7429055484964</v>
      </c>
    </row>
    <row r="1348" spans="1:7">
      <c r="A1348" s="6" t="s">
        <v>2337</v>
      </c>
      <c r="B1348" s="3" t="s">
        <v>2338</v>
      </c>
      <c r="C1348" s="4" t="s">
        <v>575</v>
      </c>
      <c r="D1348" s="7">
        <v>203.05</v>
      </c>
      <c r="E1348" s="31" t="s">
        <v>9</v>
      </c>
      <c r="F1348" s="32">
        <v>100.25</v>
      </c>
      <c r="G1348" s="33">
        <f>(D1348-F1348)/F1348</f>
        <v>1.02543640897756</v>
      </c>
    </row>
    <row r="1349" ht="62" customHeight="1" spans="1:7">
      <c r="A1349" s="6" t="s">
        <v>2339</v>
      </c>
      <c r="B1349" s="12" t="s">
        <v>2340</v>
      </c>
      <c r="C1349" s="4"/>
      <c r="D1349" s="14"/>
      <c r="E1349" s="31" t="s">
        <v>9</v>
      </c>
    </row>
    <row r="1350" spans="1:7">
      <c r="A1350" s="6" t="s">
        <v>2341</v>
      </c>
      <c r="B1350" s="3" t="s">
        <v>2342</v>
      </c>
      <c r="C1350" s="4" t="s">
        <v>156</v>
      </c>
      <c r="D1350" s="7">
        <v>131.1</v>
      </c>
      <c r="E1350" s="31" t="s">
        <v>9</v>
      </c>
      <c r="F1350" s="32">
        <v>70.1</v>
      </c>
      <c r="G1350" s="33">
        <f t="shared" ref="G1350:G1355" si="19">(D1350-F1350)/F1350</f>
        <v>0.87018544935806</v>
      </c>
    </row>
    <row r="1351" spans="1:7">
      <c r="A1351" s="6" t="s">
        <v>2343</v>
      </c>
      <c r="B1351" s="3" t="s">
        <v>2344</v>
      </c>
      <c r="C1351" s="4" t="s">
        <v>156</v>
      </c>
      <c r="D1351" s="7">
        <v>137.65</v>
      </c>
      <c r="E1351" s="31" t="s">
        <v>9</v>
      </c>
      <c r="F1351" s="32">
        <v>74.75</v>
      </c>
      <c r="G1351" s="33">
        <f t="shared" si="19"/>
        <v>0.841471571906355</v>
      </c>
    </row>
    <row r="1352" spans="1:7">
      <c r="A1352" s="6" t="s">
        <v>2345</v>
      </c>
      <c r="B1352" s="3" t="s">
        <v>2346</v>
      </c>
      <c r="C1352" s="4" t="s">
        <v>156</v>
      </c>
      <c r="D1352" s="7">
        <v>170.95</v>
      </c>
      <c r="E1352" s="31" t="s">
        <v>9</v>
      </c>
      <c r="F1352" s="32">
        <v>91.8</v>
      </c>
      <c r="G1352" s="33">
        <f t="shared" si="19"/>
        <v>0.862200435729847</v>
      </c>
    </row>
    <row r="1353" spans="1:7">
      <c r="A1353" s="6" t="s">
        <v>2347</v>
      </c>
      <c r="B1353" s="3" t="s">
        <v>2348</v>
      </c>
      <c r="C1353" s="4" t="s">
        <v>156</v>
      </c>
      <c r="D1353" s="7">
        <v>182.2</v>
      </c>
      <c r="E1353" s="31" t="s">
        <v>9</v>
      </c>
      <c r="F1353" s="32">
        <v>102.8</v>
      </c>
      <c r="G1353" s="33">
        <f t="shared" si="19"/>
        <v>0.772373540856031</v>
      </c>
    </row>
    <row r="1354" spans="1:7">
      <c r="A1354" s="6" t="s">
        <v>2349</v>
      </c>
      <c r="B1354" s="3" t="s">
        <v>2350</v>
      </c>
      <c r="C1354" s="4" t="s">
        <v>156</v>
      </c>
      <c r="D1354" s="7">
        <v>224.5</v>
      </c>
      <c r="E1354" s="31" t="s">
        <v>9</v>
      </c>
      <c r="F1354" s="32">
        <v>125.65</v>
      </c>
      <c r="G1354" s="33">
        <f t="shared" si="19"/>
        <v>0.786709112614405</v>
      </c>
    </row>
    <row r="1355" ht="124" customHeight="1" spans="1:7">
      <c r="A1355" s="6" t="s">
        <v>2351</v>
      </c>
      <c r="B1355" s="12" t="s">
        <v>2352</v>
      </c>
      <c r="C1355" s="4" t="s">
        <v>575</v>
      </c>
      <c r="D1355" s="7">
        <v>772.4</v>
      </c>
      <c r="E1355" s="31" t="s">
        <v>9</v>
      </c>
      <c r="F1355" s="32">
        <v>472.4</v>
      </c>
      <c r="G1355" s="33">
        <f t="shared" si="19"/>
        <v>0.635055038103302</v>
      </c>
    </row>
    <row r="1356" ht="31" customHeight="1" spans="1:7">
      <c r="A1356" s="6" t="s">
        <v>2353</v>
      </c>
      <c r="B1356" s="12" t="s">
        <v>2354</v>
      </c>
      <c r="C1356" s="4"/>
      <c r="D1356" s="14"/>
      <c r="E1356" s="31" t="s">
        <v>9</v>
      </c>
    </row>
    <row r="1357" spans="1:7">
      <c r="A1357" s="6" t="s">
        <v>2355</v>
      </c>
      <c r="B1357" s="3" t="s">
        <v>2356</v>
      </c>
      <c r="C1357" s="4" t="s">
        <v>12</v>
      </c>
      <c r="D1357" s="7">
        <v>844.7</v>
      </c>
      <c r="E1357" s="31" t="s">
        <v>9</v>
      </c>
      <c r="F1357" s="32">
        <v>544.45</v>
      </c>
      <c r="G1357" s="33">
        <f>(D1357-F1357)/F1357</f>
        <v>0.551473964551382</v>
      </c>
    </row>
    <row r="1358" ht="31" customHeight="1" spans="1:7">
      <c r="A1358" s="6" t="s">
        <v>2357</v>
      </c>
      <c r="B1358" s="3" t="s">
        <v>2358</v>
      </c>
      <c r="C1358" s="4" t="s">
        <v>12</v>
      </c>
      <c r="D1358" s="7">
        <v>1133.55</v>
      </c>
      <c r="E1358" s="31" t="s">
        <v>9</v>
      </c>
      <c r="F1358" s="32">
        <v>1041.55</v>
      </c>
      <c r="G1358" s="33">
        <f>(D1358-F1358)/F1358</f>
        <v>0.0883298929480102</v>
      </c>
    </row>
    <row r="1359" ht="31" customHeight="1" spans="1:7">
      <c r="A1359" s="6" t="s">
        <v>2359</v>
      </c>
      <c r="B1359" s="12" t="s">
        <v>2360</v>
      </c>
      <c r="C1359" s="4"/>
      <c r="D1359" s="14"/>
      <c r="E1359" s="31" t="s">
        <v>9</v>
      </c>
    </row>
    <row r="1360" spans="1:7">
      <c r="A1360" s="6" t="s">
        <v>2361</v>
      </c>
      <c r="B1360" s="3" t="s">
        <v>2362</v>
      </c>
      <c r="C1360" s="4" t="s">
        <v>12</v>
      </c>
      <c r="D1360" s="7">
        <v>1064.65</v>
      </c>
      <c r="E1360" s="31" t="s">
        <v>9</v>
      </c>
      <c r="F1360" s="32">
        <v>689.05</v>
      </c>
      <c r="G1360" s="33">
        <f>(D1360-F1360)/F1360</f>
        <v>0.545098323779116</v>
      </c>
    </row>
    <row r="1361" spans="1:7">
      <c r="A1361" s="6" t="s">
        <v>2363</v>
      </c>
      <c r="B1361" s="3" t="s">
        <v>2364</v>
      </c>
      <c r="C1361" s="4" t="s">
        <v>12</v>
      </c>
      <c r="D1361" s="7">
        <v>1390.15</v>
      </c>
      <c r="E1361" s="31" t="s">
        <v>9</v>
      </c>
      <c r="F1361" s="32">
        <v>949.7</v>
      </c>
      <c r="G1361" s="33">
        <f>(D1361-F1361)/F1361</f>
        <v>0.463778035169001</v>
      </c>
    </row>
    <row r="1362" ht="77.5" customHeight="1" spans="1:7">
      <c r="A1362" s="6" t="s">
        <v>2365</v>
      </c>
      <c r="B1362" s="12" t="s">
        <v>2366</v>
      </c>
      <c r="C1362" s="4" t="s">
        <v>575</v>
      </c>
      <c r="D1362" s="7">
        <v>130.5</v>
      </c>
      <c r="E1362" s="31" t="s">
        <v>9</v>
      </c>
      <c r="F1362" s="32">
        <v>66</v>
      </c>
      <c r="G1362" s="33">
        <f>(D1362-F1362)/F1362</f>
        <v>0.977272727272727</v>
      </c>
    </row>
    <row r="1363" spans="1:7">
      <c r="D1363" s="16"/>
    </row>
    <row r="1364" spans="1:7">
      <c r="D1364" s="16"/>
    </row>
    <row r="1365" spans="1:7">
      <c r="D1365" s="16"/>
    </row>
    <row r="1366" spans="1:7">
      <c r="A1366" s="41" t="s">
        <v>2367</v>
      </c>
      <c r="C1366" s="31"/>
      <c r="D1366" s="31"/>
    </row>
    <row r="1367" spans="1:7">
      <c r="A1367" s="6" t="s">
        <v>204</v>
      </c>
      <c r="B1367" s="12" t="s">
        <v>2</v>
      </c>
      <c r="C1367" s="4" t="s">
        <v>205</v>
      </c>
      <c r="D1367" s="14" t="s">
        <v>4</v>
      </c>
    </row>
    <row r="1368" ht="46.5" customHeight="1" spans="1:7">
      <c r="A1368" s="6" t="s">
        <v>2368</v>
      </c>
      <c r="B1368" s="12" t="s">
        <v>2369</v>
      </c>
      <c r="C1368" s="4"/>
      <c r="D1368" s="14"/>
    </row>
    <row r="1369" spans="1:7">
      <c r="A1369" s="6" t="s">
        <v>2370</v>
      </c>
      <c r="B1369" s="3" t="s">
        <v>2371</v>
      </c>
      <c r="C1369" s="4" t="s">
        <v>12</v>
      </c>
      <c r="D1369" s="7">
        <v>1006.95</v>
      </c>
      <c r="E1369" s="31" t="s">
        <v>9</v>
      </c>
      <c r="F1369" s="32">
        <v>675.95</v>
      </c>
      <c r="G1369" s="33">
        <f>(D1369-F1369)/F1369</f>
        <v>0.489681189437088</v>
      </c>
    </row>
    <row r="1370" spans="1:7">
      <c r="A1370" s="6" t="s">
        <v>2372</v>
      </c>
      <c r="B1370" s="3" t="s">
        <v>2373</v>
      </c>
      <c r="C1370" s="4" t="s">
        <v>12</v>
      </c>
      <c r="D1370" s="7">
        <v>965.55</v>
      </c>
      <c r="E1370" s="31" t="s">
        <v>9</v>
      </c>
      <c r="F1370" s="32">
        <v>638</v>
      </c>
      <c r="G1370" s="33">
        <f>(D1370-F1370)/F1370</f>
        <v>0.513401253918495</v>
      </c>
    </row>
    <row r="1371" ht="46.5" customHeight="1" spans="1:7">
      <c r="A1371" s="6" t="s">
        <v>2374</v>
      </c>
      <c r="B1371" s="12" t="s">
        <v>2375</v>
      </c>
      <c r="C1371" s="4" t="s">
        <v>12</v>
      </c>
      <c r="D1371" s="7">
        <v>792.05</v>
      </c>
      <c r="E1371" s="31" t="s">
        <v>9</v>
      </c>
      <c r="F1371" s="32">
        <v>516</v>
      </c>
      <c r="G1371" s="33">
        <f>(D1371-F1371)/F1371</f>
        <v>0.534980620155039</v>
      </c>
    </row>
    <row r="1372" ht="46.5" customHeight="1" spans="1:7">
      <c r="A1372" s="6" t="s">
        <v>2376</v>
      </c>
      <c r="B1372" s="12" t="s">
        <v>2377</v>
      </c>
      <c r="C1372" s="4"/>
      <c r="D1372" s="14"/>
    </row>
    <row r="1373" spans="1:7">
      <c r="A1373" s="6" t="s">
        <v>2378</v>
      </c>
      <c r="B1373" s="3" t="s">
        <v>2379</v>
      </c>
      <c r="C1373" s="4" t="s">
        <v>12</v>
      </c>
      <c r="D1373" s="7">
        <v>614.2</v>
      </c>
      <c r="E1373" s="31" t="s">
        <v>9</v>
      </c>
      <c r="F1373" s="32">
        <v>362.6</v>
      </c>
      <c r="G1373" s="33">
        <f>(D1373-F1373)/F1373</f>
        <v>0.693877551020408</v>
      </c>
    </row>
    <row r="1374" ht="108.5" customHeight="1" spans="1:7">
      <c r="A1374" s="6" t="s">
        <v>2380</v>
      </c>
      <c r="B1374" s="12" t="s">
        <v>2381</v>
      </c>
      <c r="C1374" s="4" t="s">
        <v>12</v>
      </c>
      <c r="D1374" s="7">
        <v>978.45</v>
      </c>
      <c r="E1374" s="31" t="s">
        <v>9</v>
      </c>
      <c r="F1374" s="32">
        <v>555.25</v>
      </c>
      <c r="G1374" s="33">
        <f>(D1374-F1374)/F1374</f>
        <v>0.762179198559208</v>
      </c>
    </row>
    <row r="1375" ht="93" customHeight="1" spans="1:7">
      <c r="A1375" s="6" t="s">
        <v>2382</v>
      </c>
      <c r="B1375" s="12" t="s">
        <v>2383</v>
      </c>
      <c r="C1375" s="4" t="s">
        <v>12</v>
      </c>
      <c r="D1375" s="7">
        <v>1056.15</v>
      </c>
      <c r="E1375" s="31" t="s">
        <v>9</v>
      </c>
      <c r="F1375" s="32">
        <v>609.05</v>
      </c>
      <c r="G1375" s="33">
        <f>(D1375-F1375)/F1375</f>
        <v>0.734094080945735</v>
      </c>
    </row>
    <row r="1376" ht="31" customHeight="1" spans="1:7">
      <c r="A1376" s="6" t="s">
        <v>2384</v>
      </c>
      <c r="B1376" s="12" t="s">
        <v>2385</v>
      </c>
      <c r="C1376" s="4"/>
      <c r="D1376" s="14"/>
      <c r="E1376" s="31" t="s">
        <v>9</v>
      </c>
    </row>
    <row r="1377" spans="1:7">
      <c r="A1377" s="6" t="s">
        <v>2386</v>
      </c>
      <c r="B1377" s="3" t="s">
        <v>1222</v>
      </c>
      <c r="C1377" s="4" t="s">
        <v>12</v>
      </c>
      <c r="D1377" s="7">
        <v>662.05</v>
      </c>
      <c r="E1377" s="31" t="s">
        <v>9</v>
      </c>
      <c r="F1377" s="32">
        <v>350.05</v>
      </c>
      <c r="G1377" s="33">
        <f>(D1377-F1377)/F1377</f>
        <v>0.891301242679617</v>
      </c>
    </row>
    <row r="1378" ht="31" customHeight="1" spans="1:7">
      <c r="A1378" s="6" t="s">
        <v>2387</v>
      </c>
      <c r="B1378" s="12" t="s">
        <v>2388</v>
      </c>
      <c r="C1378" s="4" t="s">
        <v>16</v>
      </c>
      <c r="D1378" s="7">
        <v>8595.15</v>
      </c>
      <c r="E1378" s="2"/>
      <c r="F1378" s="32">
        <v>5804.35</v>
      </c>
      <c r="G1378" s="33">
        <f>(D1378-F1378)/F1378</f>
        <v>0.480811804939399</v>
      </c>
    </row>
    <row r="1379" ht="31" customHeight="1" spans="1:7">
      <c r="A1379" s="6" t="s">
        <v>2389</v>
      </c>
      <c r="B1379" s="12" t="s">
        <v>2390</v>
      </c>
      <c r="C1379" s="4" t="s">
        <v>12</v>
      </c>
      <c r="D1379" s="7">
        <v>83.85</v>
      </c>
      <c r="E1379" s="31" t="s">
        <v>9</v>
      </c>
      <c r="F1379" s="32">
        <v>36.85</v>
      </c>
      <c r="G1379" s="33">
        <f>(D1379-F1379)/F1379</f>
        <v>1.27544097693351</v>
      </c>
    </row>
    <row r="1380" spans="1:7">
      <c r="B1380" s="12" t="s">
        <v>2391</v>
      </c>
      <c r="D1380" s="16"/>
    </row>
    <row r="1381" ht="93" customHeight="1" spans="1:7">
      <c r="A1381" s="6" t="s">
        <v>2392</v>
      </c>
      <c r="B1381" s="12" t="s">
        <v>2393</v>
      </c>
      <c r="C1381" s="4"/>
      <c r="D1381" s="14"/>
    </row>
    <row r="1382" spans="1:7">
      <c r="A1382" s="6" t="s">
        <v>2394</v>
      </c>
      <c r="B1382" s="3" t="s">
        <v>2395</v>
      </c>
      <c r="C1382" s="4" t="s">
        <v>12</v>
      </c>
      <c r="D1382" s="7">
        <v>1065.75</v>
      </c>
      <c r="F1382" s="32">
        <v>616.8</v>
      </c>
      <c r="G1382" s="33">
        <f t="shared" ref="G1382:G1387" si="20">(D1382-F1382)/F1382</f>
        <v>0.727869649805448</v>
      </c>
    </row>
    <row r="1383" spans="1:7">
      <c r="A1383" s="6" t="s">
        <v>2396</v>
      </c>
      <c r="B1383" s="3" t="s">
        <v>2397</v>
      </c>
      <c r="C1383" s="4" t="s">
        <v>12</v>
      </c>
      <c r="D1383" s="7">
        <v>1092.5</v>
      </c>
      <c r="F1383" s="32">
        <v>642.65</v>
      </c>
      <c r="G1383" s="33">
        <f t="shared" si="20"/>
        <v>0.699992219715242</v>
      </c>
    </row>
    <row r="1384" spans="1:7">
      <c r="A1384" s="6" t="s">
        <v>2398</v>
      </c>
      <c r="B1384" s="3" t="s">
        <v>2399</v>
      </c>
      <c r="C1384" s="4" t="s">
        <v>12</v>
      </c>
      <c r="D1384" s="7">
        <v>1075.1</v>
      </c>
      <c r="F1384" s="32">
        <v>629.75</v>
      </c>
      <c r="G1384" s="33">
        <f t="shared" si="20"/>
        <v>0.707185391028186</v>
      </c>
    </row>
    <row r="1385" spans="1:7">
      <c r="A1385" s="6" t="s">
        <v>2400</v>
      </c>
      <c r="B1385" s="3" t="s">
        <v>2401</v>
      </c>
      <c r="C1385" s="4" t="s">
        <v>12</v>
      </c>
      <c r="D1385" s="7">
        <v>1067.5</v>
      </c>
      <c r="F1385" s="32">
        <v>618.1</v>
      </c>
      <c r="G1385" s="33">
        <f t="shared" si="20"/>
        <v>0.727066817667044</v>
      </c>
    </row>
    <row r="1386" spans="1:7">
      <c r="A1386" s="6" t="s">
        <v>2402</v>
      </c>
      <c r="B1386" s="3" t="s">
        <v>2403</v>
      </c>
      <c r="C1386" s="4" t="s">
        <v>12</v>
      </c>
      <c r="D1386" s="7">
        <v>1061.7</v>
      </c>
      <c r="F1386" s="32">
        <v>616.8</v>
      </c>
      <c r="G1386" s="33">
        <f t="shared" si="20"/>
        <v>0.721303501945526</v>
      </c>
    </row>
    <row r="1387" spans="1:7">
      <c r="A1387" s="6" t="s">
        <v>2404</v>
      </c>
      <c r="B1387" s="3" t="s">
        <v>2405</v>
      </c>
      <c r="C1387" s="4" t="s">
        <v>12</v>
      </c>
      <c r="D1387" s="7">
        <v>1034.25</v>
      </c>
      <c r="F1387" s="32">
        <v>588.9</v>
      </c>
      <c r="G1387" s="33">
        <f t="shared" si="20"/>
        <v>0.756240448293429</v>
      </c>
    </row>
    <row r="1388" ht="93" customHeight="1" spans="1:7">
      <c r="A1388" s="6" t="s">
        <v>2406</v>
      </c>
      <c r="B1388" s="12" t="s">
        <v>2407</v>
      </c>
      <c r="C1388" s="4"/>
      <c r="D1388" s="7"/>
    </row>
    <row r="1389" spans="1:7">
      <c r="A1389" s="6" t="s">
        <v>2408</v>
      </c>
      <c r="B1389" s="12" t="s">
        <v>2409</v>
      </c>
      <c r="C1389" s="4" t="s">
        <v>12</v>
      </c>
      <c r="D1389" s="7">
        <v>1072.1</v>
      </c>
    </row>
    <row r="1390" spans="1:7">
      <c r="A1390" s="6" t="s">
        <v>2410</v>
      </c>
      <c r="B1390" s="12" t="s">
        <v>2397</v>
      </c>
      <c r="C1390" s="4" t="s">
        <v>12</v>
      </c>
      <c r="D1390" s="7">
        <v>1110.3</v>
      </c>
    </row>
    <row r="1391" spans="1:7">
      <c r="A1391" s="6" t="s">
        <v>2411</v>
      </c>
      <c r="B1391" s="12" t="s">
        <v>2399</v>
      </c>
      <c r="C1391" s="4" t="s">
        <v>12</v>
      </c>
      <c r="D1391" s="7">
        <v>1085.45</v>
      </c>
    </row>
    <row r="1392" spans="1:7">
      <c r="A1392" s="6" t="s">
        <v>2412</v>
      </c>
      <c r="B1392" s="12" t="s">
        <v>2401</v>
      </c>
      <c r="C1392" s="4" t="s">
        <v>12</v>
      </c>
      <c r="D1392" s="7">
        <v>1071.05</v>
      </c>
    </row>
    <row r="1393" spans="1:7">
      <c r="A1393" s="6" t="s">
        <v>2413</v>
      </c>
      <c r="B1393" s="12" t="s">
        <v>2403</v>
      </c>
      <c r="C1393" s="4" t="s">
        <v>12</v>
      </c>
      <c r="D1393" s="7">
        <v>1066.35</v>
      </c>
    </row>
    <row r="1394" spans="1:7">
      <c r="A1394" s="6" t="s">
        <v>2414</v>
      </c>
      <c r="B1394" s="12" t="s">
        <v>2405</v>
      </c>
      <c r="C1394" s="4" t="s">
        <v>12</v>
      </c>
      <c r="D1394" s="7">
        <v>1027.1</v>
      </c>
    </row>
    <row r="1395" ht="93" customHeight="1" spans="1:7">
      <c r="A1395" s="6" t="s">
        <v>2415</v>
      </c>
      <c r="B1395" s="12" t="s">
        <v>2416</v>
      </c>
      <c r="C1395" s="4"/>
      <c r="D1395" s="7"/>
    </row>
    <row r="1396" spans="1:7">
      <c r="A1396" s="6" t="s">
        <v>2417</v>
      </c>
      <c r="B1396" s="12" t="s">
        <v>2395</v>
      </c>
      <c r="C1396" s="4" t="s">
        <v>12</v>
      </c>
      <c r="D1396" s="7">
        <v>1110.75</v>
      </c>
    </row>
    <row r="1397" spans="1:7">
      <c r="A1397" s="6" t="s">
        <v>2418</v>
      </c>
      <c r="B1397" s="12" t="s">
        <v>2397</v>
      </c>
      <c r="C1397" s="4" t="s">
        <v>12</v>
      </c>
      <c r="D1397" s="7">
        <v>1164.25</v>
      </c>
    </row>
    <row r="1398" spans="1:7">
      <c r="A1398" s="6" t="s">
        <v>2419</v>
      </c>
      <c r="B1398" s="12" t="s">
        <v>2399</v>
      </c>
      <c r="C1398" s="4" t="s">
        <v>12</v>
      </c>
      <c r="D1398" s="7">
        <v>1129.45</v>
      </c>
    </row>
    <row r="1399" spans="1:7">
      <c r="A1399" s="6" t="s">
        <v>2420</v>
      </c>
      <c r="B1399" s="12" t="s">
        <v>2401</v>
      </c>
      <c r="C1399" s="4" t="s">
        <v>12</v>
      </c>
      <c r="D1399" s="7">
        <v>1109.85</v>
      </c>
    </row>
    <row r="1400" spans="1:7">
      <c r="A1400" s="6" t="s">
        <v>2421</v>
      </c>
      <c r="B1400" s="12" t="s">
        <v>2403</v>
      </c>
      <c r="C1400" s="4" t="s">
        <v>12</v>
      </c>
      <c r="D1400" s="7">
        <v>1102.7</v>
      </c>
    </row>
    <row r="1401" spans="1:7">
      <c r="A1401" s="6" t="s">
        <v>2422</v>
      </c>
      <c r="B1401" s="12" t="s">
        <v>2405</v>
      </c>
      <c r="C1401" s="4" t="s">
        <v>12</v>
      </c>
      <c r="D1401" s="7">
        <v>1048.25</v>
      </c>
    </row>
    <row r="1402" ht="77.5" customHeight="1" spans="1:7">
      <c r="A1402" s="6" t="s">
        <v>2423</v>
      </c>
      <c r="B1402" s="12" t="s">
        <v>2424</v>
      </c>
      <c r="C1402" s="4"/>
      <c r="D1402" s="14"/>
    </row>
    <row r="1403" ht="31" customHeight="1" spans="1:7">
      <c r="A1403" s="6" t="s">
        <v>2425</v>
      </c>
      <c r="B1403" s="3" t="s">
        <v>2426</v>
      </c>
      <c r="C1403" s="4"/>
      <c r="D1403" s="14"/>
    </row>
    <row r="1404" spans="1:7">
      <c r="A1404" s="6" t="s">
        <v>2427</v>
      </c>
      <c r="B1404" s="3" t="s">
        <v>2395</v>
      </c>
      <c r="C1404" s="4" t="s">
        <v>12</v>
      </c>
      <c r="D1404" s="7">
        <v>1864.3</v>
      </c>
      <c r="F1404" s="32">
        <v>879.65</v>
      </c>
      <c r="G1404" s="33">
        <f t="shared" ref="G1404:G1409" si="21">(D1404-F1404)/F1404</f>
        <v>1.11936565679532</v>
      </c>
    </row>
    <row r="1405" spans="1:7">
      <c r="A1405" s="6" t="s">
        <v>2428</v>
      </c>
      <c r="B1405" s="3" t="s">
        <v>2397</v>
      </c>
      <c r="C1405" s="4" t="s">
        <v>12</v>
      </c>
      <c r="D1405" s="7">
        <v>1891.05</v>
      </c>
      <c r="F1405" s="32">
        <v>905.5</v>
      </c>
      <c r="G1405" s="33">
        <f t="shared" si="21"/>
        <v>1.08840419657648</v>
      </c>
    </row>
    <row r="1406" spans="1:7">
      <c r="A1406" s="6" t="s">
        <v>2429</v>
      </c>
      <c r="B1406" s="3" t="s">
        <v>2399</v>
      </c>
      <c r="C1406" s="4" t="s">
        <v>12</v>
      </c>
      <c r="D1406" s="7">
        <v>1873.65</v>
      </c>
      <c r="F1406" s="32">
        <v>892.6</v>
      </c>
      <c r="G1406" s="33">
        <f t="shared" si="21"/>
        <v>1.09909253865113</v>
      </c>
    </row>
    <row r="1407" spans="1:7">
      <c r="A1407" s="6" t="s">
        <v>2430</v>
      </c>
      <c r="B1407" s="3" t="s">
        <v>2401</v>
      </c>
      <c r="C1407" s="4" t="s">
        <v>12</v>
      </c>
      <c r="D1407" s="7">
        <v>1863.6</v>
      </c>
      <c r="F1407" s="32">
        <v>880.95</v>
      </c>
      <c r="G1407" s="33">
        <f t="shared" si="21"/>
        <v>1.11544355525285</v>
      </c>
    </row>
    <row r="1408" spans="1:7">
      <c r="A1408" s="6" t="s">
        <v>2431</v>
      </c>
      <c r="B1408" s="3" t="s">
        <v>2403</v>
      </c>
      <c r="C1408" s="4" t="s">
        <v>12</v>
      </c>
      <c r="D1408" s="7">
        <v>1860.25</v>
      </c>
      <c r="F1408" s="32">
        <v>879.65</v>
      </c>
      <c r="G1408" s="33">
        <f t="shared" si="21"/>
        <v>1.11476155289035</v>
      </c>
    </row>
    <row r="1409" spans="1:7">
      <c r="A1409" s="6" t="s">
        <v>2432</v>
      </c>
      <c r="B1409" s="3" t="s">
        <v>2405</v>
      </c>
      <c r="C1409" s="4" t="s">
        <v>12</v>
      </c>
      <c r="D1409" s="7">
        <v>1832.8</v>
      </c>
      <c r="F1409" s="32">
        <v>852.6</v>
      </c>
      <c r="G1409" s="33">
        <f t="shared" si="21"/>
        <v>1.14965986394558</v>
      </c>
    </row>
    <row r="1410" spans="1:7">
      <c r="A1410" s="6" t="s">
        <v>2433</v>
      </c>
      <c r="B1410" s="12" t="s">
        <v>2434</v>
      </c>
      <c r="C1410" s="4"/>
      <c r="D1410" s="14"/>
      <c r="E1410" s="31" t="s">
        <v>9</v>
      </c>
    </row>
    <row r="1411" spans="1:7">
      <c r="A1411" s="6" t="s">
        <v>2435</v>
      </c>
      <c r="B1411" s="3" t="s">
        <v>2436</v>
      </c>
      <c r="C1411" s="4" t="s">
        <v>49</v>
      </c>
      <c r="D1411" s="7">
        <v>91.75</v>
      </c>
      <c r="E1411" s="31" t="s">
        <v>9</v>
      </c>
      <c r="F1411" s="32">
        <v>52.5</v>
      </c>
      <c r="G1411" s="33">
        <f>(D1411-F1411)/F1411</f>
        <v>0.747619047619048</v>
      </c>
    </row>
    <row r="1412" ht="31" customHeight="1" spans="1:7">
      <c r="A1412" s="6" t="s">
        <v>2437</v>
      </c>
      <c r="B1412" s="12" t="s">
        <v>2438</v>
      </c>
      <c r="C1412" s="4" t="s">
        <v>12</v>
      </c>
      <c r="D1412" s="7">
        <v>97.65</v>
      </c>
      <c r="F1412" s="32">
        <v>41.25</v>
      </c>
      <c r="G1412" s="33">
        <f>(D1412-F1412)/F1412</f>
        <v>1.36727272727273</v>
      </c>
    </row>
    <row r="1413" ht="93" customHeight="1" spans="1:7">
      <c r="A1413" s="6" t="s">
        <v>2439</v>
      </c>
      <c r="B1413" s="12" t="s">
        <v>2440</v>
      </c>
      <c r="C1413" s="4"/>
      <c r="D1413" s="14"/>
      <c r="E1413" s="31" t="s">
        <v>9</v>
      </c>
    </row>
    <row r="1414" spans="1:7">
      <c r="A1414" s="6" t="s">
        <v>2441</v>
      </c>
      <c r="B1414" s="3" t="s">
        <v>2442</v>
      </c>
      <c r="C1414" s="4" t="s">
        <v>12</v>
      </c>
      <c r="D1414" s="7">
        <v>1714.8</v>
      </c>
      <c r="E1414" s="31" t="s">
        <v>9</v>
      </c>
      <c r="F1414" s="32">
        <v>948.85</v>
      </c>
      <c r="G1414" s="33">
        <f>(D1414-F1414)/F1414</f>
        <v>0.8072403435738</v>
      </c>
    </row>
    <row r="1415" spans="1:7">
      <c r="A1415" s="40"/>
      <c r="B1415" s="12" t="s">
        <v>2443</v>
      </c>
      <c r="C1415" s="4"/>
      <c r="D1415" s="14"/>
    </row>
    <row r="1416" ht="62" customHeight="1" spans="1:7">
      <c r="A1416" s="6" t="s">
        <v>2444</v>
      </c>
      <c r="B1416" s="12" t="s">
        <v>2445</v>
      </c>
      <c r="C1416" s="4"/>
      <c r="D1416" s="14"/>
      <c r="E1416" s="2"/>
    </row>
    <row r="1417" spans="1:7">
      <c r="A1417" s="6" t="s">
        <v>2446</v>
      </c>
      <c r="B1417" s="3" t="s">
        <v>2447</v>
      </c>
      <c r="C1417" s="4" t="s">
        <v>12</v>
      </c>
      <c r="D1417" s="7">
        <v>1549.45</v>
      </c>
      <c r="E1417" s="31" t="s">
        <v>9</v>
      </c>
      <c r="F1417" s="32">
        <v>952.35</v>
      </c>
      <c r="G1417" s="33">
        <f>(D1417-F1417)/F1417</f>
        <v>0.626975376699743</v>
      </c>
    </row>
    <row r="1418" spans="1:7">
      <c r="A1418" s="6" t="s">
        <v>2448</v>
      </c>
      <c r="B1418" s="3" t="s">
        <v>2449</v>
      </c>
      <c r="C1418" s="4" t="s">
        <v>12</v>
      </c>
      <c r="D1418" s="7">
        <v>1507.1</v>
      </c>
    </row>
    <row r="1419" spans="1:7">
      <c r="A1419" s="6" t="s">
        <v>2450</v>
      </c>
      <c r="B1419" s="3" t="s">
        <v>2451</v>
      </c>
      <c r="C1419" s="4" t="s">
        <v>12</v>
      </c>
      <c r="D1419" s="7">
        <v>1450</v>
      </c>
    </row>
    <row r="1420" spans="1:7">
      <c r="A1420" s="6" t="s">
        <v>2452</v>
      </c>
      <c r="B1420" s="3" t="s">
        <v>2405</v>
      </c>
      <c r="C1420" s="4" t="s">
        <v>12</v>
      </c>
      <c r="D1420" s="7">
        <v>1386.8</v>
      </c>
      <c r="E1420" s="31" t="s">
        <v>9</v>
      </c>
      <c r="F1420" s="32">
        <v>818.15</v>
      </c>
      <c r="G1420" s="33">
        <f>(D1420-F1420)/F1420</f>
        <v>0.695043696143739</v>
      </c>
    </row>
    <row r="1421" spans="1:7">
      <c r="A1421" s="6" t="s">
        <v>2453</v>
      </c>
      <c r="B1421" s="12" t="s">
        <v>2454</v>
      </c>
      <c r="C1421" s="4" t="s">
        <v>12</v>
      </c>
      <c r="D1421" s="7">
        <v>124.05</v>
      </c>
      <c r="F1421" s="32">
        <v>51.55</v>
      </c>
      <c r="G1421" s="33">
        <f>(D1421-F1421)/F1421</f>
        <v>1.40640155189137</v>
      </c>
    </row>
    <row r="1422" ht="62" customHeight="1" spans="1:7">
      <c r="A1422" s="6" t="s">
        <v>2455</v>
      </c>
      <c r="B1422" s="12" t="s">
        <v>2456</v>
      </c>
      <c r="C1422" s="4"/>
      <c r="D1422" s="14"/>
      <c r="E1422" s="31" t="s">
        <v>9</v>
      </c>
    </row>
    <row r="1423" spans="1:7">
      <c r="A1423" s="6" t="s">
        <v>2457</v>
      </c>
      <c r="B1423" s="3" t="s">
        <v>2447</v>
      </c>
      <c r="C1423" s="4" t="s">
        <v>12</v>
      </c>
      <c r="D1423" s="7">
        <v>2422.8</v>
      </c>
      <c r="E1423" s="2"/>
      <c r="F1423" s="32">
        <v>1280.5</v>
      </c>
      <c r="G1423" s="33">
        <f>(D1423-F1423)/F1423</f>
        <v>0.892073408824678</v>
      </c>
    </row>
    <row r="1424" spans="1:7">
      <c r="A1424" s="6" t="s">
        <v>2458</v>
      </c>
      <c r="B1424" s="3" t="s">
        <v>2459</v>
      </c>
      <c r="C1424" s="4" t="s">
        <v>12</v>
      </c>
      <c r="D1424" s="7">
        <v>2370.95</v>
      </c>
      <c r="F1424" s="32">
        <v>1233.85</v>
      </c>
      <c r="G1424" s="33">
        <f>(D1424-F1424)/F1424</f>
        <v>0.921586902783969</v>
      </c>
    </row>
    <row r="1425" spans="1:7">
      <c r="A1425" s="6" t="s">
        <v>2460</v>
      </c>
      <c r="B1425" s="3" t="s">
        <v>2451</v>
      </c>
      <c r="C1425" s="4" t="s">
        <v>12</v>
      </c>
      <c r="D1425" s="7">
        <v>2308.75</v>
      </c>
      <c r="E1425" s="2"/>
      <c r="F1425" s="32">
        <v>1187.25</v>
      </c>
      <c r="G1425" s="33">
        <f>(D1425-F1425)/F1425</f>
        <v>0.944619919983154</v>
      </c>
    </row>
    <row r="1426" spans="1:7">
      <c r="A1426" s="6" t="s">
        <v>2461</v>
      </c>
      <c r="B1426" s="3" t="s">
        <v>2405</v>
      </c>
      <c r="C1426" s="4" t="s">
        <v>12</v>
      </c>
      <c r="D1426" s="7">
        <v>2229.15</v>
      </c>
      <c r="E1426" s="2"/>
      <c r="F1426" s="32">
        <v>1117.9</v>
      </c>
      <c r="G1426" s="33">
        <f>(D1426-F1426)/F1426</f>
        <v>0.994051346274264</v>
      </c>
    </row>
    <row r="1427" ht="62" customHeight="1" spans="1:7">
      <c r="A1427" s="6" t="s">
        <v>2462</v>
      </c>
      <c r="B1427" s="12" t="s">
        <v>2463</v>
      </c>
      <c r="C1427" s="4"/>
      <c r="D1427" s="14"/>
    </row>
    <row r="1428" spans="1:7">
      <c r="A1428" s="6" t="s">
        <v>2464</v>
      </c>
      <c r="B1428" s="3" t="s">
        <v>2447</v>
      </c>
      <c r="C1428" s="4" t="s">
        <v>12</v>
      </c>
      <c r="D1428" s="7">
        <v>1533.8</v>
      </c>
      <c r="E1428" s="31" t="s">
        <v>9</v>
      </c>
      <c r="F1428" s="32">
        <v>939.6</v>
      </c>
      <c r="G1428" s="33">
        <f>(D1428-F1428)/F1428</f>
        <v>0.632396764580673</v>
      </c>
    </row>
    <row r="1429" spans="1:7">
      <c r="A1429" s="6" t="s">
        <v>2465</v>
      </c>
      <c r="B1429" s="3" t="s">
        <v>2466</v>
      </c>
      <c r="C1429" s="4" t="s">
        <v>12</v>
      </c>
      <c r="D1429" s="7">
        <v>1483.6</v>
      </c>
      <c r="F1429" s="32">
        <v>957.5</v>
      </c>
      <c r="G1429" s="33">
        <f>(D1429-F1429)/F1429</f>
        <v>0.549451697127937</v>
      </c>
    </row>
    <row r="1430" spans="1:7">
      <c r="A1430" s="6" t="s">
        <v>2467</v>
      </c>
      <c r="B1430" s="3" t="s">
        <v>2451</v>
      </c>
      <c r="C1430" s="4" t="s">
        <v>12</v>
      </c>
      <c r="D1430" s="7">
        <v>1442.15</v>
      </c>
      <c r="E1430" s="31" t="s">
        <v>9</v>
      </c>
      <c r="F1430" s="32">
        <v>892.3</v>
      </c>
      <c r="G1430" s="33">
        <f>(D1430-F1430)/F1430</f>
        <v>0.616216519107924</v>
      </c>
    </row>
    <row r="1431" spans="1:7">
      <c r="A1431" s="6" t="s">
        <v>2468</v>
      </c>
      <c r="B1431" s="3" t="s">
        <v>2405</v>
      </c>
      <c r="C1431" s="4" t="s">
        <v>12</v>
      </c>
      <c r="D1431" s="7">
        <v>1379</v>
      </c>
      <c r="E1431" s="31" t="s">
        <v>9</v>
      </c>
      <c r="F1431" s="32">
        <v>837.45</v>
      </c>
      <c r="G1431" s="33">
        <f>(D1431-F1431)/F1431</f>
        <v>0.646665472565526</v>
      </c>
    </row>
    <row r="1432" ht="62" customHeight="1" spans="1:7">
      <c r="A1432" s="6" t="s">
        <v>2469</v>
      </c>
      <c r="B1432" s="12" t="s">
        <v>2470</v>
      </c>
      <c r="C1432" s="4"/>
      <c r="D1432" s="14"/>
    </row>
    <row r="1433" spans="1:7">
      <c r="A1433" s="6" t="s">
        <v>2471</v>
      </c>
      <c r="B1433" s="3" t="s">
        <v>2447</v>
      </c>
      <c r="C1433" s="4" t="s">
        <v>12</v>
      </c>
      <c r="D1433" s="7">
        <v>1402</v>
      </c>
      <c r="E1433" s="31" t="s">
        <v>9</v>
      </c>
      <c r="F1433" s="32">
        <v>906.75</v>
      </c>
      <c r="G1433" s="33">
        <f>(D1433-F1433)/F1433</f>
        <v>0.546181417149159</v>
      </c>
    </row>
    <row r="1434" spans="1:7">
      <c r="A1434" s="6" t="s">
        <v>2472</v>
      </c>
      <c r="B1434" s="3" t="s">
        <v>2473</v>
      </c>
      <c r="C1434" s="4" t="s">
        <v>12</v>
      </c>
      <c r="D1434" s="7">
        <v>1328.35</v>
      </c>
      <c r="F1434" s="32">
        <v>878.6</v>
      </c>
      <c r="G1434" s="33">
        <f>(D1434-F1434)/F1434</f>
        <v>0.511893922148873</v>
      </c>
    </row>
    <row r="1435" spans="1:7">
      <c r="A1435" s="6" t="s">
        <v>2474</v>
      </c>
      <c r="B1435" s="3" t="s">
        <v>2451</v>
      </c>
      <c r="C1435" s="4" t="s">
        <v>12</v>
      </c>
      <c r="D1435" s="7">
        <v>1119.5</v>
      </c>
      <c r="E1435" s="31" t="s">
        <v>9</v>
      </c>
      <c r="F1435" s="32">
        <v>716.35</v>
      </c>
      <c r="G1435" s="33">
        <f>(D1435-F1435)/F1435</f>
        <v>0.562783555524534</v>
      </c>
    </row>
    <row r="1436" spans="1:7">
      <c r="A1436" s="6" t="s">
        <v>2475</v>
      </c>
      <c r="B1436" s="3" t="s">
        <v>2405</v>
      </c>
      <c r="C1436" s="4" t="s">
        <v>12</v>
      </c>
      <c r="D1436" s="7">
        <v>1056.35</v>
      </c>
      <c r="E1436" s="31" t="s">
        <v>9</v>
      </c>
      <c r="F1436" s="32">
        <v>661.35</v>
      </c>
      <c r="G1436" s="33">
        <f>(D1436-F1436)/F1436</f>
        <v>0.597263173811144</v>
      </c>
    </row>
    <row r="1437" ht="62" customHeight="1" spans="1:7">
      <c r="A1437" s="6" t="s">
        <v>2476</v>
      </c>
      <c r="B1437" s="12" t="s">
        <v>2477</v>
      </c>
      <c r="C1437" s="4"/>
      <c r="D1437" s="14"/>
      <c r="E1437" s="31" t="s">
        <v>9</v>
      </c>
    </row>
    <row r="1438" spans="1:7">
      <c r="A1438" s="6" t="s">
        <v>2478</v>
      </c>
      <c r="B1438" s="3" t="s">
        <v>2479</v>
      </c>
      <c r="C1438" s="4"/>
      <c r="D1438" s="14"/>
      <c r="E1438" s="2"/>
    </row>
    <row r="1439" spans="1:7">
      <c r="A1439" s="6" t="s">
        <v>2480</v>
      </c>
      <c r="B1439" s="3" t="s">
        <v>2481</v>
      </c>
      <c r="C1439" s="4" t="s">
        <v>12</v>
      </c>
      <c r="D1439" s="7">
        <v>1739.9</v>
      </c>
      <c r="F1439" s="32">
        <v>1073.35</v>
      </c>
      <c r="G1439" s="33">
        <f>(D1439-F1439)/F1439</f>
        <v>0.620999673918107</v>
      </c>
    </row>
    <row r="1440" spans="1:7">
      <c r="A1440" s="6" t="s">
        <v>2482</v>
      </c>
      <c r="B1440" s="3" t="s">
        <v>2483</v>
      </c>
      <c r="C1440" s="4"/>
      <c r="D1440" s="14"/>
    </row>
    <row r="1441" spans="1:7">
      <c r="A1441" s="6" t="s">
        <v>2484</v>
      </c>
      <c r="B1441" s="3" t="s">
        <v>2481</v>
      </c>
      <c r="C1441" s="4" t="s">
        <v>12</v>
      </c>
      <c r="D1441" s="7">
        <v>1886.65</v>
      </c>
      <c r="E1441" s="31" t="s">
        <v>9</v>
      </c>
      <c r="F1441" s="32">
        <v>1143.6</v>
      </c>
      <c r="G1441" s="33">
        <f>(D1441-F1441)/F1441</f>
        <v>0.64974641483036</v>
      </c>
    </row>
    <row r="1442" ht="62" customHeight="1" spans="1:7">
      <c r="A1442" s="6" t="s">
        <v>2485</v>
      </c>
      <c r="B1442" s="12" t="s">
        <v>2486</v>
      </c>
      <c r="C1442" s="4"/>
      <c r="D1442" s="14"/>
      <c r="E1442" s="31" t="s">
        <v>9</v>
      </c>
    </row>
    <row r="1443" spans="1:7">
      <c r="A1443" s="6" t="s">
        <v>2487</v>
      </c>
      <c r="B1443" s="3" t="s">
        <v>2488</v>
      </c>
      <c r="C1443" s="4"/>
      <c r="D1443" s="14"/>
      <c r="E1443" s="51"/>
    </row>
    <row r="1444" spans="1:7">
      <c r="A1444" s="6" t="s">
        <v>2489</v>
      </c>
      <c r="B1444" s="3" t="s">
        <v>2490</v>
      </c>
      <c r="C1444" s="4" t="s">
        <v>12</v>
      </c>
      <c r="D1444" s="7">
        <v>1475.35</v>
      </c>
      <c r="F1444" s="32">
        <v>909.7</v>
      </c>
      <c r="G1444" s="33">
        <f>(D1444-F1444)/F1444</f>
        <v>0.621798395075299</v>
      </c>
    </row>
    <row r="1445" spans="1:7">
      <c r="A1445" s="40"/>
      <c r="B1445" s="12" t="s">
        <v>2491</v>
      </c>
      <c r="C1445" s="4"/>
      <c r="D1445" s="7"/>
    </row>
    <row r="1446" ht="62" customHeight="1" spans="1:7">
      <c r="A1446" s="6" t="s">
        <v>2492</v>
      </c>
      <c r="B1446" s="12" t="s">
        <v>2493</v>
      </c>
      <c r="C1446" s="4"/>
      <c r="D1446" s="14"/>
      <c r="E1446" s="2"/>
    </row>
    <row r="1447" spans="1:7">
      <c r="A1447" s="6" t="s">
        <v>2494</v>
      </c>
      <c r="B1447" s="3" t="s">
        <v>2495</v>
      </c>
      <c r="C1447" s="4" t="s">
        <v>12</v>
      </c>
      <c r="D1447" s="7">
        <v>3737.45</v>
      </c>
      <c r="F1447" s="32">
        <v>2724.75</v>
      </c>
      <c r="G1447" s="33">
        <f t="shared" ref="G1447:G1454" si="22">(D1447-F1447)/F1447</f>
        <v>0.371667125424351</v>
      </c>
    </row>
    <row r="1448" spans="1:7">
      <c r="A1448" s="6" t="s">
        <v>2496</v>
      </c>
      <c r="B1448" s="3" t="s">
        <v>2497</v>
      </c>
      <c r="C1448" s="4" t="s">
        <v>12</v>
      </c>
      <c r="D1448" s="7">
        <v>2346.8</v>
      </c>
      <c r="E1448" s="31" t="s">
        <v>9</v>
      </c>
      <c r="F1448" s="32">
        <v>1522.6</v>
      </c>
      <c r="G1448" s="33">
        <f t="shared" si="22"/>
        <v>0.54131091553921</v>
      </c>
    </row>
    <row r="1449" spans="1:7">
      <c r="A1449" s="6" t="s">
        <v>2498</v>
      </c>
      <c r="B1449" s="3" t="s">
        <v>2499</v>
      </c>
      <c r="C1449" s="4" t="s">
        <v>12</v>
      </c>
      <c r="D1449" s="7">
        <v>3164.8</v>
      </c>
      <c r="E1449" s="31" t="s">
        <v>9</v>
      </c>
      <c r="F1449" s="32">
        <v>2190.5</v>
      </c>
      <c r="G1449" s="33">
        <f t="shared" si="22"/>
        <v>0.444784295822872</v>
      </c>
    </row>
    <row r="1450" spans="1:7">
      <c r="A1450" s="6" t="s">
        <v>2500</v>
      </c>
      <c r="B1450" s="3" t="s">
        <v>2501</v>
      </c>
      <c r="C1450" s="4" t="s">
        <v>12</v>
      </c>
      <c r="D1450" s="7">
        <v>3001.2</v>
      </c>
      <c r="E1450" s="31" t="s">
        <v>9</v>
      </c>
      <c r="F1450" s="32">
        <v>1389.05</v>
      </c>
      <c r="G1450" s="33">
        <f t="shared" si="22"/>
        <v>1.16061336884921</v>
      </c>
    </row>
    <row r="1451" spans="1:7">
      <c r="A1451" s="6" t="s">
        <v>2502</v>
      </c>
      <c r="B1451" s="3" t="s">
        <v>2503</v>
      </c>
      <c r="C1451" s="4" t="s">
        <v>12</v>
      </c>
      <c r="D1451" s="7">
        <v>2428.6</v>
      </c>
      <c r="E1451" s="31" t="s">
        <v>9</v>
      </c>
      <c r="F1451" s="32">
        <v>1589.4</v>
      </c>
      <c r="G1451" s="33">
        <f t="shared" si="22"/>
        <v>0.527997986661633</v>
      </c>
    </row>
    <row r="1452" spans="1:7">
      <c r="A1452" s="6" t="s">
        <v>2504</v>
      </c>
      <c r="B1452" s="3" t="s">
        <v>2505</v>
      </c>
      <c r="C1452" s="4" t="s">
        <v>12</v>
      </c>
      <c r="D1452" s="7">
        <v>2510.4</v>
      </c>
      <c r="E1452" s="31" t="s">
        <v>9</v>
      </c>
      <c r="F1452" s="32">
        <v>1625.45</v>
      </c>
      <c r="G1452" s="33">
        <f t="shared" si="22"/>
        <v>0.544433849087945</v>
      </c>
    </row>
    <row r="1453" spans="1:7">
      <c r="A1453" s="6" t="s">
        <v>2506</v>
      </c>
      <c r="B1453" s="12" t="s">
        <v>2507</v>
      </c>
      <c r="C1453" s="4" t="s">
        <v>49</v>
      </c>
      <c r="D1453" s="7">
        <v>719.9</v>
      </c>
      <c r="E1453" s="31" t="s">
        <v>9</v>
      </c>
      <c r="F1453" s="32">
        <v>306.25</v>
      </c>
      <c r="G1453" s="33">
        <f t="shared" si="22"/>
        <v>1.35069387755102</v>
      </c>
    </row>
    <row r="1454" ht="31" customHeight="1" spans="1:7">
      <c r="A1454" s="6" t="s">
        <v>2508</v>
      </c>
      <c r="B1454" s="12" t="s">
        <v>2509</v>
      </c>
      <c r="C1454" s="4" t="s">
        <v>12</v>
      </c>
      <c r="D1454" s="7">
        <v>851.8</v>
      </c>
      <c r="F1454" s="32">
        <v>357.95</v>
      </c>
      <c r="G1454" s="33">
        <f t="shared" si="22"/>
        <v>1.37966196396145</v>
      </c>
    </row>
    <row r="1455" spans="1:7">
      <c r="A1455" s="40"/>
      <c r="B1455" s="12" t="s">
        <v>2510</v>
      </c>
      <c r="C1455" s="4"/>
      <c r="D1455" s="7"/>
    </row>
    <row r="1456" ht="46.5" customHeight="1" spans="1:7">
      <c r="A1456" s="6" t="s">
        <v>2511</v>
      </c>
      <c r="B1456" s="12" t="s">
        <v>2512</v>
      </c>
      <c r="C1456" s="4"/>
      <c r="D1456" s="14"/>
      <c r="E1456" s="2"/>
    </row>
    <row r="1457" spans="1:7">
      <c r="A1457" s="6" t="s">
        <v>2513</v>
      </c>
      <c r="B1457" s="3" t="s">
        <v>558</v>
      </c>
      <c r="C1457" s="4" t="s">
        <v>12</v>
      </c>
      <c r="D1457" s="7">
        <v>1948.25</v>
      </c>
      <c r="E1457" s="31" t="s">
        <v>9</v>
      </c>
      <c r="F1457" s="32">
        <v>1158.1</v>
      </c>
      <c r="G1457" s="33">
        <f>(D1457-F1457)/F1457</f>
        <v>0.682281322856403</v>
      </c>
    </row>
    <row r="1458" ht="62" customHeight="1" spans="1:7">
      <c r="A1458" s="6" t="s">
        <v>2514</v>
      </c>
      <c r="B1458" s="12" t="s">
        <v>2515</v>
      </c>
      <c r="C1458" s="4" t="s">
        <v>12</v>
      </c>
      <c r="D1458" s="7">
        <v>2354.7</v>
      </c>
      <c r="E1458" s="2"/>
    </row>
    <row r="1459" spans="1:7">
      <c r="A1459" s="40"/>
      <c r="B1459" s="12" t="s">
        <v>2516</v>
      </c>
      <c r="C1459" s="4"/>
      <c r="D1459" s="14"/>
    </row>
    <row r="1460" ht="31" customHeight="1" spans="1:7">
      <c r="A1460" s="6" t="s">
        <v>2517</v>
      </c>
      <c r="B1460" s="12" t="s">
        <v>2518</v>
      </c>
      <c r="C1460" s="4"/>
      <c r="D1460" s="14"/>
      <c r="E1460" s="2"/>
    </row>
    <row r="1461" spans="1:7">
      <c r="A1461" s="6" t="s">
        <v>2519</v>
      </c>
      <c r="B1461" s="3" t="s">
        <v>928</v>
      </c>
      <c r="C1461" s="4" t="s">
        <v>12</v>
      </c>
      <c r="D1461" s="7">
        <v>1280.1</v>
      </c>
      <c r="E1461" s="31" t="s">
        <v>9</v>
      </c>
      <c r="F1461" s="32">
        <v>631.7</v>
      </c>
      <c r="G1461" s="33">
        <f>(D1461-F1461)/F1461</f>
        <v>1.02643659965173</v>
      </c>
    </row>
    <row r="1462" spans="1:7">
      <c r="A1462" s="6" t="s">
        <v>2520</v>
      </c>
      <c r="B1462" s="3" t="s">
        <v>930</v>
      </c>
      <c r="C1462" s="4" t="s">
        <v>12</v>
      </c>
      <c r="D1462" s="7">
        <v>1342.65</v>
      </c>
      <c r="E1462" s="31" t="s">
        <v>9</v>
      </c>
      <c r="F1462" s="32">
        <v>631.7</v>
      </c>
      <c r="G1462" s="33">
        <f>(D1462-F1462)/F1462</f>
        <v>1.12545512110179</v>
      </c>
    </row>
    <row r="1463" ht="46.5" customHeight="1" spans="1:7">
      <c r="A1463" s="6" t="s">
        <v>2521</v>
      </c>
      <c r="B1463" s="12" t="s">
        <v>2522</v>
      </c>
      <c r="C1463" s="4"/>
      <c r="D1463" s="14"/>
    </row>
    <row r="1464" spans="1:7">
      <c r="A1464" s="6" t="s">
        <v>2523</v>
      </c>
      <c r="B1464" s="3" t="s">
        <v>928</v>
      </c>
      <c r="C1464" s="4" t="s">
        <v>12</v>
      </c>
      <c r="D1464" s="7">
        <v>1526.05</v>
      </c>
      <c r="F1464" s="32">
        <v>743.7</v>
      </c>
      <c r="G1464" s="33">
        <f>(D1464-F1464)/F1464</f>
        <v>1.05196988032809</v>
      </c>
    </row>
    <row r="1465" spans="1:7">
      <c r="A1465" s="6" t="s">
        <v>2524</v>
      </c>
      <c r="B1465" s="3" t="s">
        <v>930</v>
      </c>
      <c r="C1465" s="4" t="s">
        <v>12</v>
      </c>
      <c r="D1465" s="7">
        <v>1588.65</v>
      </c>
      <c r="F1465" s="32">
        <v>743.7</v>
      </c>
      <c r="G1465" s="33">
        <f>(D1465-F1465)/F1465</f>
        <v>1.13614360629286</v>
      </c>
    </row>
    <row r="1466" ht="62" customHeight="1" spans="1:7">
      <c r="A1466" s="6" t="s">
        <v>2525</v>
      </c>
      <c r="B1466" s="12" t="s">
        <v>2526</v>
      </c>
      <c r="C1466" s="4"/>
      <c r="D1466" s="14"/>
      <c r="E1466" s="2"/>
    </row>
    <row r="1467" spans="1:7">
      <c r="A1467" s="6" t="s">
        <v>2527</v>
      </c>
      <c r="B1467" s="3" t="s">
        <v>928</v>
      </c>
      <c r="C1467" s="4" t="s">
        <v>12</v>
      </c>
      <c r="D1467" s="7">
        <v>1647</v>
      </c>
      <c r="E1467" s="31" t="s">
        <v>9</v>
      </c>
      <c r="F1467" s="32">
        <v>813.1</v>
      </c>
      <c r="G1467" s="33">
        <f>(D1467-F1467)/F1467</f>
        <v>1.02558110933465</v>
      </c>
    </row>
    <row r="1468" spans="1:7">
      <c r="A1468" s="6" t="s">
        <v>2528</v>
      </c>
      <c r="B1468" s="3" t="s">
        <v>930</v>
      </c>
      <c r="C1468" s="4" t="s">
        <v>12</v>
      </c>
      <c r="D1468" s="7">
        <v>1709.6</v>
      </c>
      <c r="E1468" s="31" t="s">
        <v>9</v>
      </c>
      <c r="F1468" s="32">
        <v>813.1</v>
      </c>
      <c r="G1468" s="33">
        <f>(D1468-F1468)/F1468</f>
        <v>1.10257040954372</v>
      </c>
    </row>
    <row r="1469" spans="1:7">
      <c r="A1469" s="6" t="s">
        <v>2529</v>
      </c>
      <c r="B1469" s="12" t="s">
        <v>2530</v>
      </c>
      <c r="C1469" s="4" t="s">
        <v>49</v>
      </c>
      <c r="D1469" s="7">
        <v>191.4</v>
      </c>
      <c r="E1469" s="31" t="s">
        <v>9</v>
      </c>
      <c r="F1469" s="32">
        <v>84.85</v>
      </c>
      <c r="G1469" s="33">
        <f>(D1469-F1469)/F1469</f>
        <v>1.25574543311727</v>
      </c>
    </row>
    <row r="1470" ht="31" customHeight="1" spans="1:7">
      <c r="A1470" s="6" t="s">
        <v>2531</v>
      </c>
      <c r="B1470" s="12" t="s">
        <v>2532</v>
      </c>
      <c r="C1470" s="4" t="s">
        <v>12</v>
      </c>
      <c r="D1470" s="7">
        <v>44.15</v>
      </c>
      <c r="E1470" s="31" t="s">
        <v>9</v>
      </c>
      <c r="F1470" s="32">
        <v>18.95</v>
      </c>
      <c r="G1470" s="33">
        <f>(D1470-F1470)/F1470</f>
        <v>1.32981530343008</v>
      </c>
    </row>
    <row r="1471" spans="1:7">
      <c r="A1471" s="40"/>
      <c r="B1471" s="12" t="s">
        <v>2533</v>
      </c>
      <c r="C1471" s="4"/>
      <c r="D1471" s="7"/>
    </row>
    <row r="1472" ht="31" customHeight="1" spans="1:7">
      <c r="A1472" s="6" t="s">
        <v>2534</v>
      </c>
      <c r="B1472" s="12" t="s">
        <v>2535</v>
      </c>
      <c r="C1472" s="4"/>
      <c r="D1472" s="14"/>
    </row>
    <row r="1473" spans="1:7">
      <c r="A1473" s="6" t="s">
        <v>2536</v>
      </c>
      <c r="B1473" s="3" t="s">
        <v>1256</v>
      </c>
      <c r="C1473" s="4" t="s">
        <v>12</v>
      </c>
      <c r="D1473" s="7">
        <v>4508.95</v>
      </c>
      <c r="E1473" s="31" t="s">
        <v>9</v>
      </c>
      <c r="F1473" s="32">
        <v>3094.5</v>
      </c>
      <c r="G1473" s="33">
        <f>(D1473-F1473)/F1473</f>
        <v>0.457085151074487</v>
      </c>
    </row>
    <row r="1474" spans="1:7">
      <c r="A1474" s="6" t="s">
        <v>2537</v>
      </c>
      <c r="B1474" s="3" t="s">
        <v>2538</v>
      </c>
      <c r="C1474" s="4" t="s">
        <v>12</v>
      </c>
      <c r="D1474" s="7">
        <v>3029.75</v>
      </c>
      <c r="E1474" s="31" t="s">
        <v>9</v>
      </c>
      <c r="F1474" s="32">
        <v>2307.8</v>
      </c>
      <c r="G1474" s="33">
        <f>(D1474-F1474)/F1474</f>
        <v>0.312830401247942</v>
      </c>
    </row>
    <row r="1475" ht="77.5" customHeight="1" spans="1:7">
      <c r="A1475" s="6" t="s">
        <v>2539</v>
      </c>
      <c r="B1475" s="12" t="s">
        <v>2540</v>
      </c>
      <c r="C1475" s="4" t="s">
        <v>12</v>
      </c>
      <c r="D1475" s="7">
        <v>12020.45</v>
      </c>
      <c r="E1475" s="2"/>
      <c r="F1475" s="32">
        <v>7266.95</v>
      </c>
      <c r="G1475" s="33">
        <f>(D1475-F1475)/F1475</f>
        <v>0.654125871238966</v>
      </c>
    </row>
    <row r="1476" ht="62" customHeight="1" spans="1:7">
      <c r="A1476" s="6" t="s">
        <v>2541</v>
      </c>
      <c r="B1476" s="12" t="s">
        <v>2542</v>
      </c>
      <c r="C1476" s="4" t="s">
        <v>575</v>
      </c>
      <c r="D1476" s="7">
        <v>177.8</v>
      </c>
      <c r="E1476" s="31" t="s">
        <v>9</v>
      </c>
      <c r="F1476" s="32">
        <v>85.6</v>
      </c>
      <c r="G1476" s="33">
        <f>(D1476-F1476)/F1476</f>
        <v>1.07710280373832</v>
      </c>
    </row>
    <row r="1477" spans="1:7">
      <c r="B1477" s="12" t="s">
        <v>2543</v>
      </c>
      <c r="D1477" s="16"/>
    </row>
    <row r="1478" ht="77.5" customHeight="1" spans="1:7">
      <c r="A1478" s="6" t="s">
        <v>2544</v>
      </c>
      <c r="B1478" s="12" t="s">
        <v>2545</v>
      </c>
      <c r="C1478" s="4" t="s">
        <v>12</v>
      </c>
      <c r="D1478" s="7">
        <v>1096.55</v>
      </c>
      <c r="F1478" s="32">
        <v>688.35</v>
      </c>
      <c r="G1478" s="33">
        <f>(D1478-F1478)/F1478</f>
        <v>0.593012275731822</v>
      </c>
    </row>
    <row r="1479" ht="93" customHeight="1" spans="1:7">
      <c r="A1479" s="6" t="s">
        <v>2546</v>
      </c>
      <c r="B1479" s="12" t="s">
        <v>2547</v>
      </c>
      <c r="C1479" s="4" t="s">
        <v>12</v>
      </c>
      <c r="D1479" s="7">
        <v>1112.7</v>
      </c>
      <c r="E1479" s="2"/>
      <c r="F1479" s="32">
        <v>660.2</v>
      </c>
      <c r="G1479" s="33">
        <f>(D1479-F1479)/F1479</f>
        <v>0.685398364132081</v>
      </c>
    </row>
    <row r="1480" ht="93" customHeight="1" spans="1:7">
      <c r="A1480" s="6" t="s">
        <v>2548</v>
      </c>
      <c r="B1480" s="12" t="s">
        <v>2549</v>
      </c>
      <c r="C1480" s="4" t="s">
        <v>12</v>
      </c>
      <c r="D1480" s="7">
        <v>1315.3</v>
      </c>
      <c r="F1480" s="32">
        <v>747.9</v>
      </c>
      <c r="G1480" s="33">
        <f>(D1480-F1480)/F1480</f>
        <v>0.758657574542051</v>
      </c>
    </row>
    <row r="1481" ht="93" customHeight="1" spans="1:7">
      <c r="A1481" s="6" t="s">
        <v>2550</v>
      </c>
      <c r="B1481" s="12" t="s">
        <v>2551</v>
      </c>
      <c r="C1481" s="4" t="s">
        <v>12</v>
      </c>
      <c r="D1481" s="7">
        <v>1330</v>
      </c>
      <c r="E1481" s="2"/>
      <c r="F1481" s="32">
        <v>822.45</v>
      </c>
      <c r="G1481" s="33">
        <f>(D1481-F1481)/F1481</f>
        <v>0.617119581737492</v>
      </c>
    </row>
    <row r="1482" ht="93" customHeight="1" spans="1:7">
      <c r="A1482" s="6" t="s">
        <v>2552</v>
      </c>
      <c r="B1482" s="12" t="s">
        <v>2553</v>
      </c>
      <c r="C1482" s="4" t="s">
        <v>12</v>
      </c>
      <c r="D1482" s="7">
        <v>1439.4</v>
      </c>
      <c r="F1482" s="32">
        <v>901.05</v>
      </c>
      <c r="G1482" s="33">
        <f>(D1482-F1482)/F1482</f>
        <v>0.597469618778092</v>
      </c>
    </row>
    <row r="1483" spans="1:7">
      <c r="A1483" s="40"/>
      <c r="B1483" s="12" t="s">
        <v>2554</v>
      </c>
      <c r="C1483" s="4"/>
      <c r="D1483" s="14"/>
    </row>
    <row r="1484" ht="77.5" customHeight="1" spans="1:7">
      <c r="A1484" s="6" t="s">
        <v>2555</v>
      </c>
      <c r="B1484" s="12" t="s">
        <v>2556</v>
      </c>
      <c r="C1484" s="4"/>
      <c r="D1484" s="14"/>
    </row>
    <row r="1485" spans="1:7">
      <c r="A1485" s="6" t="s">
        <v>2557</v>
      </c>
      <c r="B1485" s="3" t="s">
        <v>2558</v>
      </c>
      <c r="C1485" s="4" t="s">
        <v>12</v>
      </c>
      <c r="D1485" s="7">
        <v>1524.3</v>
      </c>
      <c r="F1485" s="32">
        <v>988.45</v>
      </c>
      <c r="G1485" s="33">
        <f>(D1485-F1485)/F1485</f>
        <v>0.542111386514239</v>
      </c>
    </row>
    <row r="1486" spans="1:7">
      <c r="A1486" s="6" t="s">
        <v>2559</v>
      </c>
      <c r="B1486" s="3" t="s">
        <v>2560</v>
      </c>
      <c r="C1486" s="4" t="s">
        <v>12</v>
      </c>
      <c r="D1486" s="7">
        <v>1553.45</v>
      </c>
      <c r="F1486" s="32">
        <v>1119.4</v>
      </c>
      <c r="G1486" s="33">
        <f>(D1486-F1486)/F1486</f>
        <v>0.387752367339646</v>
      </c>
    </row>
    <row r="1487" spans="1:7">
      <c r="A1487" s="6" t="s">
        <v>2561</v>
      </c>
      <c r="B1487" s="3" t="s">
        <v>2562</v>
      </c>
      <c r="C1487" s="4" t="s">
        <v>12</v>
      </c>
      <c r="D1487" s="7">
        <v>1885.5</v>
      </c>
      <c r="F1487" s="32">
        <v>1414.95</v>
      </c>
      <c r="G1487" s="33">
        <f>(D1487-F1487)/F1487</f>
        <v>0.332555920703912</v>
      </c>
    </row>
    <row r="1488" spans="1:7">
      <c r="A1488" s="6" t="s">
        <v>2563</v>
      </c>
      <c r="B1488" s="3" t="s">
        <v>2564</v>
      </c>
      <c r="C1488" s="4" t="s">
        <v>12</v>
      </c>
      <c r="D1488" s="7">
        <v>2089.65</v>
      </c>
      <c r="F1488" s="32">
        <v>2057</v>
      </c>
      <c r="G1488" s="33">
        <f>(D1488-F1488)/F1488</f>
        <v>0.0158726300437531</v>
      </c>
    </row>
    <row r="1489" ht="124" customHeight="1" spans="1:4">
      <c r="A1489" s="6" t="s">
        <v>2565</v>
      </c>
      <c r="B1489" s="12" t="s">
        <v>2566</v>
      </c>
      <c r="C1489" s="4"/>
      <c r="D1489" s="14"/>
    </row>
    <row r="1490" spans="1:4">
      <c r="A1490" s="6" t="s">
        <v>2567</v>
      </c>
      <c r="B1490" s="3" t="s">
        <v>2568</v>
      </c>
      <c r="C1490" s="4"/>
      <c r="D1490" s="14"/>
    </row>
    <row r="1491" spans="1:4">
      <c r="A1491" s="6" t="s">
        <v>2569</v>
      </c>
      <c r="B1491" s="3" t="s">
        <v>2570</v>
      </c>
      <c r="C1491" s="4" t="s">
        <v>12</v>
      </c>
      <c r="D1491" s="7">
        <v>1453.63</v>
      </c>
    </row>
    <row r="1492" spans="1:4">
      <c r="A1492" s="6" t="s">
        <v>2571</v>
      </c>
      <c r="B1492" s="3" t="s">
        <v>2572</v>
      </c>
      <c r="C1492" s="4" t="s">
        <v>12</v>
      </c>
      <c r="D1492" s="7">
        <v>1534.85</v>
      </c>
    </row>
    <row r="1493" spans="1:4">
      <c r="A1493" s="6" t="s">
        <v>2573</v>
      </c>
      <c r="B1493" s="3" t="s">
        <v>2574</v>
      </c>
      <c r="C1493" s="4" t="s">
        <v>12</v>
      </c>
      <c r="D1493" s="7">
        <v>1577.13</v>
      </c>
    </row>
    <row r="1494" spans="1:4">
      <c r="A1494" s="6" t="s">
        <v>2575</v>
      </c>
      <c r="B1494" s="3" t="s">
        <v>2576</v>
      </c>
      <c r="C1494" s="4" t="s">
        <v>12</v>
      </c>
      <c r="D1494" s="7">
        <v>1870.23</v>
      </c>
    </row>
    <row r="1495" spans="1:4">
      <c r="A1495" s="6" t="s">
        <v>2577</v>
      </c>
      <c r="B1495" s="3" t="s">
        <v>2578</v>
      </c>
      <c r="C1495" s="4" t="s">
        <v>12</v>
      </c>
      <c r="D1495" s="7">
        <v>1801.7</v>
      </c>
    </row>
    <row r="1496" spans="1:4">
      <c r="A1496" s="6" t="s">
        <v>2579</v>
      </c>
      <c r="B1496" s="3" t="s">
        <v>2580</v>
      </c>
      <c r="C1496" s="4"/>
      <c r="D1496" s="14"/>
    </row>
    <row r="1497" spans="1:4">
      <c r="A1497" s="6" t="s">
        <v>2581</v>
      </c>
      <c r="B1497" s="3" t="s">
        <v>2582</v>
      </c>
      <c r="C1497" s="4" t="s">
        <v>12</v>
      </c>
      <c r="D1497" s="7">
        <v>1502.77</v>
      </c>
    </row>
    <row r="1498" spans="1:4">
      <c r="A1498" s="6" t="s">
        <v>2583</v>
      </c>
      <c r="B1498" s="3" t="s">
        <v>2574</v>
      </c>
      <c r="C1498" s="4" t="s">
        <v>12</v>
      </c>
      <c r="D1498" s="7">
        <v>1798.78</v>
      </c>
    </row>
    <row r="1499" spans="1:4">
      <c r="A1499" s="6" t="s">
        <v>2584</v>
      </c>
      <c r="B1499" s="3" t="s">
        <v>2572</v>
      </c>
      <c r="C1499" s="4" t="s">
        <v>12</v>
      </c>
      <c r="D1499" s="7">
        <v>1728.79</v>
      </c>
    </row>
    <row r="1500" spans="1:4">
      <c r="A1500" s="6" t="s">
        <v>2585</v>
      </c>
      <c r="B1500" s="3" t="s">
        <v>2586</v>
      </c>
      <c r="C1500" s="4" t="s">
        <v>12</v>
      </c>
      <c r="D1500" s="7">
        <v>2056.88</v>
      </c>
    </row>
    <row r="1501" spans="1:4">
      <c r="A1501" s="6" t="s">
        <v>2587</v>
      </c>
      <c r="B1501" s="3" t="s">
        <v>2588</v>
      </c>
      <c r="C1501" s="4" t="s">
        <v>12</v>
      </c>
      <c r="D1501" s="7">
        <v>2541.01</v>
      </c>
    </row>
    <row r="1502" spans="1:4">
      <c r="A1502" s="6" t="s">
        <v>2589</v>
      </c>
      <c r="B1502" s="3" t="s">
        <v>2590</v>
      </c>
      <c r="C1502" s="4"/>
      <c r="D1502" s="14"/>
    </row>
    <row r="1503" spans="1:4">
      <c r="A1503" s="6" t="s">
        <v>2591</v>
      </c>
      <c r="B1503" s="3" t="s">
        <v>2582</v>
      </c>
      <c r="C1503" s="4" t="s">
        <v>12</v>
      </c>
      <c r="D1503" s="7">
        <v>1464.85</v>
      </c>
    </row>
    <row r="1504" spans="1:4">
      <c r="A1504" s="6" t="s">
        <v>2592</v>
      </c>
      <c r="B1504" s="3" t="s">
        <v>2574</v>
      </c>
      <c r="C1504" s="4" t="s">
        <v>12</v>
      </c>
      <c r="D1504" s="7">
        <v>1797.32</v>
      </c>
    </row>
    <row r="1505" spans="1:7">
      <c r="A1505" s="6" t="s">
        <v>2593</v>
      </c>
      <c r="B1505" s="3" t="s">
        <v>2572</v>
      </c>
      <c r="C1505" s="4" t="s">
        <v>12</v>
      </c>
      <c r="D1505" s="7">
        <v>1724.41</v>
      </c>
    </row>
    <row r="1506" spans="1:7">
      <c r="A1506" s="6" t="s">
        <v>2594</v>
      </c>
      <c r="B1506" s="3" t="s">
        <v>2586</v>
      </c>
      <c r="C1506" s="4" t="s">
        <v>12</v>
      </c>
      <c r="D1506" s="7">
        <v>2056.88</v>
      </c>
    </row>
    <row r="1507" spans="1:7">
      <c r="A1507" s="6" t="s">
        <v>2595</v>
      </c>
      <c r="B1507" s="3" t="s">
        <v>2588</v>
      </c>
      <c r="C1507" s="4" t="s">
        <v>12</v>
      </c>
      <c r="D1507" s="7">
        <v>2838.48</v>
      </c>
    </row>
    <row r="1508" ht="31" customHeight="1" spans="1:7">
      <c r="A1508" s="6" t="s">
        <v>2596</v>
      </c>
      <c r="B1508" s="12" t="s">
        <v>2597</v>
      </c>
      <c r="C1508" s="4" t="s">
        <v>12</v>
      </c>
      <c r="D1508" s="25">
        <v>850.11</v>
      </c>
      <c r="E1508" s="52"/>
      <c r="F1508" s="32">
        <v>466.45</v>
      </c>
      <c r="G1508" s="33">
        <f>(D1508-F1508)/F1508</f>
        <v>0.822510451280952</v>
      </c>
    </row>
    <row r="1509" ht="31" customHeight="1" spans="1:7">
      <c r="A1509" s="6" t="s">
        <v>2598</v>
      </c>
      <c r="B1509" s="12" t="s">
        <v>2599</v>
      </c>
      <c r="C1509" s="4" t="s">
        <v>12</v>
      </c>
      <c r="D1509" s="25">
        <v>753.25</v>
      </c>
      <c r="E1509" s="52"/>
      <c r="F1509" s="32">
        <v>386.2</v>
      </c>
      <c r="G1509" s="33">
        <f>(D1509-F1509)/F1509</f>
        <v>0.950414293112377</v>
      </c>
    </row>
    <row r="1510" ht="108.5" customHeight="1" spans="1:7">
      <c r="A1510" s="6" t="s">
        <v>2600</v>
      </c>
      <c r="B1510" s="12" t="s">
        <v>2601</v>
      </c>
      <c r="C1510" s="4" t="s">
        <v>12</v>
      </c>
      <c r="D1510" s="7">
        <v>954.15</v>
      </c>
      <c r="E1510" s="31" t="s">
        <v>9</v>
      </c>
      <c r="F1510" s="32">
        <v>476.6</v>
      </c>
      <c r="G1510" s="33">
        <f>(D1510-F1510)/F1510</f>
        <v>1.00199328577423</v>
      </c>
    </row>
    <row r="1511" ht="77.5" customHeight="1" spans="1:7">
      <c r="A1511" s="6" t="s">
        <v>2602</v>
      </c>
      <c r="B1511" s="12" t="s">
        <v>2603</v>
      </c>
      <c r="C1511" s="4" t="s">
        <v>12</v>
      </c>
      <c r="D1511" s="7">
        <v>1708.1</v>
      </c>
      <c r="E1511" s="31" t="s">
        <v>9</v>
      </c>
      <c r="F1511" s="32">
        <v>1113.2</v>
      </c>
      <c r="G1511" s="33">
        <f>(D1511-F1511)/F1511</f>
        <v>0.534405318002156</v>
      </c>
    </row>
    <row r="1512" ht="77.5" customHeight="1" spans="1:7">
      <c r="A1512" s="6" t="s">
        <v>2604</v>
      </c>
      <c r="B1512" s="12" t="s">
        <v>2605</v>
      </c>
      <c r="C1512" s="4"/>
      <c r="D1512" s="14"/>
    </row>
    <row r="1513" spans="1:7">
      <c r="A1513" s="6" t="s">
        <v>2606</v>
      </c>
      <c r="B1513" s="3" t="s">
        <v>2558</v>
      </c>
      <c r="C1513" s="4" t="s">
        <v>12</v>
      </c>
      <c r="D1513" s="7">
        <v>1593.89</v>
      </c>
      <c r="F1513" s="32">
        <v>1004.25</v>
      </c>
      <c r="G1513" s="33">
        <f>(D1513-F1513)/F1513</f>
        <v>0.587144635299975</v>
      </c>
    </row>
    <row r="1514" spans="1:7">
      <c r="A1514" s="6" t="s">
        <v>2607</v>
      </c>
      <c r="B1514" s="3" t="s">
        <v>2560</v>
      </c>
      <c r="C1514" s="4" t="s">
        <v>12</v>
      </c>
      <c r="D1514" s="7">
        <v>1623.05</v>
      </c>
      <c r="F1514" s="32">
        <v>1135.2</v>
      </c>
      <c r="G1514" s="33">
        <f>(D1514-F1514)/F1514</f>
        <v>0.429748062015504</v>
      </c>
    </row>
    <row r="1515" spans="1:7">
      <c r="A1515" s="6" t="s">
        <v>2608</v>
      </c>
      <c r="B1515" s="3" t="s">
        <v>2562</v>
      </c>
      <c r="C1515" s="4" t="s">
        <v>12</v>
      </c>
      <c r="D1515" s="7">
        <v>1958.44</v>
      </c>
      <c r="F1515" s="32">
        <v>1432.8</v>
      </c>
      <c r="G1515" s="33">
        <f>(D1515-F1515)/F1515</f>
        <v>0.366862088218872</v>
      </c>
    </row>
    <row r="1516" spans="1:7">
      <c r="A1516" s="6" t="s">
        <v>2609</v>
      </c>
      <c r="B1516" s="3" t="s">
        <v>2564</v>
      </c>
      <c r="C1516" s="4" t="s">
        <v>12</v>
      </c>
      <c r="D1516" s="7">
        <v>2162.59</v>
      </c>
      <c r="F1516" s="32">
        <v>2075.7</v>
      </c>
      <c r="G1516" s="33">
        <f>(D1516-F1516)/F1516</f>
        <v>0.041860577154695</v>
      </c>
    </row>
    <row r="1517" ht="77.5" customHeight="1" spans="1:7">
      <c r="A1517" s="6" t="s">
        <v>2610</v>
      </c>
      <c r="B1517" s="12" t="s">
        <v>2611</v>
      </c>
      <c r="C1517" s="4" t="s">
        <v>49</v>
      </c>
      <c r="D1517" s="7">
        <v>216.2</v>
      </c>
      <c r="E1517" s="2"/>
      <c r="F1517" s="32">
        <v>131.9</v>
      </c>
      <c r="G1517" s="33">
        <f>(D1517-F1517)/F1517</f>
        <v>0.639120545868082</v>
      </c>
    </row>
    <row r="1518" ht="93" customHeight="1" spans="1:7">
      <c r="A1518" s="6" t="s">
        <v>2612</v>
      </c>
      <c r="B1518" s="12" t="s">
        <v>2613</v>
      </c>
      <c r="C1518" s="4"/>
      <c r="D1518" s="14"/>
    </row>
    <row r="1519" spans="1:7">
      <c r="A1519" s="6" t="s">
        <v>2614</v>
      </c>
      <c r="B1519" s="3" t="s">
        <v>2558</v>
      </c>
      <c r="C1519" s="4" t="s">
        <v>12</v>
      </c>
      <c r="D1519" s="7">
        <v>1864.75</v>
      </c>
      <c r="F1519" s="32">
        <v>1109.65</v>
      </c>
      <c r="G1519" s="33">
        <f>(D1519-F1519)/F1519</f>
        <v>0.680484837561393</v>
      </c>
    </row>
    <row r="1520" spans="1:7">
      <c r="A1520" s="6" t="s">
        <v>2615</v>
      </c>
      <c r="B1520" s="3" t="s">
        <v>2560</v>
      </c>
      <c r="C1520" s="4" t="s">
        <v>12</v>
      </c>
      <c r="D1520" s="7">
        <v>1893.9</v>
      </c>
      <c r="F1520" s="32">
        <v>1240.6</v>
      </c>
      <c r="G1520" s="33">
        <f>(D1520-F1520)/F1520</f>
        <v>0.526600032242464</v>
      </c>
    </row>
    <row r="1521" spans="1:7">
      <c r="A1521" s="6" t="s">
        <v>2616</v>
      </c>
      <c r="B1521" s="3" t="s">
        <v>2562</v>
      </c>
      <c r="C1521" s="4" t="s">
        <v>12</v>
      </c>
      <c r="D1521" s="7">
        <v>2229.25</v>
      </c>
      <c r="F1521" s="32">
        <v>1538.25</v>
      </c>
      <c r="G1521" s="33">
        <f>(D1521-F1521)/F1521</f>
        <v>0.44921176661791</v>
      </c>
    </row>
    <row r="1522" spans="1:7">
      <c r="A1522" s="6" t="s">
        <v>2617</v>
      </c>
      <c r="B1522" s="3" t="s">
        <v>2564</v>
      </c>
      <c r="C1522" s="4" t="s">
        <v>12</v>
      </c>
      <c r="D1522" s="7">
        <v>2433.4</v>
      </c>
      <c r="F1522" s="32">
        <v>2181.1</v>
      </c>
      <c r="G1522" s="33">
        <f>(D1522-F1522)/F1522</f>
        <v>0.115675576543946</v>
      </c>
    </row>
    <row r="1523" ht="62" customHeight="1" spans="1:7">
      <c r="A1523" s="6" t="s">
        <v>2618</v>
      </c>
      <c r="B1523" s="12" t="s">
        <v>2619</v>
      </c>
      <c r="C1523" s="4"/>
      <c r="D1523" s="14"/>
      <c r="E1523" s="2"/>
    </row>
    <row r="1524" spans="1:7">
      <c r="A1524" s="6" t="s">
        <v>2620</v>
      </c>
      <c r="B1524" s="3" t="s">
        <v>2558</v>
      </c>
      <c r="C1524" s="4" t="s">
        <v>12</v>
      </c>
      <c r="D1524" s="7">
        <v>373.35</v>
      </c>
      <c r="F1524" s="32">
        <v>199.85</v>
      </c>
      <c r="G1524" s="33">
        <f>(D1524-F1524)/F1524</f>
        <v>0.868151113335001</v>
      </c>
    </row>
    <row r="1525" spans="1:7">
      <c r="A1525" s="6" t="s">
        <v>2621</v>
      </c>
      <c r="B1525" s="3" t="s">
        <v>2560</v>
      </c>
      <c r="C1525" s="4" t="s">
        <v>12</v>
      </c>
      <c r="D1525" s="7">
        <v>309.05</v>
      </c>
      <c r="E1525" s="31" t="s">
        <v>9</v>
      </c>
      <c r="F1525" s="32">
        <v>167.05</v>
      </c>
      <c r="G1525" s="33">
        <f>(D1525-F1525)/F1525</f>
        <v>0.850044896737504</v>
      </c>
    </row>
    <row r="1526" spans="1:7">
      <c r="A1526" s="6" t="s">
        <v>2622</v>
      </c>
      <c r="B1526" s="3" t="s">
        <v>2562</v>
      </c>
      <c r="C1526" s="4" t="s">
        <v>12</v>
      </c>
      <c r="D1526" s="7">
        <v>244.75</v>
      </c>
      <c r="E1526" s="31" t="s">
        <v>9</v>
      </c>
      <c r="F1526" s="32">
        <v>134.25</v>
      </c>
      <c r="G1526" s="33">
        <f>(D1526-F1526)/F1526</f>
        <v>0.823091247672253</v>
      </c>
    </row>
    <row r="1527" spans="1:7">
      <c r="A1527" s="6" t="s">
        <v>2623</v>
      </c>
      <c r="B1527" s="3" t="s">
        <v>2564</v>
      </c>
      <c r="C1527" s="4" t="s">
        <v>12</v>
      </c>
      <c r="D1527" s="7">
        <v>174.5</v>
      </c>
      <c r="F1527" s="32">
        <v>97.2</v>
      </c>
      <c r="G1527" s="33">
        <f>(D1527-F1527)/F1527</f>
        <v>0.795267489711934</v>
      </c>
    </row>
    <row r="1528" ht="93" customHeight="1" spans="1:7">
      <c r="A1528" s="6" t="s">
        <v>2624</v>
      </c>
      <c r="B1528" s="12" t="s">
        <v>2625</v>
      </c>
      <c r="C1528" s="4"/>
      <c r="D1528" s="14"/>
      <c r="E1528" s="51"/>
    </row>
    <row r="1529" spans="1:7">
      <c r="A1529" s="6" t="s">
        <v>2626</v>
      </c>
      <c r="B1529" s="3" t="s">
        <v>2558</v>
      </c>
      <c r="C1529" s="4" t="s">
        <v>12</v>
      </c>
      <c r="D1529" s="7">
        <v>1696.2</v>
      </c>
      <c r="F1529" s="32">
        <v>1038.6</v>
      </c>
      <c r="G1529" s="33">
        <f>(D1529-F1529)/F1529</f>
        <v>0.63316002310803</v>
      </c>
    </row>
    <row r="1530" spans="1:7">
      <c r="A1530" s="6" t="s">
        <v>2627</v>
      </c>
      <c r="B1530" s="3" t="s">
        <v>2560</v>
      </c>
      <c r="C1530" s="4" t="s">
        <v>12</v>
      </c>
      <c r="D1530" s="7">
        <v>1725.35</v>
      </c>
      <c r="F1530" s="32">
        <v>1169.55</v>
      </c>
      <c r="G1530" s="33">
        <f>(D1530-F1530)/F1530</f>
        <v>0.475225514086615</v>
      </c>
    </row>
    <row r="1531" spans="1:7">
      <c r="A1531" s="6" t="s">
        <v>2628</v>
      </c>
      <c r="B1531" s="3" t="s">
        <v>2562</v>
      </c>
      <c r="C1531" s="4" t="s">
        <v>12</v>
      </c>
      <c r="D1531" s="7">
        <v>2060.75</v>
      </c>
      <c r="F1531" s="32">
        <v>1467.2</v>
      </c>
      <c r="G1531" s="33">
        <f>(D1531-F1531)/F1531</f>
        <v>0.404546074154853</v>
      </c>
    </row>
    <row r="1532" spans="1:7">
      <c r="A1532" s="6" t="s">
        <v>2629</v>
      </c>
      <c r="B1532" s="3" t="s">
        <v>2564</v>
      </c>
      <c r="C1532" s="4" t="s">
        <v>12</v>
      </c>
      <c r="D1532" s="7">
        <v>2264.9</v>
      </c>
      <c r="F1532" s="32">
        <v>2110.1</v>
      </c>
      <c r="G1532" s="33">
        <f>(D1532-F1532)/F1532</f>
        <v>0.0733614520638833</v>
      </c>
    </row>
    <row r="1533" ht="170.5" customHeight="1" spans="1:7">
      <c r="A1533" s="6" t="s">
        <v>2630</v>
      </c>
      <c r="B1533" s="12" t="s">
        <v>2631</v>
      </c>
      <c r="C1533" s="4" t="s">
        <v>12</v>
      </c>
      <c r="D1533" s="7">
        <v>3623.95</v>
      </c>
    </row>
    <row r="1534" ht="31" customHeight="1" spans="1:7">
      <c r="A1534" s="6" t="s">
        <v>2632</v>
      </c>
      <c r="B1534" s="12" t="s">
        <v>2633</v>
      </c>
      <c r="C1534" s="4" t="s">
        <v>12</v>
      </c>
      <c r="D1534" s="7">
        <v>13.3</v>
      </c>
      <c r="F1534" s="32">
        <v>8.3</v>
      </c>
      <c r="G1534" s="33">
        <f>(D1534-F1534)/F1534</f>
        <v>0.602409638554217</v>
      </c>
    </row>
    <row r="1535" ht="108.5" customHeight="1" spans="1:7">
      <c r="A1535" s="6" t="s">
        <v>2634</v>
      </c>
      <c r="B1535" s="12" t="s">
        <v>2635</v>
      </c>
      <c r="C1535" s="4"/>
      <c r="D1535" s="14"/>
      <c r="E1535" s="2"/>
    </row>
    <row r="1536" ht="31" customHeight="1" spans="1:7">
      <c r="A1536" s="6" t="s">
        <v>2636</v>
      </c>
      <c r="B1536" s="3" t="s">
        <v>2637</v>
      </c>
      <c r="C1536" s="4" t="s">
        <v>12</v>
      </c>
      <c r="D1536" s="7">
        <v>6603.35</v>
      </c>
      <c r="E1536" s="2"/>
      <c r="F1536" s="32">
        <v>5006.1</v>
      </c>
      <c r="G1536" s="33">
        <f>(D1536-F1536)/F1536</f>
        <v>0.319060745890014</v>
      </c>
    </row>
    <row r="1537" ht="124" customHeight="1" spans="1:7">
      <c r="A1537" s="6" t="s">
        <v>2638</v>
      </c>
      <c r="B1537" s="12" t="s">
        <v>2639</v>
      </c>
      <c r="C1537" s="4"/>
      <c r="D1537" s="14"/>
      <c r="E1537" s="31" t="s">
        <v>9</v>
      </c>
    </row>
    <row r="1538" ht="31" customHeight="1" spans="1:7">
      <c r="A1538" s="6" t="s">
        <v>2640</v>
      </c>
      <c r="B1538" s="3" t="s">
        <v>2637</v>
      </c>
      <c r="C1538" s="4" t="s">
        <v>12</v>
      </c>
      <c r="D1538" s="7">
        <v>6927.35</v>
      </c>
      <c r="E1538" s="2"/>
      <c r="F1538" s="32">
        <v>5233.75</v>
      </c>
      <c r="G1538" s="33">
        <f>(D1538-F1538)/F1538</f>
        <v>0.323592070695008</v>
      </c>
    </row>
    <row r="1539" ht="77.5" customHeight="1" spans="1:7">
      <c r="A1539" s="6" t="s">
        <v>2641</v>
      </c>
      <c r="B1539" s="12" t="s">
        <v>2642</v>
      </c>
      <c r="C1539" s="4" t="s">
        <v>12</v>
      </c>
      <c r="D1539" s="7">
        <v>3891.15</v>
      </c>
      <c r="E1539" s="2"/>
      <c r="F1539" s="32">
        <v>1603.75</v>
      </c>
      <c r="G1539" s="33">
        <f>(D1539-F1539)/F1539</f>
        <v>1.42628215120811</v>
      </c>
    </row>
    <row r="1540" ht="77.5" customHeight="1" spans="1:7">
      <c r="A1540" s="6" t="s">
        <v>2643</v>
      </c>
      <c r="B1540" s="12" t="s">
        <v>2644</v>
      </c>
      <c r="C1540" s="4"/>
      <c r="D1540" s="14"/>
      <c r="E1540" s="31" t="s">
        <v>9</v>
      </c>
    </row>
    <row r="1541" ht="124" customHeight="1" spans="1:7">
      <c r="A1541" s="40"/>
      <c r="B1541" s="12" t="s">
        <v>2645</v>
      </c>
      <c r="C1541" s="4"/>
      <c r="D1541" s="14"/>
      <c r="E1541" s="31" t="s">
        <v>9</v>
      </c>
    </row>
    <row r="1542" ht="124" customHeight="1" spans="1:7">
      <c r="A1542" s="40"/>
      <c r="B1542" s="12" t="s">
        <v>2646</v>
      </c>
      <c r="C1542" s="4"/>
      <c r="D1542" s="14"/>
      <c r="E1542" s="31" t="s">
        <v>9</v>
      </c>
    </row>
    <row r="1543" ht="201.5" customHeight="1" spans="1:7">
      <c r="A1543" s="40"/>
      <c r="B1543" s="12" t="s">
        <v>2647</v>
      </c>
      <c r="C1543" s="4"/>
      <c r="D1543" s="14"/>
      <c r="E1543" s="31" t="s">
        <v>9</v>
      </c>
    </row>
    <row r="1544" spans="1:7">
      <c r="A1544" s="6" t="s">
        <v>2648</v>
      </c>
      <c r="B1544" s="3" t="s">
        <v>2649</v>
      </c>
      <c r="C1544" s="4" t="s">
        <v>12</v>
      </c>
      <c r="D1544" s="7">
        <v>5623.95</v>
      </c>
      <c r="E1544" s="31" t="s">
        <v>9</v>
      </c>
      <c r="F1544" s="32">
        <v>4024.5</v>
      </c>
      <c r="G1544" s="33">
        <f>(D1544-F1544)/F1544</f>
        <v>0.397428251956765</v>
      </c>
    </row>
    <row r="1545" spans="1:7">
      <c r="A1545" s="6" t="s">
        <v>2650</v>
      </c>
      <c r="B1545" s="3" t="s">
        <v>2651</v>
      </c>
      <c r="C1545" s="4" t="s">
        <v>12</v>
      </c>
      <c r="D1545" s="7">
        <v>5977.35</v>
      </c>
      <c r="E1545" s="31" t="s">
        <v>9</v>
      </c>
      <c r="F1545" s="32">
        <v>4275.4</v>
      </c>
      <c r="G1545" s="33">
        <f>(D1545-F1545)/F1545</f>
        <v>0.398079711839828</v>
      </c>
    </row>
    <row r="1546" ht="93" customHeight="1" spans="1:7">
      <c r="A1546" s="6" t="s">
        <v>2652</v>
      </c>
      <c r="B1546" s="12" t="s">
        <v>2653</v>
      </c>
      <c r="C1546" s="4"/>
      <c r="D1546" s="14"/>
      <c r="E1546" s="31">
        <v>8.12</v>
      </c>
    </row>
    <row r="1547" spans="1:7">
      <c r="A1547" s="6" t="s">
        <v>2654</v>
      </c>
      <c r="B1547" s="3" t="s">
        <v>2655</v>
      </c>
      <c r="C1547" s="4" t="s">
        <v>12</v>
      </c>
      <c r="D1547" s="7">
        <v>3186.7</v>
      </c>
      <c r="E1547" s="2" t="s">
        <v>2656</v>
      </c>
      <c r="F1547" s="32">
        <v>2887.85</v>
      </c>
      <c r="G1547" s="33">
        <f>(D1547-F1547)/F1547</f>
        <v>0.103485291826099</v>
      </c>
    </row>
    <row r="1548" ht="93" customHeight="1" spans="1:7">
      <c r="A1548" s="6" t="s">
        <v>2657</v>
      </c>
      <c r="B1548" s="12" t="s">
        <v>2658</v>
      </c>
      <c r="C1548" s="4"/>
      <c r="D1548" s="14"/>
      <c r="E1548" s="31">
        <v>8.13</v>
      </c>
    </row>
    <row r="1549" spans="1:7">
      <c r="A1549" s="6" t="s">
        <v>2659</v>
      </c>
      <c r="B1549" s="3" t="s">
        <v>2660</v>
      </c>
      <c r="C1549" s="4" t="s">
        <v>12</v>
      </c>
      <c r="D1549" s="7">
        <v>4481.3</v>
      </c>
      <c r="E1549" s="2" t="s">
        <v>2661</v>
      </c>
      <c r="F1549" s="32">
        <v>2937.7</v>
      </c>
      <c r="G1549" s="33">
        <f>(D1549-F1549)/F1549</f>
        <v>0.525445076079927</v>
      </c>
    </row>
    <row r="1550" spans="1:7">
      <c r="A1550" s="6" t="s">
        <v>2662</v>
      </c>
      <c r="B1550" s="3" t="s">
        <v>2663</v>
      </c>
      <c r="C1550" s="4" t="s">
        <v>12</v>
      </c>
      <c r="D1550" s="7">
        <v>3071.05</v>
      </c>
    </row>
    <row r="1551" spans="1:7">
      <c r="B1551" s="53"/>
    </row>
    <row r="1552" spans="1:7">
      <c r="B1552" s="53"/>
    </row>
    <row r="1556" spans="1:7">
      <c r="A1556" s="41" t="s">
        <v>2664</v>
      </c>
      <c r="C1556" s="31"/>
      <c r="D1556" s="31"/>
      <c r="E1556" s="31" t="s">
        <v>9</v>
      </c>
    </row>
    <row r="1557" spans="1:7">
      <c r="A1557" s="6" t="s">
        <v>204</v>
      </c>
      <c r="B1557" s="12" t="s">
        <v>2</v>
      </c>
      <c r="C1557" s="4" t="s">
        <v>205</v>
      </c>
      <c r="D1557" s="14" t="s">
        <v>4</v>
      </c>
      <c r="E1557" s="31" t="s">
        <v>9</v>
      </c>
    </row>
    <row r="1558" spans="1:7">
      <c r="A1558" s="40"/>
      <c r="B1558" s="12" t="s">
        <v>2665</v>
      </c>
      <c r="C1558" s="4"/>
      <c r="D1558" s="14"/>
      <c r="E1558" s="31" t="s">
        <v>9</v>
      </c>
    </row>
    <row r="1559" ht="93" customHeight="1" spans="1:7">
      <c r="A1559" s="6" t="s">
        <v>2666</v>
      </c>
      <c r="B1559" s="12" t="s">
        <v>2667</v>
      </c>
      <c r="C1559" s="4"/>
      <c r="D1559" s="14"/>
      <c r="E1559" s="31" t="s">
        <v>9</v>
      </c>
    </row>
    <row r="1560" spans="1:7">
      <c r="A1560" s="6" t="s">
        <v>2668</v>
      </c>
      <c r="B1560" s="3" t="s">
        <v>2669</v>
      </c>
      <c r="C1560" s="4" t="s">
        <v>12</v>
      </c>
      <c r="D1560" s="7">
        <v>1457.15</v>
      </c>
      <c r="E1560" s="2"/>
      <c r="F1560" s="32">
        <v>957.95</v>
      </c>
      <c r="G1560" s="33">
        <f>(D1560-F1560)/F1560</f>
        <v>0.521112792943264</v>
      </c>
    </row>
    <row r="1561" spans="1:7">
      <c r="A1561" s="6" t="s">
        <v>2670</v>
      </c>
      <c r="B1561" s="3" t="s">
        <v>2671</v>
      </c>
      <c r="C1561" s="4" t="s">
        <v>12</v>
      </c>
      <c r="D1561" s="7">
        <v>1257.55</v>
      </c>
      <c r="E1561" s="2"/>
      <c r="F1561" s="32">
        <v>818.95</v>
      </c>
      <c r="G1561" s="33">
        <f>(D1561-F1561)/F1561</f>
        <v>0.535563831735759</v>
      </c>
    </row>
    <row r="1562" spans="1:7">
      <c r="A1562" s="6" t="s">
        <v>2672</v>
      </c>
      <c r="B1562" s="3" t="s">
        <v>2673</v>
      </c>
      <c r="C1562" s="4" t="s">
        <v>12</v>
      </c>
      <c r="D1562" s="7">
        <v>1087.65</v>
      </c>
      <c r="E1562" s="2"/>
      <c r="F1562" s="32">
        <v>700.55</v>
      </c>
      <c r="G1562" s="33">
        <f>(D1562-F1562)/F1562</f>
        <v>0.552565841124831</v>
      </c>
    </row>
    <row r="1563" ht="31" customHeight="1" spans="1:7">
      <c r="A1563" s="6" t="s">
        <v>2674</v>
      </c>
      <c r="B1563" s="12" t="s">
        <v>2675</v>
      </c>
      <c r="C1563" s="4"/>
      <c r="D1563" s="14"/>
      <c r="E1563" s="31" t="s">
        <v>9</v>
      </c>
    </row>
    <row r="1564" spans="1:7">
      <c r="A1564" s="6" t="s">
        <v>2676</v>
      </c>
      <c r="B1564" s="3" t="s">
        <v>2677</v>
      </c>
      <c r="C1564" s="4" t="s">
        <v>49</v>
      </c>
      <c r="D1564" s="7">
        <v>116.15</v>
      </c>
      <c r="E1564" s="2"/>
      <c r="F1564" s="32">
        <v>49.65</v>
      </c>
      <c r="G1564" s="33">
        <f>(D1564-F1564)/F1564</f>
        <v>1.33937562940584</v>
      </c>
    </row>
    <row r="1565" spans="1:7">
      <c r="A1565" s="6" t="s">
        <v>2678</v>
      </c>
      <c r="B1565" s="3" t="s">
        <v>2679</v>
      </c>
      <c r="C1565" s="4" t="s">
        <v>49</v>
      </c>
      <c r="D1565" s="7">
        <v>92.95</v>
      </c>
      <c r="E1565" s="2"/>
      <c r="F1565" s="32">
        <v>39.7</v>
      </c>
      <c r="G1565" s="33">
        <f>(D1565-F1565)/F1565</f>
        <v>1.34130982367758</v>
      </c>
    </row>
    <row r="1566" spans="1:7">
      <c r="A1566" s="6" t="s">
        <v>2680</v>
      </c>
      <c r="B1566" s="3" t="s">
        <v>2681</v>
      </c>
      <c r="C1566" s="4" t="s">
        <v>49</v>
      </c>
      <c r="D1566" s="7">
        <v>92.95</v>
      </c>
      <c r="E1566" s="2"/>
      <c r="F1566" s="32">
        <v>39.7</v>
      </c>
      <c r="G1566" s="33">
        <f>(D1566-F1566)/F1566</f>
        <v>1.34130982367758</v>
      </c>
    </row>
    <row r="1567" ht="31" customHeight="1" spans="1:7">
      <c r="A1567" s="6" t="s">
        <v>2682</v>
      </c>
      <c r="B1567" s="12" t="s">
        <v>2683</v>
      </c>
      <c r="C1567" s="4"/>
      <c r="D1567" s="14"/>
      <c r="E1567" s="31" t="s">
        <v>9</v>
      </c>
    </row>
    <row r="1568" spans="1:7">
      <c r="A1568" s="6" t="s">
        <v>2684</v>
      </c>
      <c r="B1568" s="3" t="s">
        <v>2677</v>
      </c>
      <c r="C1568" s="4" t="s">
        <v>49</v>
      </c>
      <c r="D1568" s="7">
        <v>671.45</v>
      </c>
      <c r="E1568" s="2"/>
      <c r="F1568" s="32">
        <v>283</v>
      </c>
      <c r="G1568" s="33">
        <f>(D1568-F1568)/F1568</f>
        <v>1.3726148409894</v>
      </c>
    </row>
    <row r="1569" spans="1:7">
      <c r="A1569" s="6" t="s">
        <v>2685</v>
      </c>
      <c r="B1569" s="3" t="s">
        <v>2679</v>
      </c>
      <c r="C1569" s="4" t="s">
        <v>49</v>
      </c>
      <c r="D1569" s="7">
        <v>536.3</v>
      </c>
      <c r="E1569" s="2"/>
      <c r="F1569" s="32">
        <v>226.05</v>
      </c>
      <c r="G1569" s="33">
        <f>(D1569-F1569)/F1569</f>
        <v>1.37248396372484</v>
      </c>
    </row>
    <row r="1570" spans="1:7">
      <c r="A1570" s="6" t="s">
        <v>2686</v>
      </c>
      <c r="B1570" s="3" t="s">
        <v>2681</v>
      </c>
      <c r="C1570" s="4" t="s">
        <v>49</v>
      </c>
      <c r="D1570" s="7">
        <v>536.3</v>
      </c>
      <c r="E1570" s="2"/>
      <c r="F1570" s="32">
        <v>226.05</v>
      </c>
      <c r="G1570" s="33">
        <f>(D1570-F1570)/F1570</f>
        <v>1.37248396372484</v>
      </c>
    </row>
    <row r="1571" ht="31" customHeight="1" spans="1:7">
      <c r="A1571" s="6" t="s">
        <v>2687</v>
      </c>
      <c r="B1571" s="12" t="s">
        <v>2688</v>
      </c>
      <c r="C1571" s="4"/>
      <c r="D1571" s="14"/>
      <c r="E1571" s="31" t="s">
        <v>9</v>
      </c>
    </row>
    <row r="1572" spans="1:7">
      <c r="A1572" s="6" t="s">
        <v>2689</v>
      </c>
      <c r="B1572" s="3" t="s">
        <v>2671</v>
      </c>
      <c r="C1572" s="4" t="s">
        <v>49</v>
      </c>
      <c r="D1572" s="7">
        <v>1083.3</v>
      </c>
      <c r="E1572" s="2"/>
      <c r="F1572" s="32">
        <v>608.35</v>
      </c>
      <c r="G1572" s="33">
        <f>(D1572-F1572)/F1572</f>
        <v>0.780718336483932</v>
      </c>
    </row>
    <row r="1573" spans="1:7">
      <c r="A1573" s="6" t="s">
        <v>2690</v>
      </c>
      <c r="B1573" s="3" t="s">
        <v>2691</v>
      </c>
      <c r="C1573" s="4" t="s">
        <v>49</v>
      </c>
      <c r="D1573" s="7">
        <v>980.5</v>
      </c>
      <c r="E1573" s="2"/>
      <c r="F1573" s="32">
        <v>539.1</v>
      </c>
      <c r="G1573" s="33">
        <f>(D1573-F1573)/F1573</f>
        <v>0.818772027453163</v>
      </c>
    </row>
    <row r="1574" ht="31" customHeight="1" spans="1:7">
      <c r="A1574" s="6" t="s">
        <v>2692</v>
      </c>
      <c r="B1574" s="12" t="s">
        <v>2693</v>
      </c>
      <c r="C1574" s="4"/>
      <c r="D1574" s="14"/>
      <c r="E1574" s="31" t="s">
        <v>9</v>
      </c>
    </row>
    <row r="1575" spans="1:7">
      <c r="A1575" s="6" t="s">
        <v>2694</v>
      </c>
      <c r="B1575" s="3" t="s">
        <v>2695</v>
      </c>
      <c r="C1575" s="4" t="s">
        <v>49</v>
      </c>
      <c r="D1575" s="7">
        <v>1863.9</v>
      </c>
      <c r="E1575" s="2"/>
      <c r="F1575" s="32">
        <v>1115</v>
      </c>
      <c r="G1575" s="33">
        <f>(D1575-F1575)/F1575</f>
        <v>0.671659192825112</v>
      </c>
    </row>
    <row r="1576" ht="46.5" customHeight="1" spans="1:7">
      <c r="A1576" s="6" t="s">
        <v>2696</v>
      </c>
      <c r="B1576" s="12" t="s">
        <v>2697</v>
      </c>
      <c r="C1576" s="4"/>
      <c r="D1576" s="14"/>
      <c r="E1576" s="31" t="s">
        <v>9</v>
      </c>
    </row>
    <row r="1577" spans="1:7">
      <c r="A1577" s="6" t="s">
        <v>2698</v>
      </c>
      <c r="B1577" s="3" t="s">
        <v>2669</v>
      </c>
      <c r="C1577" s="4" t="s">
        <v>49</v>
      </c>
      <c r="D1577" s="7">
        <v>857.55</v>
      </c>
      <c r="E1577" s="2"/>
      <c r="F1577" s="32">
        <v>471.65</v>
      </c>
      <c r="G1577" s="33">
        <f>(D1577-F1577)/F1577</f>
        <v>0.818191455528464</v>
      </c>
    </row>
    <row r="1578" ht="46.5" customHeight="1" spans="1:7">
      <c r="A1578" s="6" t="s">
        <v>2699</v>
      </c>
      <c r="B1578" s="12" t="s">
        <v>2700</v>
      </c>
      <c r="C1578" s="4"/>
      <c r="D1578" s="14"/>
      <c r="E1578" s="31" t="s">
        <v>9</v>
      </c>
    </row>
    <row r="1579" spans="1:7">
      <c r="A1579" s="6" t="s">
        <v>2701</v>
      </c>
      <c r="B1579" s="3" t="s">
        <v>2671</v>
      </c>
      <c r="C1579" s="4" t="s">
        <v>49</v>
      </c>
      <c r="D1579" s="7">
        <v>1029.65</v>
      </c>
      <c r="E1579" s="2"/>
      <c r="F1579" s="32">
        <v>564.7</v>
      </c>
      <c r="G1579" s="33">
        <f t="shared" ref="G1579:G1584" si="23">(D1579-F1579)/F1579</f>
        <v>0.823357534974323</v>
      </c>
    </row>
    <row r="1580" spans="1:7">
      <c r="A1580" s="6" t="s">
        <v>2702</v>
      </c>
      <c r="B1580" s="3" t="s">
        <v>2691</v>
      </c>
      <c r="C1580" s="4" t="s">
        <v>49</v>
      </c>
      <c r="D1580" s="7">
        <v>944.05</v>
      </c>
      <c r="E1580" s="2"/>
      <c r="F1580" s="32">
        <v>507.05</v>
      </c>
      <c r="G1580" s="33">
        <f t="shared" si="23"/>
        <v>0.861847943989745</v>
      </c>
    </row>
    <row r="1581" ht="77.5" customHeight="1" spans="1:7">
      <c r="A1581" s="6" t="s">
        <v>2703</v>
      </c>
      <c r="B1581" s="12" t="s">
        <v>2704</v>
      </c>
      <c r="C1581" s="4" t="s">
        <v>12</v>
      </c>
      <c r="D1581" s="7">
        <v>536.4</v>
      </c>
      <c r="F1581" s="32">
        <v>367.85</v>
      </c>
      <c r="G1581" s="33">
        <f t="shared" si="23"/>
        <v>0.458203071904309</v>
      </c>
    </row>
    <row r="1582" ht="77.5" customHeight="1" spans="1:7">
      <c r="A1582" s="6" t="s">
        <v>2705</v>
      </c>
      <c r="B1582" s="12" t="s">
        <v>2706</v>
      </c>
      <c r="C1582" s="4" t="s">
        <v>49</v>
      </c>
      <c r="D1582" s="7">
        <v>92.95</v>
      </c>
      <c r="F1582" s="32">
        <v>39.7</v>
      </c>
      <c r="G1582" s="33">
        <f t="shared" si="23"/>
        <v>1.34130982367758</v>
      </c>
    </row>
    <row r="1583" ht="46.5" customHeight="1" spans="1:7">
      <c r="A1583" s="6" t="s">
        <v>2707</v>
      </c>
      <c r="B1583" s="12" t="s">
        <v>2708</v>
      </c>
      <c r="C1583" s="4" t="s">
        <v>49</v>
      </c>
      <c r="D1583" s="7">
        <v>256.7</v>
      </c>
      <c r="F1583" s="32">
        <v>109.75</v>
      </c>
      <c r="G1583" s="33">
        <f t="shared" si="23"/>
        <v>1.33895216400911</v>
      </c>
    </row>
    <row r="1584" spans="1:7">
      <c r="A1584" s="6" t="s">
        <v>2709</v>
      </c>
      <c r="B1584" s="12" t="s">
        <v>2710</v>
      </c>
      <c r="C1584" s="4" t="s">
        <v>49</v>
      </c>
      <c r="D1584" s="7">
        <v>195.6</v>
      </c>
      <c r="F1584" s="32">
        <v>103.3</v>
      </c>
      <c r="G1584" s="33">
        <f t="shared" si="23"/>
        <v>0.89351403678606</v>
      </c>
    </row>
    <row r="1585" ht="46.5" customHeight="1" spans="1:7">
      <c r="A1585" s="6" t="s">
        <v>2711</v>
      </c>
      <c r="B1585" s="12" t="s">
        <v>2712</v>
      </c>
      <c r="C1585" s="4"/>
      <c r="D1585" s="14"/>
    </row>
    <row r="1586" spans="1:7">
      <c r="A1586" s="6" t="s">
        <v>2713</v>
      </c>
      <c r="B1586" s="3" t="s">
        <v>2714</v>
      </c>
      <c r="C1586" s="26" t="s">
        <v>49</v>
      </c>
      <c r="D1586" s="7">
        <v>522.95</v>
      </c>
      <c r="F1586" s="32">
        <v>348.7</v>
      </c>
      <c r="G1586" s="33">
        <f>(D1586-F1586)/F1586</f>
        <v>0.49971322053341</v>
      </c>
    </row>
    <row r="1587" spans="1:7">
      <c r="A1587" s="6" t="s">
        <v>2715</v>
      </c>
      <c r="B1587" s="3" t="s">
        <v>2716</v>
      </c>
      <c r="C1587" s="4" t="s">
        <v>49</v>
      </c>
      <c r="D1587" s="7">
        <v>522.95</v>
      </c>
      <c r="F1587" s="32">
        <v>348.7</v>
      </c>
      <c r="G1587" s="33">
        <f>(D1587-F1587)/F1587</f>
        <v>0.49971322053341</v>
      </c>
    </row>
    <row r="1588" spans="1:7">
      <c r="A1588" s="6" t="s">
        <v>2717</v>
      </c>
      <c r="B1588" s="3" t="s">
        <v>2718</v>
      </c>
      <c r="C1588" s="4" t="s">
        <v>49</v>
      </c>
      <c r="D1588" s="7">
        <v>585.7</v>
      </c>
      <c r="F1588" s="32">
        <v>395.4</v>
      </c>
      <c r="G1588" s="33">
        <f>(D1588-F1588)/F1588</f>
        <v>0.481284774911482</v>
      </c>
    </row>
    <row r="1589" spans="1:7">
      <c r="A1589" s="6" t="s">
        <v>2719</v>
      </c>
      <c r="B1589" s="3" t="s">
        <v>2720</v>
      </c>
      <c r="C1589" s="18" t="s">
        <v>49</v>
      </c>
      <c r="D1589" s="27">
        <v>521.85</v>
      </c>
      <c r="F1589" s="32">
        <v>348</v>
      </c>
      <c r="G1589" s="33">
        <f>(D1589-F1589)/F1589</f>
        <v>0.499568965517241</v>
      </c>
    </row>
    <row r="1590" ht="62" customHeight="1" spans="1:7">
      <c r="A1590" s="6" t="s">
        <v>2721</v>
      </c>
      <c r="B1590" s="12" t="s">
        <v>2722</v>
      </c>
      <c r="C1590" s="4"/>
      <c r="D1590" s="14"/>
      <c r="E1590" s="2"/>
    </row>
    <row r="1591" spans="1:7">
      <c r="A1591" s="6" t="s">
        <v>2723</v>
      </c>
      <c r="B1591" s="3" t="s">
        <v>2724</v>
      </c>
      <c r="C1591" s="4" t="s">
        <v>49</v>
      </c>
      <c r="D1591" s="7">
        <v>428.5</v>
      </c>
      <c r="E1591" s="2"/>
      <c r="F1591" s="32">
        <v>297.65</v>
      </c>
      <c r="G1591" s="33">
        <f t="shared" ref="G1591:G1599" si="24">(D1591-F1591)/F1591</f>
        <v>0.439610280530825</v>
      </c>
    </row>
    <row r="1592" spans="1:7">
      <c r="A1592" s="6" t="s">
        <v>2725</v>
      </c>
      <c r="B1592" s="3" t="s">
        <v>2726</v>
      </c>
      <c r="C1592" s="4" t="s">
        <v>49</v>
      </c>
      <c r="D1592" s="7">
        <v>345.05</v>
      </c>
      <c r="E1592" s="2"/>
      <c r="F1592" s="32">
        <v>238.5</v>
      </c>
      <c r="G1592" s="33">
        <f t="shared" si="24"/>
        <v>0.446750524109015</v>
      </c>
    </row>
    <row r="1593" spans="1:7">
      <c r="A1593" s="6" t="s">
        <v>2727</v>
      </c>
      <c r="B1593" s="3" t="s">
        <v>2728</v>
      </c>
      <c r="C1593" s="4" t="s">
        <v>49</v>
      </c>
      <c r="D1593" s="7">
        <v>567.2</v>
      </c>
      <c r="E1593" s="2"/>
      <c r="F1593" s="32">
        <v>404.75</v>
      </c>
      <c r="G1593" s="33">
        <f t="shared" si="24"/>
        <v>0.401358863495985</v>
      </c>
    </row>
    <row r="1594" spans="1:7">
      <c r="A1594" s="6" t="s">
        <v>2729</v>
      </c>
      <c r="B1594" s="3" t="s">
        <v>2730</v>
      </c>
      <c r="C1594" s="4" t="s">
        <v>49</v>
      </c>
      <c r="D1594" s="7">
        <v>627.3</v>
      </c>
      <c r="E1594" s="2"/>
      <c r="F1594" s="32">
        <v>441.55</v>
      </c>
      <c r="G1594" s="33">
        <f t="shared" si="24"/>
        <v>0.420677160004529</v>
      </c>
    </row>
    <row r="1595" spans="1:7">
      <c r="A1595" s="6" t="s">
        <v>2731</v>
      </c>
      <c r="B1595" s="3" t="s">
        <v>2732</v>
      </c>
      <c r="C1595" s="4" t="s">
        <v>49</v>
      </c>
      <c r="D1595" s="7">
        <v>724.65</v>
      </c>
      <c r="E1595" s="2"/>
      <c r="F1595" s="32">
        <v>532.2</v>
      </c>
      <c r="G1595" s="33">
        <f t="shared" si="24"/>
        <v>0.361612175873732</v>
      </c>
    </row>
    <row r="1596" spans="1:7">
      <c r="A1596" s="6" t="s">
        <v>2733</v>
      </c>
      <c r="B1596" s="3" t="s">
        <v>2734</v>
      </c>
      <c r="C1596" s="4" t="s">
        <v>2735</v>
      </c>
      <c r="D1596" s="7">
        <v>303.7</v>
      </c>
      <c r="E1596" s="2"/>
      <c r="F1596" s="32">
        <v>222.9</v>
      </c>
      <c r="G1596" s="33">
        <f t="shared" si="24"/>
        <v>0.362494392104082</v>
      </c>
    </row>
    <row r="1597" spans="1:7">
      <c r="A1597" s="6" t="s">
        <v>2736</v>
      </c>
      <c r="B1597" s="3" t="s">
        <v>2737</v>
      </c>
      <c r="C1597" s="4" t="s">
        <v>156</v>
      </c>
      <c r="D1597" s="7">
        <v>1013.85</v>
      </c>
      <c r="E1597" s="2"/>
      <c r="F1597" s="32">
        <v>738.7</v>
      </c>
      <c r="G1597" s="33">
        <f t="shared" si="24"/>
        <v>0.372478678759984</v>
      </c>
    </row>
    <row r="1598" spans="1:7">
      <c r="A1598" s="6" t="s">
        <v>2738</v>
      </c>
      <c r="B1598" s="3" t="s">
        <v>2739</v>
      </c>
      <c r="C1598" s="4" t="s">
        <v>49</v>
      </c>
      <c r="D1598" s="7">
        <v>560.05</v>
      </c>
      <c r="E1598" s="2"/>
      <c r="F1598" s="32">
        <v>343.1</v>
      </c>
      <c r="G1598" s="33">
        <f t="shared" si="24"/>
        <v>0.632322937918974</v>
      </c>
    </row>
    <row r="1599" ht="31" customHeight="1" spans="1:7">
      <c r="A1599" s="6" t="s">
        <v>2740</v>
      </c>
      <c r="B1599" s="12" t="s">
        <v>2741</v>
      </c>
      <c r="C1599" s="4" t="s">
        <v>49</v>
      </c>
      <c r="D1599" s="7">
        <v>92.4</v>
      </c>
      <c r="E1599" s="2"/>
      <c r="F1599" s="32">
        <v>50.1</v>
      </c>
      <c r="G1599" s="33">
        <f t="shared" si="24"/>
        <v>0.844311377245509</v>
      </c>
    </row>
    <row r="1600" ht="46.5" customHeight="1" spans="1:7">
      <c r="A1600" s="6" t="s">
        <v>2742</v>
      </c>
      <c r="B1600" s="12" t="s">
        <v>2743</v>
      </c>
      <c r="C1600" s="4"/>
      <c r="D1600" s="14"/>
    </row>
    <row r="1601" spans="1:7">
      <c r="A1601" s="6" t="s">
        <v>2744</v>
      </c>
      <c r="B1601" s="3" t="s">
        <v>2745</v>
      </c>
      <c r="C1601" s="4" t="s">
        <v>12</v>
      </c>
      <c r="D1601" s="7">
        <v>166.2</v>
      </c>
      <c r="F1601" s="32">
        <v>102.5</v>
      </c>
      <c r="G1601" s="33">
        <f>(D1601-F1601)/F1601</f>
        <v>0.621463414634146</v>
      </c>
    </row>
    <row r="1602" ht="77.5" customHeight="1" spans="1:7">
      <c r="A1602" s="6" t="s">
        <v>2746</v>
      </c>
      <c r="B1602" s="12" t="s">
        <v>2747</v>
      </c>
      <c r="C1602" s="4"/>
      <c r="D1602" s="14"/>
    </row>
    <row r="1603" spans="1:7">
      <c r="A1603" s="6" t="s">
        <v>2748</v>
      </c>
      <c r="B1603" s="3" t="s">
        <v>2749</v>
      </c>
      <c r="C1603" s="4" t="s">
        <v>12</v>
      </c>
      <c r="D1603" s="7">
        <v>1050.2</v>
      </c>
      <c r="F1603" s="32">
        <v>596.7</v>
      </c>
      <c r="G1603" s="33">
        <f>(D1603-F1603)/F1603</f>
        <v>0.760013407072231</v>
      </c>
    </row>
    <row r="1604" ht="77.5" customHeight="1" spans="1:7">
      <c r="A1604" s="6" t="s">
        <v>2750</v>
      </c>
      <c r="B1604" s="12" t="s">
        <v>2751</v>
      </c>
      <c r="C1604" s="4"/>
      <c r="D1604" s="14"/>
    </row>
    <row r="1605" ht="31" customHeight="1" spans="1:7">
      <c r="A1605" s="6" t="s">
        <v>2752</v>
      </c>
      <c r="B1605" s="3" t="s">
        <v>2753</v>
      </c>
      <c r="C1605" s="4" t="s">
        <v>12</v>
      </c>
      <c r="D1605" s="7">
        <v>1074.5</v>
      </c>
      <c r="F1605" s="32">
        <v>587.85</v>
      </c>
      <c r="G1605" s="33">
        <f>(D1605-F1605)/F1605</f>
        <v>0.827847239942162</v>
      </c>
    </row>
    <row r="1606" spans="1:7">
      <c r="A1606" s="6" t="s">
        <v>2754</v>
      </c>
      <c r="B1606" s="12" t="s">
        <v>2755</v>
      </c>
      <c r="C1606" s="4" t="s">
        <v>12</v>
      </c>
      <c r="D1606" s="7">
        <v>24.2</v>
      </c>
      <c r="F1606" s="32">
        <v>12.55</v>
      </c>
      <c r="G1606" s="33">
        <f>(D1606-F1606)/F1606</f>
        <v>0.928286852589641</v>
      </c>
    </row>
    <row r="1607" ht="46.5" customHeight="1" spans="1:7">
      <c r="A1607" s="6" t="s">
        <v>2756</v>
      </c>
      <c r="B1607" s="12" t="s">
        <v>2757</v>
      </c>
      <c r="C1607" s="4"/>
      <c r="D1607" s="14"/>
    </row>
    <row r="1608" spans="1:7">
      <c r="A1608" s="6" t="s">
        <v>2758</v>
      </c>
      <c r="B1608" s="3" t="s">
        <v>2759</v>
      </c>
      <c r="C1608" s="4" t="s">
        <v>12</v>
      </c>
      <c r="D1608" s="7">
        <v>607.4</v>
      </c>
      <c r="F1608" s="32">
        <v>426.7</v>
      </c>
      <c r="G1608" s="33">
        <f>(D1608-F1608)/F1608</f>
        <v>0.423482540426529</v>
      </c>
    </row>
    <row r="1609" ht="62" customHeight="1" spans="1:7">
      <c r="A1609" s="6" t="s">
        <v>2760</v>
      </c>
      <c r="B1609" s="12" t="s">
        <v>2761</v>
      </c>
      <c r="C1609" s="4" t="s">
        <v>12</v>
      </c>
      <c r="D1609" s="7">
        <v>709.75</v>
      </c>
      <c r="F1609" s="32">
        <v>438.45</v>
      </c>
      <c r="G1609" s="33">
        <f>(D1609-F1609)/F1609</f>
        <v>0.618770669403581</v>
      </c>
    </row>
    <row r="1610" ht="46.5" customHeight="1" spans="1:7">
      <c r="A1610" s="6" t="s">
        <v>2762</v>
      </c>
      <c r="B1610" s="12" t="s">
        <v>2763</v>
      </c>
      <c r="C1610" s="4"/>
      <c r="D1610" s="14"/>
    </row>
    <row r="1611" spans="1:7">
      <c r="A1611" s="6" t="s">
        <v>2764</v>
      </c>
      <c r="B1611" s="3" t="s">
        <v>2765</v>
      </c>
      <c r="C1611" s="4" t="s">
        <v>49</v>
      </c>
      <c r="D1611" s="7">
        <v>305.15</v>
      </c>
      <c r="F1611" s="32">
        <v>153</v>
      </c>
      <c r="G1611" s="33">
        <f>(D1611-F1611)/F1611</f>
        <v>0.994444444444444</v>
      </c>
    </row>
    <row r="1612" ht="77.5" customHeight="1" spans="1:7">
      <c r="A1612" s="6" t="s">
        <v>2766</v>
      </c>
      <c r="B1612" s="12" t="s">
        <v>2767</v>
      </c>
      <c r="C1612" s="4" t="s">
        <v>156</v>
      </c>
      <c r="D1612" s="7">
        <v>298.24</v>
      </c>
      <c r="F1612" s="32">
        <v>187.6</v>
      </c>
      <c r="G1612" s="33">
        <f>(D1612-F1612)/F1612</f>
        <v>0.589765458422175</v>
      </c>
    </row>
    <row r="1613" ht="62" customHeight="1" spans="1:7">
      <c r="A1613" s="6" t="s">
        <v>2768</v>
      </c>
      <c r="B1613" s="12" t="s">
        <v>2769</v>
      </c>
      <c r="C1613" s="4"/>
      <c r="D1613" s="14"/>
      <c r="E1613" s="31" t="s">
        <v>9</v>
      </c>
    </row>
    <row r="1614" spans="1:7">
      <c r="A1614" s="6" t="s">
        <v>2770</v>
      </c>
      <c r="B1614" s="3" t="s">
        <v>2771</v>
      </c>
      <c r="C1614" s="4"/>
      <c r="D1614" s="14"/>
      <c r="E1614" s="31" t="s">
        <v>9</v>
      </c>
    </row>
    <row r="1615" spans="1:7">
      <c r="A1615" s="6" t="s">
        <v>2772</v>
      </c>
      <c r="B1615" s="3" t="s">
        <v>2773</v>
      </c>
      <c r="C1615" s="4" t="s">
        <v>12</v>
      </c>
      <c r="D1615" s="7">
        <v>1138.2</v>
      </c>
      <c r="E1615" s="31" t="s">
        <v>9</v>
      </c>
      <c r="F1615" s="32">
        <v>560.05</v>
      </c>
      <c r="G1615" s="33">
        <f>(D1615-F1615)/F1615</f>
        <v>1.03231854298723</v>
      </c>
    </row>
    <row r="1616" spans="1:7">
      <c r="A1616" s="6" t="s">
        <v>2774</v>
      </c>
      <c r="B1616" s="3" t="s">
        <v>2775</v>
      </c>
      <c r="C1616" s="4"/>
      <c r="D1616" s="14"/>
      <c r="E1616" s="31" t="s">
        <v>9</v>
      </c>
    </row>
    <row r="1617" spans="1:7">
      <c r="A1617" s="6" t="s">
        <v>2776</v>
      </c>
      <c r="B1617" s="3" t="s">
        <v>2773</v>
      </c>
      <c r="C1617" s="4" t="s">
        <v>12</v>
      </c>
      <c r="D1617" s="7">
        <v>1106.9</v>
      </c>
      <c r="E1617" s="31" t="s">
        <v>9</v>
      </c>
      <c r="F1617" s="32">
        <v>560.05</v>
      </c>
      <c r="G1617" s="33">
        <f>(D1617-F1617)/F1617</f>
        <v>0.976430675832515</v>
      </c>
    </row>
    <row r="1618" spans="1:7">
      <c r="A1618" s="40"/>
      <c r="B1618" s="12" t="s">
        <v>2777</v>
      </c>
      <c r="C1618" s="4"/>
      <c r="D1618" s="7"/>
      <c r="E1618" s="31" t="s">
        <v>9</v>
      </c>
    </row>
    <row r="1619" ht="31" customHeight="1" spans="1:7">
      <c r="A1619" s="6" t="s">
        <v>2778</v>
      </c>
      <c r="B1619" s="12" t="s">
        <v>2779</v>
      </c>
      <c r="C1619" s="4"/>
      <c r="D1619" s="14"/>
      <c r="E1619" s="31" t="s">
        <v>9</v>
      </c>
    </row>
    <row r="1620" spans="1:7">
      <c r="A1620" s="6" t="s">
        <v>2780</v>
      </c>
      <c r="B1620" s="3" t="s">
        <v>2781</v>
      </c>
      <c r="C1620" s="4"/>
      <c r="D1620" s="14"/>
      <c r="E1620" s="31" t="s">
        <v>9</v>
      </c>
    </row>
    <row r="1621" spans="1:7">
      <c r="A1621" s="6" t="s">
        <v>2782</v>
      </c>
      <c r="B1621" s="3" t="s">
        <v>1215</v>
      </c>
      <c r="C1621" s="4" t="s">
        <v>12</v>
      </c>
      <c r="D1621" s="7">
        <v>924.35</v>
      </c>
      <c r="E1621" s="2"/>
      <c r="F1621" s="32">
        <v>529.4</v>
      </c>
      <c r="G1621" s="33">
        <f>(D1621-F1621)/F1621</f>
        <v>0.746033245183226</v>
      </c>
    </row>
    <row r="1622" spans="1:7">
      <c r="A1622" s="6" t="s">
        <v>2783</v>
      </c>
      <c r="B1622" s="3" t="s">
        <v>2784</v>
      </c>
      <c r="C1622" s="4"/>
      <c r="D1622" s="14"/>
      <c r="E1622" s="31" t="s">
        <v>9</v>
      </c>
    </row>
    <row r="1623" spans="1:7">
      <c r="A1623" s="6" t="s">
        <v>2785</v>
      </c>
      <c r="B1623" s="3" t="s">
        <v>1215</v>
      </c>
      <c r="C1623" s="4" t="s">
        <v>12</v>
      </c>
      <c r="D1623" s="7">
        <v>966.6</v>
      </c>
      <c r="E1623" s="2"/>
      <c r="F1623" s="32">
        <v>567.75</v>
      </c>
      <c r="G1623" s="33">
        <f>(D1623-F1623)/F1623</f>
        <v>0.702509907529723</v>
      </c>
    </row>
    <row r="1624" spans="1:7">
      <c r="A1624" s="6" t="s">
        <v>2786</v>
      </c>
      <c r="B1624" s="3" t="s">
        <v>2787</v>
      </c>
      <c r="C1624" s="4"/>
      <c r="D1624" s="14"/>
      <c r="E1624" s="31" t="s">
        <v>9</v>
      </c>
    </row>
    <row r="1625" spans="1:7">
      <c r="A1625" s="6" t="s">
        <v>2788</v>
      </c>
      <c r="B1625" s="3" t="s">
        <v>1215</v>
      </c>
      <c r="C1625" s="4" t="s">
        <v>12</v>
      </c>
      <c r="D1625" s="7">
        <v>1121.55</v>
      </c>
      <c r="E1625" s="2"/>
      <c r="F1625" s="32">
        <v>669.75</v>
      </c>
      <c r="G1625" s="33">
        <f>(D1625-F1625)/F1625</f>
        <v>0.67458006718925</v>
      </c>
    </row>
    <row r="1626" ht="46.5" customHeight="1" spans="1:7">
      <c r="A1626" s="6" t="s">
        <v>2789</v>
      </c>
      <c r="B1626" s="12" t="s">
        <v>2790</v>
      </c>
      <c r="C1626" s="4"/>
      <c r="D1626" s="14"/>
    </row>
    <row r="1627" spans="1:7">
      <c r="A1627" s="6" t="s">
        <v>2791</v>
      </c>
      <c r="B1627" s="3" t="s">
        <v>1215</v>
      </c>
      <c r="C1627" s="4" t="s">
        <v>12</v>
      </c>
      <c r="D1627" s="7">
        <v>1070.6</v>
      </c>
      <c r="F1627" s="32">
        <v>669.4</v>
      </c>
      <c r="G1627" s="33">
        <f>(D1627-F1627)/F1627</f>
        <v>0.599342694950702</v>
      </c>
    </row>
    <row r="1628" ht="46.5" customHeight="1" spans="1:7">
      <c r="A1628" s="6" t="s">
        <v>2792</v>
      </c>
      <c r="B1628" s="12" t="s">
        <v>2793</v>
      </c>
      <c r="C1628" s="4"/>
      <c r="D1628" s="14"/>
      <c r="E1628" s="31" t="s">
        <v>9</v>
      </c>
    </row>
    <row r="1629" spans="1:7">
      <c r="A1629" s="6" t="s">
        <v>2794</v>
      </c>
      <c r="B1629" s="3" t="s">
        <v>2795</v>
      </c>
      <c r="C1629" s="4" t="s">
        <v>12</v>
      </c>
      <c r="D1629" s="7">
        <v>921.95</v>
      </c>
      <c r="E1629" s="2"/>
      <c r="F1629" s="32">
        <v>516.4</v>
      </c>
      <c r="G1629" s="33">
        <f>(D1629-F1629)/F1629</f>
        <v>0.785340821068939</v>
      </c>
    </row>
    <row r="1630" spans="1:7">
      <c r="A1630" s="6" t="s">
        <v>2796</v>
      </c>
      <c r="B1630" s="3" t="s">
        <v>2797</v>
      </c>
      <c r="C1630" s="4" t="s">
        <v>12</v>
      </c>
      <c r="D1630" s="7">
        <v>890.65</v>
      </c>
      <c r="E1630" s="2"/>
      <c r="F1630" s="32">
        <v>509.7</v>
      </c>
      <c r="G1630" s="33">
        <f>(D1630-F1630)/F1630</f>
        <v>0.747400431626447</v>
      </c>
    </row>
    <row r="1631" spans="1:7">
      <c r="A1631" s="6" t="s">
        <v>2798</v>
      </c>
      <c r="B1631" s="12" t="s">
        <v>2799</v>
      </c>
      <c r="C1631" s="4"/>
      <c r="D1631" s="14"/>
    </row>
    <row r="1632" spans="1:7">
      <c r="A1632" s="6" t="s">
        <v>2800</v>
      </c>
      <c r="B1632" s="3" t="s">
        <v>2801</v>
      </c>
      <c r="C1632" s="4" t="s">
        <v>49</v>
      </c>
      <c r="D1632" s="7">
        <v>726.3</v>
      </c>
      <c r="F1632" s="32">
        <v>395.4</v>
      </c>
      <c r="G1632" s="33">
        <f>(D1632-F1632)/F1632</f>
        <v>0.836874051593323</v>
      </c>
    </row>
    <row r="1633" spans="1:7">
      <c r="A1633" s="6" t="s">
        <v>2802</v>
      </c>
      <c r="B1633" s="3" t="s">
        <v>2781</v>
      </c>
      <c r="C1633" s="4"/>
      <c r="D1633" s="14"/>
      <c r="E1633" s="31" t="s">
        <v>9</v>
      </c>
    </row>
    <row r="1634" spans="1:7">
      <c r="A1634" s="6" t="s">
        <v>2803</v>
      </c>
      <c r="B1634" s="3" t="s">
        <v>1215</v>
      </c>
      <c r="C1634" s="4" t="s">
        <v>49</v>
      </c>
      <c r="D1634" s="7">
        <v>487</v>
      </c>
      <c r="E1634" s="2"/>
      <c r="F1634" s="32">
        <v>225.3</v>
      </c>
      <c r="G1634" s="33">
        <f>(D1634-F1634)/F1634</f>
        <v>1.16156236129605</v>
      </c>
    </row>
    <row r="1635" spans="1:7">
      <c r="A1635" s="6" t="s">
        <v>2804</v>
      </c>
      <c r="B1635" s="3" t="s">
        <v>2805</v>
      </c>
      <c r="C1635" s="4"/>
      <c r="D1635" s="14"/>
      <c r="E1635" s="31" t="s">
        <v>9</v>
      </c>
    </row>
    <row r="1636" spans="1:7">
      <c r="A1636" s="6" t="s">
        <v>2806</v>
      </c>
      <c r="B1636" s="3" t="s">
        <v>1215</v>
      </c>
      <c r="C1636" s="4" t="s">
        <v>49</v>
      </c>
      <c r="D1636" s="7">
        <v>492.25</v>
      </c>
      <c r="E1636" s="2"/>
      <c r="F1636" s="32">
        <v>230.1</v>
      </c>
      <c r="G1636" s="33">
        <f>(D1636-F1636)/F1636</f>
        <v>1.13928726640591</v>
      </c>
    </row>
    <row r="1637" spans="1:7">
      <c r="A1637" s="6" t="s">
        <v>2807</v>
      </c>
      <c r="B1637" s="3" t="s">
        <v>2808</v>
      </c>
      <c r="C1637" s="4"/>
      <c r="D1637" s="14"/>
      <c r="E1637" s="31" t="s">
        <v>9</v>
      </c>
    </row>
    <row r="1638" spans="1:7">
      <c r="A1638" s="6" t="s">
        <v>2809</v>
      </c>
      <c r="B1638" s="3" t="s">
        <v>1215</v>
      </c>
      <c r="C1638" s="4" t="s">
        <v>49</v>
      </c>
      <c r="D1638" s="7">
        <v>511.5</v>
      </c>
      <c r="E1638" s="2"/>
      <c r="F1638" s="32">
        <v>242.8</v>
      </c>
      <c r="G1638" s="33">
        <f>(D1638-F1638)/F1638</f>
        <v>1.10667215815486</v>
      </c>
    </row>
    <row r="1639" spans="1:7">
      <c r="A1639" s="6" t="s">
        <v>2810</v>
      </c>
      <c r="B1639" s="3" t="s">
        <v>2811</v>
      </c>
      <c r="C1639" s="4"/>
      <c r="D1639" s="14"/>
    </row>
    <row r="1640" spans="1:7">
      <c r="A1640" s="6" t="s">
        <v>2812</v>
      </c>
      <c r="B1640" s="3" t="s">
        <v>2813</v>
      </c>
      <c r="C1640" s="4" t="s">
        <v>49</v>
      </c>
      <c r="D1640" s="7">
        <v>470.1</v>
      </c>
      <c r="F1640" s="32">
        <v>213.15</v>
      </c>
      <c r="G1640" s="33">
        <f>(D1640-F1640)/F1640</f>
        <v>1.2054890921886</v>
      </c>
    </row>
    <row r="1641" spans="1:7">
      <c r="A1641" s="6" t="s">
        <v>2814</v>
      </c>
      <c r="B1641" s="3" t="s">
        <v>2815</v>
      </c>
      <c r="C1641" s="4" t="s">
        <v>49</v>
      </c>
      <c r="D1641" s="7">
        <v>485.7</v>
      </c>
      <c r="F1641" s="32">
        <v>190.45</v>
      </c>
      <c r="G1641" s="33">
        <f>(D1641-F1641)/F1641</f>
        <v>1.55027566290365</v>
      </c>
    </row>
    <row r="1642" spans="1:7">
      <c r="A1642" s="6" t="s">
        <v>2816</v>
      </c>
      <c r="B1642" s="12" t="s">
        <v>2817</v>
      </c>
      <c r="C1642" s="4" t="s">
        <v>12</v>
      </c>
      <c r="D1642" s="7">
        <v>453.1</v>
      </c>
      <c r="E1642" s="2"/>
      <c r="F1642" s="32">
        <v>194.1</v>
      </c>
      <c r="G1642" s="33">
        <f>(D1642-F1642)/F1642</f>
        <v>1.33436373003606</v>
      </c>
    </row>
    <row r="1643" ht="46.5" customHeight="1" spans="1:7">
      <c r="A1643" s="6" t="s">
        <v>2818</v>
      </c>
      <c r="B1643" s="12" t="s">
        <v>2819</v>
      </c>
      <c r="C1643" s="4"/>
      <c r="D1643" s="14"/>
      <c r="E1643" s="31" t="s">
        <v>9</v>
      </c>
    </row>
    <row r="1644" spans="1:7">
      <c r="A1644" s="6" t="s">
        <v>2820</v>
      </c>
      <c r="B1644" s="3" t="s">
        <v>2821</v>
      </c>
      <c r="C1644" s="4" t="s">
        <v>12</v>
      </c>
      <c r="D1644" s="7">
        <v>1718.95</v>
      </c>
      <c r="E1644" s="2"/>
      <c r="F1644" s="32">
        <v>864.6</v>
      </c>
      <c r="G1644" s="33">
        <f t="shared" ref="G1644:G1649" si="25">(D1644-F1644)/F1644</f>
        <v>0.988144806847097</v>
      </c>
    </row>
    <row r="1645" spans="1:7">
      <c r="A1645" s="6" t="s">
        <v>2822</v>
      </c>
      <c r="B1645" s="3" t="s">
        <v>2823</v>
      </c>
      <c r="C1645" s="4" t="s">
        <v>12</v>
      </c>
      <c r="D1645" s="7">
        <v>2067.45</v>
      </c>
      <c r="E1645" s="2"/>
      <c r="F1645" s="32">
        <v>1013.6</v>
      </c>
      <c r="G1645" s="33">
        <f t="shared" si="25"/>
        <v>1.03970994475138</v>
      </c>
    </row>
    <row r="1646" spans="1:7">
      <c r="A1646" s="6" t="s">
        <v>2824</v>
      </c>
      <c r="B1646" s="12" t="s">
        <v>2825</v>
      </c>
      <c r="C1646" s="4" t="s">
        <v>12</v>
      </c>
      <c r="D1646" s="7">
        <v>607.45</v>
      </c>
      <c r="E1646" s="2"/>
      <c r="F1646" s="32">
        <v>265.4</v>
      </c>
      <c r="G1646" s="33">
        <f t="shared" si="25"/>
        <v>1.28880934438583</v>
      </c>
    </row>
    <row r="1647" ht="31" customHeight="1" spans="1:7">
      <c r="A1647" s="6" t="s">
        <v>2826</v>
      </c>
      <c r="B1647" s="12" t="s">
        <v>2827</v>
      </c>
      <c r="C1647" s="4" t="s">
        <v>2828</v>
      </c>
      <c r="D1647" s="7">
        <v>265.7</v>
      </c>
      <c r="E1647" s="2"/>
      <c r="F1647" s="32">
        <v>113.85</v>
      </c>
      <c r="G1647" s="33">
        <f t="shared" si="25"/>
        <v>1.33377250768555</v>
      </c>
    </row>
    <row r="1648" ht="62" customHeight="1" spans="1:7">
      <c r="A1648" s="6" t="s">
        <v>2829</v>
      </c>
      <c r="B1648" s="12" t="s">
        <v>2830</v>
      </c>
      <c r="C1648" s="4" t="s">
        <v>12</v>
      </c>
      <c r="D1648" s="7">
        <v>703.05</v>
      </c>
      <c r="E1648" s="2"/>
      <c r="F1648" s="32">
        <v>425.1</v>
      </c>
      <c r="G1648" s="33">
        <f t="shared" si="25"/>
        <v>0.653846153846154</v>
      </c>
    </row>
    <row r="1649" ht="46.5" customHeight="1" spans="1:7">
      <c r="A1649" s="6" t="s">
        <v>2831</v>
      </c>
      <c r="B1649" s="12" t="s">
        <v>2832</v>
      </c>
      <c r="C1649" s="4" t="s">
        <v>12</v>
      </c>
      <c r="D1649" s="7">
        <v>297.25</v>
      </c>
      <c r="E1649" s="2"/>
      <c r="F1649" s="32">
        <v>194.25</v>
      </c>
      <c r="G1649" s="33">
        <f t="shared" si="25"/>
        <v>0.53024453024453</v>
      </c>
    </row>
    <row r="1650" ht="31" customHeight="1" spans="1:7">
      <c r="A1650" s="6" t="s">
        <v>2833</v>
      </c>
      <c r="B1650" s="12" t="s">
        <v>2834</v>
      </c>
      <c r="C1650" s="4"/>
      <c r="D1650" s="14"/>
      <c r="E1650" s="31" t="s">
        <v>9</v>
      </c>
    </row>
    <row r="1651" spans="1:7">
      <c r="A1651" s="6" t="s">
        <v>2835</v>
      </c>
      <c r="B1651" s="3" t="s">
        <v>2836</v>
      </c>
      <c r="C1651" s="4" t="s">
        <v>12</v>
      </c>
      <c r="D1651" s="7">
        <v>321.75</v>
      </c>
      <c r="E1651" s="2"/>
      <c r="F1651" s="32">
        <v>219.15</v>
      </c>
      <c r="G1651" s="33">
        <f>(D1651-F1651)/F1651</f>
        <v>0.468172484599589</v>
      </c>
    </row>
    <row r="1652" spans="1:7">
      <c r="A1652" s="6" t="s">
        <v>2837</v>
      </c>
      <c r="B1652" s="3" t="s">
        <v>2838</v>
      </c>
      <c r="C1652" s="4" t="s">
        <v>12</v>
      </c>
      <c r="D1652" s="7">
        <v>353.05</v>
      </c>
      <c r="E1652" s="2"/>
      <c r="F1652" s="32">
        <v>251.1</v>
      </c>
      <c r="G1652" s="33">
        <f>(D1652-F1652)/F1652</f>
        <v>0.406013540422143</v>
      </c>
    </row>
    <row r="1653" spans="1:7">
      <c r="A1653" s="40"/>
      <c r="B1653" s="12" t="s">
        <v>2839</v>
      </c>
      <c r="C1653" s="4"/>
      <c r="D1653" s="7"/>
    </row>
    <row r="1654" ht="31" customHeight="1" spans="1:7">
      <c r="A1654" s="6" t="s">
        <v>2840</v>
      </c>
      <c r="B1654" s="12" t="s">
        <v>2841</v>
      </c>
      <c r="C1654" s="4"/>
      <c r="D1654" s="14"/>
    </row>
    <row r="1655" spans="1:7">
      <c r="A1655" s="6" t="s">
        <v>2842</v>
      </c>
      <c r="B1655" s="3" t="s">
        <v>2843</v>
      </c>
      <c r="C1655" s="4" t="s">
        <v>156</v>
      </c>
      <c r="D1655" s="7">
        <v>164.2</v>
      </c>
      <c r="F1655" s="32">
        <v>90.85</v>
      </c>
      <c r="G1655" s="33">
        <f>(D1655-F1655)/F1655</f>
        <v>0.80737479361585</v>
      </c>
    </row>
    <row r="1656" ht="62" customHeight="1" spans="1:7">
      <c r="A1656" s="6" t="s">
        <v>2844</v>
      </c>
      <c r="B1656" s="12" t="s">
        <v>2845</v>
      </c>
      <c r="C1656" s="4"/>
      <c r="D1656" s="14"/>
    </row>
    <row r="1657" spans="1:7">
      <c r="A1657" s="6" t="s">
        <v>2846</v>
      </c>
      <c r="B1657" s="3" t="s">
        <v>2847</v>
      </c>
      <c r="C1657" s="4" t="s">
        <v>156</v>
      </c>
      <c r="D1657" s="7">
        <v>362.85</v>
      </c>
      <c r="F1657" s="32">
        <v>167.35</v>
      </c>
      <c r="G1657" s="33">
        <f>(D1657-F1657)/F1657</f>
        <v>1.16821033761578</v>
      </c>
    </row>
    <row r="1658" spans="1:7">
      <c r="A1658" s="6" t="s">
        <v>2848</v>
      </c>
      <c r="B1658" s="3" t="s">
        <v>2849</v>
      </c>
      <c r="C1658" s="4" t="s">
        <v>156</v>
      </c>
      <c r="D1658" s="7">
        <v>395.6</v>
      </c>
      <c r="F1658" s="32">
        <v>196.4</v>
      </c>
      <c r="G1658" s="33">
        <f>(D1658-F1658)/F1658</f>
        <v>1.0142566191446</v>
      </c>
    </row>
    <row r="1659" spans="1:7">
      <c r="A1659" s="6" t="s">
        <v>2850</v>
      </c>
      <c r="B1659" s="12" t="s">
        <v>2851</v>
      </c>
      <c r="C1659" s="4"/>
      <c r="D1659" s="14"/>
      <c r="F1659" s="34"/>
    </row>
    <row r="1660" spans="1:7">
      <c r="A1660" s="6" t="s">
        <v>2852</v>
      </c>
      <c r="B1660" s="3" t="s">
        <v>2853</v>
      </c>
      <c r="C1660" s="4" t="s">
        <v>156</v>
      </c>
      <c r="D1660" s="7">
        <v>580.5</v>
      </c>
      <c r="F1660" s="32">
        <v>309.95</v>
      </c>
      <c r="G1660" s="33">
        <f>(D1660-F1660)/F1660</f>
        <v>0.872882723019842</v>
      </c>
    </row>
    <row r="1661" spans="1:7">
      <c r="A1661" s="6" t="s">
        <v>2854</v>
      </c>
      <c r="B1661" s="3" t="s">
        <v>2855</v>
      </c>
      <c r="C1661" s="4" t="s">
        <v>156</v>
      </c>
      <c r="D1661" s="7">
        <v>798</v>
      </c>
      <c r="F1661" s="32">
        <v>430.75</v>
      </c>
      <c r="G1661" s="33">
        <f>(D1661-F1661)/F1661</f>
        <v>0.852582704585026</v>
      </c>
    </row>
    <row r="1662" ht="46.5" customHeight="1" spans="1:7">
      <c r="A1662" s="6" t="s">
        <v>2856</v>
      </c>
      <c r="B1662" s="12" t="s">
        <v>2857</v>
      </c>
      <c r="C1662" s="4"/>
      <c r="D1662" s="14"/>
    </row>
    <row r="1663" spans="1:7">
      <c r="A1663" s="6" t="s">
        <v>2858</v>
      </c>
      <c r="B1663" s="3" t="s">
        <v>2859</v>
      </c>
      <c r="C1663" s="4"/>
      <c r="D1663" s="14"/>
    </row>
    <row r="1664" spans="1:7">
      <c r="A1664" s="6" t="s">
        <v>2860</v>
      </c>
      <c r="B1664" s="3" t="s">
        <v>2849</v>
      </c>
      <c r="C1664" s="4" t="s">
        <v>156</v>
      </c>
      <c r="D1664" s="7">
        <v>511.9</v>
      </c>
      <c r="F1664" s="32">
        <v>395.3</v>
      </c>
      <c r="G1664" s="33">
        <f>(D1664-F1664)/F1664</f>
        <v>0.294965848722489</v>
      </c>
    </row>
    <row r="1665" ht="46.5" customHeight="1" spans="1:7">
      <c r="A1665" s="6" t="s">
        <v>2861</v>
      </c>
      <c r="B1665" s="12" t="s">
        <v>2862</v>
      </c>
      <c r="C1665" s="4"/>
      <c r="D1665" s="14"/>
    </row>
    <row r="1666" spans="1:7">
      <c r="A1666" s="6" t="s">
        <v>2863</v>
      </c>
      <c r="B1666" s="3" t="s">
        <v>2864</v>
      </c>
      <c r="C1666" s="4" t="s">
        <v>49</v>
      </c>
      <c r="D1666" s="7">
        <v>248.8</v>
      </c>
      <c r="F1666" s="32">
        <v>148.75</v>
      </c>
      <c r="G1666" s="33">
        <f>(D1666-F1666)/F1666</f>
        <v>0.672605042016807</v>
      </c>
    </row>
    <row r="1667" spans="1:7">
      <c r="A1667" s="6" t="s">
        <v>2865</v>
      </c>
      <c r="B1667" s="3" t="s">
        <v>2866</v>
      </c>
      <c r="C1667" s="4" t="s">
        <v>49</v>
      </c>
      <c r="D1667" s="7">
        <v>377.4</v>
      </c>
      <c r="F1667" s="32">
        <v>236.35</v>
      </c>
      <c r="G1667" s="33">
        <f>(D1667-F1667)/F1667</f>
        <v>0.596784429870954</v>
      </c>
    </row>
    <row r="1668" ht="46.5" customHeight="1" spans="1:7">
      <c r="A1668" s="6" t="s">
        <v>2867</v>
      </c>
      <c r="B1668" s="12" t="s">
        <v>2868</v>
      </c>
      <c r="C1668" s="4"/>
      <c r="D1668" s="14"/>
    </row>
    <row r="1669" spans="1:7">
      <c r="A1669" s="6" t="s">
        <v>2869</v>
      </c>
      <c r="B1669" s="3" t="s">
        <v>2870</v>
      </c>
      <c r="C1669" s="4"/>
      <c r="D1669" s="14"/>
    </row>
    <row r="1670" spans="1:7">
      <c r="A1670" s="6" t="s">
        <v>2871</v>
      </c>
      <c r="B1670" s="3" t="s">
        <v>1597</v>
      </c>
      <c r="C1670" s="4" t="s">
        <v>156</v>
      </c>
      <c r="D1670" s="7">
        <v>91.7</v>
      </c>
      <c r="F1670" s="32">
        <v>64.95</v>
      </c>
      <c r="G1670" s="33">
        <f>(D1670-F1670)/F1670</f>
        <v>0.411855273287144</v>
      </c>
    </row>
    <row r="1671" spans="1:7">
      <c r="A1671" s="6" t="s">
        <v>2872</v>
      </c>
      <c r="B1671" s="3" t="s">
        <v>2873</v>
      </c>
      <c r="C1671" s="4" t="s">
        <v>156</v>
      </c>
      <c r="D1671" s="7">
        <v>136.15</v>
      </c>
      <c r="F1671" s="32">
        <v>102.65</v>
      </c>
      <c r="G1671" s="33">
        <f>(D1671-F1671)/F1671</f>
        <v>0.326351680467608</v>
      </c>
    </row>
    <row r="1672" spans="1:7">
      <c r="A1672" s="6" t="s">
        <v>2874</v>
      </c>
      <c r="B1672" s="3" t="s">
        <v>2875</v>
      </c>
      <c r="C1672" s="4"/>
      <c r="D1672" s="14"/>
    </row>
    <row r="1673" spans="1:7">
      <c r="A1673" s="6" t="s">
        <v>2876</v>
      </c>
      <c r="B1673" s="3" t="s">
        <v>1597</v>
      </c>
      <c r="C1673" s="4" t="s">
        <v>156</v>
      </c>
      <c r="D1673" s="7">
        <v>93.1</v>
      </c>
      <c r="F1673" s="32">
        <v>64.95</v>
      </c>
      <c r="G1673" s="33">
        <f>(D1673-F1673)/F1673</f>
        <v>0.433410315627406</v>
      </c>
    </row>
    <row r="1674" spans="1:7">
      <c r="A1674" s="6" t="s">
        <v>2877</v>
      </c>
      <c r="B1674" s="3" t="s">
        <v>2873</v>
      </c>
      <c r="C1674" s="4" t="s">
        <v>156</v>
      </c>
      <c r="D1674" s="7">
        <v>127.6</v>
      </c>
      <c r="F1674" s="32">
        <v>94.55</v>
      </c>
      <c r="G1674" s="33">
        <f>(D1674-F1674)/F1674</f>
        <v>0.349550502379693</v>
      </c>
    </row>
    <row r="1675" spans="1:7">
      <c r="A1675" s="6" t="s">
        <v>2878</v>
      </c>
      <c r="B1675" s="3" t="s">
        <v>2879</v>
      </c>
      <c r="C1675" s="4"/>
      <c r="D1675" s="14"/>
    </row>
    <row r="1676" spans="1:7">
      <c r="A1676" s="6" t="s">
        <v>2880</v>
      </c>
      <c r="B1676" s="3" t="s">
        <v>2881</v>
      </c>
      <c r="C1676" s="4" t="s">
        <v>156</v>
      </c>
      <c r="D1676" s="7">
        <v>164.2</v>
      </c>
      <c r="F1676" s="32">
        <v>121.5</v>
      </c>
      <c r="G1676" s="33">
        <f>(D1676-F1676)/F1676</f>
        <v>0.351440329218107</v>
      </c>
    </row>
    <row r="1677" spans="1:7">
      <c r="A1677" s="6" t="s">
        <v>2882</v>
      </c>
      <c r="B1677" s="3" t="s">
        <v>2883</v>
      </c>
      <c r="C1677" s="4" t="s">
        <v>156</v>
      </c>
      <c r="D1677" s="7">
        <v>234.15</v>
      </c>
      <c r="F1677" s="32">
        <v>181.55</v>
      </c>
      <c r="G1677" s="33">
        <f>(D1677-F1677)/F1677</f>
        <v>0.289727347838061</v>
      </c>
    </row>
    <row r="1678" spans="1:7">
      <c r="A1678" s="6" t="s">
        <v>2884</v>
      </c>
      <c r="B1678" s="3" t="s">
        <v>2885</v>
      </c>
      <c r="C1678" s="4"/>
      <c r="D1678" s="14"/>
    </row>
    <row r="1679" spans="1:7">
      <c r="A1679" s="6" t="s">
        <v>2886</v>
      </c>
      <c r="B1679" s="3" t="s">
        <v>2881</v>
      </c>
      <c r="C1679" s="4" t="s">
        <v>156</v>
      </c>
      <c r="D1679" s="7">
        <v>144.3</v>
      </c>
      <c r="F1679" s="32">
        <v>105.25</v>
      </c>
      <c r="G1679" s="33">
        <f>(D1679-F1679)/F1679</f>
        <v>0.371021377672209</v>
      </c>
    </row>
    <row r="1680" spans="1:7">
      <c r="A1680" s="6" t="s">
        <v>2887</v>
      </c>
      <c r="B1680" s="3" t="s">
        <v>2883</v>
      </c>
      <c r="C1680" s="4" t="s">
        <v>156</v>
      </c>
      <c r="D1680" s="7">
        <v>221.35</v>
      </c>
      <c r="F1680" s="32">
        <v>167.6</v>
      </c>
      <c r="G1680" s="33">
        <f>(D1680-F1680)/F1680</f>
        <v>0.320704057279236</v>
      </c>
    </row>
    <row r="1681" spans="1:7">
      <c r="A1681" s="6" t="s">
        <v>2888</v>
      </c>
      <c r="B1681" s="3" t="s">
        <v>2889</v>
      </c>
      <c r="C1681" s="4"/>
      <c r="D1681" s="14"/>
    </row>
    <row r="1682" spans="1:7">
      <c r="A1682" s="6" t="s">
        <v>2890</v>
      </c>
      <c r="B1682" s="3" t="s">
        <v>2891</v>
      </c>
      <c r="C1682" s="4" t="s">
        <v>156</v>
      </c>
      <c r="D1682" s="7">
        <v>105.9</v>
      </c>
      <c r="F1682" s="32">
        <v>76.55</v>
      </c>
      <c r="G1682" s="33">
        <f>(D1682-F1682)/F1682</f>
        <v>0.383409536250817</v>
      </c>
    </row>
    <row r="1683" spans="1:7">
      <c r="A1683" s="6" t="s">
        <v>2892</v>
      </c>
      <c r="B1683" s="3" t="s">
        <v>2893</v>
      </c>
      <c r="C1683" s="4" t="s">
        <v>156</v>
      </c>
      <c r="D1683" s="7">
        <v>150.35</v>
      </c>
      <c r="F1683" s="32">
        <v>113.1</v>
      </c>
      <c r="G1683" s="33">
        <f>(D1683-F1683)/F1683</f>
        <v>0.329354553492485</v>
      </c>
    </row>
    <row r="1684" spans="1:7">
      <c r="A1684" s="6" t="s">
        <v>2894</v>
      </c>
      <c r="B1684" s="3" t="s">
        <v>2895</v>
      </c>
      <c r="C1684" s="4"/>
      <c r="D1684" s="14"/>
    </row>
    <row r="1685" spans="1:7">
      <c r="A1685" s="6" t="s">
        <v>2896</v>
      </c>
      <c r="B1685" s="3" t="s">
        <v>2897</v>
      </c>
      <c r="C1685" s="4" t="s">
        <v>156</v>
      </c>
      <c r="D1685" s="7">
        <v>93.1</v>
      </c>
      <c r="F1685" s="32">
        <v>66.1</v>
      </c>
      <c r="G1685" s="33">
        <f>(D1685-F1685)/F1685</f>
        <v>0.408472012102874</v>
      </c>
    </row>
    <row r="1686" spans="1:7">
      <c r="A1686" s="6" t="s">
        <v>2898</v>
      </c>
      <c r="B1686" s="3" t="s">
        <v>2899</v>
      </c>
      <c r="C1686" s="4" t="s">
        <v>156</v>
      </c>
      <c r="D1686" s="7">
        <v>131.85</v>
      </c>
      <c r="F1686" s="32">
        <v>98</v>
      </c>
      <c r="G1686" s="33">
        <f>(D1686-F1686)/F1686</f>
        <v>0.345408163265306</v>
      </c>
    </row>
    <row r="1687" ht="62" customHeight="1" spans="1:7">
      <c r="A1687" s="6" t="s">
        <v>2900</v>
      </c>
      <c r="B1687" s="12" t="s">
        <v>2901</v>
      </c>
      <c r="C1687" s="4"/>
      <c r="D1687" s="14"/>
    </row>
    <row r="1688" spans="1:7">
      <c r="A1688" s="6" t="s">
        <v>2902</v>
      </c>
      <c r="B1688" s="3" t="s">
        <v>1597</v>
      </c>
      <c r="C1688" s="4" t="s">
        <v>156</v>
      </c>
      <c r="D1688" s="7">
        <v>369.85</v>
      </c>
      <c r="F1688" s="32">
        <v>182.55</v>
      </c>
      <c r="G1688" s="33">
        <f>(D1688-F1688)/F1688</f>
        <v>1.02602026841961</v>
      </c>
    </row>
    <row r="1689" spans="1:7">
      <c r="A1689" s="6" t="s">
        <v>2903</v>
      </c>
      <c r="B1689" s="3" t="s">
        <v>2873</v>
      </c>
      <c r="C1689" s="4" t="s">
        <v>156</v>
      </c>
      <c r="D1689" s="7">
        <v>371.3</v>
      </c>
      <c r="F1689" s="32">
        <v>181.4</v>
      </c>
      <c r="G1689" s="33">
        <f>(D1689-F1689)/F1689</f>
        <v>1.04685777287762</v>
      </c>
    </row>
    <row r="1690" ht="31" customHeight="1" spans="1:7">
      <c r="A1690" s="6" t="s">
        <v>2904</v>
      </c>
      <c r="B1690" s="12" t="s">
        <v>2905</v>
      </c>
      <c r="C1690" s="4" t="s">
        <v>156</v>
      </c>
      <c r="D1690" s="7">
        <v>54.7</v>
      </c>
      <c r="F1690" s="32">
        <v>40.9</v>
      </c>
      <c r="G1690" s="33">
        <f>(D1690-F1690)/F1690</f>
        <v>0.337408312958435</v>
      </c>
    </row>
    <row r="1691" ht="356.5" customHeight="1" spans="1:7">
      <c r="A1691" s="6" t="s">
        <v>2906</v>
      </c>
      <c r="B1691" s="12" t="s">
        <v>2907</v>
      </c>
      <c r="C1691" s="4"/>
      <c r="D1691" s="14"/>
    </row>
    <row r="1692" ht="31" customHeight="1" spans="1:7">
      <c r="A1692" s="6" t="s">
        <v>2908</v>
      </c>
      <c r="B1692" s="3" t="s">
        <v>2909</v>
      </c>
      <c r="C1692" s="4" t="s">
        <v>12</v>
      </c>
      <c r="D1692" s="7">
        <v>1355.8</v>
      </c>
      <c r="F1692" s="32">
        <v>806.2</v>
      </c>
      <c r="G1692" s="33">
        <f>(D1692-F1692)/F1692</f>
        <v>0.68171669560903</v>
      </c>
    </row>
    <row r="1693" ht="31" customHeight="1" spans="1:7">
      <c r="A1693" s="6" t="s">
        <v>2910</v>
      </c>
      <c r="B1693" s="3" t="s">
        <v>2911</v>
      </c>
      <c r="C1693" s="4" t="s">
        <v>12</v>
      </c>
      <c r="D1693" s="7">
        <v>1520.1</v>
      </c>
      <c r="F1693" s="32">
        <v>922.05</v>
      </c>
      <c r="G1693" s="33">
        <f>(D1693-F1693)/F1693</f>
        <v>0.648609077598829</v>
      </c>
    </row>
    <row r="1694" spans="1:7">
      <c r="A1694" s="6" t="s">
        <v>2912</v>
      </c>
      <c r="B1694" s="3" t="s">
        <v>2913</v>
      </c>
      <c r="C1694" s="4" t="s">
        <v>12</v>
      </c>
      <c r="D1694" s="7">
        <v>1529.1</v>
      </c>
      <c r="F1694" s="32">
        <v>958.65</v>
      </c>
      <c r="G1694" s="33">
        <f>(D1694-F1694)/F1694</f>
        <v>0.595055546862776</v>
      </c>
    </row>
    <row r="1695" ht="62" customHeight="1" spans="1:7">
      <c r="A1695" s="6" t="s">
        <v>2914</v>
      </c>
      <c r="B1695" s="3" t="s">
        <v>2915</v>
      </c>
      <c r="C1695" s="4" t="s">
        <v>12</v>
      </c>
      <c r="D1695" s="7">
        <v>1744.15</v>
      </c>
      <c r="F1695" s="32">
        <v>1135.5</v>
      </c>
      <c r="G1695" s="33">
        <f>(D1695-F1695)/F1695</f>
        <v>0.536019374724791</v>
      </c>
    </row>
    <row r="1696" ht="46.5" customHeight="1" spans="1:7">
      <c r="A1696" s="6" t="s">
        <v>2916</v>
      </c>
      <c r="B1696" s="12" t="s">
        <v>2917</v>
      </c>
      <c r="C1696" s="4" t="s">
        <v>156</v>
      </c>
      <c r="D1696" s="7">
        <v>84.55</v>
      </c>
      <c r="F1696" s="32">
        <v>66.45</v>
      </c>
      <c r="G1696" s="33">
        <f>(D1696-F1696)/F1696</f>
        <v>0.272385252069225</v>
      </c>
    </row>
    <row r="1697" ht="124" customHeight="1" spans="1:7">
      <c r="A1697" s="6" t="s">
        <v>2918</v>
      </c>
      <c r="B1697" s="12" t="s">
        <v>2919</v>
      </c>
      <c r="C1697" s="4"/>
      <c r="D1697" s="14"/>
      <c r="E1697" s="31" t="s">
        <v>9</v>
      </c>
    </row>
    <row r="1698" spans="1:7">
      <c r="A1698" s="6" t="s">
        <v>2920</v>
      </c>
      <c r="B1698" s="3" t="s">
        <v>2921</v>
      </c>
      <c r="C1698" s="4" t="s">
        <v>12</v>
      </c>
      <c r="D1698" s="7">
        <v>1401.35</v>
      </c>
      <c r="E1698" s="31" t="s">
        <v>9</v>
      </c>
      <c r="F1698" s="32">
        <v>989.5</v>
      </c>
      <c r="G1698" s="33">
        <f>(D1698-F1698)/F1698</f>
        <v>0.41622031328954</v>
      </c>
    </row>
    <row r="1699" spans="1:7">
      <c r="A1699" s="6" t="s">
        <v>2922</v>
      </c>
      <c r="B1699" s="3" t="s">
        <v>2923</v>
      </c>
      <c r="C1699" s="4" t="s">
        <v>12</v>
      </c>
      <c r="D1699" s="7">
        <v>1245.65</v>
      </c>
      <c r="E1699" s="31" t="s">
        <v>9</v>
      </c>
      <c r="F1699" s="32">
        <v>883.6</v>
      </c>
      <c r="G1699" s="33">
        <f>(D1699-F1699)/F1699</f>
        <v>0.409744228157537</v>
      </c>
    </row>
    <row r="1700" ht="46.5" customHeight="1" spans="1:7">
      <c r="A1700" s="6" t="s">
        <v>2924</v>
      </c>
      <c r="B1700" s="12" t="s">
        <v>2925</v>
      </c>
      <c r="C1700" s="4" t="s">
        <v>12</v>
      </c>
      <c r="D1700" s="7">
        <v>433.45</v>
      </c>
      <c r="F1700" s="32">
        <v>238</v>
      </c>
      <c r="G1700" s="33">
        <f>(D1700-F1700)/F1700</f>
        <v>0.821218487394958</v>
      </c>
    </row>
    <row r="1701" ht="31" customHeight="1" spans="1:7">
      <c r="A1701" s="6" t="s">
        <v>2926</v>
      </c>
      <c r="B1701" s="12" t="s">
        <v>2927</v>
      </c>
      <c r="C1701" s="4" t="s">
        <v>12</v>
      </c>
      <c r="D1701" s="7">
        <v>96.9</v>
      </c>
      <c r="F1701" s="32">
        <v>52.45</v>
      </c>
      <c r="G1701" s="33">
        <f>(D1701-F1701)/F1701</f>
        <v>0.847473784556721</v>
      </c>
    </row>
    <row r="1702" ht="170.5" customHeight="1" spans="1:7">
      <c r="A1702" s="6" t="s">
        <v>2928</v>
      </c>
      <c r="B1702" s="12" t="s">
        <v>2929</v>
      </c>
      <c r="C1702" s="4" t="s">
        <v>12</v>
      </c>
      <c r="D1702" s="7">
        <v>738.65</v>
      </c>
      <c r="E1702" s="31" t="s">
        <v>9</v>
      </c>
      <c r="F1702" s="32">
        <v>550.4</v>
      </c>
      <c r="G1702" s="33">
        <f>(D1702-F1702)/F1702</f>
        <v>0.34202398255814</v>
      </c>
    </row>
    <row r="1703" ht="77.5" customHeight="1" spans="1:7">
      <c r="A1703" s="6" t="s">
        <v>2930</v>
      </c>
      <c r="B1703" s="12" t="s">
        <v>2931</v>
      </c>
      <c r="C1703" s="4"/>
      <c r="D1703" s="14"/>
      <c r="E1703" s="31" t="s">
        <v>9</v>
      </c>
    </row>
    <row r="1704" spans="1:7">
      <c r="A1704" s="6" t="s">
        <v>2932</v>
      </c>
      <c r="B1704" s="3" t="s">
        <v>2933</v>
      </c>
      <c r="C1704" s="4" t="s">
        <v>49</v>
      </c>
      <c r="D1704" s="7">
        <v>532.35</v>
      </c>
      <c r="E1704" s="31" t="s">
        <v>9</v>
      </c>
      <c r="F1704" s="32">
        <v>360.45</v>
      </c>
      <c r="G1704" s="33">
        <f t="shared" ref="G1704:G1709" si="26">(D1704-F1704)/F1704</f>
        <v>0.476903870162297</v>
      </c>
    </row>
    <row r="1705" spans="1:7">
      <c r="A1705" s="6" t="s">
        <v>2934</v>
      </c>
      <c r="B1705" s="3" t="s">
        <v>2935</v>
      </c>
      <c r="C1705" s="4" t="s">
        <v>49</v>
      </c>
      <c r="D1705" s="7">
        <v>485.6</v>
      </c>
      <c r="E1705" s="31" t="s">
        <v>9</v>
      </c>
      <c r="F1705" s="32">
        <v>332.8</v>
      </c>
      <c r="G1705" s="33">
        <f t="shared" si="26"/>
        <v>0.459134615384615</v>
      </c>
    </row>
    <row r="1706" spans="1:7">
      <c r="A1706" s="6" t="s">
        <v>2936</v>
      </c>
      <c r="B1706" s="3" t="s">
        <v>2728</v>
      </c>
      <c r="C1706" s="4" t="s">
        <v>49</v>
      </c>
      <c r="D1706" s="7">
        <v>546.1</v>
      </c>
      <c r="E1706" s="31" t="s">
        <v>9</v>
      </c>
      <c r="F1706" s="32">
        <v>393.45</v>
      </c>
      <c r="G1706" s="33">
        <f t="shared" si="26"/>
        <v>0.387978142076503</v>
      </c>
    </row>
    <row r="1707" spans="1:7">
      <c r="A1707" s="6" t="s">
        <v>2937</v>
      </c>
      <c r="B1707" s="3" t="s">
        <v>2938</v>
      </c>
      <c r="C1707" s="4" t="s">
        <v>49</v>
      </c>
      <c r="D1707" s="7">
        <v>451.5</v>
      </c>
      <c r="E1707" s="31" t="s">
        <v>9</v>
      </c>
      <c r="F1707" s="32">
        <v>321.05</v>
      </c>
      <c r="G1707" s="33">
        <f t="shared" si="26"/>
        <v>0.406323002647563</v>
      </c>
    </row>
    <row r="1708" spans="1:7">
      <c r="A1708" s="6" t="s">
        <v>2939</v>
      </c>
      <c r="B1708" s="3" t="s">
        <v>2940</v>
      </c>
      <c r="C1708" s="4" t="s">
        <v>12</v>
      </c>
      <c r="D1708" s="7">
        <v>496.75</v>
      </c>
      <c r="E1708" s="31" t="s">
        <v>9</v>
      </c>
      <c r="F1708" s="32">
        <v>362.65</v>
      </c>
      <c r="G1708" s="33">
        <f t="shared" si="26"/>
        <v>0.369778022887081</v>
      </c>
    </row>
    <row r="1709" spans="1:7">
      <c r="A1709" s="6" t="s">
        <v>2941</v>
      </c>
      <c r="B1709" s="3" t="s">
        <v>2942</v>
      </c>
      <c r="C1709" s="4" t="s">
        <v>49</v>
      </c>
      <c r="D1709" s="7">
        <v>1313.65</v>
      </c>
      <c r="E1709" s="31" t="s">
        <v>9</v>
      </c>
      <c r="F1709" s="32">
        <v>833.05</v>
      </c>
      <c r="G1709" s="33">
        <f t="shared" si="26"/>
        <v>0.576916151491507</v>
      </c>
    </row>
    <row r="1710" ht="263.5" customHeight="1" spans="1:7">
      <c r="A1710" s="6" t="s">
        <v>2943</v>
      </c>
      <c r="B1710" s="12" t="s">
        <v>2944</v>
      </c>
      <c r="C1710" s="4"/>
      <c r="D1710" s="14"/>
    </row>
    <row r="1711" ht="62" customHeight="1" spans="1:7">
      <c r="A1711" s="6" t="s">
        <v>2945</v>
      </c>
      <c r="B1711" s="3" t="s">
        <v>2946</v>
      </c>
      <c r="C1711" s="4" t="s">
        <v>12</v>
      </c>
      <c r="D1711" s="7">
        <v>1902.95</v>
      </c>
      <c r="F1711" s="32">
        <v>1041.95</v>
      </c>
      <c r="G1711" s="33">
        <f>(D1711-F1711)/F1711</f>
        <v>0.826335236815586</v>
      </c>
    </row>
    <row r="1712" ht="93" customHeight="1" spans="1:7">
      <c r="A1712" s="6" t="s">
        <v>2947</v>
      </c>
      <c r="B1712" s="3" t="s">
        <v>2948</v>
      </c>
      <c r="C1712" s="4" t="s">
        <v>12</v>
      </c>
      <c r="D1712" s="7">
        <v>2068.75</v>
      </c>
      <c r="F1712" s="32">
        <v>1163.9</v>
      </c>
      <c r="G1712" s="33">
        <f>(D1712-F1712)/F1712</f>
        <v>0.777429332416874</v>
      </c>
    </row>
    <row r="1713" ht="93" customHeight="1" spans="1:7">
      <c r="A1713" s="6" t="s">
        <v>2949</v>
      </c>
      <c r="B1713" s="3" t="s">
        <v>2950</v>
      </c>
      <c r="C1713" s="4" t="s">
        <v>12</v>
      </c>
      <c r="D1713" s="7">
        <v>2215.15</v>
      </c>
      <c r="F1713" s="32">
        <v>993.15</v>
      </c>
      <c r="G1713" s="33">
        <f>(D1713-F1713)/F1713</f>
        <v>1.23042843477823</v>
      </c>
    </row>
    <row r="1714" ht="77.5" customHeight="1" spans="1:7">
      <c r="A1714" s="6" t="s">
        <v>2951</v>
      </c>
      <c r="B1714" s="3" t="s">
        <v>2952</v>
      </c>
      <c r="C1714" s="4" t="s">
        <v>12</v>
      </c>
      <c r="D1714" s="7">
        <v>1528</v>
      </c>
      <c r="F1714" s="32">
        <v>1005.35</v>
      </c>
      <c r="G1714" s="33">
        <f>(D1714-F1714)/F1714</f>
        <v>0.519868702441936</v>
      </c>
    </row>
    <row r="1715" ht="325.5" customHeight="1" spans="1:7">
      <c r="A1715" s="6" t="s">
        <v>2953</v>
      </c>
      <c r="B1715" s="12" t="s">
        <v>2954</v>
      </c>
      <c r="C1715" s="4" t="s">
        <v>12</v>
      </c>
      <c r="D1715" s="7">
        <v>2158.15</v>
      </c>
      <c r="F1715" s="32">
        <v>1497.9</v>
      </c>
      <c r="G1715" s="33">
        <f>(D1715-F1715)/F1715</f>
        <v>0.440783763936177</v>
      </c>
    </row>
    <row r="1716" ht="77.5" customHeight="1" spans="1:7">
      <c r="A1716" s="40"/>
      <c r="B1716" s="12" t="s">
        <v>2955</v>
      </c>
      <c r="C1716" s="4"/>
      <c r="D1716" s="7"/>
    </row>
    <row r="1717" ht="186" customHeight="1" spans="1:7">
      <c r="A1717" s="6" t="s">
        <v>2956</v>
      </c>
      <c r="B1717" s="12" t="s">
        <v>2957</v>
      </c>
      <c r="C1717" s="4"/>
      <c r="D1717" s="14"/>
    </row>
    <row r="1718" ht="62" customHeight="1" spans="1:7">
      <c r="A1718" s="6" t="s">
        <v>2958</v>
      </c>
      <c r="B1718" s="3" t="s">
        <v>2959</v>
      </c>
      <c r="C1718" s="4" t="s">
        <v>12</v>
      </c>
      <c r="D1718" s="7">
        <v>2221.7</v>
      </c>
      <c r="F1718" s="32">
        <v>1329.65</v>
      </c>
      <c r="G1718" s="33">
        <f>(D1718-F1718)/F1718</f>
        <v>0.670890835934268</v>
      </c>
    </row>
    <row r="1719" ht="77.5" customHeight="1" spans="1:7">
      <c r="A1719" s="6" t="s">
        <v>2960</v>
      </c>
      <c r="B1719" s="3" t="s">
        <v>2961</v>
      </c>
      <c r="C1719" s="4" t="s">
        <v>12</v>
      </c>
      <c r="D1719" s="7">
        <v>2354.65</v>
      </c>
      <c r="F1719" s="32">
        <v>1527.25</v>
      </c>
      <c r="G1719" s="33">
        <f>(D1719-F1719)/F1719</f>
        <v>0.541758061875921</v>
      </c>
    </row>
    <row r="1720" ht="108.5" customHeight="1" spans="1:7">
      <c r="A1720" s="6" t="s">
        <v>2962</v>
      </c>
      <c r="B1720" s="12" t="s">
        <v>2963</v>
      </c>
      <c r="C1720" s="4" t="s">
        <v>12</v>
      </c>
      <c r="D1720" s="7">
        <v>1703.95</v>
      </c>
      <c r="E1720" s="31" t="s">
        <v>9</v>
      </c>
      <c r="F1720" s="32">
        <v>1150</v>
      </c>
      <c r="G1720" s="33">
        <f>(D1720-F1720)/F1720</f>
        <v>0.481695652173913</v>
      </c>
    </row>
    <row r="1721" ht="124" customHeight="1" spans="1:7">
      <c r="A1721" s="6" t="s">
        <v>2964</v>
      </c>
      <c r="B1721" s="12" t="s">
        <v>2965</v>
      </c>
      <c r="C1721" s="4" t="s">
        <v>12</v>
      </c>
      <c r="D1721" s="7">
        <v>1570</v>
      </c>
      <c r="E1721" s="31" t="s">
        <v>9</v>
      </c>
      <c r="F1721" s="32">
        <v>1151.05</v>
      </c>
      <c r="G1721" s="33">
        <f>(D1721-F1721)/F1721</f>
        <v>0.363972025541897</v>
      </c>
    </row>
    <row r="1722" ht="62" customHeight="1" spans="1:7">
      <c r="A1722" s="6" t="s">
        <v>2966</v>
      </c>
      <c r="B1722" s="12" t="s">
        <v>2967</v>
      </c>
      <c r="C1722" s="4" t="s">
        <v>12</v>
      </c>
      <c r="D1722" s="7">
        <v>358.5</v>
      </c>
      <c r="E1722" s="31" t="s">
        <v>9</v>
      </c>
      <c r="F1722" s="32">
        <v>255.75</v>
      </c>
      <c r="G1722" s="33">
        <f>(D1722-F1722)/F1722</f>
        <v>0.401759530791789</v>
      </c>
    </row>
    <row r="1723" ht="263.5" customHeight="1" spans="1:7">
      <c r="A1723" s="6" t="s">
        <v>2968</v>
      </c>
      <c r="B1723" s="12" t="s">
        <v>2969</v>
      </c>
      <c r="C1723" s="4"/>
      <c r="D1723" s="14"/>
    </row>
    <row r="1724" ht="93" customHeight="1" spans="1:7">
      <c r="A1724" s="6" t="s">
        <v>2970</v>
      </c>
      <c r="B1724" s="3" t="s">
        <v>2971</v>
      </c>
      <c r="C1724" s="4" t="s">
        <v>12</v>
      </c>
      <c r="D1724" s="7">
        <v>1789.45</v>
      </c>
      <c r="F1724" s="32">
        <v>1221.8</v>
      </c>
      <c r="G1724" s="33">
        <f>(D1724-F1724)/F1724</f>
        <v>0.464601407759044</v>
      </c>
    </row>
    <row r="1725" ht="341" customHeight="1" spans="1:7">
      <c r="A1725" s="6" t="s">
        <v>2972</v>
      </c>
      <c r="B1725" s="12" t="s">
        <v>2973</v>
      </c>
      <c r="C1725" s="4"/>
      <c r="D1725" s="14"/>
    </row>
    <row r="1726" ht="31" customHeight="1" spans="1:7">
      <c r="A1726" s="6" t="s">
        <v>2974</v>
      </c>
      <c r="B1726" s="3" t="s">
        <v>2975</v>
      </c>
      <c r="C1726" s="4" t="s">
        <v>12</v>
      </c>
      <c r="D1726" s="7">
        <v>1572.3</v>
      </c>
      <c r="F1726" s="32">
        <v>916.75</v>
      </c>
      <c r="G1726" s="33">
        <f>(D1726-F1726)/F1726</f>
        <v>0.71508044723207</v>
      </c>
    </row>
    <row r="1727" ht="62" customHeight="1" spans="1:7">
      <c r="A1727" s="6" t="s">
        <v>2976</v>
      </c>
      <c r="B1727" s="12" t="s">
        <v>2977</v>
      </c>
      <c r="C1727" s="4" t="s">
        <v>12</v>
      </c>
      <c r="D1727" s="7">
        <v>667.05</v>
      </c>
      <c r="E1727" s="31" t="s">
        <v>9</v>
      </c>
      <c r="F1727" s="32">
        <v>393.2</v>
      </c>
      <c r="G1727" s="33">
        <f>(D1727-F1727)/F1727</f>
        <v>0.69646490335707</v>
      </c>
    </row>
    <row r="1728" ht="46.5" customHeight="1" spans="1:7">
      <c r="A1728" s="6" t="s">
        <v>2978</v>
      </c>
      <c r="B1728" s="12" t="s">
        <v>2979</v>
      </c>
      <c r="C1728" s="4" t="s">
        <v>12</v>
      </c>
      <c r="D1728" s="7">
        <v>316.05</v>
      </c>
      <c r="E1728" s="31" t="s">
        <v>9</v>
      </c>
      <c r="F1728" s="32">
        <v>219.8</v>
      </c>
      <c r="G1728" s="33">
        <f>(D1728-F1728)/F1728</f>
        <v>0.437898089171974</v>
      </c>
    </row>
    <row r="1729" ht="62" customHeight="1" spans="1:7">
      <c r="A1729" s="6" t="s">
        <v>2980</v>
      </c>
      <c r="B1729" s="12" t="s">
        <v>2981</v>
      </c>
      <c r="C1729" s="4" t="s">
        <v>12</v>
      </c>
      <c r="D1729" s="7">
        <v>322.5</v>
      </c>
      <c r="E1729" s="31" t="s">
        <v>9</v>
      </c>
      <c r="F1729" s="32">
        <v>223.8</v>
      </c>
      <c r="G1729" s="33">
        <f>(D1729-F1729)/F1729</f>
        <v>0.441018766756032</v>
      </c>
    </row>
    <row r="1730" ht="124" customHeight="1" spans="1:7">
      <c r="A1730" s="6" t="s">
        <v>2982</v>
      </c>
      <c r="B1730" s="12" t="s">
        <v>2983</v>
      </c>
      <c r="C1730" s="4" t="s">
        <v>12</v>
      </c>
      <c r="D1730" s="7">
        <v>357.6</v>
      </c>
      <c r="E1730" s="31" t="s">
        <v>9</v>
      </c>
      <c r="F1730" s="32">
        <v>254.65</v>
      </c>
      <c r="G1730" s="33">
        <f>(D1730-F1730)/F1730</f>
        <v>0.40428038484194</v>
      </c>
    </row>
    <row r="1731" ht="124" customHeight="1" spans="1:7">
      <c r="A1731" s="6" t="s">
        <v>2984</v>
      </c>
      <c r="B1731" s="12" t="s">
        <v>2985</v>
      </c>
      <c r="C1731" s="4"/>
      <c r="D1731" s="14"/>
    </row>
    <row r="1732" ht="31" customHeight="1" spans="1:7">
      <c r="A1732" s="6" t="s">
        <v>2986</v>
      </c>
      <c r="B1732" s="3" t="s">
        <v>2987</v>
      </c>
      <c r="C1732" s="4" t="s">
        <v>12</v>
      </c>
      <c r="D1732" s="7">
        <v>1034.1</v>
      </c>
    </row>
    <row r="1733" ht="31" customHeight="1" spans="1:7">
      <c r="A1733" s="6" t="s">
        <v>2988</v>
      </c>
      <c r="B1733" s="3" t="s">
        <v>2989</v>
      </c>
      <c r="C1733" s="4" t="s">
        <v>12</v>
      </c>
      <c r="D1733" s="7">
        <v>1252.75</v>
      </c>
    </row>
    <row r="1734" ht="31" customHeight="1" spans="1:7">
      <c r="A1734" s="6" t="s">
        <v>2990</v>
      </c>
      <c r="B1734" s="3" t="s">
        <v>2991</v>
      </c>
      <c r="C1734" s="4" t="s">
        <v>12</v>
      </c>
      <c r="D1734" s="7">
        <v>1572.8</v>
      </c>
    </row>
    <row r="1735" ht="46.5" customHeight="1" spans="1:7">
      <c r="A1735" s="6" t="s">
        <v>2992</v>
      </c>
      <c r="B1735" s="3" t="s">
        <v>2993</v>
      </c>
      <c r="C1735" s="4" t="s">
        <v>12</v>
      </c>
      <c r="D1735" s="7">
        <v>1313.7</v>
      </c>
    </row>
    <row r="1736" ht="46.5" customHeight="1" spans="1:7">
      <c r="A1736" s="6" t="s">
        <v>2994</v>
      </c>
      <c r="B1736" s="3" t="s">
        <v>2995</v>
      </c>
      <c r="C1736" s="4" t="s">
        <v>12</v>
      </c>
      <c r="D1736" s="7">
        <v>1616.45</v>
      </c>
    </row>
    <row r="1737" ht="46.5" customHeight="1" spans="1:7">
      <c r="A1737" s="6" t="s">
        <v>2996</v>
      </c>
      <c r="B1737" s="3" t="s">
        <v>2997</v>
      </c>
      <c r="C1737" s="4" t="s">
        <v>12</v>
      </c>
      <c r="D1737" s="7">
        <v>2026.4</v>
      </c>
    </row>
    <row r="1738" ht="31" customHeight="1" spans="1:7">
      <c r="A1738" s="6" t="s">
        <v>2998</v>
      </c>
      <c r="B1738" s="3" t="s">
        <v>2999</v>
      </c>
      <c r="C1738" s="4" t="s">
        <v>12</v>
      </c>
      <c r="D1738" s="7">
        <v>1012.15</v>
      </c>
    </row>
    <row r="1739" ht="31" customHeight="1" spans="1:7">
      <c r="A1739" s="6" t="s">
        <v>3000</v>
      </c>
      <c r="B1739" s="3" t="s">
        <v>3001</v>
      </c>
      <c r="C1739" s="4" t="s">
        <v>12</v>
      </c>
      <c r="D1739" s="7">
        <v>1256.95</v>
      </c>
    </row>
    <row r="1740" ht="31" customHeight="1" spans="1:7">
      <c r="A1740" s="6" t="s">
        <v>3002</v>
      </c>
      <c r="B1740" s="3" t="s">
        <v>3003</v>
      </c>
      <c r="C1740" s="4" t="s">
        <v>12</v>
      </c>
      <c r="D1740" s="7">
        <v>1596.45</v>
      </c>
    </row>
    <row r="1741" ht="124" customHeight="1" spans="1:7">
      <c r="A1741" s="6" t="s">
        <v>3004</v>
      </c>
      <c r="B1741" s="12" t="s">
        <v>3005</v>
      </c>
      <c r="C1741" s="4"/>
      <c r="D1741" s="14"/>
    </row>
    <row r="1742" ht="31" customHeight="1" spans="1:7">
      <c r="A1742" s="6" t="s">
        <v>3006</v>
      </c>
      <c r="B1742" s="3" t="s">
        <v>3007</v>
      </c>
      <c r="C1742" s="4" t="s">
        <v>12</v>
      </c>
      <c r="D1742" s="7">
        <v>1176.7</v>
      </c>
    </row>
    <row r="1743" ht="31" customHeight="1" spans="1:7">
      <c r="A1743" s="6" t="s">
        <v>3008</v>
      </c>
      <c r="B1743" s="3" t="s">
        <v>3009</v>
      </c>
      <c r="C1743" s="4" t="s">
        <v>12</v>
      </c>
      <c r="D1743" s="7">
        <v>1430.2</v>
      </c>
    </row>
    <row r="1744" ht="31" customHeight="1" spans="1:7">
      <c r="A1744" s="6" t="s">
        <v>3010</v>
      </c>
      <c r="B1744" s="3" t="s">
        <v>3011</v>
      </c>
      <c r="C1744" s="4" t="s">
        <v>12</v>
      </c>
      <c r="D1744" s="7">
        <v>1797.75</v>
      </c>
    </row>
    <row r="1745" ht="46.5" customHeight="1" spans="1:4">
      <c r="A1745" s="6" t="s">
        <v>3012</v>
      </c>
      <c r="B1745" s="3" t="s">
        <v>3013</v>
      </c>
      <c r="C1745" s="4" t="s">
        <v>12</v>
      </c>
      <c r="D1745" s="7">
        <v>1484</v>
      </c>
    </row>
    <row r="1746" ht="46.5" customHeight="1" spans="1:4">
      <c r="A1746" s="6" t="s">
        <v>3014</v>
      </c>
      <c r="B1746" s="3" t="s">
        <v>3015</v>
      </c>
      <c r="C1746" s="4" t="s">
        <v>12</v>
      </c>
      <c r="D1746" s="7">
        <v>1865.6</v>
      </c>
    </row>
    <row r="1747" ht="46.5" customHeight="1" spans="1:4">
      <c r="A1747" s="6" t="s">
        <v>3016</v>
      </c>
      <c r="B1747" s="3" t="s">
        <v>3017</v>
      </c>
      <c r="C1747" s="4" t="s">
        <v>12</v>
      </c>
      <c r="D1747" s="7">
        <v>2335.45</v>
      </c>
    </row>
    <row r="1748" ht="31" customHeight="1" spans="1:4">
      <c r="A1748" s="6" t="s">
        <v>3018</v>
      </c>
      <c r="B1748" s="3" t="s">
        <v>3019</v>
      </c>
      <c r="C1748" s="4" t="s">
        <v>12</v>
      </c>
      <c r="D1748" s="7">
        <v>1221.15</v>
      </c>
    </row>
    <row r="1749" ht="31" customHeight="1" spans="1:4">
      <c r="A1749" s="6" t="s">
        <v>3020</v>
      </c>
      <c r="B1749" s="3" t="s">
        <v>3021</v>
      </c>
      <c r="C1749" s="4" t="s">
        <v>12</v>
      </c>
      <c r="D1749" s="7">
        <v>1533</v>
      </c>
    </row>
    <row r="1750" ht="77.5" customHeight="1" spans="1:4">
      <c r="A1750" s="6" t="s">
        <v>3022</v>
      </c>
      <c r="B1750" s="12" t="s">
        <v>3023</v>
      </c>
      <c r="C1750" s="4"/>
      <c r="D1750" s="14"/>
    </row>
    <row r="1751" spans="1:4">
      <c r="A1751" s="6" t="s">
        <v>3024</v>
      </c>
      <c r="B1751" s="3" t="s">
        <v>3025</v>
      </c>
      <c r="C1751" s="4" t="s">
        <v>49</v>
      </c>
      <c r="D1751" s="7">
        <v>1066.2</v>
      </c>
    </row>
    <row r="1752" spans="1:4">
      <c r="A1752" s="6" t="s">
        <v>3026</v>
      </c>
      <c r="B1752" s="3" t="s">
        <v>3027</v>
      </c>
      <c r="C1752" s="4" t="s">
        <v>49</v>
      </c>
      <c r="D1752" s="7">
        <v>977.15</v>
      </c>
    </row>
    <row r="1753" spans="1:4">
      <c r="A1753" s="6" t="s">
        <v>3028</v>
      </c>
      <c r="B1753" s="3" t="s">
        <v>3029</v>
      </c>
      <c r="C1753" s="4" t="s">
        <v>49</v>
      </c>
      <c r="D1753" s="7">
        <v>1055.9</v>
      </c>
    </row>
    <row r="1754" spans="1:4">
      <c r="A1754" s="6" t="s">
        <v>3030</v>
      </c>
      <c r="B1754" s="3" t="s">
        <v>3031</v>
      </c>
      <c r="C1754" s="4" t="s">
        <v>49</v>
      </c>
      <c r="D1754" s="7">
        <v>813.25</v>
      </c>
    </row>
    <row r="1755" spans="1:4">
      <c r="A1755" s="6" t="s">
        <v>3032</v>
      </c>
      <c r="B1755" s="3" t="s">
        <v>3033</v>
      </c>
      <c r="C1755" s="4" t="s">
        <v>49</v>
      </c>
      <c r="D1755" s="7">
        <v>914.7</v>
      </c>
    </row>
    <row r="1756" spans="1:4">
      <c r="A1756" s="6" t="s">
        <v>3034</v>
      </c>
      <c r="B1756" s="3" t="s">
        <v>3035</v>
      </c>
      <c r="C1756" s="4" t="s">
        <v>49</v>
      </c>
      <c r="D1756" s="7">
        <v>1808.65</v>
      </c>
    </row>
    <row r="1757" spans="1:4">
      <c r="D1757" s="16"/>
    </row>
    <row r="1758" spans="1:4">
      <c r="D1758" s="16"/>
    </row>
    <row r="1759" spans="1:4">
      <c r="D1759" s="16"/>
    </row>
    <row r="1760" spans="1:4">
      <c r="D1760" s="16"/>
    </row>
    <row r="1761" spans="1:7">
      <c r="D1761" s="16"/>
    </row>
    <row r="1762" spans="1:7">
      <c r="D1762" s="16"/>
    </row>
    <row r="1763" spans="1:7">
      <c r="D1763" s="16"/>
    </row>
    <row r="1764" spans="1:7">
      <c r="A1764" s="41" t="s">
        <v>3036</v>
      </c>
      <c r="C1764" s="31"/>
      <c r="D1764" s="31"/>
    </row>
    <row r="1765" spans="1:7">
      <c r="A1765" s="6" t="s">
        <v>204</v>
      </c>
      <c r="B1765" s="12" t="s">
        <v>2</v>
      </c>
      <c r="C1765" s="4" t="s">
        <v>205</v>
      </c>
      <c r="D1765" s="14" t="s">
        <v>4</v>
      </c>
    </row>
    <row r="1766" ht="31" customHeight="1" spans="1:7">
      <c r="A1766" s="40"/>
      <c r="B1766" s="12" t="s">
        <v>3037</v>
      </c>
      <c r="C1766" s="4"/>
      <c r="D1766" s="14"/>
    </row>
    <row r="1767" spans="1:7">
      <c r="A1767" s="40"/>
      <c r="B1767" s="12" t="s">
        <v>3038</v>
      </c>
      <c r="C1767" s="4"/>
      <c r="D1767" s="14"/>
      <c r="E1767" s="31" t="s">
        <v>9</v>
      </c>
    </row>
    <row r="1768" spans="1:7">
      <c r="A1768" s="6" t="s">
        <v>3039</v>
      </c>
      <c r="B1768" s="12" t="s">
        <v>3040</v>
      </c>
      <c r="C1768" s="4"/>
      <c r="D1768" s="14"/>
      <c r="E1768" s="31" t="s">
        <v>9</v>
      </c>
    </row>
    <row r="1769" spans="1:7">
      <c r="A1769" s="6" t="s">
        <v>3041</v>
      </c>
      <c r="B1769" s="3" t="s">
        <v>3042</v>
      </c>
      <c r="C1769" s="4" t="s">
        <v>12</v>
      </c>
      <c r="D1769" s="7">
        <v>347.05</v>
      </c>
      <c r="E1769" s="31" t="s">
        <v>9</v>
      </c>
      <c r="F1769" s="32">
        <v>172.95</v>
      </c>
      <c r="G1769" s="33">
        <f>(D1769-F1769)/F1769</f>
        <v>1.00664932061289</v>
      </c>
    </row>
    <row r="1770" spans="1:7">
      <c r="A1770" s="6" t="s">
        <v>3043</v>
      </c>
      <c r="B1770" s="3" t="s">
        <v>3044</v>
      </c>
      <c r="C1770" s="4" t="s">
        <v>12</v>
      </c>
      <c r="D1770" s="7">
        <v>333.35</v>
      </c>
      <c r="E1770" s="31" t="s">
        <v>9</v>
      </c>
      <c r="F1770" s="32">
        <v>160.35</v>
      </c>
      <c r="G1770" s="33">
        <f>(D1770-F1770)/F1770</f>
        <v>1.07888992828188</v>
      </c>
    </row>
    <row r="1771" spans="1:7">
      <c r="A1771" s="6" t="s">
        <v>3045</v>
      </c>
      <c r="B1771" s="12" t="s">
        <v>3046</v>
      </c>
      <c r="C1771" s="4"/>
      <c r="D1771" s="14"/>
    </row>
    <row r="1772" spans="1:7">
      <c r="A1772" s="6" t="s">
        <v>3047</v>
      </c>
      <c r="B1772" s="3" t="s">
        <v>3042</v>
      </c>
      <c r="C1772" s="4" t="s">
        <v>12</v>
      </c>
      <c r="D1772" s="7">
        <v>399.45</v>
      </c>
      <c r="E1772" s="31" t="s">
        <v>9</v>
      </c>
      <c r="F1772" s="32">
        <v>200.25</v>
      </c>
      <c r="G1772" s="33">
        <f>(D1772-F1772)/F1772</f>
        <v>0.994756554307116</v>
      </c>
    </row>
    <row r="1773" spans="1:7">
      <c r="A1773" s="6" t="s">
        <v>3048</v>
      </c>
      <c r="B1773" s="3" t="s">
        <v>3044</v>
      </c>
      <c r="C1773" s="4" t="s">
        <v>12</v>
      </c>
      <c r="D1773" s="7">
        <v>383</v>
      </c>
      <c r="E1773" s="31" t="s">
        <v>9</v>
      </c>
      <c r="F1773" s="32">
        <v>185.2</v>
      </c>
      <c r="G1773" s="33">
        <f>(D1773-F1773)/F1773</f>
        <v>1.06803455723542</v>
      </c>
    </row>
    <row r="1774" spans="1:7">
      <c r="A1774" s="6" t="s">
        <v>3049</v>
      </c>
      <c r="B1774" s="12" t="s">
        <v>3050</v>
      </c>
      <c r="C1774" s="4"/>
      <c r="D1774" s="14"/>
    </row>
    <row r="1775" spans="1:7">
      <c r="A1775" s="6" t="s">
        <v>3051</v>
      </c>
      <c r="B1775" s="3" t="s">
        <v>3042</v>
      </c>
      <c r="C1775" s="4" t="s">
        <v>12</v>
      </c>
      <c r="D1775" s="7">
        <v>471.35</v>
      </c>
      <c r="E1775" s="31" t="s">
        <v>9</v>
      </c>
      <c r="F1775" s="32">
        <v>240.15</v>
      </c>
      <c r="G1775" s="33">
        <f>(D1775-F1775)/F1775</f>
        <v>0.962731626067041</v>
      </c>
    </row>
    <row r="1776" spans="1:7">
      <c r="A1776" s="6" t="s">
        <v>3052</v>
      </c>
      <c r="B1776" s="3" t="s">
        <v>3044</v>
      </c>
      <c r="C1776" s="4" t="s">
        <v>12</v>
      </c>
      <c r="D1776" s="7">
        <v>450</v>
      </c>
      <c r="E1776" s="31" t="s">
        <v>9</v>
      </c>
      <c r="F1776" s="32">
        <v>220.6</v>
      </c>
      <c r="G1776" s="33">
        <f>(D1776-F1776)/F1776</f>
        <v>1.03989120580236</v>
      </c>
    </row>
    <row r="1777" spans="1:7">
      <c r="A1777" s="40"/>
      <c r="B1777" s="12" t="s">
        <v>3053</v>
      </c>
      <c r="C1777" s="4"/>
      <c r="D1777" s="14"/>
    </row>
    <row r="1778" spans="1:7">
      <c r="A1778" s="6" t="s">
        <v>3054</v>
      </c>
      <c r="B1778" s="12" t="s">
        <v>3040</v>
      </c>
      <c r="C1778" s="4"/>
      <c r="D1778" s="14"/>
    </row>
    <row r="1779" spans="1:7">
      <c r="A1779" s="6" t="s">
        <v>3055</v>
      </c>
      <c r="B1779" s="3" t="s">
        <v>3056</v>
      </c>
      <c r="C1779" s="4" t="s">
        <v>12</v>
      </c>
      <c r="D1779" s="7">
        <v>357.35</v>
      </c>
      <c r="E1779" s="31" t="s">
        <v>9</v>
      </c>
      <c r="F1779" s="32">
        <v>180.85</v>
      </c>
      <c r="G1779" s="33">
        <f>(D1779-F1779)/F1779</f>
        <v>0.975946917334808</v>
      </c>
    </row>
    <row r="1780" spans="1:7">
      <c r="A1780" s="6" t="s">
        <v>3057</v>
      </c>
      <c r="B1780" s="3" t="s">
        <v>3058</v>
      </c>
      <c r="C1780" s="4" t="s">
        <v>12</v>
      </c>
      <c r="D1780" s="7">
        <v>343.65</v>
      </c>
      <c r="E1780" s="31" t="s">
        <v>9</v>
      </c>
      <c r="F1780" s="32">
        <v>168.25</v>
      </c>
      <c r="G1780" s="33">
        <f>(D1780-F1780)/F1780</f>
        <v>1.04249628528975</v>
      </c>
    </row>
    <row r="1781" spans="1:7">
      <c r="A1781" s="6" t="s">
        <v>3059</v>
      </c>
      <c r="B1781" s="12" t="s">
        <v>3060</v>
      </c>
      <c r="C1781" s="4"/>
      <c r="D1781" s="14"/>
    </row>
    <row r="1782" spans="1:7">
      <c r="A1782" s="6" t="s">
        <v>3061</v>
      </c>
      <c r="B1782" s="3" t="s">
        <v>3056</v>
      </c>
      <c r="C1782" s="4" t="s">
        <v>12</v>
      </c>
      <c r="D1782" s="7">
        <v>411.75</v>
      </c>
      <c r="E1782" s="31" t="s">
        <v>9</v>
      </c>
      <c r="F1782" s="32">
        <v>209.65</v>
      </c>
      <c r="G1782" s="33">
        <f>(D1782-F1782)/F1782</f>
        <v>0.963987598378249</v>
      </c>
    </row>
    <row r="1783" spans="1:7">
      <c r="A1783" s="6" t="s">
        <v>3062</v>
      </c>
      <c r="B1783" s="3" t="s">
        <v>3058</v>
      </c>
      <c r="C1783" s="4" t="s">
        <v>12</v>
      </c>
      <c r="D1783" s="7">
        <v>395.35</v>
      </c>
      <c r="E1783" s="31" t="s">
        <v>9</v>
      </c>
      <c r="F1783" s="32">
        <v>194.6</v>
      </c>
      <c r="G1783" s="33">
        <f>(D1783-F1783)/F1783</f>
        <v>1.03160328879753</v>
      </c>
    </row>
    <row r="1784" spans="1:7">
      <c r="A1784" s="6" t="s">
        <v>3063</v>
      </c>
      <c r="B1784" s="12" t="s">
        <v>3050</v>
      </c>
      <c r="C1784" s="4"/>
      <c r="D1784" s="14"/>
    </row>
    <row r="1785" spans="1:7">
      <c r="A1785" s="6" t="s">
        <v>3064</v>
      </c>
      <c r="B1785" s="3" t="s">
        <v>3056</v>
      </c>
      <c r="C1785" s="4" t="s">
        <v>12</v>
      </c>
      <c r="D1785" s="7">
        <v>487.4</v>
      </c>
      <c r="E1785" s="31" t="s">
        <v>9</v>
      </c>
      <c r="F1785" s="32">
        <v>252.4</v>
      </c>
      <c r="G1785" s="33">
        <f>(D1785-F1785)/F1785</f>
        <v>0.931061806656101</v>
      </c>
    </row>
    <row r="1786" spans="1:7">
      <c r="A1786" s="6" t="s">
        <v>3065</v>
      </c>
      <c r="B1786" s="3" t="s">
        <v>3058</v>
      </c>
      <c r="C1786" s="4" t="s">
        <v>12</v>
      </c>
      <c r="D1786" s="7">
        <v>466.05</v>
      </c>
      <c r="E1786" s="31" t="s">
        <v>9</v>
      </c>
      <c r="F1786" s="32">
        <v>232.85</v>
      </c>
      <c r="G1786" s="33">
        <f>(D1786-F1786)/F1786</f>
        <v>1.00150311359244</v>
      </c>
    </row>
    <row r="1787" spans="1:7">
      <c r="A1787" s="40"/>
      <c r="B1787" s="12" t="s">
        <v>3066</v>
      </c>
      <c r="C1787" s="4"/>
      <c r="D1787" s="7"/>
    </row>
    <row r="1788" spans="1:7">
      <c r="A1788" s="6" t="s">
        <v>3067</v>
      </c>
      <c r="B1788" s="12" t="s">
        <v>3068</v>
      </c>
      <c r="C1788" s="4"/>
      <c r="D1788" s="14"/>
    </row>
    <row r="1789" spans="1:7">
      <c r="A1789" s="6" t="s">
        <v>3069</v>
      </c>
      <c r="B1789" s="3" t="s">
        <v>3070</v>
      </c>
      <c r="C1789" s="4" t="s">
        <v>12</v>
      </c>
      <c r="D1789" s="7">
        <v>439.25</v>
      </c>
      <c r="E1789" s="31" t="s">
        <v>9</v>
      </c>
      <c r="F1789" s="32">
        <v>226.8</v>
      </c>
      <c r="G1789" s="33">
        <f>(D1789-F1789)/F1789</f>
        <v>0.936728395061728</v>
      </c>
    </row>
    <row r="1790" spans="1:7">
      <c r="A1790" s="6" t="s">
        <v>3071</v>
      </c>
      <c r="B1790" s="3" t="s">
        <v>3042</v>
      </c>
      <c r="C1790" s="4" t="s">
        <v>12</v>
      </c>
      <c r="D1790" s="7">
        <v>425.55</v>
      </c>
      <c r="E1790" s="31" t="s">
        <v>9</v>
      </c>
      <c r="F1790" s="32">
        <v>214.2</v>
      </c>
      <c r="G1790" s="33">
        <f>(D1790-F1790)/F1790</f>
        <v>0.986694677871149</v>
      </c>
    </row>
    <row r="1791" ht="31" customHeight="1" spans="1:7">
      <c r="A1791" s="6" t="s">
        <v>3072</v>
      </c>
      <c r="B1791" s="12" t="s">
        <v>3073</v>
      </c>
      <c r="C1791" s="4"/>
      <c r="D1791" s="14"/>
    </row>
    <row r="1792" spans="1:7">
      <c r="A1792" s="6" t="s">
        <v>3074</v>
      </c>
      <c r="B1792" s="3" t="s">
        <v>3070</v>
      </c>
      <c r="C1792" s="4" t="s">
        <v>12</v>
      </c>
      <c r="D1792" s="7">
        <v>494.3</v>
      </c>
      <c r="E1792" s="31" t="s">
        <v>9</v>
      </c>
      <c r="F1792" s="32">
        <v>256.55</v>
      </c>
      <c r="G1792" s="33">
        <f>(D1792-F1792)/F1792</f>
        <v>0.926719937633989</v>
      </c>
    </row>
    <row r="1793" spans="1:7">
      <c r="A1793" s="6" t="s">
        <v>3075</v>
      </c>
      <c r="B1793" s="3" t="s">
        <v>3042</v>
      </c>
      <c r="C1793" s="4" t="s">
        <v>12</v>
      </c>
      <c r="D1793" s="7">
        <v>477.9</v>
      </c>
      <c r="E1793" s="31" t="s">
        <v>9</v>
      </c>
      <c r="F1793" s="32">
        <v>241.5</v>
      </c>
      <c r="G1793" s="33">
        <f>(D1793-F1793)/F1793</f>
        <v>0.97888198757764</v>
      </c>
    </row>
    <row r="1794" spans="1:7">
      <c r="A1794" s="6" t="s">
        <v>3076</v>
      </c>
      <c r="B1794" s="12" t="s">
        <v>3077</v>
      </c>
      <c r="C1794" s="4"/>
      <c r="D1794" s="14"/>
    </row>
    <row r="1795" spans="1:7">
      <c r="A1795" s="6" t="s">
        <v>3078</v>
      </c>
      <c r="B1795" s="3" t="s">
        <v>3079</v>
      </c>
      <c r="C1795" s="4" t="s">
        <v>12</v>
      </c>
      <c r="D1795" s="7">
        <v>449.55</v>
      </c>
      <c r="E1795" s="31" t="s">
        <v>9</v>
      </c>
      <c r="F1795" s="32">
        <v>234.7</v>
      </c>
      <c r="G1795" s="33">
        <f>(D1795-F1795)/F1795</f>
        <v>0.915423945462292</v>
      </c>
    </row>
    <row r="1796" spans="1:7">
      <c r="A1796" s="6" t="s">
        <v>3080</v>
      </c>
      <c r="B1796" s="3" t="s">
        <v>3081</v>
      </c>
      <c r="C1796" s="4" t="s">
        <v>12</v>
      </c>
      <c r="D1796" s="7">
        <v>587.2</v>
      </c>
      <c r="E1796" s="31" t="s">
        <v>9</v>
      </c>
      <c r="F1796" s="32">
        <v>313.25</v>
      </c>
      <c r="G1796" s="33">
        <f>(D1796-F1796)/F1796</f>
        <v>0.874541101356744</v>
      </c>
    </row>
    <row r="1797" ht="31" customHeight="1" spans="1:7">
      <c r="A1797" s="6" t="s">
        <v>3082</v>
      </c>
      <c r="B1797" s="12" t="s">
        <v>3083</v>
      </c>
      <c r="C1797" s="4" t="s">
        <v>12</v>
      </c>
      <c r="D1797" s="7">
        <v>506.6</v>
      </c>
      <c r="F1797" s="32">
        <v>265.95</v>
      </c>
      <c r="G1797" s="33">
        <f>(D1797-F1797)/F1797</f>
        <v>0.904869336341418</v>
      </c>
    </row>
    <row r="1798" spans="1:7">
      <c r="A1798" s="40"/>
      <c r="B1798" s="12" t="s">
        <v>3084</v>
      </c>
      <c r="C1798" s="4"/>
      <c r="D1798" s="7"/>
    </row>
    <row r="1799" ht="46.5" customHeight="1" spans="1:7">
      <c r="A1799" s="6" t="s">
        <v>3085</v>
      </c>
      <c r="B1799" s="12" t="s">
        <v>3086</v>
      </c>
      <c r="C1799" s="4" t="s">
        <v>12</v>
      </c>
      <c r="D1799" s="7">
        <v>518.55</v>
      </c>
      <c r="E1799" s="31" t="s">
        <v>9</v>
      </c>
      <c r="F1799" s="32">
        <v>255.55</v>
      </c>
      <c r="G1799" s="33">
        <f>(D1799-F1799)/F1799</f>
        <v>1.02915280766973</v>
      </c>
    </row>
    <row r="1800" ht="46.5" customHeight="1" spans="1:7">
      <c r="A1800" s="6" t="s">
        <v>3087</v>
      </c>
      <c r="B1800" s="12" t="s">
        <v>3088</v>
      </c>
      <c r="C1800" s="4" t="s">
        <v>12</v>
      </c>
      <c r="D1800" s="7">
        <v>537.45</v>
      </c>
      <c r="E1800" s="31" t="s">
        <v>9</v>
      </c>
      <c r="F1800" s="32">
        <v>272.05</v>
      </c>
      <c r="G1800" s="33">
        <f>(D1800-F1800)/F1800</f>
        <v>0.97555596397721</v>
      </c>
    </row>
    <row r="1801" spans="1:7">
      <c r="A1801" s="6" t="s">
        <v>3089</v>
      </c>
      <c r="B1801" s="12" t="s">
        <v>3090</v>
      </c>
      <c r="C1801" s="4" t="s">
        <v>12</v>
      </c>
      <c r="D1801" s="7">
        <v>378.7</v>
      </c>
      <c r="E1801" s="31" t="s">
        <v>9</v>
      </c>
      <c r="F1801" s="32">
        <v>201.95</v>
      </c>
      <c r="G1801" s="33">
        <f>(D1801-F1801)/F1801</f>
        <v>0.875216637781629</v>
      </c>
    </row>
    <row r="1802" ht="31" customHeight="1" spans="1:7">
      <c r="A1802" s="6" t="s">
        <v>3091</v>
      </c>
      <c r="B1802" s="12" t="s">
        <v>3092</v>
      </c>
      <c r="C1802" s="4" t="s">
        <v>12</v>
      </c>
      <c r="D1802" s="7">
        <v>437.2</v>
      </c>
      <c r="E1802" s="31" t="s">
        <v>9</v>
      </c>
      <c r="F1802" s="32">
        <v>234.9</v>
      </c>
      <c r="G1802" s="33">
        <f>(D1802-F1802)/F1802</f>
        <v>0.861217539378459</v>
      </c>
    </row>
    <row r="1803" spans="1:7">
      <c r="A1803" s="6" t="s">
        <v>3093</v>
      </c>
      <c r="B1803" s="12" t="s">
        <v>3094</v>
      </c>
      <c r="C1803" s="4" t="s">
        <v>12</v>
      </c>
      <c r="D1803" s="7">
        <v>520.55</v>
      </c>
      <c r="E1803" s="31" t="s">
        <v>9</v>
      </c>
      <c r="F1803" s="32">
        <v>285.3</v>
      </c>
      <c r="G1803" s="33">
        <f>(D1803-F1803)/F1803</f>
        <v>0.824570627409744</v>
      </c>
    </row>
    <row r="1804" spans="1:7">
      <c r="A1804" s="40"/>
      <c r="B1804" s="12" t="s">
        <v>3095</v>
      </c>
      <c r="C1804" s="4"/>
      <c r="D1804" s="14"/>
    </row>
    <row r="1805" spans="1:7">
      <c r="A1805" s="6" t="s">
        <v>3096</v>
      </c>
      <c r="B1805" s="12" t="s">
        <v>3097</v>
      </c>
      <c r="C1805" s="4"/>
      <c r="D1805" s="14"/>
    </row>
    <row r="1806" spans="1:7">
      <c r="A1806" s="6" t="s">
        <v>3098</v>
      </c>
      <c r="B1806" s="3" t="s">
        <v>3099</v>
      </c>
      <c r="C1806" s="4" t="s">
        <v>12</v>
      </c>
      <c r="D1806" s="7">
        <v>300.45</v>
      </c>
      <c r="E1806" s="31" t="s">
        <v>9</v>
      </c>
      <c r="F1806" s="32">
        <v>143.8</v>
      </c>
      <c r="G1806" s="33">
        <f>(D1806-F1806)/F1806</f>
        <v>1.08936022253129</v>
      </c>
    </row>
    <row r="1807" ht="46.5" customHeight="1" spans="1:7">
      <c r="A1807" s="6" t="s">
        <v>3100</v>
      </c>
      <c r="B1807" s="12" t="s">
        <v>3101</v>
      </c>
      <c r="C1807" s="4" t="s">
        <v>12</v>
      </c>
      <c r="D1807" s="7">
        <v>396.65</v>
      </c>
      <c r="E1807" s="2"/>
      <c r="F1807" s="32">
        <v>192.85</v>
      </c>
      <c r="G1807" s="33">
        <f>(D1807-F1807)/F1807</f>
        <v>1.05677988073632</v>
      </c>
    </row>
    <row r="1808" spans="1:7">
      <c r="A1808" s="6" t="s">
        <v>3102</v>
      </c>
      <c r="B1808" s="12" t="s">
        <v>3103</v>
      </c>
      <c r="C1808" s="4" t="s">
        <v>12</v>
      </c>
      <c r="D1808" s="7">
        <v>79.95</v>
      </c>
      <c r="E1808" s="31" t="s">
        <v>9</v>
      </c>
      <c r="F1808" s="32">
        <v>42.6</v>
      </c>
      <c r="G1808" s="33">
        <f>(D1808-F1808)/F1808</f>
        <v>0.876760563380282</v>
      </c>
    </row>
    <row r="1809" spans="1:7">
      <c r="A1809" s="40"/>
      <c r="B1809" s="12" t="s">
        <v>3104</v>
      </c>
      <c r="C1809" s="4"/>
      <c r="D1809" s="14"/>
    </row>
    <row r="1810" ht="77.5" customHeight="1" spans="1:7">
      <c r="A1810" s="6" t="s">
        <v>3105</v>
      </c>
      <c r="B1810" s="12" t="s">
        <v>3106</v>
      </c>
      <c r="C1810" s="4"/>
      <c r="D1810" s="14"/>
      <c r="F1810" s="34"/>
    </row>
    <row r="1811" spans="1:7">
      <c r="A1811" s="6" t="s">
        <v>3107</v>
      </c>
      <c r="B1811" s="3" t="s">
        <v>3108</v>
      </c>
      <c r="C1811" s="4" t="s">
        <v>12</v>
      </c>
      <c r="D1811" s="7">
        <v>886.6</v>
      </c>
      <c r="F1811" s="32">
        <v>438.9</v>
      </c>
      <c r="G1811" s="33">
        <f>(D1811-F1811)/F1811</f>
        <v>1.02005012531328</v>
      </c>
    </row>
    <row r="1812" spans="1:7">
      <c r="A1812" s="40"/>
      <c r="B1812" s="12" t="s">
        <v>3109</v>
      </c>
      <c r="C1812" s="4"/>
      <c r="D1812" s="14"/>
      <c r="F1812" s="34"/>
    </row>
    <row r="1813" ht="77.5" customHeight="1" spans="1:7">
      <c r="A1813" s="6" t="s">
        <v>3110</v>
      </c>
      <c r="B1813" s="12" t="s">
        <v>3111</v>
      </c>
      <c r="C1813" s="4" t="s">
        <v>12</v>
      </c>
      <c r="D1813" s="7">
        <v>829.95</v>
      </c>
      <c r="F1813" s="32">
        <v>415</v>
      </c>
      <c r="G1813" s="33">
        <f>(D1813-F1813)/F1813</f>
        <v>0.999879518072289</v>
      </c>
    </row>
    <row r="1814" ht="62" customHeight="1" spans="1:7">
      <c r="A1814" s="6" t="s">
        <v>3112</v>
      </c>
      <c r="B1814" s="12" t="s">
        <v>3113</v>
      </c>
      <c r="C1814" s="4" t="s">
        <v>3114</v>
      </c>
      <c r="D1814" s="7">
        <v>22.1</v>
      </c>
      <c r="E1814" s="31" t="s">
        <v>9</v>
      </c>
      <c r="F1814" s="32">
        <v>50.35</v>
      </c>
      <c r="G1814" s="33">
        <f>(D1814-F1814)/F1814</f>
        <v>-0.561072492552135</v>
      </c>
    </row>
    <row r="1815" ht="31" customHeight="1" spans="1:7">
      <c r="A1815" s="6" t="s">
        <v>3115</v>
      </c>
      <c r="B1815" s="12" t="s">
        <v>3116</v>
      </c>
      <c r="C1815" s="4" t="s">
        <v>12</v>
      </c>
      <c r="D1815" s="26">
        <v>87.1</v>
      </c>
      <c r="E1815" s="31" t="s">
        <v>9</v>
      </c>
      <c r="F1815" s="32">
        <v>40.65</v>
      </c>
      <c r="G1815" s="33">
        <f>(D1815-F1815)/F1815</f>
        <v>1.14268142681427</v>
      </c>
    </row>
    <row r="1816" spans="1:7">
      <c r="A1816" s="6" t="s">
        <v>3117</v>
      </c>
      <c r="B1816" s="12" t="s">
        <v>3118</v>
      </c>
      <c r="C1816" s="4"/>
      <c r="D1816" s="14"/>
      <c r="E1816" s="31" t="s">
        <v>9</v>
      </c>
    </row>
    <row r="1817" spans="1:7">
      <c r="A1817" s="6" t="s">
        <v>3119</v>
      </c>
      <c r="B1817" s="3" t="s">
        <v>3120</v>
      </c>
      <c r="C1817" s="4" t="s">
        <v>12</v>
      </c>
      <c r="D1817" s="7">
        <v>47.65</v>
      </c>
      <c r="E1817" s="2"/>
      <c r="F1817" s="32">
        <v>20.85</v>
      </c>
      <c r="G1817" s="33">
        <f>(D1817-F1817)/F1817</f>
        <v>1.28537170263789</v>
      </c>
    </row>
    <row r="1818" spans="1:7">
      <c r="A1818" s="6" t="s">
        <v>3121</v>
      </c>
      <c r="B1818" s="3" t="s">
        <v>3122</v>
      </c>
      <c r="C1818" s="4" t="s">
        <v>12</v>
      </c>
      <c r="D1818" s="7">
        <v>72.3</v>
      </c>
      <c r="E1818" s="2"/>
      <c r="F1818" s="32">
        <v>31.8</v>
      </c>
      <c r="G1818" s="33">
        <f>(D1818-F1818)/F1818</f>
        <v>1.27358490566038</v>
      </c>
    </row>
    <row r="1819" ht="31" customHeight="1" spans="1:7">
      <c r="A1819" s="6" t="s">
        <v>3123</v>
      </c>
      <c r="B1819" s="12" t="s">
        <v>3124</v>
      </c>
      <c r="C1819" s="4"/>
      <c r="D1819" s="14"/>
      <c r="E1819" s="31" t="s">
        <v>9</v>
      </c>
    </row>
    <row r="1820" spans="1:7">
      <c r="A1820" s="6" t="s">
        <v>3125</v>
      </c>
      <c r="B1820" s="3" t="s">
        <v>3120</v>
      </c>
      <c r="C1820" s="4" t="s">
        <v>12</v>
      </c>
      <c r="D1820" s="7">
        <v>713.2</v>
      </c>
      <c r="E1820" s="2"/>
      <c r="F1820" s="32">
        <v>305.5</v>
      </c>
      <c r="G1820" s="33">
        <f>(D1820-F1820)/F1820</f>
        <v>1.33453355155483</v>
      </c>
    </row>
    <row r="1821" spans="1:7">
      <c r="A1821" s="6" t="s">
        <v>3126</v>
      </c>
      <c r="B1821" s="3" t="s">
        <v>3122</v>
      </c>
      <c r="C1821" s="4" t="s">
        <v>12</v>
      </c>
      <c r="D1821" s="7">
        <v>1175.75</v>
      </c>
      <c r="E1821" s="2"/>
      <c r="F1821" s="32">
        <v>503.2</v>
      </c>
      <c r="G1821" s="33">
        <f>(D1821-F1821)/F1821</f>
        <v>1.33654610492846</v>
      </c>
    </row>
    <row r="1822" spans="1:7">
      <c r="A1822" s="6" t="s">
        <v>3127</v>
      </c>
      <c r="B1822" s="12" t="s">
        <v>3128</v>
      </c>
      <c r="C1822" s="4"/>
      <c r="D1822" s="14"/>
    </row>
    <row r="1823" spans="1:7">
      <c r="A1823" s="6" t="s">
        <v>3129</v>
      </c>
      <c r="B1823" s="3" t="s">
        <v>3130</v>
      </c>
      <c r="C1823" s="4" t="s">
        <v>12</v>
      </c>
      <c r="D1823" s="7">
        <v>177.6</v>
      </c>
      <c r="E1823" s="31" t="s">
        <v>9</v>
      </c>
      <c r="F1823" s="32">
        <v>77.7</v>
      </c>
      <c r="G1823" s="33">
        <f>(D1823-F1823)/F1823</f>
        <v>1.28571428571429</v>
      </c>
    </row>
    <row r="1824" spans="1:7">
      <c r="A1824" s="6" t="s">
        <v>3131</v>
      </c>
      <c r="B1824" s="3" t="s">
        <v>3132</v>
      </c>
      <c r="C1824" s="4" t="s">
        <v>12</v>
      </c>
      <c r="D1824" s="7">
        <v>192.3</v>
      </c>
      <c r="E1824" s="31" t="s">
        <v>9</v>
      </c>
      <c r="F1824" s="32">
        <v>84.45</v>
      </c>
      <c r="G1824" s="33">
        <f>(D1824-F1824)/F1824</f>
        <v>1.27708703374778</v>
      </c>
    </row>
    <row r="1825" spans="1:7">
      <c r="A1825" s="6" t="s">
        <v>3133</v>
      </c>
      <c r="B1825" s="3" t="s">
        <v>3134</v>
      </c>
      <c r="C1825" s="4" t="s">
        <v>12</v>
      </c>
      <c r="D1825" s="7">
        <v>117.65</v>
      </c>
      <c r="E1825" s="31" t="s">
        <v>9</v>
      </c>
      <c r="F1825" s="32">
        <v>51.2</v>
      </c>
      <c r="G1825" s="33">
        <f>(D1825-F1825)/F1825</f>
        <v>1.2978515625</v>
      </c>
    </row>
    <row r="1826" ht="31" customHeight="1" spans="1:7">
      <c r="A1826" s="6" t="s">
        <v>3135</v>
      </c>
      <c r="B1826" s="12" t="s">
        <v>3136</v>
      </c>
      <c r="C1826" s="4" t="s">
        <v>12</v>
      </c>
      <c r="D1826" s="7">
        <v>262.7</v>
      </c>
      <c r="E1826" s="2"/>
      <c r="F1826" s="32">
        <v>118.7</v>
      </c>
      <c r="G1826" s="33">
        <f>(D1826-F1826)/F1826</f>
        <v>1.21314237573715</v>
      </c>
    </row>
    <row r="1827" spans="1:7">
      <c r="A1827" s="40"/>
      <c r="B1827" s="12" t="s">
        <v>3137</v>
      </c>
      <c r="C1827" s="4"/>
      <c r="D1827" s="14"/>
    </row>
    <row r="1828" spans="1:7">
      <c r="A1828" s="6" t="s">
        <v>3138</v>
      </c>
      <c r="B1828" s="12" t="s">
        <v>3139</v>
      </c>
      <c r="C1828" s="4" t="s">
        <v>12</v>
      </c>
      <c r="D1828" s="7">
        <v>113.9</v>
      </c>
      <c r="F1828" s="32">
        <v>45.85</v>
      </c>
      <c r="G1828" s="33">
        <f>(D1828-F1828)/F1828</f>
        <v>1.48418756815703</v>
      </c>
    </row>
    <row r="1829" spans="1:7">
      <c r="A1829" s="40"/>
      <c r="B1829" s="12" t="s">
        <v>3140</v>
      </c>
      <c r="C1829" s="4"/>
      <c r="D1829" s="14"/>
      <c r="E1829" s="31" t="s">
        <v>9</v>
      </c>
    </row>
    <row r="1830" spans="1:7">
      <c r="A1830" s="6" t="s">
        <v>3141</v>
      </c>
      <c r="B1830" s="12" t="s">
        <v>3142</v>
      </c>
      <c r="C1830" s="4"/>
      <c r="D1830" s="14"/>
      <c r="E1830" s="31" t="s">
        <v>9</v>
      </c>
    </row>
    <row r="1831" ht="31" customHeight="1" spans="1:7">
      <c r="A1831" s="6" t="s">
        <v>3143</v>
      </c>
      <c r="B1831" s="3" t="s">
        <v>3144</v>
      </c>
      <c r="C1831" s="4" t="s">
        <v>3145</v>
      </c>
      <c r="D1831" s="7">
        <v>7.5</v>
      </c>
      <c r="E1831" s="31" t="s">
        <v>9</v>
      </c>
      <c r="F1831" s="32">
        <v>3.45</v>
      </c>
      <c r="G1831" s="33">
        <f>(D1831-F1831)/F1831</f>
        <v>1.17391304347826</v>
      </c>
    </row>
    <row r="1832" ht="31" customHeight="1" spans="1:7">
      <c r="A1832" s="6" t="s">
        <v>3146</v>
      </c>
      <c r="B1832" s="3" t="s">
        <v>3147</v>
      </c>
      <c r="C1832" s="4" t="s">
        <v>3145</v>
      </c>
      <c r="D1832" s="7">
        <v>8.2</v>
      </c>
      <c r="E1832" s="31" t="s">
        <v>9</v>
      </c>
      <c r="F1832" s="32">
        <v>3.75</v>
      </c>
      <c r="G1832" s="33">
        <f>(D1832-F1832)/F1832</f>
        <v>1.18666666666667</v>
      </c>
    </row>
    <row r="1833" ht="31" customHeight="1" spans="1:7">
      <c r="A1833" s="6" t="s">
        <v>3148</v>
      </c>
      <c r="B1833" s="3" t="s">
        <v>3149</v>
      </c>
      <c r="C1833" s="4" t="s">
        <v>3145</v>
      </c>
      <c r="D1833" s="7">
        <v>9.35</v>
      </c>
      <c r="E1833" s="31" t="s">
        <v>9</v>
      </c>
      <c r="F1833" s="32">
        <v>4.25</v>
      </c>
      <c r="G1833" s="33">
        <f>(D1833-F1833)/F1833</f>
        <v>1.2</v>
      </c>
    </row>
    <row r="1834" ht="31" customHeight="1" spans="1:7">
      <c r="A1834" s="6" t="s">
        <v>3150</v>
      </c>
      <c r="B1834" s="3" t="s">
        <v>3151</v>
      </c>
      <c r="C1834" s="4" t="s">
        <v>3145</v>
      </c>
      <c r="D1834" s="7">
        <v>16.1</v>
      </c>
      <c r="E1834" s="31" t="s">
        <v>9</v>
      </c>
      <c r="F1834" s="32">
        <v>7.15</v>
      </c>
      <c r="G1834" s="33">
        <f>(D1834-F1834)/F1834</f>
        <v>1.25174825174825</v>
      </c>
    </row>
    <row r="1835" spans="1:7">
      <c r="A1835" s="6" t="s">
        <v>3152</v>
      </c>
      <c r="B1835" s="12" t="s">
        <v>3153</v>
      </c>
      <c r="C1835" s="4"/>
      <c r="D1835" s="14"/>
      <c r="E1835" s="31" t="s">
        <v>9</v>
      </c>
    </row>
    <row r="1836" ht="31" customHeight="1" spans="1:7">
      <c r="A1836" s="6" t="s">
        <v>3154</v>
      </c>
      <c r="B1836" s="3" t="s">
        <v>3144</v>
      </c>
      <c r="C1836" s="4" t="s">
        <v>3145</v>
      </c>
      <c r="D1836" s="7">
        <v>9.05</v>
      </c>
      <c r="E1836" s="31" t="s">
        <v>9</v>
      </c>
      <c r="F1836" s="32">
        <v>4.25</v>
      </c>
      <c r="G1836" s="33">
        <f>(D1836-F1836)/F1836</f>
        <v>1.12941176470588</v>
      </c>
    </row>
    <row r="1837" ht="31" customHeight="1" spans="1:7">
      <c r="A1837" s="6" t="s">
        <v>3155</v>
      </c>
      <c r="B1837" s="3" t="s">
        <v>3147</v>
      </c>
      <c r="C1837" s="4" t="s">
        <v>3145</v>
      </c>
      <c r="D1837" s="7">
        <v>10</v>
      </c>
      <c r="E1837" s="31" t="s">
        <v>9</v>
      </c>
      <c r="F1837" s="32">
        <v>4.65</v>
      </c>
      <c r="G1837" s="33">
        <f>(D1837-F1837)/F1837</f>
        <v>1.1505376344086</v>
      </c>
    </row>
    <row r="1838" ht="31" customHeight="1" spans="1:7">
      <c r="A1838" s="6" t="s">
        <v>3156</v>
      </c>
      <c r="B1838" s="3" t="s">
        <v>3149</v>
      </c>
      <c r="C1838" s="4" t="s">
        <v>3145</v>
      </c>
      <c r="D1838" s="7">
        <v>11.4</v>
      </c>
      <c r="E1838" s="31" t="s">
        <v>9</v>
      </c>
      <c r="F1838" s="32">
        <v>5.25</v>
      </c>
      <c r="G1838" s="33">
        <f>(D1838-F1838)/F1838</f>
        <v>1.17142857142857</v>
      </c>
    </row>
    <row r="1839" ht="31" customHeight="1" spans="1:7">
      <c r="A1839" s="6" t="s">
        <v>3157</v>
      </c>
      <c r="B1839" s="3" t="s">
        <v>3151</v>
      </c>
      <c r="C1839" s="4" t="s">
        <v>3145</v>
      </c>
      <c r="D1839" s="7">
        <v>21.4</v>
      </c>
      <c r="E1839" s="31" t="s">
        <v>9</v>
      </c>
      <c r="F1839" s="32">
        <v>9.6</v>
      </c>
      <c r="G1839" s="33">
        <f>(D1839-F1839)/F1839</f>
        <v>1.22916666666667</v>
      </c>
    </row>
    <row r="1840" ht="46.5" customHeight="1" spans="1:7">
      <c r="A1840" s="6" t="s">
        <v>3158</v>
      </c>
      <c r="B1840" s="12" t="s">
        <v>3159</v>
      </c>
      <c r="C1840" s="4" t="s">
        <v>3145</v>
      </c>
      <c r="D1840" s="7">
        <v>21.45</v>
      </c>
      <c r="E1840" s="31" t="s">
        <v>9</v>
      </c>
    </row>
    <row r="1841" spans="1:7">
      <c r="A1841" s="40"/>
      <c r="B1841" s="12" t="s">
        <v>3160</v>
      </c>
      <c r="C1841" s="4"/>
      <c r="D1841" s="14"/>
      <c r="E1841" s="31" t="s">
        <v>9</v>
      </c>
    </row>
    <row r="1842" spans="1:7">
      <c r="A1842" s="6" t="s">
        <v>3161</v>
      </c>
      <c r="B1842" s="12" t="s">
        <v>3162</v>
      </c>
      <c r="C1842" s="4"/>
      <c r="D1842" s="14"/>
      <c r="E1842" s="31" t="s">
        <v>9</v>
      </c>
    </row>
    <row r="1843" spans="1:7">
      <c r="A1843" s="6" t="s">
        <v>3163</v>
      </c>
      <c r="B1843" s="3" t="s">
        <v>3164</v>
      </c>
      <c r="C1843" s="4" t="s">
        <v>12</v>
      </c>
      <c r="D1843" s="7">
        <v>257.35</v>
      </c>
      <c r="E1843" s="31" t="s">
        <v>9</v>
      </c>
      <c r="F1843" s="32">
        <v>115.85</v>
      </c>
      <c r="G1843" s="33">
        <f>(D1843-F1843)/F1843</f>
        <v>1.22140699179974</v>
      </c>
    </row>
    <row r="1844" spans="1:7">
      <c r="A1844" s="6" t="s">
        <v>3165</v>
      </c>
      <c r="B1844" s="3" t="s">
        <v>3166</v>
      </c>
      <c r="C1844" s="4" t="s">
        <v>12</v>
      </c>
      <c r="D1844" s="7">
        <v>419.9</v>
      </c>
      <c r="E1844" s="31" t="s">
        <v>9</v>
      </c>
      <c r="F1844" s="32">
        <v>188.7</v>
      </c>
      <c r="G1844" s="33">
        <f>(D1844-F1844)/F1844</f>
        <v>1.22522522522523</v>
      </c>
    </row>
    <row r="1845" spans="1:7">
      <c r="A1845" s="40"/>
      <c r="B1845" s="12" t="s">
        <v>3167</v>
      </c>
      <c r="C1845" s="4"/>
      <c r="D1845" s="14"/>
      <c r="E1845" s="31" t="s">
        <v>9</v>
      </c>
    </row>
    <row r="1846" spans="1:7">
      <c r="A1846" s="6" t="s">
        <v>3168</v>
      </c>
      <c r="B1846" s="12" t="s">
        <v>3169</v>
      </c>
      <c r="C1846" s="4"/>
      <c r="D1846" s="14"/>
      <c r="E1846" s="31" t="s">
        <v>9</v>
      </c>
    </row>
    <row r="1847" spans="1:7">
      <c r="A1847" s="6" t="s">
        <v>3170</v>
      </c>
      <c r="B1847" s="3" t="s">
        <v>3171</v>
      </c>
      <c r="C1847" s="4" t="s">
        <v>12</v>
      </c>
      <c r="D1847" s="7">
        <v>350.2</v>
      </c>
      <c r="E1847" s="31" t="s">
        <v>9</v>
      </c>
      <c r="F1847" s="32">
        <v>158.45</v>
      </c>
      <c r="G1847" s="33">
        <f>(D1847-F1847)/F1847</f>
        <v>1.2101609340486</v>
      </c>
    </row>
    <row r="1848" spans="1:7">
      <c r="A1848" s="40"/>
      <c r="B1848" s="12" t="s">
        <v>3172</v>
      </c>
      <c r="C1848" s="4"/>
      <c r="D1848" s="7"/>
      <c r="E1848" s="31" t="s">
        <v>9</v>
      </c>
    </row>
    <row r="1849" spans="1:7">
      <c r="A1849" s="6" t="s">
        <v>3173</v>
      </c>
      <c r="B1849" s="12" t="s">
        <v>3174</v>
      </c>
      <c r="C1849" s="4"/>
      <c r="D1849" s="14"/>
      <c r="E1849" s="31" t="s">
        <v>9</v>
      </c>
    </row>
    <row r="1850" spans="1:7">
      <c r="A1850" s="6" t="s">
        <v>3175</v>
      </c>
      <c r="B1850" s="3" t="s">
        <v>3176</v>
      </c>
      <c r="C1850" s="4" t="s">
        <v>12</v>
      </c>
      <c r="D1850" s="7">
        <v>385.4</v>
      </c>
      <c r="E1850" s="31" t="s">
        <v>9</v>
      </c>
      <c r="F1850" s="32">
        <v>168.45</v>
      </c>
      <c r="G1850" s="33">
        <f>(D1850-F1850)/F1850</f>
        <v>1.28791926387652</v>
      </c>
    </row>
    <row r="1851" spans="1:7">
      <c r="A1851" s="6" t="s">
        <v>3177</v>
      </c>
      <c r="B1851" s="3" t="s">
        <v>3166</v>
      </c>
      <c r="C1851" s="4" t="s">
        <v>12</v>
      </c>
      <c r="D1851" s="7">
        <v>701.05</v>
      </c>
      <c r="E1851" s="31" t="s">
        <v>9</v>
      </c>
      <c r="F1851" s="32">
        <v>305.7</v>
      </c>
      <c r="G1851" s="33">
        <f>(D1851-F1851)/F1851</f>
        <v>1.29326136735361</v>
      </c>
    </row>
    <row r="1852" ht="31" customHeight="1" spans="1:7">
      <c r="A1852" s="6" t="s">
        <v>3178</v>
      </c>
      <c r="B1852" s="12" t="s">
        <v>3179</v>
      </c>
      <c r="C1852" s="4" t="s">
        <v>12</v>
      </c>
      <c r="D1852" s="7">
        <v>716.95</v>
      </c>
      <c r="E1852" s="31" t="s">
        <v>9</v>
      </c>
      <c r="F1852" s="32">
        <v>319.25</v>
      </c>
      <c r="G1852" s="33">
        <f>(D1852-F1852)/F1852</f>
        <v>1.24573218480814</v>
      </c>
    </row>
    <row r="1853" spans="1:7">
      <c r="A1853" s="6" t="s">
        <v>3180</v>
      </c>
      <c r="B1853" s="12" t="s">
        <v>3181</v>
      </c>
      <c r="C1853" s="4"/>
      <c r="D1853" s="14"/>
      <c r="E1853" s="31" t="s">
        <v>9</v>
      </c>
    </row>
    <row r="1854" spans="1:7">
      <c r="A1854" s="6" t="s">
        <v>3182</v>
      </c>
      <c r="B1854" s="3" t="s">
        <v>3176</v>
      </c>
      <c r="C1854" s="4" t="s">
        <v>12</v>
      </c>
      <c r="D1854" s="7">
        <v>214.2</v>
      </c>
      <c r="E1854" s="31" t="s">
        <v>9</v>
      </c>
      <c r="F1854" s="32">
        <v>95.05</v>
      </c>
      <c r="G1854" s="33">
        <f>(D1854-F1854)/F1854</f>
        <v>1.25355076275644</v>
      </c>
    </row>
    <row r="1855" ht="31" customHeight="1" spans="1:7">
      <c r="A1855" s="6" t="s">
        <v>3183</v>
      </c>
      <c r="B1855" s="12" t="s">
        <v>3184</v>
      </c>
      <c r="C1855" s="4" t="s">
        <v>12</v>
      </c>
      <c r="D1855" s="7">
        <v>8.65</v>
      </c>
      <c r="E1855" s="31" t="s">
        <v>9</v>
      </c>
      <c r="F1855" s="32">
        <v>5.4</v>
      </c>
      <c r="G1855" s="33">
        <f>(D1855-F1855)/F1855</f>
        <v>0.601851851851852</v>
      </c>
    </row>
    <row r="1856" spans="1:7">
      <c r="A1856" s="40"/>
      <c r="B1856" s="12" t="s">
        <v>3185</v>
      </c>
      <c r="C1856" s="4"/>
      <c r="D1856" s="14"/>
      <c r="E1856" s="31" t="s">
        <v>9</v>
      </c>
    </row>
    <row r="1857" spans="1:7">
      <c r="A1857" s="6" t="s">
        <v>3186</v>
      </c>
      <c r="B1857" s="12" t="s">
        <v>3187</v>
      </c>
      <c r="C1857" s="4"/>
      <c r="D1857" s="14"/>
      <c r="E1857" s="31" t="s">
        <v>9</v>
      </c>
    </row>
    <row r="1858" ht="31" customHeight="1" spans="1:7">
      <c r="A1858" s="6" t="s">
        <v>3188</v>
      </c>
      <c r="B1858" s="3" t="s">
        <v>3189</v>
      </c>
      <c r="C1858" s="4" t="s">
        <v>12</v>
      </c>
      <c r="D1858" s="7">
        <v>39.05</v>
      </c>
      <c r="E1858" s="2" t="s">
        <v>3190</v>
      </c>
      <c r="F1858" s="32">
        <v>17.25</v>
      </c>
      <c r="G1858" s="33">
        <f>(D1858-F1858)/F1858</f>
        <v>1.26376811594203</v>
      </c>
    </row>
    <row r="1859" spans="1:7">
      <c r="A1859" s="6" t="s">
        <v>3191</v>
      </c>
      <c r="B1859" s="12" t="s">
        <v>3192</v>
      </c>
      <c r="C1859" s="4" t="s">
        <v>12</v>
      </c>
      <c r="D1859" s="7">
        <v>15.75</v>
      </c>
      <c r="F1859" s="32">
        <v>7</v>
      </c>
      <c r="G1859" s="33">
        <f>(D1859-F1859)/F1859</f>
        <v>1.25</v>
      </c>
    </row>
    <row r="1860" spans="1:7">
      <c r="A1860" s="6" t="s">
        <v>3193</v>
      </c>
      <c r="B1860" s="12" t="s">
        <v>3194</v>
      </c>
      <c r="C1860" s="4"/>
      <c r="D1860" s="14"/>
    </row>
    <row r="1861" spans="1:7">
      <c r="A1861" s="6" t="s">
        <v>3195</v>
      </c>
      <c r="B1861" s="3" t="s">
        <v>3196</v>
      </c>
      <c r="C1861" s="4" t="s">
        <v>12</v>
      </c>
      <c r="D1861" s="7">
        <v>53.3</v>
      </c>
      <c r="F1861" s="32">
        <v>23.6</v>
      </c>
      <c r="G1861" s="33">
        <f>(D1861-F1861)/F1861</f>
        <v>1.25847457627119</v>
      </c>
    </row>
    <row r="1862" spans="1:7">
      <c r="A1862" s="6" t="s">
        <v>3197</v>
      </c>
      <c r="B1862" s="3" t="s">
        <v>3198</v>
      </c>
      <c r="C1862" s="4" t="s">
        <v>12</v>
      </c>
      <c r="D1862" s="7">
        <v>52.75</v>
      </c>
      <c r="F1862" s="32">
        <v>23.25</v>
      </c>
      <c r="G1862" s="33">
        <f>(D1862-F1862)/F1862</f>
        <v>1.26881720430108</v>
      </c>
    </row>
    <row r="1863" ht="46.5" customHeight="1" spans="1:7">
      <c r="A1863" s="6" t="s">
        <v>3199</v>
      </c>
      <c r="B1863" s="12" t="s">
        <v>3200</v>
      </c>
      <c r="C1863" s="4"/>
      <c r="D1863" s="14"/>
    </row>
    <row r="1864" ht="31" customHeight="1" spans="1:7">
      <c r="A1864" s="6" t="s">
        <v>3201</v>
      </c>
      <c r="B1864" s="3" t="s">
        <v>3202</v>
      </c>
      <c r="C1864" s="4" t="s">
        <v>12</v>
      </c>
      <c r="D1864" s="7">
        <v>185.65</v>
      </c>
      <c r="F1864" s="32">
        <v>93.7</v>
      </c>
      <c r="G1864" s="33">
        <f>(D1864-F1864)/F1864</f>
        <v>0.981323372465315</v>
      </c>
    </row>
    <row r="1865" spans="1:7">
      <c r="A1865" s="6" t="s">
        <v>3203</v>
      </c>
      <c r="B1865" s="12" t="s">
        <v>55</v>
      </c>
      <c r="C1865" s="4"/>
      <c r="D1865" s="14"/>
      <c r="E1865" s="54"/>
    </row>
    <row r="1866" spans="1:7">
      <c r="A1866" s="6" t="s">
        <v>3204</v>
      </c>
      <c r="B1866" s="12" t="s">
        <v>55</v>
      </c>
      <c r="C1866" s="4"/>
      <c r="D1866" s="14"/>
      <c r="E1866" s="2"/>
    </row>
    <row r="1867" spans="1:7">
      <c r="A1867" s="40"/>
      <c r="B1867" s="12" t="s">
        <v>3205</v>
      </c>
      <c r="C1867" s="4"/>
      <c r="D1867" s="14"/>
    </row>
    <row r="1868" spans="1:7">
      <c r="A1868" s="6" t="s">
        <v>3206</v>
      </c>
      <c r="B1868" s="12" t="s">
        <v>3207</v>
      </c>
      <c r="C1868" s="4"/>
      <c r="D1868" s="14"/>
    </row>
    <row r="1869" spans="1:7">
      <c r="A1869" s="6" t="s">
        <v>3208</v>
      </c>
      <c r="B1869" s="3" t="s">
        <v>3209</v>
      </c>
      <c r="C1869" s="4" t="s">
        <v>12</v>
      </c>
      <c r="D1869" s="7">
        <v>116.9</v>
      </c>
      <c r="F1869" s="32">
        <v>58.8</v>
      </c>
      <c r="G1869" s="33">
        <f>(D1869-F1869)/F1869</f>
        <v>0.988095238095238</v>
      </c>
    </row>
    <row r="1870" spans="1:7">
      <c r="A1870" s="6" t="s">
        <v>3210</v>
      </c>
      <c r="B1870" s="12" t="s">
        <v>3211</v>
      </c>
      <c r="C1870" s="4"/>
      <c r="D1870" s="14"/>
      <c r="E1870" s="2"/>
    </row>
    <row r="1871" ht="31" customHeight="1" spans="1:7">
      <c r="A1871" s="6" t="s">
        <v>3212</v>
      </c>
      <c r="B1871" s="3" t="s">
        <v>3213</v>
      </c>
      <c r="C1871" s="4" t="s">
        <v>12</v>
      </c>
      <c r="D1871" s="7">
        <v>223.6</v>
      </c>
      <c r="E1871" s="2"/>
      <c r="F1871" s="32">
        <v>150.65</v>
      </c>
      <c r="G1871" s="33">
        <f>(D1871-F1871)/F1871</f>
        <v>0.484234981745768</v>
      </c>
    </row>
    <row r="1872" spans="1:7">
      <c r="A1872" s="6" t="s">
        <v>3214</v>
      </c>
      <c r="B1872" s="12" t="s">
        <v>3215</v>
      </c>
      <c r="C1872" s="4"/>
      <c r="D1872" s="14"/>
    </row>
    <row r="1873" ht="31" customHeight="1" spans="1:7">
      <c r="A1873" s="6" t="s">
        <v>3216</v>
      </c>
      <c r="B1873" s="3" t="s">
        <v>3217</v>
      </c>
      <c r="C1873" s="4" t="s">
        <v>12</v>
      </c>
      <c r="D1873" s="7">
        <v>160.6</v>
      </c>
      <c r="F1873" s="32">
        <v>96.05</v>
      </c>
      <c r="G1873" s="33">
        <f>(D1873-F1873)/F1873</f>
        <v>0.672045809474232</v>
      </c>
    </row>
    <row r="1874" ht="31" customHeight="1" spans="1:7">
      <c r="A1874" s="6" t="s">
        <v>3218</v>
      </c>
      <c r="B1874" s="12" t="s">
        <v>3219</v>
      </c>
      <c r="C1874" s="4"/>
      <c r="D1874" s="14"/>
      <c r="E1874" s="2"/>
    </row>
    <row r="1875" ht="31" customHeight="1" spans="1:7">
      <c r="A1875" s="6" t="s">
        <v>3220</v>
      </c>
      <c r="B1875" s="3" t="s">
        <v>3221</v>
      </c>
      <c r="C1875" s="4" t="s">
        <v>12</v>
      </c>
      <c r="D1875" s="7">
        <v>171.1</v>
      </c>
      <c r="E1875" s="2"/>
      <c r="F1875" s="32">
        <v>96.8</v>
      </c>
      <c r="G1875" s="33">
        <f>(D1875-F1875)/F1875</f>
        <v>0.767561983471074</v>
      </c>
    </row>
    <row r="1876" ht="31" customHeight="1" spans="1:7">
      <c r="A1876" s="6" t="s">
        <v>3222</v>
      </c>
      <c r="B1876" s="12" t="s">
        <v>3223</v>
      </c>
      <c r="C1876" s="4"/>
      <c r="D1876" s="14"/>
    </row>
    <row r="1877" ht="31" customHeight="1" spans="1:7">
      <c r="A1877" s="6" t="s">
        <v>3224</v>
      </c>
      <c r="B1877" s="3" t="s">
        <v>3225</v>
      </c>
      <c r="C1877" s="4" t="s">
        <v>12</v>
      </c>
      <c r="D1877" s="7">
        <v>193.7</v>
      </c>
      <c r="F1877" s="32">
        <v>98.95</v>
      </c>
      <c r="G1877" s="33">
        <f>(D1877-F1877)/F1877</f>
        <v>0.95755432036382</v>
      </c>
    </row>
    <row r="1878" ht="46.5" customHeight="1" spans="1:7">
      <c r="A1878" s="6" t="s">
        <v>3226</v>
      </c>
      <c r="B1878" s="3" t="s">
        <v>3227</v>
      </c>
      <c r="C1878" s="4" t="s">
        <v>12</v>
      </c>
      <c r="D1878" s="7">
        <v>176.25</v>
      </c>
      <c r="F1878" s="32">
        <v>88.6</v>
      </c>
      <c r="G1878" s="33">
        <f>(D1878-F1878)/F1878</f>
        <v>0.989277652370203</v>
      </c>
    </row>
    <row r="1879" ht="46.5" customHeight="1" spans="1:7">
      <c r="A1879" s="6" t="s">
        <v>3228</v>
      </c>
      <c r="B1879" s="3" t="s">
        <v>3229</v>
      </c>
      <c r="C1879" s="4" t="s">
        <v>12</v>
      </c>
      <c r="D1879" s="7">
        <v>170.7</v>
      </c>
      <c r="F1879" s="32">
        <v>84.75</v>
      </c>
      <c r="G1879" s="33">
        <f>(D1879-F1879)/F1879</f>
        <v>1.0141592920354</v>
      </c>
    </row>
    <row r="1880" ht="46.5" customHeight="1" spans="1:7">
      <c r="A1880" s="6" t="s">
        <v>3230</v>
      </c>
      <c r="B1880" s="12" t="s">
        <v>3231</v>
      </c>
      <c r="C1880" s="4"/>
      <c r="D1880" s="7"/>
    </row>
    <row r="1881" ht="31" customHeight="1" spans="1:7">
      <c r="A1881" s="6" t="s">
        <v>3232</v>
      </c>
      <c r="B1881" s="3" t="s">
        <v>3233</v>
      </c>
      <c r="C1881" s="4" t="s">
        <v>12</v>
      </c>
      <c r="D1881" s="7">
        <v>181.25</v>
      </c>
    </row>
    <row r="1882" spans="1:7">
      <c r="A1882" s="6" t="s">
        <v>3234</v>
      </c>
      <c r="B1882" s="12" t="s">
        <v>3235</v>
      </c>
      <c r="C1882" s="4"/>
      <c r="D1882" s="14"/>
    </row>
    <row r="1883" spans="1:7">
      <c r="A1883" s="6" t="s">
        <v>3236</v>
      </c>
      <c r="B1883" s="3" t="s">
        <v>55</v>
      </c>
      <c r="C1883" s="4"/>
      <c r="D1883" s="7"/>
      <c r="E1883" s="2"/>
      <c r="F1883" s="32">
        <v>34.95</v>
      </c>
      <c r="G1883" s="33">
        <f>(D1883-F1883)/F1883</f>
        <v>-1</v>
      </c>
    </row>
    <row r="1884" ht="31" customHeight="1" spans="1:7">
      <c r="A1884" s="6" t="s">
        <v>3237</v>
      </c>
      <c r="B1884" s="3" t="s">
        <v>3238</v>
      </c>
      <c r="C1884" s="4" t="s">
        <v>12</v>
      </c>
      <c r="D1884" s="7">
        <v>74.65</v>
      </c>
      <c r="F1884" s="32">
        <v>35.2</v>
      </c>
      <c r="G1884" s="33">
        <f>(D1884-F1884)/F1884</f>
        <v>1.12073863636364</v>
      </c>
    </row>
    <row r="1885" ht="31" customHeight="1" spans="1:7">
      <c r="A1885" s="6" t="s">
        <v>3239</v>
      </c>
      <c r="B1885" s="3" t="s">
        <v>3240</v>
      </c>
      <c r="C1885" s="4" t="s">
        <v>12</v>
      </c>
      <c r="D1885" s="7">
        <v>67.4</v>
      </c>
      <c r="E1885" s="2"/>
      <c r="F1885" s="32">
        <v>29.1</v>
      </c>
      <c r="G1885" s="33">
        <f>(D1885-F1885)/F1885</f>
        <v>1.31615120274914</v>
      </c>
    </row>
    <row r="1886" ht="31" customHeight="1" spans="1:7">
      <c r="A1886" s="6" t="s">
        <v>3241</v>
      </c>
      <c r="B1886" s="3" t="s">
        <v>3242</v>
      </c>
      <c r="C1886" s="4" t="s">
        <v>12</v>
      </c>
      <c r="D1886" s="7">
        <v>36.1</v>
      </c>
      <c r="F1886" s="32">
        <v>15.6</v>
      </c>
      <c r="G1886" s="33">
        <f>(D1886-F1886)/F1886</f>
        <v>1.31410256410256</v>
      </c>
    </row>
    <row r="1887" ht="31" customHeight="1" spans="1:7">
      <c r="A1887" s="6" t="s">
        <v>3243</v>
      </c>
      <c r="B1887" s="12" t="s">
        <v>3244</v>
      </c>
      <c r="C1887" s="4"/>
      <c r="D1887" s="14"/>
    </row>
    <row r="1888" spans="1:7">
      <c r="A1888" s="6" t="s">
        <v>3245</v>
      </c>
      <c r="B1888" s="3" t="s">
        <v>3246</v>
      </c>
      <c r="C1888" s="4" t="s">
        <v>12</v>
      </c>
      <c r="D1888" s="7">
        <v>101.7</v>
      </c>
      <c r="F1888" s="32">
        <v>56.65</v>
      </c>
      <c r="G1888" s="33">
        <f>(D1888-F1888)/F1888</f>
        <v>0.795233892321271</v>
      </c>
    </row>
    <row r="1889" spans="1:7">
      <c r="A1889" s="6" t="s">
        <v>3247</v>
      </c>
      <c r="B1889" s="3" t="s">
        <v>3248</v>
      </c>
      <c r="C1889" s="4" t="s">
        <v>12</v>
      </c>
      <c r="D1889" s="7">
        <v>161.7</v>
      </c>
      <c r="F1889" s="32">
        <v>90.05</v>
      </c>
      <c r="G1889" s="33">
        <f>(D1889-F1889)/F1889</f>
        <v>0.795669072737368</v>
      </c>
    </row>
    <row r="1890" ht="46.5" customHeight="1" spans="1:7">
      <c r="A1890" s="6" t="s">
        <v>3249</v>
      </c>
      <c r="B1890" s="12" t="s">
        <v>3250</v>
      </c>
      <c r="C1890" s="4"/>
      <c r="D1890" s="14"/>
      <c r="E1890" s="2"/>
    </row>
    <row r="1891" spans="1:7">
      <c r="A1891" s="6" t="s">
        <v>3251</v>
      </c>
      <c r="B1891" s="3" t="s">
        <v>3252</v>
      </c>
      <c r="C1891" s="4" t="s">
        <v>12</v>
      </c>
      <c r="D1891" s="7">
        <v>241.75</v>
      </c>
      <c r="E1891" s="2"/>
      <c r="F1891" s="32">
        <v>122.5</v>
      </c>
      <c r="G1891" s="33">
        <f>(D1891-F1891)/F1891</f>
        <v>0.973469387755102</v>
      </c>
    </row>
    <row r="1892" spans="1:7">
      <c r="A1892" s="6" t="s">
        <v>3253</v>
      </c>
      <c r="B1892" s="3" t="s">
        <v>3254</v>
      </c>
      <c r="C1892" s="4" t="s">
        <v>12</v>
      </c>
      <c r="D1892" s="7">
        <v>235.15</v>
      </c>
      <c r="E1892" s="2"/>
      <c r="F1892" s="32">
        <v>124.5</v>
      </c>
      <c r="G1892" s="33">
        <f>(D1892-F1892)/F1892</f>
        <v>0.888755020080321</v>
      </c>
    </row>
    <row r="1893" ht="31" customHeight="1" spans="1:7">
      <c r="A1893" s="6" t="s">
        <v>3255</v>
      </c>
      <c r="B1893" s="12" t="s">
        <v>3256</v>
      </c>
      <c r="C1893" s="4"/>
      <c r="D1893" s="14"/>
    </row>
    <row r="1894" ht="31" customHeight="1" spans="1:7">
      <c r="A1894" s="6" t="s">
        <v>3257</v>
      </c>
      <c r="B1894" s="3" t="s">
        <v>3258</v>
      </c>
      <c r="C1894" s="4" t="s">
        <v>12</v>
      </c>
      <c r="D1894" s="7">
        <v>180.85</v>
      </c>
      <c r="F1894" s="32">
        <v>84</v>
      </c>
      <c r="G1894" s="33">
        <f>(D1894-F1894)/F1894</f>
        <v>1.15297619047619</v>
      </c>
    </row>
    <row r="1895" spans="1:7">
      <c r="A1895" s="6" t="s">
        <v>3259</v>
      </c>
      <c r="B1895" s="12" t="s">
        <v>3260</v>
      </c>
      <c r="C1895" s="4"/>
      <c r="D1895" s="14"/>
    </row>
    <row r="1896" spans="1:7">
      <c r="A1896" s="6" t="s">
        <v>3261</v>
      </c>
      <c r="B1896" s="3" t="s">
        <v>3262</v>
      </c>
      <c r="C1896" s="4" t="s">
        <v>12</v>
      </c>
      <c r="D1896" s="7">
        <v>63.35</v>
      </c>
      <c r="F1896" s="32">
        <v>29.25</v>
      </c>
      <c r="G1896" s="33">
        <f>(D1896-F1896)/F1896</f>
        <v>1.16581196581197</v>
      </c>
    </row>
    <row r="1897" ht="31" customHeight="1" spans="1:7">
      <c r="A1897" s="6" t="s">
        <v>3263</v>
      </c>
      <c r="B1897" s="3" t="s">
        <v>3264</v>
      </c>
      <c r="C1897" s="4" t="s">
        <v>12</v>
      </c>
      <c r="D1897" s="7">
        <v>63.05</v>
      </c>
      <c r="F1897" s="32">
        <v>29.05</v>
      </c>
      <c r="G1897" s="33">
        <f>(D1897-F1897)/F1897</f>
        <v>1.17039586919105</v>
      </c>
    </row>
    <row r="1898" ht="46.5" customHeight="1" spans="1:7">
      <c r="A1898" s="6" t="s">
        <v>3265</v>
      </c>
      <c r="B1898" s="12" t="s">
        <v>3266</v>
      </c>
      <c r="C1898" s="4"/>
      <c r="D1898" s="14"/>
      <c r="E1898" s="2"/>
    </row>
    <row r="1899" spans="1:7">
      <c r="A1899" s="6" t="s">
        <v>3267</v>
      </c>
      <c r="B1899" s="3" t="s">
        <v>3268</v>
      </c>
      <c r="C1899" s="4" t="s">
        <v>49</v>
      </c>
      <c r="D1899" s="7">
        <v>76.35</v>
      </c>
    </row>
    <row r="1900" spans="1:7">
      <c r="A1900" s="6" t="s">
        <v>3269</v>
      </c>
      <c r="B1900" s="3" t="s">
        <v>3270</v>
      </c>
      <c r="C1900" s="4" t="s">
        <v>49</v>
      </c>
      <c r="D1900" s="7">
        <v>113.8</v>
      </c>
    </row>
    <row r="1901" ht="46.5" customHeight="1" spans="1:7">
      <c r="A1901" s="6" t="s">
        <v>3271</v>
      </c>
      <c r="B1901" s="12" t="s">
        <v>3272</v>
      </c>
      <c r="C1901" s="4"/>
      <c r="D1901" s="14"/>
    </row>
    <row r="1902" spans="1:7">
      <c r="A1902" s="6" t="s">
        <v>3273</v>
      </c>
      <c r="B1902" s="3" t="s">
        <v>3268</v>
      </c>
      <c r="C1902" s="4" t="s">
        <v>49</v>
      </c>
      <c r="D1902" s="7">
        <v>82</v>
      </c>
    </row>
    <row r="1903" spans="1:7">
      <c r="A1903" s="6" t="s">
        <v>3274</v>
      </c>
      <c r="B1903" s="3" t="s">
        <v>3270</v>
      </c>
      <c r="C1903" s="4" t="s">
        <v>49</v>
      </c>
      <c r="D1903" s="7">
        <v>122.15</v>
      </c>
    </row>
    <row r="1904" ht="31" customHeight="1" spans="1:7">
      <c r="A1904" s="6" t="s">
        <v>3275</v>
      </c>
      <c r="B1904" s="12" t="s">
        <v>3276</v>
      </c>
      <c r="C1904" s="4"/>
      <c r="D1904" s="14"/>
    </row>
    <row r="1905" spans="1:7">
      <c r="A1905" s="6" t="s">
        <v>3277</v>
      </c>
      <c r="B1905" s="3" t="s">
        <v>3278</v>
      </c>
      <c r="C1905" s="4" t="s">
        <v>12</v>
      </c>
      <c r="D1905" s="7">
        <v>54.4</v>
      </c>
      <c r="F1905" s="32">
        <v>32.2</v>
      </c>
      <c r="G1905" s="33">
        <f>(D1905-F1905)/F1905</f>
        <v>0.68944099378882</v>
      </c>
    </row>
    <row r="1906" ht="46.5" customHeight="1" spans="1:7">
      <c r="A1906" s="6" t="s">
        <v>3279</v>
      </c>
      <c r="B1906" s="12" t="s">
        <v>3280</v>
      </c>
      <c r="C1906" s="4" t="s">
        <v>12</v>
      </c>
      <c r="D1906" s="7">
        <v>334.5</v>
      </c>
      <c r="F1906" s="32">
        <v>232.55</v>
      </c>
      <c r="G1906" s="33">
        <f>(D1906-F1906)/F1906</f>
        <v>0.43840034401204</v>
      </c>
    </row>
    <row r="1907" ht="31" customHeight="1" spans="1:7">
      <c r="A1907" s="6" t="s">
        <v>3281</v>
      </c>
      <c r="B1907" s="12" t="s">
        <v>3282</v>
      </c>
      <c r="C1907" s="4" t="s">
        <v>12</v>
      </c>
      <c r="D1907" s="7">
        <v>66.9</v>
      </c>
      <c r="F1907" s="32">
        <v>33.45</v>
      </c>
      <c r="G1907" s="33">
        <f>(D1907-F1907)/F1907</f>
        <v>1</v>
      </c>
    </row>
    <row r="1908" spans="1:7">
      <c r="A1908" s="6" t="s">
        <v>3283</v>
      </c>
      <c r="B1908" s="12" t="s">
        <v>55</v>
      </c>
      <c r="C1908" s="4"/>
      <c r="D1908" s="14"/>
    </row>
    <row r="1909" ht="31" customHeight="1" spans="1:7">
      <c r="A1909" s="6" t="s">
        <v>3284</v>
      </c>
      <c r="B1909" s="12" t="s">
        <v>3285</v>
      </c>
      <c r="C1909" s="4"/>
      <c r="D1909" s="14"/>
      <c r="E1909" s="2"/>
    </row>
    <row r="1910" spans="1:7">
      <c r="A1910" s="6" t="s">
        <v>3286</v>
      </c>
      <c r="B1910" s="3" t="s">
        <v>3287</v>
      </c>
      <c r="C1910" s="4" t="s">
        <v>12</v>
      </c>
      <c r="D1910" s="7">
        <v>155.9</v>
      </c>
      <c r="F1910" s="32">
        <v>78.4</v>
      </c>
      <c r="G1910" s="33">
        <f>(D1910-F1910)/F1910</f>
        <v>0.988520408163265</v>
      </c>
    </row>
    <row r="1911" ht="31" customHeight="1" spans="1:7">
      <c r="A1911" s="6" t="s">
        <v>3288</v>
      </c>
      <c r="B1911" s="12" t="s">
        <v>3289</v>
      </c>
      <c r="C1911" s="4"/>
      <c r="D1911" s="14"/>
    </row>
    <row r="1912" ht="31" customHeight="1" spans="1:7">
      <c r="A1912" s="6" t="s">
        <v>3290</v>
      </c>
      <c r="B1912" s="3" t="s">
        <v>3291</v>
      </c>
      <c r="C1912" s="4" t="s">
        <v>12</v>
      </c>
      <c r="D1912" s="7">
        <v>226.25</v>
      </c>
      <c r="F1912" s="32">
        <v>112.3</v>
      </c>
      <c r="G1912" s="33">
        <f>(D1912-F1912)/F1912</f>
        <v>1.0146927871772</v>
      </c>
    </row>
    <row r="1913" spans="1:7">
      <c r="A1913" s="6" t="s">
        <v>3292</v>
      </c>
      <c r="B1913" s="12" t="s">
        <v>3293</v>
      </c>
      <c r="C1913" s="4"/>
      <c r="D1913" s="14"/>
      <c r="E1913" s="31" t="s">
        <v>9</v>
      </c>
    </row>
    <row r="1914" spans="1:7">
      <c r="A1914" s="6" t="s">
        <v>3294</v>
      </c>
      <c r="B1914" s="3" t="s">
        <v>3287</v>
      </c>
      <c r="C1914" s="4" t="s">
        <v>12</v>
      </c>
      <c r="D1914" s="7">
        <v>146.8</v>
      </c>
      <c r="E1914" s="2"/>
      <c r="F1914" s="32">
        <v>68.35</v>
      </c>
      <c r="G1914" s="33">
        <f>(D1914-F1914)/F1914</f>
        <v>1.14776883686906</v>
      </c>
    </row>
    <row r="1915" ht="31" customHeight="1" spans="1:7">
      <c r="A1915" s="6" t="s">
        <v>3295</v>
      </c>
      <c r="B1915" s="12" t="s">
        <v>3296</v>
      </c>
      <c r="C1915" s="4"/>
      <c r="D1915" s="14"/>
    </row>
    <row r="1916" spans="1:7">
      <c r="A1916" s="6" t="s">
        <v>3297</v>
      </c>
      <c r="B1916" s="3" t="s">
        <v>3287</v>
      </c>
      <c r="C1916" s="4" t="s">
        <v>12</v>
      </c>
      <c r="D1916" s="7">
        <v>163.35</v>
      </c>
      <c r="F1916" s="32">
        <v>85.85</v>
      </c>
      <c r="G1916" s="33">
        <f>(D1916-F1916)/F1916</f>
        <v>0.902737332556785</v>
      </c>
    </row>
    <row r="1917" ht="31" customHeight="1" spans="1:7">
      <c r="A1917" s="6" t="s">
        <v>3298</v>
      </c>
      <c r="B1917" s="12" t="s">
        <v>3299</v>
      </c>
      <c r="C1917" s="4"/>
      <c r="D1917" s="14"/>
    </row>
    <row r="1918" spans="1:7">
      <c r="A1918" s="6" t="s">
        <v>3300</v>
      </c>
      <c r="B1918" s="3" t="s">
        <v>3287</v>
      </c>
      <c r="C1918" s="4" t="s">
        <v>12</v>
      </c>
      <c r="D1918" s="7">
        <v>140.25</v>
      </c>
      <c r="E1918" s="2"/>
      <c r="F1918" s="32">
        <v>65.2</v>
      </c>
      <c r="G1918" s="33">
        <f>(D1918-F1918)/F1918</f>
        <v>1.1510736196319</v>
      </c>
    </row>
    <row r="1919" spans="1:7">
      <c r="A1919" s="6" t="s">
        <v>3301</v>
      </c>
      <c r="B1919" s="12" t="s">
        <v>3302</v>
      </c>
      <c r="C1919" s="4"/>
      <c r="D1919" s="14"/>
    </row>
    <row r="1920" spans="1:7">
      <c r="A1920" s="6" t="s">
        <v>3303</v>
      </c>
      <c r="B1920" s="3" t="s">
        <v>3304</v>
      </c>
      <c r="C1920" s="4" t="s">
        <v>12</v>
      </c>
      <c r="D1920" s="7">
        <v>236.1</v>
      </c>
      <c r="E1920" s="2"/>
      <c r="F1920" s="32">
        <v>114.85</v>
      </c>
      <c r="G1920" s="33">
        <f>(D1920-F1920)/F1920</f>
        <v>1.0557248585111</v>
      </c>
    </row>
    <row r="1921" spans="1:7">
      <c r="A1921" s="6" t="s">
        <v>3305</v>
      </c>
      <c r="B1921" s="3" t="s">
        <v>3306</v>
      </c>
      <c r="C1921" s="4" t="s">
        <v>12</v>
      </c>
      <c r="D1921" s="7">
        <v>236.9</v>
      </c>
      <c r="E1921" s="2"/>
      <c r="F1921" s="32">
        <v>115.85</v>
      </c>
      <c r="G1921" s="33">
        <f>(D1921-F1921)/F1921</f>
        <v>1.0448856279672</v>
      </c>
    </row>
    <row r="1922" spans="1:7">
      <c r="A1922" s="6" t="s">
        <v>3307</v>
      </c>
      <c r="B1922" s="12" t="s">
        <v>3308</v>
      </c>
      <c r="C1922" s="4"/>
      <c r="D1922" s="14"/>
      <c r="E1922" s="31" t="s">
        <v>9</v>
      </c>
    </row>
    <row r="1923" spans="1:7">
      <c r="A1923" s="6" t="s">
        <v>3309</v>
      </c>
      <c r="B1923" s="3" t="s">
        <v>3310</v>
      </c>
      <c r="C1923" s="4" t="s">
        <v>12</v>
      </c>
      <c r="D1923" s="7">
        <v>446.25</v>
      </c>
      <c r="E1923" s="31" t="s">
        <v>9</v>
      </c>
      <c r="F1923" s="32">
        <v>209.75</v>
      </c>
      <c r="G1923" s="33">
        <f>(D1923-F1923)/F1923</f>
        <v>1.12753277711561</v>
      </c>
    </row>
    <row r="1924" spans="1:7">
      <c r="A1924" s="6" t="s">
        <v>3311</v>
      </c>
      <c r="B1924" s="12" t="s">
        <v>3312</v>
      </c>
      <c r="C1924" s="4"/>
      <c r="D1924" s="14"/>
      <c r="E1924" s="31" t="s">
        <v>9</v>
      </c>
    </row>
    <row r="1925" spans="1:7">
      <c r="A1925" s="6" t="s">
        <v>3313</v>
      </c>
      <c r="B1925" s="3" t="s">
        <v>3314</v>
      </c>
      <c r="C1925" s="4" t="s">
        <v>12</v>
      </c>
      <c r="D1925" s="7">
        <v>197.65</v>
      </c>
      <c r="E1925" s="31" t="s">
        <v>9</v>
      </c>
      <c r="F1925" s="32">
        <v>92.7</v>
      </c>
      <c r="G1925" s="33">
        <f>(D1925-F1925)/F1925</f>
        <v>1.13214670981661</v>
      </c>
    </row>
    <row r="1926" ht="31" customHeight="1" spans="1:7">
      <c r="A1926" s="6" t="s">
        <v>3315</v>
      </c>
      <c r="B1926" s="12" t="s">
        <v>3316</v>
      </c>
      <c r="C1926" s="4" t="s">
        <v>12</v>
      </c>
      <c r="D1926" s="7">
        <v>96.1</v>
      </c>
      <c r="F1926" s="32">
        <v>43.5</v>
      </c>
      <c r="G1926" s="33">
        <f>(D1926-F1926)/F1926</f>
        <v>1.20919540229885</v>
      </c>
    </row>
    <row r="1927" ht="31" customHeight="1" spans="1:7">
      <c r="A1927" s="6" t="s">
        <v>3317</v>
      </c>
      <c r="B1927" s="12" t="s">
        <v>3318</v>
      </c>
      <c r="C1927" s="4" t="s">
        <v>3319</v>
      </c>
      <c r="D1927" s="7">
        <v>6.15</v>
      </c>
      <c r="F1927" s="32">
        <v>2.7</v>
      </c>
      <c r="G1927" s="33">
        <f>(D1927-F1927)/F1927</f>
        <v>1.27777777777778</v>
      </c>
    </row>
    <row r="1928" ht="124" customHeight="1" spans="1:7">
      <c r="A1928" s="6" t="s">
        <v>3320</v>
      </c>
      <c r="B1928" s="12" t="s">
        <v>3321</v>
      </c>
      <c r="C1928" s="4" t="s">
        <v>12</v>
      </c>
      <c r="D1928" s="7">
        <v>1162.25</v>
      </c>
      <c r="E1928" s="2"/>
      <c r="F1928" s="32">
        <v>582.6</v>
      </c>
      <c r="G1928" s="33">
        <f>(D1928-F1928)/F1928</f>
        <v>0.994936491589427</v>
      </c>
    </row>
    <row r="1929" ht="62" customHeight="1" spans="1:7">
      <c r="A1929" s="6" t="s">
        <v>3322</v>
      </c>
      <c r="B1929" s="12" t="s">
        <v>3323</v>
      </c>
      <c r="C1929" s="4"/>
      <c r="D1929" s="14"/>
      <c r="E1929" s="31" t="s">
        <v>9</v>
      </c>
    </row>
    <row r="1930" spans="1:7">
      <c r="A1930" s="6" t="s">
        <v>3324</v>
      </c>
      <c r="B1930" s="3" t="s">
        <v>3325</v>
      </c>
      <c r="C1930" s="4" t="s">
        <v>49</v>
      </c>
      <c r="D1930" s="7">
        <v>75.15</v>
      </c>
      <c r="E1930" s="31" t="s">
        <v>9</v>
      </c>
      <c r="F1930" s="32">
        <v>34.4</v>
      </c>
      <c r="G1930" s="33">
        <f t="shared" ref="G1930:G1938" si="27">(D1930-F1930)/F1930</f>
        <v>1.18459302325581</v>
      </c>
    </row>
    <row r="1931" spans="1:7">
      <c r="A1931" s="6" t="s">
        <v>3326</v>
      </c>
      <c r="B1931" s="3" t="s">
        <v>3327</v>
      </c>
      <c r="C1931" s="4" t="s">
        <v>49</v>
      </c>
      <c r="D1931" s="7">
        <v>75.8</v>
      </c>
      <c r="E1931" s="31" t="s">
        <v>9</v>
      </c>
      <c r="F1931" s="32">
        <v>34.95</v>
      </c>
      <c r="G1931" s="33">
        <f t="shared" si="27"/>
        <v>1.16881258941345</v>
      </c>
    </row>
    <row r="1932" ht="31" customHeight="1" spans="1:7">
      <c r="A1932" s="6" t="s">
        <v>3328</v>
      </c>
      <c r="B1932" s="12" t="s">
        <v>3329</v>
      </c>
      <c r="C1932" s="4" t="s">
        <v>12</v>
      </c>
      <c r="D1932" s="7">
        <v>165.85</v>
      </c>
      <c r="E1932" s="31" t="s">
        <v>9</v>
      </c>
      <c r="F1932" s="32">
        <v>85.9</v>
      </c>
      <c r="G1932" s="33">
        <f t="shared" si="27"/>
        <v>0.930733410942957</v>
      </c>
    </row>
    <row r="1933" ht="31" customHeight="1" spans="1:7">
      <c r="A1933" s="6" t="s">
        <v>3330</v>
      </c>
      <c r="B1933" s="12" t="s">
        <v>3331</v>
      </c>
      <c r="C1933" s="4" t="s">
        <v>12</v>
      </c>
      <c r="D1933" s="7">
        <v>133.55</v>
      </c>
      <c r="E1933" s="31" t="s">
        <v>9</v>
      </c>
      <c r="F1933" s="32">
        <v>60.45</v>
      </c>
      <c r="G1933" s="33">
        <f t="shared" si="27"/>
        <v>1.20926385442514</v>
      </c>
    </row>
    <row r="1934" ht="77.5" customHeight="1" spans="1:7">
      <c r="A1934" s="6" t="s">
        <v>3332</v>
      </c>
      <c r="B1934" s="12" t="s">
        <v>3333</v>
      </c>
      <c r="C1934" s="4" t="s">
        <v>49</v>
      </c>
      <c r="D1934" s="7">
        <v>100.6</v>
      </c>
      <c r="E1934" s="2"/>
      <c r="F1934" s="32">
        <v>71.6</v>
      </c>
      <c r="G1934" s="33">
        <f t="shared" si="27"/>
        <v>0.405027932960894</v>
      </c>
    </row>
    <row r="1935" ht="31" customHeight="1" spans="1:7">
      <c r="A1935" s="6" t="s">
        <v>3334</v>
      </c>
      <c r="B1935" s="12" t="s">
        <v>3335</v>
      </c>
      <c r="C1935" s="4" t="s">
        <v>12</v>
      </c>
      <c r="D1935" s="7">
        <v>76.05</v>
      </c>
      <c r="E1935" s="31" t="s">
        <v>9</v>
      </c>
      <c r="F1935" s="32">
        <v>63.9</v>
      </c>
      <c r="G1935" s="33">
        <f t="shared" si="27"/>
        <v>0.190140845070423</v>
      </c>
    </row>
    <row r="1936" ht="77.5" customHeight="1" spans="1:7">
      <c r="A1936" s="6" t="s">
        <v>3336</v>
      </c>
      <c r="B1936" s="12" t="s">
        <v>3337</v>
      </c>
      <c r="C1936" s="4" t="s">
        <v>12</v>
      </c>
      <c r="D1936" s="7">
        <v>468.9</v>
      </c>
      <c r="E1936" s="2"/>
      <c r="F1936" s="32">
        <v>217.35</v>
      </c>
      <c r="G1936" s="33">
        <f t="shared" si="27"/>
        <v>1.15734989648033</v>
      </c>
    </row>
    <row r="1937" ht="62" customHeight="1" spans="1:7">
      <c r="A1937" s="6" t="s">
        <v>3338</v>
      </c>
      <c r="B1937" s="12" t="s">
        <v>3339</v>
      </c>
      <c r="C1937" s="4" t="s">
        <v>362</v>
      </c>
      <c r="D1937" s="7">
        <v>78.35</v>
      </c>
      <c r="E1937" s="31" t="s">
        <v>9</v>
      </c>
      <c r="F1937" s="32">
        <v>58.1</v>
      </c>
      <c r="G1937" s="33">
        <f t="shared" si="27"/>
        <v>0.348537005163511</v>
      </c>
    </row>
    <row r="1938" ht="46.5" customHeight="1" spans="1:7">
      <c r="A1938" s="6" t="s">
        <v>3340</v>
      </c>
      <c r="B1938" s="12" t="s">
        <v>3341</v>
      </c>
      <c r="C1938" s="4" t="s">
        <v>12</v>
      </c>
      <c r="D1938" s="7">
        <v>156.05</v>
      </c>
      <c r="E1938" s="2"/>
      <c r="F1938" s="32">
        <v>87.35</v>
      </c>
      <c r="G1938" s="33">
        <f t="shared" si="27"/>
        <v>0.786491127647396</v>
      </c>
    </row>
    <row r="1939" ht="46.5" customHeight="1" spans="1:7">
      <c r="A1939" s="6" t="s">
        <v>3342</v>
      </c>
      <c r="B1939" s="12" t="s">
        <v>3343</v>
      </c>
      <c r="C1939" s="4"/>
      <c r="D1939" s="14"/>
    </row>
    <row r="1940" spans="1:7">
      <c r="A1940" s="6" t="s">
        <v>3344</v>
      </c>
      <c r="B1940" s="3" t="s">
        <v>3345</v>
      </c>
      <c r="C1940" s="4" t="s">
        <v>12</v>
      </c>
      <c r="D1940" s="7">
        <v>62.7</v>
      </c>
      <c r="E1940" s="2"/>
      <c r="F1940" s="32">
        <v>30.9</v>
      </c>
      <c r="G1940" s="33">
        <f>(D1940-F1940)/F1940</f>
        <v>1.02912621359223</v>
      </c>
    </row>
    <row r="1941" spans="1:7">
      <c r="A1941" s="6" t="s">
        <v>3346</v>
      </c>
      <c r="B1941" s="3" t="s">
        <v>55</v>
      </c>
      <c r="C1941" s="4"/>
      <c r="D1941" s="7"/>
      <c r="E1941" s="2"/>
      <c r="F1941" s="32">
        <v>49.65</v>
      </c>
      <c r="G1941" s="33">
        <f>(D1941-F1941)/F1941</f>
        <v>-1</v>
      </c>
    </row>
    <row r="1942" ht="46.5" customHeight="1" spans="1:7">
      <c r="A1942" s="6" t="s">
        <v>3347</v>
      </c>
      <c r="B1942" s="12" t="s">
        <v>3348</v>
      </c>
      <c r="C1942" s="4"/>
      <c r="D1942" s="14"/>
    </row>
    <row r="1943" spans="1:7">
      <c r="A1943" s="6" t="s">
        <v>3349</v>
      </c>
      <c r="B1943" s="3" t="s">
        <v>3246</v>
      </c>
      <c r="C1943" s="4" t="s">
        <v>12</v>
      </c>
      <c r="D1943" s="7">
        <v>92</v>
      </c>
      <c r="F1943" s="32">
        <v>49.35</v>
      </c>
      <c r="G1943" s="33">
        <f>(D1943-F1943)/F1943</f>
        <v>0.864235055724417</v>
      </c>
    </row>
    <row r="1944" spans="1:7">
      <c r="A1944" s="6" t="s">
        <v>3350</v>
      </c>
      <c r="B1944" s="3" t="s">
        <v>3248</v>
      </c>
      <c r="C1944" s="4" t="s">
        <v>12</v>
      </c>
      <c r="D1944" s="7">
        <v>137.45</v>
      </c>
      <c r="F1944" s="32">
        <v>73.9</v>
      </c>
      <c r="G1944" s="33">
        <f>(D1944-F1944)/F1944</f>
        <v>0.859945872801082</v>
      </c>
    </row>
    <row r="1945" ht="62" customHeight="1" spans="1:7">
      <c r="A1945" s="6" t="s">
        <v>3351</v>
      </c>
      <c r="B1945" s="12" t="s">
        <v>3352</v>
      </c>
      <c r="C1945" s="4"/>
      <c r="D1945" s="14"/>
    </row>
    <row r="1946" spans="1:7">
      <c r="A1946" s="6" t="s">
        <v>3353</v>
      </c>
      <c r="B1946" s="3" t="s">
        <v>3246</v>
      </c>
      <c r="C1946" s="4" t="s">
        <v>12</v>
      </c>
      <c r="D1946" s="7">
        <v>95.45</v>
      </c>
      <c r="E1946" s="2"/>
      <c r="F1946" s="32">
        <v>46.65</v>
      </c>
      <c r="G1946" s="33">
        <f>(D1946-F1946)/F1946</f>
        <v>1.04608788853162</v>
      </c>
    </row>
    <row r="1947" spans="1:7">
      <c r="A1947" s="6" t="s">
        <v>3354</v>
      </c>
      <c r="B1947" s="3" t="s">
        <v>3248</v>
      </c>
      <c r="C1947" s="4" t="s">
        <v>12</v>
      </c>
      <c r="D1947" s="7">
        <v>142.8</v>
      </c>
      <c r="E1947" s="2"/>
      <c r="F1947" s="32">
        <v>71</v>
      </c>
      <c r="G1947" s="33">
        <f>(D1947-F1947)/F1947</f>
        <v>1.0112676056338</v>
      </c>
    </row>
    <row r="1948" ht="31" customHeight="1" spans="1:7">
      <c r="A1948" s="6" t="s">
        <v>3355</v>
      </c>
      <c r="B1948" s="12" t="s">
        <v>3356</v>
      </c>
      <c r="C1948" s="4"/>
      <c r="D1948" s="14"/>
    </row>
    <row r="1949" ht="31" customHeight="1" spans="1:7">
      <c r="A1949" s="6" t="s">
        <v>3357</v>
      </c>
      <c r="B1949" s="3" t="s">
        <v>3358</v>
      </c>
      <c r="C1949" s="4" t="s">
        <v>12</v>
      </c>
      <c r="D1949" s="7">
        <v>70.35</v>
      </c>
      <c r="F1949" s="32">
        <v>38.45</v>
      </c>
      <c r="G1949" s="33">
        <f>(D1949-F1949)/F1949</f>
        <v>0.8296488946684</v>
      </c>
    </row>
    <row r="1950" ht="31" customHeight="1" spans="1:7">
      <c r="A1950" s="6" t="s">
        <v>3359</v>
      </c>
      <c r="B1950" s="3" t="s">
        <v>3360</v>
      </c>
      <c r="C1950" s="4" t="s">
        <v>12</v>
      </c>
      <c r="D1950" s="7">
        <v>73.95</v>
      </c>
      <c r="F1950" s="32">
        <v>36.95</v>
      </c>
      <c r="G1950" s="33">
        <f>(D1950-F1950)/F1950</f>
        <v>1.00135317997294</v>
      </c>
    </row>
    <row r="1951" ht="46.5" customHeight="1" spans="1:7">
      <c r="A1951" s="6" t="s">
        <v>3361</v>
      </c>
      <c r="B1951" s="12" t="s">
        <v>3362</v>
      </c>
      <c r="C1951" s="4" t="s">
        <v>12</v>
      </c>
      <c r="D1951" s="7">
        <v>269.15</v>
      </c>
      <c r="E1951" s="31" t="s">
        <v>9</v>
      </c>
      <c r="F1951" s="32">
        <v>146.45</v>
      </c>
      <c r="G1951" s="33">
        <f>(D1951-F1951)/F1951</f>
        <v>0.837828610447252</v>
      </c>
    </row>
    <row r="1952" spans="1:7">
      <c r="A1952" s="6" t="s">
        <v>3363</v>
      </c>
      <c r="B1952" s="12" t="s">
        <v>3187</v>
      </c>
      <c r="C1952" s="4"/>
      <c r="D1952" s="7"/>
      <c r="E1952" s="31">
        <v>14.42</v>
      </c>
    </row>
    <row r="1953" spans="1:7">
      <c r="A1953" s="6" t="s">
        <v>3364</v>
      </c>
      <c r="B1953" s="3" t="s">
        <v>3365</v>
      </c>
      <c r="C1953" s="4" t="s">
        <v>12</v>
      </c>
      <c r="D1953" s="7">
        <v>22.85</v>
      </c>
    </row>
    <row r="1954" spans="1:7">
      <c r="A1954" s="6" t="s">
        <v>3366</v>
      </c>
      <c r="B1954" s="3" t="s">
        <v>3345</v>
      </c>
      <c r="C1954" s="4" t="s">
        <v>12</v>
      </c>
      <c r="D1954" s="7">
        <v>13.9</v>
      </c>
    </row>
    <row r="1955" ht="31" customHeight="1" spans="1:7">
      <c r="A1955" s="6" t="s">
        <v>3367</v>
      </c>
      <c r="B1955" s="12" t="s">
        <v>3368</v>
      </c>
      <c r="C1955" s="4" t="s">
        <v>12</v>
      </c>
      <c r="D1955" s="7">
        <v>19.75</v>
      </c>
      <c r="E1955" s="31">
        <v>14.43</v>
      </c>
      <c r="F1955" s="32">
        <v>8.35</v>
      </c>
      <c r="G1955" s="33">
        <f>(D1955-F1955)/F1955</f>
        <v>1.36526946107784</v>
      </c>
    </row>
    <row r="1956" spans="1:7">
      <c r="A1956" s="6" t="s">
        <v>3369</v>
      </c>
      <c r="B1956" s="12" t="s">
        <v>55</v>
      </c>
      <c r="C1956" s="4"/>
      <c r="D1956" s="14"/>
      <c r="E1956" s="31">
        <v>14.45</v>
      </c>
    </row>
    <row r="1957" spans="1:7">
      <c r="A1957" s="6" t="s">
        <v>3370</v>
      </c>
      <c r="B1957" s="3" t="s">
        <v>55</v>
      </c>
      <c r="C1957" s="4"/>
      <c r="D1957" s="7"/>
      <c r="F1957" s="32">
        <v>33.35</v>
      </c>
      <c r="G1957" s="33">
        <f>(D1957-F1957)/F1957</f>
        <v>-1</v>
      </c>
    </row>
    <row r="1958" ht="46.5" customHeight="1" spans="1:7">
      <c r="A1958" s="6" t="s">
        <v>3371</v>
      </c>
      <c r="B1958" s="12" t="s">
        <v>3372</v>
      </c>
      <c r="C1958" s="4" t="s">
        <v>12</v>
      </c>
      <c r="D1958" s="7">
        <v>25.15</v>
      </c>
      <c r="E1958" s="31">
        <v>14.46</v>
      </c>
      <c r="F1958" s="32">
        <v>10.8</v>
      </c>
      <c r="G1958" s="33">
        <f>(D1958-F1958)/F1958</f>
        <v>1.3287037037037</v>
      </c>
    </row>
    <row r="1959" ht="31" customHeight="1" spans="1:7">
      <c r="A1959" s="6" t="s">
        <v>3373</v>
      </c>
      <c r="B1959" s="12" t="s">
        <v>3256</v>
      </c>
      <c r="C1959" s="4" t="s">
        <v>12</v>
      </c>
      <c r="D1959" s="7"/>
      <c r="E1959" s="31">
        <v>14.47</v>
      </c>
    </row>
    <row r="1960" spans="1:7">
      <c r="A1960" s="6" t="s">
        <v>3374</v>
      </c>
      <c r="B1960" s="3" t="s">
        <v>3345</v>
      </c>
      <c r="C1960" s="4" t="s">
        <v>12</v>
      </c>
      <c r="D1960" s="7">
        <v>93.3</v>
      </c>
    </row>
    <row r="1961" ht="46.5" customHeight="1" spans="1:7">
      <c r="A1961" s="6" t="s">
        <v>3375</v>
      </c>
      <c r="B1961" s="12" t="s">
        <v>3376</v>
      </c>
      <c r="C1961" s="4"/>
      <c r="D1961" s="7"/>
      <c r="E1961" s="31">
        <v>14.48</v>
      </c>
    </row>
    <row r="1962" spans="1:7">
      <c r="A1962" s="6" t="s">
        <v>3377</v>
      </c>
      <c r="B1962" s="3" t="s">
        <v>3378</v>
      </c>
      <c r="C1962" s="4" t="s">
        <v>49</v>
      </c>
      <c r="D1962" s="7">
        <v>57.25</v>
      </c>
    </row>
    <row r="1963" ht="31" customHeight="1" spans="1:7">
      <c r="A1963" s="6" t="s">
        <v>3379</v>
      </c>
      <c r="B1963" s="12" t="s">
        <v>3380</v>
      </c>
      <c r="C1963" s="4"/>
      <c r="D1963" s="14"/>
      <c r="E1963" s="51">
        <v>14.49</v>
      </c>
    </row>
    <row r="1964" spans="1:7">
      <c r="A1964" s="6" t="s">
        <v>3381</v>
      </c>
      <c r="B1964" s="3" t="s">
        <v>3378</v>
      </c>
      <c r="C1964" s="4" t="s">
        <v>49</v>
      </c>
      <c r="D1964" s="7">
        <v>26.85</v>
      </c>
      <c r="E1964" s="51"/>
    </row>
    <row r="1965" spans="1:7">
      <c r="A1965" s="6" t="s">
        <v>3382</v>
      </c>
      <c r="B1965" s="3" t="s">
        <v>3268</v>
      </c>
      <c r="C1965" s="4" t="s">
        <v>49</v>
      </c>
      <c r="D1965" s="7">
        <v>35.5</v>
      </c>
      <c r="E1965" s="51"/>
    </row>
    <row r="1966" spans="1:7">
      <c r="A1966" s="6" t="s">
        <v>3383</v>
      </c>
      <c r="B1966" s="3" t="s">
        <v>3270</v>
      </c>
      <c r="C1966" s="4" t="s">
        <v>49</v>
      </c>
      <c r="D1966" s="7">
        <v>51.2</v>
      </c>
      <c r="E1966" s="51"/>
    </row>
    <row r="1967" ht="46.5" customHeight="1" spans="1:7">
      <c r="A1967" s="6" t="s">
        <v>3384</v>
      </c>
      <c r="B1967" s="12" t="s">
        <v>3385</v>
      </c>
      <c r="C1967" s="4"/>
      <c r="D1967" s="14"/>
      <c r="E1967" s="55">
        <v>14.5</v>
      </c>
    </row>
    <row r="1968" spans="1:7">
      <c r="A1968" s="6" t="s">
        <v>3386</v>
      </c>
      <c r="B1968" s="3" t="s">
        <v>3378</v>
      </c>
      <c r="C1968" s="4" t="s">
        <v>49</v>
      </c>
      <c r="D1968" s="7">
        <v>58.9</v>
      </c>
      <c r="E1968" s="51"/>
      <c r="F1968" s="32">
        <v>27.6</v>
      </c>
      <c r="G1968" s="33">
        <f>(D1968-F1968)/F1968</f>
        <v>1.13405797101449</v>
      </c>
    </row>
    <row r="1969" spans="1:7">
      <c r="A1969" s="6" t="s">
        <v>3387</v>
      </c>
      <c r="B1969" s="3" t="s">
        <v>3268</v>
      </c>
      <c r="C1969" s="4" t="s">
        <v>49</v>
      </c>
      <c r="D1969" s="7">
        <v>81.45</v>
      </c>
      <c r="E1969" s="51"/>
      <c r="F1969" s="32">
        <v>38.75</v>
      </c>
      <c r="G1969" s="33">
        <f>(D1969-F1969)/F1969</f>
        <v>1.10193548387097</v>
      </c>
    </row>
    <row r="1970" spans="1:7">
      <c r="A1970" s="6" t="s">
        <v>3388</v>
      </c>
      <c r="B1970" s="3" t="s">
        <v>3270</v>
      </c>
      <c r="C1970" s="4" t="s">
        <v>49</v>
      </c>
      <c r="D1970" s="7">
        <v>121.35</v>
      </c>
      <c r="E1970" s="51"/>
      <c r="F1970" s="32">
        <v>57.75</v>
      </c>
      <c r="G1970" s="33">
        <f>(D1970-F1970)/F1970</f>
        <v>1.1012987012987</v>
      </c>
    </row>
    <row r="1971" ht="46.5" customHeight="1" spans="1:7">
      <c r="A1971" s="6" t="s">
        <v>3389</v>
      </c>
      <c r="B1971" s="12" t="s">
        <v>3390</v>
      </c>
      <c r="C1971" s="4"/>
      <c r="D1971" s="14"/>
      <c r="E1971" s="51">
        <v>14.51</v>
      </c>
    </row>
    <row r="1972" spans="1:7">
      <c r="A1972" s="6" t="s">
        <v>3391</v>
      </c>
      <c r="B1972" s="3" t="s">
        <v>3378</v>
      </c>
      <c r="C1972" s="4" t="s">
        <v>49</v>
      </c>
      <c r="D1972" s="7">
        <v>28.2</v>
      </c>
      <c r="E1972" s="51"/>
    </row>
    <row r="1973" spans="1:7">
      <c r="A1973" s="6" t="s">
        <v>3392</v>
      </c>
      <c r="B1973" s="3" t="s">
        <v>3268</v>
      </c>
      <c r="C1973" s="4" t="s">
        <v>49</v>
      </c>
      <c r="D1973" s="7">
        <v>36.25</v>
      </c>
      <c r="E1973" s="51"/>
    </row>
    <row r="1974" spans="1:7">
      <c r="A1974" s="6" t="s">
        <v>3393</v>
      </c>
      <c r="B1974" s="3" t="s">
        <v>3270</v>
      </c>
      <c r="C1974" s="4" t="s">
        <v>49</v>
      </c>
      <c r="D1974" s="7">
        <v>52.25</v>
      </c>
      <c r="E1974" s="51"/>
    </row>
    <row r="1975" spans="1:7">
      <c r="A1975" s="6" t="s">
        <v>3394</v>
      </c>
      <c r="B1975" s="12" t="s">
        <v>3395</v>
      </c>
      <c r="C1975" s="4"/>
      <c r="D1975" s="14"/>
      <c r="E1975" s="51">
        <v>14.52</v>
      </c>
    </row>
    <row r="1976" spans="1:7">
      <c r="A1976" s="6" t="s">
        <v>3396</v>
      </c>
      <c r="B1976" s="3" t="s">
        <v>3345</v>
      </c>
      <c r="C1976" s="4" t="s">
        <v>12</v>
      </c>
      <c r="D1976" s="7">
        <v>41.2</v>
      </c>
      <c r="E1976" s="51"/>
      <c r="F1976" s="32">
        <v>24.8</v>
      </c>
      <c r="G1976" s="33">
        <f>(D1976-F1976)/F1976</f>
        <v>0.661290322580645</v>
      </c>
    </row>
    <row r="1977" spans="1:7">
      <c r="A1977" s="6" t="s">
        <v>3397</v>
      </c>
      <c r="B1977" s="12" t="s">
        <v>55</v>
      </c>
      <c r="C1977" s="4"/>
      <c r="D1977" s="14"/>
      <c r="E1977" s="2">
        <v>14.53</v>
      </c>
    </row>
    <row r="1978" spans="1:7">
      <c r="A1978" s="6" t="s">
        <v>3398</v>
      </c>
      <c r="B1978" s="3" t="s">
        <v>55</v>
      </c>
      <c r="C1978" s="4"/>
      <c r="D1978" s="7"/>
      <c r="F1978" s="32">
        <v>55.25</v>
      </c>
      <c r="G1978" s="33">
        <f>(D1978-F1978)/F1978</f>
        <v>-1</v>
      </c>
    </row>
    <row r="1979" ht="31" customHeight="1" spans="1:7">
      <c r="A1979" s="6" t="s">
        <v>3399</v>
      </c>
      <c r="B1979" s="12" t="s">
        <v>3289</v>
      </c>
      <c r="C1979" s="4"/>
      <c r="D1979" s="7"/>
      <c r="E1979" s="56">
        <v>14.54</v>
      </c>
    </row>
    <row r="1980" spans="1:7">
      <c r="A1980" s="6" t="s">
        <v>3400</v>
      </c>
      <c r="B1980" s="3" t="s">
        <v>3401</v>
      </c>
      <c r="C1980" s="4" t="s">
        <v>12</v>
      </c>
      <c r="D1980" s="7">
        <v>102.8</v>
      </c>
      <c r="E1980" s="56"/>
      <c r="F1980" s="32">
        <v>51.3</v>
      </c>
      <c r="G1980" s="33">
        <f>(D1980-F1980)/F1980</f>
        <v>1.00389863547758</v>
      </c>
    </row>
    <row r="1981" spans="1:7">
      <c r="A1981" s="6" t="s">
        <v>3402</v>
      </c>
      <c r="B1981" s="12" t="s">
        <v>3403</v>
      </c>
      <c r="C1981" s="4"/>
      <c r="D1981" s="7"/>
      <c r="E1981" s="51">
        <v>14.55</v>
      </c>
    </row>
    <row r="1982" spans="1:7">
      <c r="A1982" s="6" t="s">
        <v>3404</v>
      </c>
      <c r="B1982" s="3" t="s">
        <v>3401</v>
      </c>
      <c r="C1982" s="4" t="s">
        <v>12</v>
      </c>
      <c r="D1982" s="7">
        <v>96</v>
      </c>
      <c r="E1982" s="51"/>
      <c r="F1982" s="32">
        <v>44.4</v>
      </c>
      <c r="G1982" s="33">
        <f>(D1982-F1982)/F1982</f>
        <v>1.16216216216216</v>
      </c>
    </row>
    <row r="1983" ht="31" customHeight="1" spans="1:7">
      <c r="A1983" s="6" t="s">
        <v>3405</v>
      </c>
      <c r="B1983" s="12" t="s">
        <v>3296</v>
      </c>
      <c r="C1983" s="4"/>
      <c r="D1983" s="14"/>
      <c r="E1983" s="51">
        <v>14.56</v>
      </c>
    </row>
    <row r="1984" spans="1:7">
      <c r="A1984" s="6" t="s">
        <v>3406</v>
      </c>
      <c r="B1984" s="3" t="s">
        <v>3401</v>
      </c>
      <c r="C1984" s="4" t="s">
        <v>12</v>
      </c>
      <c r="D1984" s="7">
        <v>107.25</v>
      </c>
      <c r="E1984" s="51"/>
      <c r="F1984" s="32">
        <v>55.75</v>
      </c>
      <c r="G1984" s="33">
        <f>(D1984-F1984)/F1984</f>
        <v>0.923766816143498</v>
      </c>
    </row>
    <row r="1985" ht="31" customHeight="1" spans="1:7">
      <c r="A1985" s="6" t="s">
        <v>3407</v>
      </c>
      <c r="B1985" s="12" t="s">
        <v>3299</v>
      </c>
      <c r="C1985" s="4"/>
      <c r="D1985" s="14"/>
      <c r="E1985" s="51">
        <v>14.57</v>
      </c>
    </row>
    <row r="1986" spans="1:7">
      <c r="A1986" s="6" t="s">
        <v>3408</v>
      </c>
      <c r="B1986" s="3" t="s">
        <v>3401</v>
      </c>
      <c r="C1986" s="4" t="s">
        <v>12</v>
      </c>
      <c r="D1986" s="7">
        <v>93.7</v>
      </c>
      <c r="E1986" s="51"/>
      <c r="F1986" s="32">
        <v>43.55</v>
      </c>
      <c r="G1986" s="33">
        <f>(D1986-F1986)/F1986</f>
        <v>1.15154994259472</v>
      </c>
    </row>
    <row r="1987" spans="1:7">
      <c r="A1987" s="6" t="s">
        <v>3409</v>
      </c>
      <c r="B1987" s="12" t="s">
        <v>3308</v>
      </c>
      <c r="C1987" s="4"/>
      <c r="D1987" s="7"/>
      <c r="E1987" s="51">
        <v>14.58</v>
      </c>
      <c r="F1987" s="32">
        <v>105.85</v>
      </c>
      <c r="G1987" s="33">
        <f>(D1987-F1987)/F1987</f>
        <v>-1</v>
      </c>
    </row>
    <row r="1988" spans="1:7">
      <c r="A1988" s="6" t="s">
        <v>3410</v>
      </c>
      <c r="B1988" s="3" t="s">
        <v>3401</v>
      </c>
      <c r="C1988" s="4" t="s">
        <v>12</v>
      </c>
      <c r="D1988" s="7">
        <v>224.8</v>
      </c>
      <c r="E1988" s="51"/>
    </row>
    <row r="1989" spans="1:7">
      <c r="A1989" s="6" t="s">
        <v>3411</v>
      </c>
      <c r="B1989" s="12" t="s">
        <v>3412</v>
      </c>
      <c r="C1989" s="4"/>
      <c r="D1989" s="14"/>
      <c r="E1989" s="51">
        <v>14.59</v>
      </c>
    </row>
    <row r="1990" spans="1:7">
      <c r="A1990" s="6" t="s">
        <v>3413</v>
      </c>
      <c r="B1990" s="3" t="s">
        <v>3414</v>
      </c>
      <c r="C1990" s="4" t="s">
        <v>12</v>
      </c>
      <c r="D1990" s="7">
        <v>99.8</v>
      </c>
      <c r="E1990" s="51"/>
      <c r="F1990" s="32">
        <v>46.95</v>
      </c>
      <c r="G1990" s="33">
        <f>(D1990-F1990)/F1990</f>
        <v>1.12566560170394</v>
      </c>
    </row>
    <row r="1991" ht="31" customHeight="1" spans="1:7">
      <c r="A1991" s="6" t="s">
        <v>3415</v>
      </c>
      <c r="B1991" s="12" t="s">
        <v>3416</v>
      </c>
      <c r="C1991" s="4" t="s">
        <v>3319</v>
      </c>
      <c r="D1991" s="7">
        <v>3.85</v>
      </c>
      <c r="E1991" s="51">
        <v>14.6</v>
      </c>
      <c r="F1991" s="32">
        <v>1.7</v>
      </c>
      <c r="G1991" s="33">
        <f>(D1991-F1991)/F1991</f>
        <v>1.26470588235294</v>
      </c>
    </row>
    <row r="1992" ht="31" customHeight="1" spans="1:7">
      <c r="A1992" s="6" t="s">
        <v>3417</v>
      </c>
      <c r="B1992" s="12" t="s">
        <v>3418</v>
      </c>
      <c r="C1992" s="4" t="s">
        <v>12</v>
      </c>
      <c r="D1992" s="7">
        <v>95.8</v>
      </c>
      <c r="E1992" s="51">
        <v>14.61</v>
      </c>
      <c r="F1992" s="32">
        <v>44.8</v>
      </c>
      <c r="G1992" s="33">
        <f>(D1992-F1992)/F1992</f>
        <v>1.13839285714286</v>
      </c>
    </row>
    <row r="1993" spans="1:7">
      <c r="A1993" s="6" t="s">
        <v>3419</v>
      </c>
      <c r="B1993" s="12" t="s">
        <v>3420</v>
      </c>
      <c r="C1993" s="4"/>
      <c r="D1993" s="14"/>
      <c r="E1993" s="31">
        <v>14.62</v>
      </c>
    </row>
    <row r="1994" spans="1:7">
      <c r="A1994" s="6" t="s">
        <v>3421</v>
      </c>
      <c r="B1994" s="3" t="s">
        <v>3422</v>
      </c>
      <c r="C1994" s="4" t="s">
        <v>156</v>
      </c>
      <c r="D1994" s="7">
        <v>80.1</v>
      </c>
      <c r="E1994" s="51"/>
      <c r="F1994" s="32">
        <v>62.65</v>
      </c>
      <c r="G1994" s="33">
        <f>(D1994-F1994)/F1994</f>
        <v>0.27853152434158</v>
      </c>
    </row>
    <row r="1995" spans="1:7">
      <c r="A1995" s="6" t="s">
        <v>3423</v>
      </c>
      <c r="B1995" s="3" t="s">
        <v>3424</v>
      </c>
      <c r="C1995" s="4" t="s">
        <v>156</v>
      </c>
      <c r="D1995" s="7">
        <v>78.65</v>
      </c>
      <c r="E1995" s="51"/>
      <c r="F1995" s="32">
        <v>62.65</v>
      </c>
      <c r="G1995" s="33">
        <f>(D1995-F1995)/F1995</f>
        <v>0.255387071029529</v>
      </c>
    </row>
    <row r="1996" spans="1:7">
      <c r="A1996" s="6" t="s">
        <v>3425</v>
      </c>
      <c r="B1996" s="12" t="s">
        <v>55</v>
      </c>
      <c r="C1996" s="4"/>
      <c r="D1996" s="14"/>
      <c r="E1996" s="51">
        <v>14.63</v>
      </c>
    </row>
    <row r="1997" spans="1:7">
      <c r="A1997" s="6" t="s">
        <v>3426</v>
      </c>
      <c r="B1997" s="3" t="s">
        <v>55</v>
      </c>
      <c r="C1997" s="4"/>
      <c r="D1997" s="7"/>
      <c r="E1997" s="51"/>
      <c r="F1997" s="32">
        <v>29.8</v>
      </c>
      <c r="G1997" s="33">
        <f>(D1997-F1997)/F1997</f>
        <v>-1</v>
      </c>
    </row>
    <row r="1998" spans="1:7">
      <c r="A1998" s="6" t="s">
        <v>3427</v>
      </c>
      <c r="B1998" s="12" t="s">
        <v>3207</v>
      </c>
      <c r="C1998" s="4"/>
      <c r="D1998" s="14"/>
      <c r="E1998" s="51">
        <v>14.64</v>
      </c>
    </row>
    <row r="1999" ht="31" customHeight="1" spans="1:7">
      <c r="A1999" s="6" t="s">
        <v>3428</v>
      </c>
      <c r="B1999" s="3" t="s">
        <v>3429</v>
      </c>
      <c r="C1999" s="4" t="s">
        <v>12</v>
      </c>
      <c r="D1999" s="7">
        <v>112.9</v>
      </c>
      <c r="E1999" s="51"/>
      <c r="F1999" s="32">
        <v>55.7</v>
      </c>
      <c r="G1999" s="33">
        <f>(D1999-F1999)/F1999</f>
        <v>1.02692998204668</v>
      </c>
    </row>
    <row r="2000" spans="1:7">
      <c r="A2000" s="6" t="s">
        <v>3430</v>
      </c>
      <c r="B2000" s="3" t="s">
        <v>3431</v>
      </c>
      <c r="C2000" s="4" t="s">
        <v>12</v>
      </c>
      <c r="D2000" s="7">
        <v>75.8</v>
      </c>
      <c r="E2000" s="51"/>
      <c r="F2000" s="32">
        <v>37.9</v>
      </c>
      <c r="G2000" s="33">
        <f>(D2000-F2000)/F2000</f>
        <v>1</v>
      </c>
    </row>
    <row r="2001" spans="1:7">
      <c r="A2001" s="6" t="s">
        <v>3432</v>
      </c>
      <c r="B2001" s="12" t="s">
        <v>3211</v>
      </c>
      <c r="C2001" s="4"/>
      <c r="D2001" s="14"/>
      <c r="E2001" s="31">
        <v>14.65</v>
      </c>
    </row>
    <row r="2002" spans="1:7">
      <c r="A2002" s="6" t="s">
        <v>3433</v>
      </c>
      <c r="B2002" s="3" t="s">
        <v>3434</v>
      </c>
      <c r="C2002" s="4" t="s">
        <v>12</v>
      </c>
      <c r="D2002" s="7">
        <v>169.2</v>
      </c>
      <c r="F2002" s="32">
        <v>124.75</v>
      </c>
      <c r="G2002" s="33">
        <f>(D2002-F2002)/F2002</f>
        <v>0.356312625250501</v>
      </c>
    </row>
    <row r="2003" spans="1:7">
      <c r="A2003" s="6" t="s">
        <v>3435</v>
      </c>
      <c r="B2003" s="3" t="s">
        <v>3436</v>
      </c>
      <c r="C2003" s="4" t="s">
        <v>12</v>
      </c>
      <c r="D2003" s="7">
        <v>109.1</v>
      </c>
      <c r="F2003" s="32">
        <v>76.2</v>
      </c>
      <c r="G2003" s="33">
        <f>(D2003-F2003)/F2003</f>
        <v>0.431758530183727</v>
      </c>
    </row>
    <row r="2004" spans="1:7">
      <c r="A2004" s="6" t="s">
        <v>3437</v>
      </c>
      <c r="B2004" s="12" t="s">
        <v>3215</v>
      </c>
      <c r="C2004" s="4"/>
      <c r="D2004" s="14"/>
      <c r="E2004" s="31">
        <v>14.66</v>
      </c>
    </row>
    <row r="2005" spans="1:7">
      <c r="A2005" s="6" t="s">
        <v>3438</v>
      </c>
      <c r="B2005" s="3" t="s">
        <v>3439</v>
      </c>
      <c r="C2005" s="4" t="s">
        <v>12</v>
      </c>
      <c r="D2005" s="7">
        <v>120.75</v>
      </c>
      <c r="F2005" s="32">
        <v>68.95</v>
      </c>
      <c r="G2005" s="33">
        <f>(D2005-F2005)/F2005</f>
        <v>0.751269035532995</v>
      </c>
    </row>
    <row r="2006" spans="1:7">
      <c r="A2006" s="6" t="s">
        <v>3440</v>
      </c>
      <c r="B2006" s="3" t="s">
        <v>3441</v>
      </c>
      <c r="C2006" s="4" t="s">
        <v>12</v>
      </c>
      <c r="D2006" s="7">
        <v>80.65</v>
      </c>
      <c r="F2006" s="32">
        <v>45.35</v>
      </c>
      <c r="G2006" s="33">
        <f>(D2006-F2006)/F2006</f>
        <v>0.778390297684675</v>
      </c>
    </row>
    <row r="2007" ht="31" customHeight="1" spans="1:7">
      <c r="A2007" s="6" t="s">
        <v>3442</v>
      </c>
      <c r="B2007" s="12" t="s">
        <v>3443</v>
      </c>
      <c r="C2007" s="4"/>
      <c r="D2007" s="14"/>
      <c r="E2007" s="31">
        <v>14.67</v>
      </c>
    </row>
    <row r="2008" ht="31" customHeight="1" spans="1:7">
      <c r="A2008" s="6" t="s">
        <v>3444</v>
      </c>
      <c r="B2008" s="3" t="s">
        <v>3445</v>
      </c>
      <c r="C2008" s="4" t="s">
        <v>12</v>
      </c>
      <c r="D2008" s="7">
        <v>131.3</v>
      </c>
      <c r="F2008" s="32">
        <v>70.75</v>
      </c>
      <c r="G2008" s="33">
        <f>(D2008-F2008)/F2008</f>
        <v>0.85583038869258</v>
      </c>
    </row>
    <row r="2009" spans="1:7">
      <c r="A2009" s="6" t="s">
        <v>3446</v>
      </c>
      <c r="B2009" s="3" t="s">
        <v>3447</v>
      </c>
      <c r="C2009" s="4" t="s">
        <v>12</v>
      </c>
      <c r="D2009" s="7">
        <v>88.55</v>
      </c>
    </row>
    <row r="2010" spans="1:7">
      <c r="A2010" s="6" t="s">
        <v>3448</v>
      </c>
      <c r="B2010" s="12" t="s">
        <v>3449</v>
      </c>
      <c r="C2010" s="4"/>
      <c r="D2010" s="14"/>
      <c r="E2010" s="31">
        <v>14.69</v>
      </c>
    </row>
    <row r="2011" spans="1:7">
      <c r="A2011" s="6" t="s">
        <v>3450</v>
      </c>
      <c r="B2011" s="3" t="s">
        <v>3451</v>
      </c>
      <c r="C2011" s="4" t="s">
        <v>12</v>
      </c>
      <c r="D2011" s="7">
        <v>94.6</v>
      </c>
      <c r="F2011" s="32">
        <v>46.95</v>
      </c>
      <c r="G2011" s="33">
        <f>(D2011-F2011)/F2011</f>
        <v>1.01490947816826</v>
      </c>
    </row>
    <row r="2012" spans="1:7">
      <c r="A2012" s="6" t="s">
        <v>3452</v>
      </c>
      <c r="B2012" s="3" t="s">
        <v>3453</v>
      </c>
      <c r="C2012" s="4" t="s">
        <v>12</v>
      </c>
      <c r="D2012" s="7">
        <v>95.05</v>
      </c>
      <c r="F2012" s="32">
        <v>47.5</v>
      </c>
      <c r="G2012" s="33">
        <f>(D2012-F2012)/F2012</f>
        <v>1.00105263157895</v>
      </c>
    </row>
    <row r="2013" spans="1:7">
      <c r="A2013" s="6" t="s">
        <v>3454</v>
      </c>
      <c r="B2013" s="12" t="s">
        <v>3455</v>
      </c>
      <c r="C2013" s="4" t="s">
        <v>12</v>
      </c>
      <c r="D2013" s="7">
        <v>138.1</v>
      </c>
      <c r="E2013" s="48">
        <v>14.7</v>
      </c>
      <c r="F2013" s="32">
        <v>79.5</v>
      </c>
      <c r="G2013" s="33">
        <f>(D2013-F2013)/F2013</f>
        <v>0.737106918238994</v>
      </c>
    </row>
    <row r="2014" ht="31" customHeight="1" spans="1:7">
      <c r="A2014" s="6" t="s">
        <v>3456</v>
      </c>
      <c r="B2014" s="12" t="s">
        <v>3457</v>
      </c>
      <c r="C2014" s="4" t="s">
        <v>12</v>
      </c>
      <c r="D2014" s="7">
        <v>99.7</v>
      </c>
      <c r="E2014" s="31">
        <v>14.71</v>
      </c>
      <c r="F2014" s="32">
        <v>47.2</v>
      </c>
      <c r="G2014" s="33">
        <f>(D2014-F2014)/F2014</f>
        <v>1.11228813559322</v>
      </c>
    </row>
    <row r="2015" ht="294.5" customHeight="1" spans="1:7">
      <c r="A2015" s="6" t="s">
        <v>3458</v>
      </c>
      <c r="B2015" s="12" t="s">
        <v>3459</v>
      </c>
      <c r="C2015" s="4" t="s">
        <v>12</v>
      </c>
      <c r="D2015" s="7">
        <v>1360.45</v>
      </c>
    </row>
    <row r="2016" spans="1:7">
      <c r="B2016" s="53"/>
      <c r="D2016" s="16"/>
    </row>
    <row r="2017" spans="1:7">
      <c r="B2017" s="53"/>
      <c r="D2017" s="16"/>
    </row>
    <row r="2018" spans="1:7">
      <c r="D2018" s="16"/>
    </row>
    <row r="2019" ht="31" customHeight="1" spans="1:7">
      <c r="A2019" s="35" t="s">
        <v>3460</v>
      </c>
      <c r="B2019" s="36"/>
      <c r="C2019" s="37"/>
      <c r="D2019" s="37"/>
    </row>
    <row r="2020" spans="1:7">
      <c r="A2020" s="6" t="s">
        <v>204</v>
      </c>
      <c r="B2020" s="12" t="s">
        <v>2</v>
      </c>
      <c r="C2020" s="4" t="s">
        <v>205</v>
      </c>
      <c r="D2020" s="14" t="s">
        <v>4</v>
      </c>
    </row>
    <row r="2021" ht="62" customHeight="1" spans="1:7">
      <c r="A2021" s="6" t="s">
        <v>3461</v>
      </c>
      <c r="B2021" s="12" t="s">
        <v>3462</v>
      </c>
      <c r="C2021" s="4"/>
      <c r="D2021" s="14"/>
    </row>
    <row r="2022" spans="1:7">
      <c r="A2022" s="6" t="s">
        <v>3463</v>
      </c>
      <c r="B2022" s="3" t="s">
        <v>3464</v>
      </c>
      <c r="C2022" s="4" t="s">
        <v>12</v>
      </c>
      <c r="D2022" s="7">
        <v>547.4</v>
      </c>
      <c r="F2022" s="32">
        <v>264.8</v>
      </c>
      <c r="G2022" s="33">
        <f>(D2022-F2022)/F2022</f>
        <v>1.06722054380665</v>
      </c>
    </row>
    <row r="2023" spans="1:7">
      <c r="A2023" s="6" t="s">
        <v>3465</v>
      </c>
      <c r="B2023" s="3" t="s">
        <v>3466</v>
      </c>
      <c r="C2023" s="4" t="s">
        <v>12</v>
      </c>
      <c r="D2023" s="7">
        <v>560.5</v>
      </c>
      <c r="F2023" s="32">
        <v>274.8</v>
      </c>
      <c r="G2023" s="33">
        <f>(D2023-F2023)/F2023</f>
        <v>1.03966521106259</v>
      </c>
    </row>
    <row r="2024" ht="108.5" customHeight="1" spans="1:7">
      <c r="A2024" s="6" t="s">
        <v>3467</v>
      </c>
      <c r="B2024" s="12" t="s">
        <v>3468</v>
      </c>
      <c r="C2024" s="4"/>
      <c r="D2024" s="14"/>
    </row>
    <row r="2025" spans="1:7">
      <c r="A2025" s="6" t="s">
        <v>3469</v>
      </c>
      <c r="B2025" s="3" t="s">
        <v>3470</v>
      </c>
      <c r="C2025" s="4" t="s">
        <v>156</v>
      </c>
      <c r="D2025" s="7">
        <v>1782.55</v>
      </c>
      <c r="F2025" s="32">
        <v>852.7</v>
      </c>
      <c r="G2025" s="33">
        <f>(D2025-F2025)/F2025</f>
        <v>1.09047730737657</v>
      </c>
    </row>
    <row r="2026" spans="1:7">
      <c r="A2026" s="6" t="s">
        <v>3471</v>
      </c>
      <c r="B2026" s="3" t="s">
        <v>3472</v>
      </c>
      <c r="C2026" s="4" t="s">
        <v>156</v>
      </c>
      <c r="D2026" s="7">
        <v>1125.15</v>
      </c>
      <c r="F2026" s="32">
        <v>529.5</v>
      </c>
      <c r="G2026" s="33">
        <f>(D2026-F2026)/F2026</f>
        <v>1.12492917847026</v>
      </c>
    </row>
    <row r="2027" spans="1:7">
      <c r="A2027" s="6" t="s">
        <v>3473</v>
      </c>
      <c r="B2027" s="3" t="s">
        <v>3474</v>
      </c>
      <c r="C2027" s="4" t="s">
        <v>156</v>
      </c>
      <c r="D2027" s="7">
        <v>851</v>
      </c>
      <c r="F2027" s="32">
        <v>387.1</v>
      </c>
      <c r="G2027" s="33">
        <f>(D2027-F2027)/F2027</f>
        <v>1.19839834668044</v>
      </c>
    </row>
    <row r="2028" ht="62" customHeight="1" spans="1:7">
      <c r="A2028" s="6" t="s">
        <v>3475</v>
      </c>
      <c r="B2028" s="12" t="s">
        <v>3476</v>
      </c>
      <c r="C2028" s="4" t="s">
        <v>156</v>
      </c>
      <c r="D2028" s="7">
        <v>217.1</v>
      </c>
      <c r="F2028" s="32">
        <v>157.95</v>
      </c>
      <c r="G2028" s="33">
        <f>(D2028-F2028)/F2028</f>
        <v>0.374485596707819</v>
      </c>
    </row>
    <row r="2029" ht="62" customHeight="1" spans="1:7">
      <c r="A2029" s="6" t="s">
        <v>3477</v>
      </c>
      <c r="B2029" s="12" t="s">
        <v>3478</v>
      </c>
      <c r="C2029" s="4"/>
      <c r="D2029" s="14"/>
    </row>
    <row r="2030" spans="1:7">
      <c r="A2030" s="6" t="s">
        <v>3479</v>
      </c>
      <c r="B2030" s="3" t="s">
        <v>3480</v>
      </c>
      <c r="C2030" s="4" t="s">
        <v>12</v>
      </c>
      <c r="D2030" s="7">
        <v>1264.35</v>
      </c>
      <c r="F2030" s="32">
        <v>546.25</v>
      </c>
      <c r="G2030" s="33">
        <f>(D2030-F2030)/F2030</f>
        <v>1.3145995423341</v>
      </c>
    </row>
    <row r="2031" ht="31" customHeight="1" spans="1:7">
      <c r="A2031" s="6" t="s">
        <v>3481</v>
      </c>
      <c r="B2031" s="12" t="s">
        <v>3482</v>
      </c>
      <c r="C2031" s="4"/>
      <c r="D2031" s="14"/>
    </row>
    <row r="2032" spans="1:7">
      <c r="A2032" s="6" t="s">
        <v>3483</v>
      </c>
      <c r="B2032" s="3" t="s">
        <v>3484</v>
      </c>
      <c r="C2032" s="4" t="s">
        <v>12</v>
      </c>
      <c r="D2032" s="7">
        <v>1090.65</v>
      </c>
      <c r="E2032" s="2"/>
      <c r="F2032" s="32">
        <v>637.9</v>
      </c>
      <c r="G2032" s="33">
        <f>(D2032-F2032)/F2032</f>
        <v>0.70975074463082</v>
      </c>
    </row>
    <row r="2033" spans="1:7">
      <c r="A2033" s="6" t="s">
        <v>3485</v>
      </c>
      <c r="B2033" s="3" t="s">
        <v>3486</v>
      </c>
      <c r="C2033" s="4" t="s">
        <v>12</v>
      </c>
      <c r="D2033" s="7">
        <v>1416.15</v>
      </c>
      <c r="E2033" s="2"/>
      <c r="F2033" s="32">
        <v>898.55</v>
      </c>
      <c r="G2033" s="33">
        <f>(D2033-F2033)/F2033</f>
        <v>0.576039174225141</v>
      </c>
    </row>
    <row r="2034" spans="1:7">
      <c r="A2034" s="6" t="s">
        <v>3487</v>
      </c>
      <c r="B2034" s="12" t="s">
        <v>3488</v>
      </c>
      <c r="C2034" s="4"/>
      <c r="D2034" s="14"/>
    </row>
    <row r="2035" spans="1:7">
      <c r="A2035" s="6" t="s">
        <v>3489</v>
      </c>
      <c r="B2035" s="3" t="s">
        <v>3484</v>
      </c>
      <c r="C2035" s="4" t="s">
        <v>12</v>
      </c>
      <c r="D2035" s="7">
        <v>1580.9</v>
      </c>
      <c r="E2035" s="2"/>
      <c r="F2035" s="32">
        <v>852.6</v>
      </c>
      <c r="G2035" s="33">
        <f>(D2035-F2035)/F2035</f>
        <v>0.854210649777152</v>
      </c>
    </row>
    <row r="2036" spans="1:7">
      <c r="A2036" s="6" t="s">
        <v>3490</v>
      </c>
      <c r="B2036" s="3" t="s">
        <v>3486</v>
      </c>
      <c r="C2036" s="4" t="s">
        <v>12</v>
      </c>
      <c r="D2036" s="7">
        <v>1906.4</v>
      </c>
      <c r="E2036" s="2"/>
      <c r="F2036" s="32">
        <v>1113.25</v>
      </c>
      <c r="G2036" s="33">
        <f>(D2036-F2036)/F2036</f>
        <v>0.712463507747586</v>
      </c>
    </row>
    <row r="2037" spans="1:7">
      <c r="A2037" s="6" t="s">
        <v>3491</v>
      </c>
      <c r="B2037" s="12" t="s">
        <v>3492</v>
      </c>
      <c r="C2037" s="4"/>
      <c r="D2037" s="14"/>
      <c r="G2037" s="33" t="e">
        <f>(D2037-F2037)/F2037</f>
        <v>#DIV/0!</v>
      </c>
    </row>
    <row r="2038" spans="1:7">
      <c r="A2038" s="6" t="s">
        <v>3493</v>
      </c>
      <c r="B2038" s="3" t="s">
        <v>3484</v>
      </c>
      <c r="C2038" s="4" t="s">
        <v>12</v>
      </c>
      <c r="D2038" s="7">
        <v>1227.3</v>
      </c>
      <c r="E2038" s="2"/>
      <c r="F2038" s="32">
        <v>688.65</v>
      </c>
      <c r="G2038" s="33">
        <f>(D2038-F2038)/F2038</f>
        <v>0.782182531038989</v>
      </c>
    </row>
    <row r="2039" spans="1:7">
      <c r="A2039" s="6" t="s">
        <v>3494</v>
      </c>
      <c r="B2039" s="3" t="s">
        <v>3486</v>
      </c>
      <c r="C2039" s="4" t="s">
        <v>12</v>
      </c>
      <c r="D2039" s="7">
        <v>1552.75</v>
      </c>
      <c r="E2039" s="2"/>
      <c r="F2039" s="32">
        <v>949.3</v>
      </c>
      <c r="G2039" s="33">
        <f>(D2039-F2039)/F2039</f>
        <v>0.635678921310439</v>
      </c>
    </row>
    <row r="2040" spans="1:7">
      <c r="A2040" s="6" t="s">
        <v>3495</v>
      </c>
      <c r="B2040" s="12" t="s">
        <v>3496</v>
      </c>
      <c r="C2040" s="4"/>
      <c r="D2040" s="14"/>
    </row>
    <row r="2041" spans="1:7">
      <c r="A2041" s="6" t="s">
        <v>3497</v>
      </c>
      <c r="B2041" s="3" t="s">
        <v>3498</v>
      </c>
      <c r="C2041" s="4" t="s">
        <v>49</v>
      </c>
      <c r="D2041" s="7">
        <v>77.7</v>
      </c>
      <c r="F2041" s="32">
        <v>38.65</v>
      </c>
      <c r="G2041" s="33">
        <f t="shared" ref="G2041:G2047" si="28">(D2041-F2041)/F2041</f>
        <v>1.01034928848642</v>
      </c>
    </row>
    <row r="2042" spans="1:7">
      <c r="A2042" s="6" t="s">
        <v>3499</v>
      </c>
      <c r="B2042" s="3" t="s">
        <v>3500</v>
      </c>
      <c r="C2042" s="4" t="s">
        <v>49</v>
      </c>
      <c r="D2042" s="7">
        <v>70.75</v>
      </c>
      <c r="F2042" s="32">
        <v>34.2</v>
      </c>
      <c r="G2042" s="33">
        <f t="shared" si="28"/>
        <v>1.0687134502924</v>
      </c>
    </row>
    <row r="2043" spans="1:7">
      <c r="A2043" s="6" t="s">
        <v>3501</v>
      </c>
      <c r="B2043" s="12" t="s">
        <v>3502</v>
      </c>
      <c r="C2043" s="4" t="s">
        <v>49</v>
      </c>
      <c r="D2043" s="7">
        <v>56.15</v>
      </c>
      <c r="F2043" s="32">
        <v>25.45</v>
      </c>
      <c r="G2043" s="33">
        <f t="shared" si="28"/>
        <v>1.20628683693517</v>
      </c>
    </row>
    <row r="2044" spans="1:7">
      <c r="A2044" s="6" t="s">
        <v>3503</v>
      </c>
      <c r="B2044" s="12" t="s">
        <v>3504</v>
      </c>
      <c r="C2044" s="4" t="s">
        <v>12</v>
      </c>
      <c r="D2044" s="7">
        <v>729.85</v>
      </c>
      <c r="F2044" s="32">
        <v>330.75</v>
      </c>
      <c r="G2044" s="33">
        <f t="shared" si="28"/>
        <v>1.20665154950869</v>
      </c>
    </row>
    <row r="2045" spans="1:7">
      <c r="A2045" s="6" t="s">
        <v>3505</v>
      </c>
      <c r="B2045" s="12" t="s">
        <v>3506</v>
      </c>
      <c r="C2045" s="4" t="s">
        <v>12</v>
      </c>
      <c r="D2045" s="7">
        <v>679.6</v>
      </c>
      <c r="F2045" s="32">
        <v>295.05</v>
      </c>
      <c r="G2045" s="33">
        <f t="shared" si="28"/>
        <v>1.30333841721742</v>
      </c>
    </row>
    <row r="2046" ht="62" customHeight="1" spans="1:7">
      <c r="A2046" s="6" t="s">
        <v>3507</v>
      </c>
      <c r="B2046" s="12" t="s">
        <v>3508</v>
      </c>
      <c r="C2046" s="4" t="s">
        <v>156</v>
      </c>
      <c r="D2046" s="7">
        <v>563.9</v>
      </c>
      <c r="F2046" s="32">
        <v>259.5</v>
      </c>
      <c r="G2046" s="33">
        <f t="shared" si="28"/>
        <v>1.17302504816956</v>
      </c>
    </row>
    <row r="2047" ht="93" customHeight="1" spans="1:7">
      <c r="A2047" s="6" t="s">
        <v>3509</v>
      </c>
      <c r="B2047" s="12" t="s">
        <v>3510</v>
      </c>
      <c r="C2047" s="4" t="s">
        <v>12</v>
      </c>
      <c r="D2047" s="7">
        <v>696.05</v>
      </c>
      <c r="F2047" s="32">
        <v>314.1</v>
      </c>
      <c r="G2047" s="33">
        <f t="shared" si="28"/>
        <v>1.21601400827762</v>
      </c>
    </row>
    <row r="2048" ht="62" customHeight="1" spans="1:7">
      <c r="A2048" s="6" t="s">
        <v>3511</v>
      </c>
      <c r="B2048" s="12" t="s">
        <v>3512</v>
      </c>
      <c r="C2048" s="4"/>
      <c r="D2048" s="14"/>
    </row>
    <row r="2049" spans="1:7">
      <c r="A2049" s="6" t="s">
        <v>3513</v>
      </c>
      <c r="B2049" s="3" t="s">
        <v>3514</v>
      </c>
      <c r="C2049" s="4" t="s">
        <v>12</v>
      </c>
      <c r="D2049" s="7">
        <v>1365.85</v>
      </c>
      <c r="F2049" s="32">
        <v>659.1</v>
      </c>
      <c r="G2049" s="33">
        <f>(D2049-F2049)/F2049</f>
        <v>1.07229555454408</v>
      </c>
    </row>
    <row r="2050" ht="62" customHeight="1" spans="1:7">
      <c r="A2050" s="6" t="s">
        <v>3515</v>
      </c>
      <c r="B2050" s="12" t="s">
        <v>3516</v>
      </c>
      <c r="C2050" s="4"/>
      <c r="D2050" s="14"/>
    </row>
    <row r="2051" spans="1:7">
      <c r="A2051" s="6" t="s">
        <v>3517</v>
      </c>
      <c r="B2051" s="3" t="s">
        <v>3518</v>
      </c>
      <c r="C2051" s="4" t="s">
        <v>16</v>
      </c>
      <c r="D2051" s="7">
        <v>99120.65</v>
      </c>
      <c r="F2051" s="32">
        <v>76828.35</v>
      </c>
      <c r="G2051" s="33">
        <f>(D2051-F2051)/F2051</f>
        <v>0.290157214101305</v>
      </c>
    </row>
    <row r="2052" ht="62" customHeight="1" spans="1:7">
      <c r="A2052" s="6" t="s">
        <v>3519</v>
      </c>
      <c r="B2052" s="12" t="s">
        <v>3520</v>
      </c>
      <c r="C2052" s="4"/>
      <c r="D2052" s="14"/>
    </row>
    <row r="2053" spans="1:7">
      <c r="A2053" s="6" t="s">
        <v>3521</v>
      </c>
      <c r="B2053" s="3" t="s">
        <v>3522</v>
      </c>
      <c r="C2053" s="4"/>
      <c r="D2053" s="14"/>
    </row>
    <row r="2054" spans="1:7">
      <c r="A2054" s="6" t="s">
        <v>3523</v>
      </c>
      <c r="B2054" s="3" t="s">
        <v>3524</v>
      </c>
      <c r="C2054" s="4" t="s">
        <v>16</v>
      </c>
      <c r="D2054" s="7">
        <v>104573.95</v>
      </c>
      <c r="F2054" s="32">
        <v>79341.25</v>
      </c>
      <c r="G2054" s="33">
        <f>(D2054-F2054)/F2054</f>
        <v>0.318027507759205</v>
      </c>
    </row>
    <row r="2055" spans="1:7">
      <c r="A2055" s="6" t="s">
        <v>3525</v>
      </c>
      <c r="B2055" s="3" t="s">
        <v>3526</v>
      </c>
      <c r="C2055" s="4" t="s">
        <v>16</v>
      </c>
      <c r="D2055" s="7">
        <v>70271.7</v>
      </c>
      <c r="F2055" s="32">
        <v>48223.75</v>
      </c>
      <c r="G2055" s="33">
        <f>(D2055-F2055)/F2055</f>
        <v>0.457201067938516</v>
      </c>
    </row>
    <row r="2056" spans="1:7">
      <c r="A2056" s="6" t="s">
        <v>3527</v>
      </c>
      <c r="B2056" s="3" t="s">
        <v>3528</v>
      </c>
      <c r="C2056" s="4"/>
      <c r="D2056" s="14"/>
    </row>
    <row r="2057" spans="1:7">
      <c r="A2057" s="6" t="s">
        <v>3529</v>
      </c>
      <c r="B2057" s="3" t="s">
        <v>3524</v>
      </c>
      <c r="C2057" s="4" t="s">
        <v>16</v>
      </c>
      <c r="D2057" s="7">
        <v>107320</v>
      </c>
      <c r="F2057" s="32">
        <v>80485.9</v>
      </c>
      <c r="G2057" s="33">
        <f>(D2057-F2057)/F2057</f>
        <v>0.333401254132712</v>
      </c>
    </row>
    <row r="2058" spans="1:7">
      <c r="A2058" s="6" t="s">
        <v>3530</v>
      </c>
      <c r="B2058" s="3" t="s">
        <v>3526</v>
      </c>
      <c r="C2058" s="4" t="s">
        <v>16</v>
      </c>
      <c r="D2058" s="7">
        <v>72987.25</v>
      </c>
      <c r="F2058" s="32">
        <v>49336.15</v>
      </c>
      <c r="G2058" s="33">
        <f>(D2058-F2058)/F2058</f>
        <v>0.479386818793116</v>
      </c>
    </row>
    <row r="2059" ht="46.5" customHeight="1" spans="1:7">
      <c r="A2059" s="6" t="s">
        <v>3531</v>
      </c>
      <c r="B2059" s="12" t="s">
        <v>3532</v>
      </c>
      <c r="C2059" s="4" t="s">
        <v>12</v>
      </c>
      <c r="D2059" s="7">
        <v>72.45</v>
      </c>
      <c r="F2059" s="32">
        <v>29.65</v>
      </c>
      <c r="G2059" s="33">
        <f>(D2059-F2059)/F2059</f>
        <v>1.44350758853288</v>
      </c>
    </row>
    <row r="2060" ht="31" customHeight="1" spans="1:7">
      <c r="A2060" s="6" t="s">
        <v>3533</v>
      </c>
      <c r="B2060" s="12" t="s">
        <v>3534</v>
      </c>
      <c r="C2060" s="4"/>
      <c r="D2060" s="14"/>
    </row>
    <row r="2061" spans="1:7">
      <c r="A2061" s="6" t="s">
        <v>3535</v>
      </c>
      <c r="B2061" s="3" t="s">
        <v>3536</v>
      </c>
      <c r="C2061" s="4" t="s">
        <v>12</v>
      </c>
      <c r="D2061" s="7">
        <v>137.7</v>
      </c>
      <c r="F2061" s="32">
        <v>62.95</v>
      </c>
      <c r="G2061" s="33">
        <f>(D2061-F2061)/F2061</f>
        <v>1.18745035742653</v>
      </c>
    </row>
    <row r="2062" spans="1:7">
      <c r="A2062" s="6" t="s">
        <v>3537</v>
      </c>
      <c r="B2062" s="3" t="s">
        <v>3538</v>
      </c>
      <c r="C2062" s="4" t="s">
        <v>12</v>
      </c>
      <c r="D2062" s="7">
        <v>139.05</v>
      </c>
      <c r="F2062" s="32">
        <v>64</v>
      </c>
      <c r="G2062" s="33">
        <f>(D2062-F2062)/F2062</f>
        <v>1.17265625</v>
      </c>
    </row>
    <row r="2063" ht="31" customHeight="1" spans="1:7">
      <c r="A2063" s="6" t="s">
        <v>3539</v>
      </c>
      <c r="B2063" s="12" t="s">
        <v>3540</v>
      </c>
      <c r="C2063" s="4" t="s">
        <v>575</v>
      </c>
      <c r="D2063" s="7">
        <v>5.4</v>
      </c>
      <c r="F2063" s="32">
        <v>2.25</v>
      </c>
      <c r="G2063" s="33">
        <f>(D2063-F2063)/F2063</f>
        <v>1.4</v>
      </c>
    </row>
    <row r="2064" ht="46.5" customHeight="1" spans="1:7">
      <c r="A2064" s="6" t="s">
        <v>3541</v>
      </c>
      <c r="B2064" s="12" t="s">
        <v>3542</v>
      </c>
      <c r="C2064" s="4" t="s">
        <v>49</v>
      </c>
      <c r="D2064" s="7">
        <v>126</v>
      </c>
      <c r="F2064" s="32">
        <v>74.4</v>
      </c>
      <c r="G2064" s="33">
        <f>(D2064-F2064)/F2064</f>
        <v>0.693548387096774</v>
      </c>
    </row>
    <row r="2065" ht="46.5" customHeight="1" spans="1:7">
      <c r="A2065" s="6" t="s">
        <v>3543</v>
      </c>
      <c r="B2065" s="12" t="s">
        <v>3544</v>
      </c>
      <c r="C2065" s="4" t="s">
        <v>575</v>
      </c>
      <c r="D2065" s="7">
        <v>298.85</v>
      </c>
      <c r="F2065" s="32">
        <v>144.1</v>
      </c>
      <c r="G2065" s="33">
        <f>(D2065-F2065)/F2065</f>
        <v>1.07390700902151</v>
      </c>
    </row>
    <row r="2066" ht="31" customHeight="1" spans="1:7">
      <c r="A2066" s="6" t="s">
        <v>3545</v>
      </c>
      <c r="B2066" s="12" t="s">
        <v>3546</v>
      </c>
      <c r="C2066" s="4"/>
      <c r="D2066" s="14"/>
    </row>
    <row r="2067" spans="1:7">
      <c r="A2067" s="6" t="s">
        <v>3547</v>
      </c>
      <c r="B2067" s="3" t="s">
        <v>3548</v>
      </c>
      <c r="C2067" s="4" t="s">
        <v>3549</v>
      </c>
      <c r="D2067" s="7">
        <v>123.7</v>
      </c>
      <c r="F2067" s="32">
        <v>122.65</v>
      </c>
      <c r="G2067" s="33">
        <f>(D2067-F2067)/F2067</f>
        <v>0.0085609457806767</v>
      </c>
    </row>
    <row r="2068" spans="1:7">
      <c r="A2068" s="6" t="s">
        <v>3550</v>
      </c>
      <c r="B2068" s="3" t="s">
        <v>3551</v>
      </c>
      <c r="C2068" s="4" t="s">
        <v>3549</v>
      </c>
      <c r="D2068" s="7">
        <v>304.55</v>
      </c>
      <c r="F2068" s="32">
        <v>187.25</v>
      </c>
      <c r="G2068" s="33">
        <f>(D2068-F2068)/F2068</f>
        <v>0.626435246995995</v>
      </c>
    </row>
    <row r="2069" spans="1:7">
      <c r="A2069" s="40"/>
      <c r="B2069" s="12" t="s">
        <v>3552</v>
      </c>
      <c r="C2069" s="4"/>
      <c r="D2069" s="14"/>
    </row>
    <row r="2070" ht="31" customHeight="1" spans="1:7">
      <c r="A2070" s="6" t="s">
        <v>3553</v>
      </c>
      <c r="B2070" s="12" t="s">
        <v>3554</v>
      </c>
      <c r="C2070" s="4" t="s">
        <v>3555</v>
      </c>
      <c r="D2070" s="7">
        <v>231.05</v>
      </c>
      <c r="F2070" s="32">
        <v>104.3</v>
      </c>
      <c r="G2070" s="33">
        <f>(D2070-F2070)/F2070</f>
        <v>1.21524448705657</v>
      </c>
    </row>
    <row r="2071" spans="1:7">
      <c r="A2071" s="6" t="s">
        <v>3556</v>
      </c>
      <c r="B2071" s="12" t="s">
        <v>3557</v>
      </c>
      <c r="C2071" s="4"/>
      <c r="D2071" s="7"/>
      <c r="F2071" s="32">
        <v>533.2</v>
      </c>
      <c r="G2071" s="33">
        <f>(D2071-F2071)/F2071</f>
        <v>-1</v>
      </c>
    </row>
    <row r="2072" spans="1:7">
      <c r="A2072" s="40"/>
      <c r="B2072" s="12" t="s">
        <v>3558</v>
      </c>
      <c r="C2072" s="4"/>
      <c r="D2072" s="7"/>
    </row>
    <row r="2073" spans="1:7">
      <c r="A2073" s="6" t="s">
        <v>3559</v>
      </c>
      <c r="B2073" s="12" t="s">
        <v>3560</v>
      </c>
      <c r="C2073" s="4" t="s">
        <v>16</v>
      </c>
      <c r="D2073" s="7">
        <v>6207.25</v>
      </c>
      <c r="F2073" s="32">
        <v>3972.2</v>
      </c>
      <c r="G2073" s="33">
        <f>(D2073-F2073)/F2073</f>
        <v>0.562673077891345</v>
      </c>
    </row>
    <row r="2074" spans="1:7">
      <c r="A2074" s="40"/>
      <c r="B2074" s="12" t="s">
        <v>3561</v>
      </c>
      <c r="C2074" s="4"/>
      <c r="D2074" s="7"/>
    </row>
    <row r="2075" spans="1:7">
      <c r="A2075" s="6" t="s">
        <v>3562</v>
      </c>
      <c r="B2075" s="12" t="s">
        <v>1362</v>
      </c>
      <c r="C2075" s="4"/>
      <c r="D2075" s="14"/>
    </row>
    <row r="2076" spans="1:7">
      <c r="A2076" s="6" t="s">
        <v>3563</v>
      </c>
      <c r="B2076" s="3" t="s">
        <v>1364</v>
      </c>
      <c r="C2076" s="4"/>
      <c r="D2076" s="14"/>
    </row>
    <row r="2077" ht="31" customHeight="1" spans="1:7">
      <c r="A2077" s="6" t="s">
        <v>3564</v>
      </c>
      <c r="B2077" s="3" t="s">
        <v>3565</v>
      </c>
      <c r="C2077" s="4" t="s">
        <v>12</v>
      </c>
      <c r="D2077" s="7">
        <v>5127</v>
      </c>
      <c r="F2077" s="32">
        <v>3492.55</v>
      </c>
      <c r="G2077" s="33">
        <f>(D2077-F2077)/F2077</f>
        <v>0.467981847074487</v>
      </c>
    </row>
    <row r="2078" ht="31" customHeight="1" spans="1:7">
      <c r="A2078" s="6" t="s">
        <v>3566</v>
      </c>
      <c r="B2078" s="3" t="s">
        <v>3567</v>
      </c>
      <c r="C2078" s="4" t="s">
        <v>12</v>
      </c>
      <c r="D2078" s="7">
        <v>4484.85</v>
      </c>
      <c r="F2078" s="32">
        <v>2954.85</v>
      </c>
      <c r="G2078" s="33">
        <f>(D2078-F2078)/F2078</f>
        <v>0.51779278135946</v>
      </c>
    </row>
    <row r="2079" spans="1:7">
      <c r="A2079" s="6" t="s">
        <v>3568</v>
      </c>
      <c r="B2079" s="3" t="s">
        <v>1370</v>
      </c>
      <c r="C2079" s="4"/>
      <c r="D2079" s="14"/>
    </row>
    <row r="2080" ht="31" customHeight="1" spans="1:7">
      <c r="A2080" s="6" t="s">
        <v>3569</v>
      </c>
      <c r="B2080" s="3" t="s">
        <v>3565</v>
      </c>
      <c r="C2080" s="4" t="s">
        <v>12</v>
      </c>
      <c r="D2080" s="7">
        <v>5054.05</v>
      </c>
      <c r="F2080" s="32">
        <v>3563.1</v>
      </c>
      <c r="G2080" s="33">
        <f>(D2080-F2080)/F2080</f>
        <v>0.418441806292274</v>
      </c>
    </row>
    <row r="2081" ht="31" customHeight="1" spans="1:7">
      <c r="A2081" s="6" t="s">
        <v>3570</v>
      </c>
      <c r="B2081" s="3" t="s">
        <v>3567</v>
      </c>
      <c r="C2081" s="4" t="s">
        <v>12</v>
      </c>
      <c r="D2081" s="7">
        <v>4362.45</v>
      </c>
      <c r="F2081" s="32">
        <v>2985.05</v>
      </c>
      <c r="G2081" s="33">
        <f>(D2081-F2081)/F2081</f>
        <v>0.461432806820656</v>
      </c>
    </row>
    <row r="2082" ht="46.5" customHeight="1" spans="1:7">
      <c r="A2082" s="6" t="s">
        <v>3571</v>
      </c>
      <c r="B2082" s="12" t="s">
        <v>3572</v>
      </c>
      <c r="C2082" s="4"/>
      <c r="D2082" s="14"/>
    </row>
    <row r="2083" spans="1:7">
      <c r="A2083" s="6" t="s">
        <v>3573</v>
      </c>
      <c r="B2083" s="3" t="s">
        <v>1256</v>
      </c>
      <c r="C2083" s="4" t="s">
        <v>12</v>
      </c>
      <c r="D2083" s="7">
        <v>4602.65</v>
      </c>
      <c r="F2083" s="32">
        <v>2837.2</v>
      </c>
      <c r="G2083" s="33">
        <f>(D2083-F2083)/F2083</f>
        <v>0.622250810658396</v>
      </c>
    </row>
    <row r="2084" ht="31" customHeight="1" spans="1:7">
      <c r="A2084" s="6" t="s">
        <v>3574</v>
      </c>
      <c r="B2084" s="12" t="s">
        <v>3575</v>
      </c>
      <c r="C2084" s="4"/>
      <c r="D2084" s="14"/>
    </row>
    <row r="2085" spans="1:7">
      <c r="A2085" s="6" t="s">
        <v>3576</v>
      </c>
      <c r="B2085" s="3" t="s">
        <v>3577</v>
      </c>
      <c r="C2085" s="4" t="s">
        <v>49</v>
      </c>
      <c r="D2085" s="7">
        <v>343.5</v>
      </c>
      <c r="F2085" s="32">
        <v>222.1</v>
      </c>
      <c r="G2085" s="33">
        <f>(D2085-F2085)/F2085</f>
        <v>0.546600630346691</v>
      </c>
    </row>
    <row r="2086" spans="1:7">
      <c r="A2086" s="6" t="s">
        <v>3578</v>
      </c>
      <c r="B2086" s="3" t="s">
        <v>3579</v>
      </c>
      <c r="C2086" s="4" t="s">
        <v>49</v>
      </c>
      <c r="D2086" s="7">
        <v>421.75</v>
      </c>
      <c r="F2086" s="32">
        <v>245.35</v>
      </c>
      <c r="G2086" s="33">
        <f>(D2086-F2086)/F2086</f>
        <v>0.718972895863053</v>
      </c>
    </row>
    <row r="2087" ht="31" customHeight="1" spans="1:7">
      <c r="A2087" s="6" t="s">
        <v>3580</v>
      </c>
      <c r="B2087" s="12" t="s">
        <v>3581</v>
      </c>
      <c r="C2087" s="4" t="s">
        <v>575</v>
      </c>
      <c r="D2087" s="7">
        <v>120.75</v>
      </c>
      <c r="F2087" s="32">
        <v>61.8</v>
      </c>
      <c r="G2087" s="33">
        <f>(D2087-F2087)/F2087</f>
        <v>0.953883495145631</v>
      </c>
    </row>
    <row r="2088" ht="31" customHeight="1" spans="1:7">
      <c r="A2088" s="6" t="s">
        <v>3582</v>
      </c>
      <c r="B2088" s="12" t="s">
        <v>3583</v>
      </c>
      <c r="C2088" s="4"/>
      <c r="D2088" s="14"/>
    </row>
    <row r="2089" spans="1:7">
      <c r="A2089" s="6" t="s">
        <v>3584</v>
      </c>
      <c r="B2089" s="3" t="s">
        <v>1258</v>
      </c>
      <c r="C2089" s="4" t="s">
        <v>16</v>
      </c>
      <c r="D2089" s="7">
        <v>97978.3</v>
      </c>
      <c r="F2089" s="32">
        <v>75873.5</v>
      </c>
      <c r="G2089" s="33">
        <f>(D2089-F2089)/F2089</f>
        <v>0.291337555272921</v>
      </c>
    </row>
    <row r="2090" spans="1:7">
      <c r="A2090" s="6" t="s">
        <v>3585</v>
      </c>
      <c r="B2090" s="3" t="s">
        <v>1507</v>
      </c>
      <c r="C2090" s="4" t="s">
        <v>16</v>
      </c>
      <c r="D2090" s="7">
        <v>64022.85</v>
      </c>
      <c r="F2090" s="32">
        <v>45070.55</v>
      </c>
      <c r="G2090" s="33">
        <f>(D2090-F2090)/F2090</f>
        <v>0.420502967015046</v>
      </c>
    </row>
    <row r="2091" ht="31" customHeight="1" spans="1:7">
      <c r="A2091" s="6" t="s">
        <v>3586</v>
      </c>
      <c r="B2091" s="12" t="s">
        <v>3587</v>
      </c>
      <c r="C2091" s="4"/>
      <c r="D2091" s="14"/>
    </row>
    <row r="2092" spans="1:7">
      <c r="A2092" s="6" t="s">
        <v>3588</v>
      </c>
      <c r="B2092" s="3" t="s">
        <v>1550</v>
      </c>
      <c r="C2092" s="4" t="s">
        <v>156</v>
      </c>
      <c r="D2092" s="7">
        <v>765.05</v>
      </c>
      <c r="F2092" s="32">
        <v>586.65</v>
      </c>
      <c r="G2092" s="33">
        <f>(D2092-F2092)/F2092</f>
        <v>0.304099548282622</v>
      </c>
    </row>
    <row r="2093" spans="1:7">
      <c r="A2093" s="6" t="s">
        <v>3589</v>
      </c>
      <c r="B2093" s="3" t="s">
        <v>1552</v>
      </c>
      <c r="C2093" s="4" t="s">
        <v>156</v>
      </c>
      <c r="D2093" s="7">
        <v>546</v>
      </c>
      <c r="F2093" s="32">
        <v>398.45</v>
      </c>
      <c r="G2093" s="33">
        <f>(D2093-F2093)/F2093</f>
        <v>0.370309951060359</v>
      </c>
    </row>
    <row r="2094" spans="1:7">
      <c r="A2094" s="6" t="s">
        <v>3590</v>
      </c>
      <c r="B2094" s="3" t="s">
        <v>1554</v>
      </c>
      <c r="C2094" s="4" t="s">
        <v>156</v>
      </c>
      <c r="D2094" s="7">
        <v>485.65</v>
      </c>
      <c r="F2094" s="32">
        <v>349.7</v>
      </c>
      <c r="G2094" s="33">
        <f>(D2094-F2094)/F2094</f>
        <v>0.388761795824993</v>
      </c>
    </row>
    <row r="2095" ht="31" customHeight="1" spans="1:7">
      <c r="A2095" s="6" t="s">
        <v>3591</v>
      </c>
      <c r="B2095" s="12" t="s">
        <v>3592</v>
      </c>
      <c r="C2095" s="4"/>
      <c r="D2095" s="14"/>
    </row>
    <row r="2096" spans="1:7">
      <c r="A2096" s="6" t="s">
        <v>3593</v>
      </c>
      <c r="B2096" s="3" t="s">
        <v>1550</v>
      </c>
      <c r="C2096" s="4" t="s">
        <v>156</v>
      </c>
      <c r="D2096" s="7">
        <v>851.85</v>
      </c>
      <c r="F2096" s="32">
        <v>630.75</v>
      </c>
      <c r="G2096" s="33">
        <f>(D2096-F2096)/F2096</f>
        <v>0.350535077288942</v>
      </c>
    </row>
    <row r="2097" spans="1:7">
      <c r="A2097" s="6" t="s">
        <v>3594</v>
      </c>
      <c r="B2097" s="3" t="s">
        <v>1552</v>
      </c>
      <c r="C2097" s="4" t="s">
        <v>156</v>
      </c>
      <c r="D2097" s="7">
        <v>726.65</v>
      </c>
      <c r="F2097" s="32">
        <v>528.55</v>
      </c>
      <c r="G2097" s="33">
        <f>(D2097-F2097)/F2097</f>
        <v>0.37479897833696</v>
      </c>
    </row>
    <row r="2098" spans="1:7">
      <c r="A2098" s="6" t="s">
        <v>3595</v>
      </c>
      <c r="B2098" s="3" t="s">
        <v>1554</v>
      </c>
      <c r="C2098" s="4" t="s">
        <v>156</v>
      </c>
      <c r="D2098" s="7">
        <v>704.75</v>
      </c>
      <c r="F2098" s="32">
        <v>477.45</v>
      </c>
      <c r="G2098" s="33">
        <f>(D2098-F2098)/F2098</f>
        <v>0.476070792753168</v>
      </c>
    </row>
    <row r="2099" ht="31" customHeight="1" spans="1:7">
      <c r="A2099" s="6" t="s">
        <v>3596</v>
      </c>
      <c r="B2099" s="12" t="s">
        <v>3597</v>
      </c>
      <c r="C2099" s="4"/>
      <c r="D2099" s="14"/>
    </row>
    <row r="2100" spans="1:7">
      <c r="A2100" s="6" t="s">
        <v>3598</v>
      </c>
      <c r="B2100" s="3" t="s">
        <v>3599</v>
      </c>
      <c r="C2100" s="4" t="s">
        <v>156</v>
      </c>
      <c r="D2100" s="7">
        <v>285.05</v>
      </c>
      <c r="F2100" s="32">
        <v>193.25</v>
      </c>
      <c r="G2100" s="33">
        <f>(D2100-F2100)/F2100</f>
        <v>0.47503234152652</v>
      </c>
    </row>
    <row r="2101" spans="1:7">
      <c r="A2101" s="6" t="s">
        <v>3600</v>
      </c>
      <c r="B2101" s="3" t="s">
        <v>1550</v>
      </c>
      <c r="C2101" s="4" t="s">
        <v>156</v>
      </c>
      <c r="D2101" s="7">
        <v>245.35</v>
      </c>
      <c r="F2101" s="32">
        <v>168.1</v>
      </c>
      <c r="G2101" s="33">
        <f>(D2101-F2101)/F2101</f>
        <v>0.459547888161808</v>
      </c>
    </row>
    <row r="2102" spans="1:7">
      <c r="A2102" s="6" t="s">
        <v>3601</v>
      </c>
      <c r="B2102" s="3" t="s">
        <v>1554</v>
      </c>
      <c r="C2102" s="4" t="s">
        <v>156</v>
      </c>
      <c r="D2102" s="7">
        <v>188.45</v>
      </c>
      <c r="F2102" s="32">
        <v>121.65</v>
      </c>
      <c r="G2102" s="33">
        <f>(D2102-F2102)/F2102</f>
        <v>0.54911631730374</v>
      </c>
    </row>
    <row r="2103" ht="31" customHeight="1" spans="1:7">
      <c r="A2103" s="6" t="s">
        <v>3602</v>
      </c>
      <c r="B2103" s="12" t="s">
        <v>3603</v>
      </c>
      <c r="C2103" s="4" t="s">
        <v>156</v>
      </c>
      <c r="D2103" s="7">
        <v>271.45</v>
      </c>
      <c r="F2103" s="32">
        <v>211.15</v>
      </c>
      <c r="G2103" s="33">
        <f>(D2103-F2103)/F2103</f>
        <v>0.285578972294577</v>
      </c>
    </row>
    <row r="2104" spans="1:7">
      <c r="A2104" s="6" t="s">
        <v>3604</v>
      </c>
      <c r="B2104" s="12" t="s">
        <v>3605</v>
      </c>
      <c r="C2104" s="4"/>
      <c r="D2104" s="14"/>
    </row>
    <row r="2105" spans="1:7">
      <c r="A2105" s="6" t="s">
        <v>3606</v>
      </c>
      <c r="B2105" s="3" t="s">
        <v>3607</v>
      </c>
      <c r="C2105" s="4" t="s">
        <v>156</v>
      </c>
      <c r="D2105" s="7">
        <v>101.85</v>
      </c>
      <c r="F2105" s="32">
        <v>79.05</v>
      </c>
      <c r="G2105" s="33">
        <f t="shared" ref="G2105:G2113" si="29">(D2105-F2105)/F2105</f>
        <v>0.28842504743833</v>
      </c>
    </row>
    <row r="2106" spans="1:7">
      <c r="A2106" s="6" t="s">
        <v>3608</v>
      </c>
      <c r="B2106" s="3" t="s">
        <v>3599</v>
      </c>
      <c r="C2106" s="4" t="s">
        <v>156</v>
      </c>
      <c r="D2106" s="7">
        <v>97.7</v>
      </c>
      <c r="F2106" s="32">
        <v>77.35</v>
      </c>
      <c r="G2106" s="33">
        <f t="shared" si="29"/>
        <v>0.263089851325146</v>
      </c>
    </row>
    <row r="2107" spans="1:7">
      <c r="A2107" s="6" t="s">
        <v>3609</v>
      </c>
      <c r="B2107" s="3" t="s">
        <v>2226</v>
      </c>
      <c r="C2107" s="4" t="s">
        <v>156</v>
      </c>
      <c r="D2107" s="7">
        <v>87.75</v>
      </c>
      <c r="F2107" s="32">
        <v>72.1</v>
      </c>
      <c r="G2107" s="33">
        <f t="shared" si="29"/>
        <v>0.217059639389737</v>
      </c>
    </row>
    <row r="2108" spans="1:7">
      <c r="A2108" s="6" t="s">
        <v>3610</v>
      </c>
      <c r="B2108" s="3" t="s">
        <v>1550</v>
      </c>
      <c r="C2108" s="4" t="s">
        <v>156</v>
      </c>
      <c r="D2108" s="7">
        <v>70.55</v>
      </c>
      <c r="F2108" s="32">
        <v>55.85</v>
      </c>
      <c r="G2108" s="33">
        <f t="shared" si="29"/>
        <v>0.263205013428827</v>
      </c>
    </row>
    <row r="2109" spans="1:7">
      <c r="A2109" s="6" t="s">
        <v>3611</v>
      </c>
      <c r="B2109" s="3" t="s">
        <v>1554</v>
      </c>
      <c r="C2109" s="4" t="s">
        <v>156</v>
      </c>
      <c r="D2109" s="7">
        <v>61.85</v>
      </c>
      <c r="F2109" s="32">
        <v>50.05</v>
      </c>
      <c r="G2109" s="33">
        <f t="shared" si="29"/>
        <v>0.235764235764236</v>
      </c>
    </row>
    <row r="2110" ht="31" customHeight="1" spans="1:7">
      <c r="A2110" s="6" t="s">
        <v>3612</v>
      </c>
      <c r="B2110" s="12" t="s">
        <v>3613</v>
      </c>
      <c r="C2110" s="4" t="s">
        <v>156</v>
      </c>
      <c r="D2110" s="7">
        <v>47.3</v>
      </c>
      <c r="F2110" s="32">
        <v>35.25</v>
      </c>
      <c r="G2110" s="33">
        <f t="shared" si="29"/>
        <v>0.341843971631206</v>
      </c>
    </row>
    <row r="2111" ht="31" customHeight="1" spans="1:7">
      <c r="A2111" s="6" t="s">
        <v>3614</v>
      </c>
      <c r="B2111" s="12" t="s">
        <v>3615</v>
      </c>
      <c r="C2111" s="4" t="s">
        <v>156</v>
      </c>
      <c r="D2111" s="7">
        <v>74.8</v>
      </c>
      <c r="F2111" s="32">
        <v>56.95</v>
      </c>
      <c r="G2111" s="33">
        <f t="shared" si="29"/>
        <v>0.313432835820895</v>
      </c>
    </row>
    <row r="2112" ht="31" customHeight="1" spans="1:7">
      <c r="A2112" s="6" t="s">
        <v>3616</v>
      </c>
      <c r="B2112" s="12" t="s">
        <v>3617</v>
      </c>
      <c r="C2112" s="4" t="s">
        <v>156</v>
      </c>
      <c r="D2112" s="7">
        <v>191.45</v>
      </c>
      <c r="F2112" s="32">
        <v>155.65</v>
      </c>
      <c r="G2112" s="33">
        <f t="shared" si="29"/>
        <v>0.230003212335368</v>
      </c>
    </row>
    <row r="2113" spans="1:7">
      <c r="A2113" s="6" t="s">
        <v>3618</v>
      </c>
      <c r="B2113" s="12" t="s">
        <v>3619</v>
      </c>
      <c r="C2113" s="4" t="s">
        <v>156</v>
      </c>
      <c r="D2113" s="7">
        <v>543.95</v>
      </c>
      <c r="F2113" s="32">
        <v>404.55</v>
      </c>
      <c r="G2113" s="33">
        <f t="shared" si="29"/>
        <v>0.344580397973057</v>
      </c>
    </row>
    <row r="2114" ht="31" customHeight="1" spans="1:7">
      <c r="A2114" s="6" t="s">
        <v>3620</v>
      </c>
      <c r="B2114" s="12" t="s">
        <v>3621</v>
      </c>
      <c r="C2114" s="4"/>
      <c r="D2114" s="14"/>
    </row>
    <row r="2115" spans="1:7">
      <c r="A2115" s="6" t="s">
        <v>3622</v>
      </c>
      <c r="B2115" s="3" t="s">
        <v>1639</v>
      </c>
      <c r="C2115" s="4" t="s">
        <v>156</v>
      </c>
      <c r="D2115" s="7">
        <v>171.05</v>
      </c>
      <c r="F2115" s="32">
        <v>156.95</v>
      </c>
      <c r="G2115" s="33">
        <f t="shared" ref="G2115:G2120" si="30">(D2115-F2115)/F2115</f>
        <v>0.0898375278751196</v>
      </c>
    </row>
    <row r="2116" spans="1:7">
      <c r="A2116" s="6" t="s">
        <v>3623</v>
      </c>
      <c r="B2116" s="3" t="s">
        <v>1643</v>
      </c>
      <c r="C2116" s="4" t="s">
        <v>156</v>
      </c>
      <c r="D2116" s="7">
        <v>148.75</v>
      </c>
      <c r="F2116" s="32">
        <v>125.85</v>
      </c>
      <c r="G2116" s="33">
        <f t="shared" si="30"/>
        <v>0.181962653953119</v>
      </c>
    </row>
    <row r="2117" spans="1:7">
      <c r="A2117" s="6" t="s">
        <v>3624</v>
      </c>
      <c r="B2117" s="3" t="s">
        <v>1645</v>
      </c>
      <c r="C2117" s="4" t="s">
        <v>156</v>
      </c>
      <c r="D2117" s="7">
        <v>181</v>
      </c>
      <c r="F2117" s="32">
        <v>146.15</v>
      </c>
      <c r="G2117" s="33">
        <f t="shared" si="30"/>
        <v>0.238453643516935</v>
      </c>
    </row>
    <row r="2118" spans="1:7">
      <c r="A2118" s="6" t="s">
        <v>3625</v>
      </c>
      <c r="B2118" s="3" t="s">
        <v>1647</v>
      </c>
      <c r="C2118" s="4" t="s">
        <v>156</v>
      </c>
      <c r="D2118" s="7">
        <v>102.6</v>
      </c>
      <c r="F2118" s="32">
        <v>83.4</v>
      </c>
      <c r="G2118" s="33">
        <f t="shared" si="30"/>
        <v>0.230215827338129</v>
      </c>
    </row>
    <row r="2119" spans="1:7">
      <c r="A2119" s="6" t="s">
        <v>3626</v>
      </c>
      <c r="B2119" s="3" t="s">
        <v>1649</v>
      </c>
      <c r="C2119" s="4" t="s">
        <v>156</v>
      </c>
      <c r="D2119" s="7">
        <v>47.6</v>
      </c>
      <c r="F2119" s="32">
        <v>35.85</v>
      </c>
      <c r="G2119" s="33">
        <f t="shared" si="30"/>
        <v>0.327754532775453</v>
      </c>
    </row>
    <row r="2120" ht="31" customHeight="1" spans="1:7">
      <c r="A2120" s="6" t="s">
        <v>3627</v>
      </c>
      <c r="B2120" s="12" t="s">
        <v>3628</v>
      </c>
      <c r="C2120" s="4" t="s">
        <v>156</v>
      </c>
      <c r="D2120" s="7">
        <v>278.6</v>
      </c>
      <c r="F2120" s="32">
        <v>205.95</v>
      </c>
      <c r="G2120" s="33">
        <f t="shared" si="30"/>
        <v>0.352755523185239</v>
      </c>
    </row>
    <row r="2121" spans="1:7">
      <c r="A2121" s="40"/>
      <c r="B2121" s="12" t="s">
        <v>3629</v>
      </c>
      <c r="C2121" s="4"/>
      <c r="D2121" s="7"/>
    </row>
    <row r="2122" ht="170.5" customHeight="1" spans="1:7">
      <c r="A2122" s="6" t="s">
        <v>3630</v>
      </c>
      <c r="B2122" s="12" t="s">
        <v>3631</v>
      </c>
      <c r="C2122" s="4" t="s">
        <v>12</v>
      </c>
      <c r="D2122" s="7">
        <v>338.25</v>
      </c>
      <c r="F2122" s="32">
        <v>160.15</v>
      </c>
      <c r="G2122" s="33">
        <f>(D2122-F2122)/F2122</f>
        <v>1.11208242272869</v>
      </c>
    </row>
    <row r="2123" ht="31" customHeight="1" spans="1:7">
      <c r="A2123" s="40"/>
      <c r="B2123" s="12" t="s">
        <v>3632</v>
      </c>
      <c r="C2123" s="4"/>
      <c r="D2123" s="14"/>
    </row>
    <row r="2124" ht="31" customHeight="1" spans="1:7">
      <c r="A2124" s="6" t="s">
        <v>3633</v>
      </c>
      <c r="B2124" s="12" t="s">
        <v>3634</v>
      </c>
      <c r="C2124" s="4" t="s">
        <v>575</v>
      </c>
      <c r="D2124" s="7">
        <v>557.2</v>
      </c>
      <c r="F2124" s="32">
        <v>420.2</v>
      </c>
      <c r="G2124" s="33">
        <f>(D2124-F2124)/F2124</f>
        <v>0.32603522132318</v>
      </c>
    </row>
    <row r="2125" ht="31" customHeight="1" spans="1:7">
      <c r="A2125" s="6" t="s">
        <v>3635</v>
      </c>
      <c r="B2125" s="12" t="s">
        <v>3636</v>
      </c>
      <c r="C2125" s="4" t="s">
        <v>156</v>
      </c>
      <c r="D2125" s="7">
        <v>68.35</v>
      </c>
      <c r="F2125" s="32">
        <v>49.2</v>
      </c>
      <c r="G2125" s="33">
        <f>(D2125-F2125)/F2125</f>
        <v>0.389227642276423</v>
      </c>
    </row>
    <row r="2126" ht="62" customHeight="1" spans="1:7">
      <c r="A2126" s="6" t="s">
        <v>3637</v>
      </c>
      <c r="B2126" s="12" t="s">
        <v>3638</v>
      </c>
      <c r="C2126" s="4" t="s">
        <v>12</v>
      </c>
      <c r="D2126" s="7">
        <v>670.95</v>
      </c>
      <c r="F2126" s="32">
        <v>368.9</v>
      </c>
      <c r="G2126" s="33">
        <f>(D2126-F2126)/F2126</f>
        <v>0.818785578747628</v>
      </c>
    </row>
    <row r="2127" spans="1:7">
      <c r="A2127" s="40"/>
      <c r="B2127" s="12" t="s">
        <v>3639</v>
      </c>
      <c r="C2127" s="4"/>
      <c r="D2127" s="7"/>
    </row>
    <row r="2128" ht="155" customHeight="1" spans="1:7">
      <c r="A2128" s="6" t="s">
        <v>3640</v>
      </c>
      <c r="B2128" s="12" t="s">
        <v>3641</v>
      </c>
      <c r="C2128" s="4" t="s">
        <v>178</v>
      </c>
      <c r="D2128" s="7">
        <v>0.5</v>
      </c>
      <c r="F2128" s="32">
        <v>0.2</v>
      </c>
      <c r="G2128" s="33">
        <f>(D2128-F2128)/F2128</f>
        <v>1.5</v>
      </c>
    </row>
    <row r="2129" ht="31" customHeight="1" spans="1:7">
      <c r="A2129" s="6" t="s">
        <v>3642</v>
      </c>
      <c r="B2129" s="12" t="s">
        <v>3643</v>
      </c>
      <c r="C2129" s="4" t="s">
        <v>156</v>
      </c>
      <c r="D2129" s="7">
        <v>108.3</v>
      </c>
      <c r="F2129" s="32">
        <v>47.55</v>
      </c>
      <c r="G2129" s="33">
        <f>(D2129-F2129)/F2129</f>
        <v>1.27760252365931</v>
      </c>
    </row>
    <row r="2130" ht="93" customHeight="1" spans="1:7">
      <c r="A2130" s="6" t="s">
        <v>3644</v>
      </c>
      <c r="B2130" s="12" t="s">
        <v>3645</v>
      </c>
      <c r="C2130" s="4" t="s">
        <v>49</v>
      </c>
      <c r="D2130" s="7">
        <v>340.75</v>
      </c>
      <c r="F2130" s="32">
        <v>217.8</v>
      </c>
      <c r="G2130" s="33">
        <f>(D2130-F2130)/F2130</f>
        <v>0.564508723599633</v>
      </c>
    </row>
    <row r="2131" ht="46.5" customHeight="1" spans="1:7">
      <c r="A2131" s="6" t="s">
        <v>3646</v>
      </c>
      <c r="B2131" s="12" t="s">
        <v>3647</v>
      </c>
      <c r="C2131" s="4" t="s">
        <v>12</v>
      </c>
      <c r="D2131" s="7">
        <v>84.85</v>
      </c>
      <c r="F2131" s="32">
        <v>40.7</v>
      </c>
      <c r="G2131" s="33">
        <f>(D2131-F2131)/F2131</f>
        <v>1.08476658476658</v>
      </c>
    </row>
    <row r="2132" ht="31" customHeight="1" spans="1:7">
      <c r="A2132" s="40"/>
      <c r="B2132" s="12" t="s">
        <v>3648</v>
      </c>
      <c r="C2132" s="4"/>
      <c r="D2132" s="7"/>
    </row>
    <row r="2133" ht="31" customHeight="1" spans="1:7">
      <c r="A2133" s="40"/>
      <c r="B2133" s="12" t="s">
        <v>3649</v>
      </c>
      <c r="C2133" s="4"/>
      <c r="D2133" s="7"/>
    </row>
    <row r="2134" spans="1:7">
      <c r="A2134" s="40"/>
      <c r="B2134" s="12" t="s">
        <v>3650</v>
      </c>
      <c r="C2134" s="4"/>
      <c r="D2134" s="7"/>
    </row>
    <row r="2135" ht="31" customHeight="1" spans="1:7">
      <c r="A2135" s="40"/>
      <c r="B2135" s="12" t="s">
        <v>3651</v>
      </c>
      <c r="C2135" s="4"/>
      <c r="D2135" s="7"/>
    </row>
    <row r="2136" ht="31" customHeight="1" spans="1:7">
      <c r="A2136" s="40"/>
      <c r="B2136" s="12" t="s">
        <v>3652</v>
      </c>
      <c r="C2136" s="4"/>
      <c r="D2136" s="7"/>
    </row>
    <row r="2137" ht="46.5" customHeight="1" spans="1:7">
      <c r="A2137" s="6" t="s">
        <v>3653</v>
      </c>
      <c r="B2137" s="12" t="s">
        <v>3654</v>
      </c>
      <c r="C2137" s="4" t="s">
        <v>156</v>
      </c>
      <c r="D2137" s="7">
        <v>433.75</v>
      </c>
      <c r="F2137" s="32">
        <v>182.45</v>
      </c>
      <c r="G2137" s="33">
        <f>(D2137-F2137)/F2137</f>
        <v>1.37736366127706</v>
      </c>
    </row>
    <row r="2138" ht="62" customHeight="1" spans="1:7">
      <c r="A2138" s="6" t="s">
        <v>3655</v>
      </c>
      <c r="B2138" s="12" t="s">
        <v>3656</v>
      </c>
      <c r="C2138" s="4"/>
      <c r="D2138" s="14"/>
    </row>
    <row r="2139" spans="1:7">
      <c r="A2139" s="6" t="s">
        <v>3657</v>
      </c>
      <c r="B2139" s="3" t="s">
        <v>3658</v>
      </c>
      <c r="C2139" s="4" t="s">
        <v>156</v>
      </c>
      <c r="D2139" s="7">
        <v>3501.7</v>
      </c>
      <c r="F2139" s="32">
        <v>1892.8</v>
      </c>
      <c r="G2139" s="33">
        <f>(D2139-F2139)/F2139</f>
        <v>0.85001056635672</v>
      </c>
    </row>
    <row r="2140" spans="1:7">
      <c r="A2140" s="6" t="s">
        <v>3659</v>
      </c>
      <c r="B2140" s="3" t="s">
        <v>3660</v>
      </c>
      <c r="C2140" s="4" t="s">
        <v>156</v>
      </c>
      <c r="D2140" s="7">
        <v>4478.75</v>
      </c>
      <c r="F2140" s="32">
        <v>2127.85</v>
      </c>
      <c r="G2140" s="33">
        <f>(D2140-F2140)/F2140</f>
        <v>1.10482411824142</v>
      </c>
    </row>
    <row r="2141" ht="46.5" customHeight="1" spans="1:7">
      <c r="A2141" s="6" t="s">
        <v>3661</v>
      </c>
      <c r="B2141" s="12" t="s">
        <v>3662</v>
      </c>
      <c r="C2141" s="4" t="s">
        <v>156</v>
      </c>
      <c r="D2141" s="7">
        <v>288.1</v>
      </c>
      <c r="F2141" s="32">
        <v>138.4</v>
      </c>
      <c r="G2141" s="33">
        <f>(D2141-F2141)/F2141</f>
        <v>1.08164739884393</v>
      </c>
    </row>
    <row r="2142" ht="31" customHeight="1" spans="1:7">
      <c r="A2142" s="6" t="s">
        <v>3663</v>
      </c>
      <c r="B2142" s="12" t="s">
        <v>3664</v>
      </c>
      <c r="C2142" s="4" t="s">
        <v>156</v>
      </c>
      <c r="D2142" s="7">
        <v>134.1</v>
      </c>
      <c r="F2142" s="32">
        <v>55.45</v>
      </c>
      <c r="G2142" s="33">
        <f>(D2142-F2142)/F2142</f>
        <v>1.41839495040577</v>
      </c>
    </row>
    <row r="2143" ht="31" customHeight="1" spans="1:7">
      <c r="A2143" s="6" t="s">
        <v>3665</v>
      </c>
      <c r="B2143" s="12" t="s">
        <v>3666</v>
      </c>
      <c r="C2143" s="4" t="s">
        <v>12</v>
      </c>
      <c r="D2143" s="7">
        <v>3.45</v>
      </c>
      <c r="F2143" s="32">
        <v>1.5</v>
      </c>
      <c r="G2143" s="33">
        <f>(D2143-F2143)/F2143</f>
        <v>1.3</v>
      </c>
    </row>
    <row r="2144" ht="31" customHeight="1" spans="1:7">
      <c r="A2144" s="6" t="s">
        <v>3667</v>
      </c>
      <c r="B2144" s="12" t="s">
        <v>3668</v>
      </c>
      <c r="C2144" s="4" t="s">
        <v>49</v>
      </c>
      <c r="D2144" s="7">
        <v>3.25</v>
      </c>
    </row>
    <row r="2145" ht="46.5" customHeight="1" spans="1:7">
      <c r="A2145" s="6" t="s">
        <v>3669</v>
      </c>
      <c r="B2145" s="12" t="s">
        <v>3670</v>
      </c>
      <c r="C2145" s="4" t="s">
        <v>156</v>
      </c>
      <c r="D2145" s="7">
        <v>429.1</v>
      </c>
      <c r="F2145" s="32">
        <v>176.4</v>
      </c>
      <c r="G2145" s="33">
        <f>(D2145-F2145)/F2145</f>
        <v>1.43253968253968</v>
      </c>
    </row>
    <row r="2146" ht="186" customHeight="1" spans="1:7">
      <c r="A2146" s="6" t="s">
        <v>3671</v>
      </c>
      <c r="B2146" s="12" t="s">
        <v>3672</v>
      </c>
      <c r="C2146" s="4" t="s">
        <v>12</v>
      </c>
      <c r="D2146" s="7">
        <v>730.55</v>
      </c>
    </row>
    <row r="2147" ht="186" customHeight="1" spans="1:7">
      <c r="A2147" s="6" t="s">
        <v>3673</v>
      </c>
      <c r="B2147" s="12" t="s">
        <v>3674</v>
      </c>
      <c r="C2147" s="4" t="s">
        <v>12</v>
      </c>
      <c r="D2147" s="7">
        <v>532.05</v>
      </c>
    </row>
    <row r="2148" ht="186" customHeight="1" spans="1:7">
      <c r="A2148" s="6" t="s">
        <v>3675</v>
      </c>
      <c r="B2148" s="12" t="s">
        <v>3676</v>
      </c>
      <c r="C2148" s="4" t="s">
        <v>12</v>
      </c>
      <c r="D2148" s="7">
        <v>855.7</v>
      </c>
    </row>
    <row r="2149" ht="186" customHeight="1" spans="1:7">
      <c r="A2149" s="6" t="s">
        <v>3677</v>
      </c>
      <c r="B2149" s="12" t="s">
        <v>3678</v>
      </c>
      <c r="C2149" s="4"/>
      <c r="D2149" s="14"/>
    </row>
    <row r="2150" spans="1:7">
      <c r="A2150" s="6" t="s">
        <v>3679</v>
      </c>
      <c r="B2150" s="3" t="s">
        <v>3680</v>
      </c>
      <c r="C2150" s="4" t="s">
        <v>12</v>
      </c>
      <c r="D2150" s="7">
        <v>498.35</v>
      </c>
      <c r="E2150" s="57"/>
    </row>
    <row r="2151" ht="186" customHeight="1" spans="1:7">
      <c r="A2151" s="6" t="s">
        <v>3681</v>
      </c>
      <c r="B2151" s="12" t="s">
        <v>3682</v>
      </c>
      <c r="C2151" s="4"/>
      <c r="D2151" s="14"/>
    </row>
    <row r="2152" spans="1:7">
      <c r="A2152" s="6" t="s">
        <v>3683</v>
      </c>
      <c r="B2152" s="3" t="s">
        <v>2813</v>
      </c>
      <c r="C2152" s="4" t="s">
        <v>12</v>
      </c>
      <c r="D2152" s="7">
        <v>537.45</v>
      </c>
    </row>
    <row r="2153" ht="186" customHeight="1" spans="1:7">
      <c r="A2153" s="6" t="s">
        <v>3684</v>
      </c>
      <c r="B2153" s="12" t="s">
        <v>3685</v>
      </c>
      <c r="C2153" s="4"/>
      <c r="D2153" s="14"/>
    </row>
    <row r="2154" spans="1:7">
      <c r="A2154" s="6" t="s">
        <v>3686</v>
      </c>
      <c r="B2154" s="3" t="s">
        <v>2813</v>
      </c>
      <c r="C2154" s="4" t="s">
        <v>12</v>
      </c>
      <c r="D2154" s="7">
        <v>560.95</v>
      </c>
      <c r="E2154" s="57"/>
    </row>
    <row r="2155" ht="46.5" customHeight="1" spans="1:7">
      <c r="A2155" s="6" t="s">
        <v>3687</v>
      </c>
      <c r="B2155" s="12" t="s">
        <v>3688</v>
      </c>
      <c r="C2155" s="4" t="s">
        <v>12</v>
      </c>
      <c r="D2155" s="7">
        <v>88.9</v>
      </c>
    </row>
    <row r="2156" ht="62" customHeight="1" spans="1:7">
      <c r="A2156" s="6" t="s">
        <v>3689</v>
      </c>
      <c r="B2156" s="12" t="s">
        <v>3690</v>
      </c>
      <c r="C2156" s="4" t="s">
        <v>3691</v>
      </c>
      <c r="D2156" s="7">
        <v>1308.4</v>
      </c>
    </row>
    <row r="2157" ht="62" customHeight="1" spans="1:7">
      <c r="A2157" s="6" t="s">
        <v>3692</v>
      </c>
      <c r="B2157" s="12" t="s">
        <v>3693</v>
      </c>
      <c r="C2157" s="4" t="s">
        <v>3691</v>
      </c>
      <c r="D2157" s="7">
        <v>1416.5</v>
      </c>
    </row>
    <row r="2158" spans="1:7">
      <c r="D2158" s="16"/>
    </row>
    <row r="2159" spans="1:7">
      <c r="D2159" s="16"/>
    </row>
    <row r="2160" spans="1:7">
      <c r="D2160" s="16"/>
    </row>
    <row r="2161" spans="1:7">
      <c r="D2161" s="16"/>
    </row>
    <row r="2162" spans="1:7">
      <c r="D2162" s="16"/>
    </row>
    <row r="2163" spans="1:7">
      <c r="D2163" s="16"/>
    </row>
    <row r="2164" spans="1:7">
      <c r="A2164" s="42" t="s">
        <v>3694</v>
      </c>
      <c r="C2164" s="31"/>
      <c r="D2164" s="31"/>
    </row>
    <row r="2165" spans="1:7">
      <c r="A2165" s="6" t="s">
        <v>204</v>
      </c>
      <c r="B2165" s="12" t="s">
        <v>2</v>
      </c>
      <c r="C2165" s="4" t="s">
        <v>205</v>
      </c>
      <c r="D2165" s="14" t="s">
        <v>4</v>
      </c>
    </row>
    <row r="2166" ht="31" customHeight="1" spans="1:7">
      <c r="A2166" s="6" t="s">
        <v>3695</v>
      </c>
      <c r="B2166" s="12" t="s">
        <v>3696</v>
      </c>
      <c r="C2166" s="4" t="s">
        <v>16</v>
      </c>
      <c r="D2166" s="7">
        <v>851.5</v>
      </c>
      <c r="F2166" s="32">
        <v>348.3</v>
      </c>
      <c r="G2166" s="33">
        <f>(D2166-F2166)/F2166</f>
        <v>1.44473155325868</v>
      </c>
    </row>
    <row r="2167" ht="31" customHeight="1" spans="1:7">
      <c r="A2167" s="6" t="s">
        <v>3697</v>
      </c>
      <c r="B2167" s="12" t="s">
        <v>3698</v>
      </c>
      <c r="C2167" s="4"/>
      <c r="D2167" s="14"/>
    </row>
    <row r="2168" spans="1:7">
      <c r="A2168" s="6" t="s">
        <v>3699</v>
      </c>
      <c r="B2168" s="3" t="s">
        <v>3700</v>
      </c>
      <c r="C2168" s="4" t="s">
        <v>16</v>
      </c>
      <c r="D2168" s="7">
        <v>2434.25</v>
      </c>
      <c r="F2168" s="32">
        <v>997.05</v>
      </c>
      <c r="G2168" s="33">
        <f t="shared" ref="G2168:G2173" si="31">(D2168-F2168)/F2168</f>
        <v>1.4414522842385</v>
      </c>
    </row>
    <row r="2169" spans="1:7">
      <c r="A2169" s="6" t="s">
        <v>3701</v>
      </c>
      <c r="B2169" s="3" t="s">
        <v>3702</v>
      </c>
      <c r="C2169" s="4" t="s">
        <v>16</v>
      </c>
      <c r="D2169" s="7">
        <v>1503.6</v>
      </c>
      <c r="F2169" s="32">
        <v>615.15</v>
      </c>
      <c r="G2169" s="33">
        <f t="shared" si="31"/>
        <v>1.44428188246769</v>
      </c>
    </row>
    <row r="2170" ht="46.5" customHeight="1" spans="1:7">
      <c r="A2170" s="6" t="s">
        <v>3703</v>
      </c>
      <c r="B2170" s="12" t="s">
        <v>3704</v>
      </c>
      <c r="C2170" s="4" t="s">
        <v>16</v>
      </c>
      <c r="D2170" s="7">
        <v>3551.25</v>
      </c>
      <c r="F2170" s="32">
        <v>1454.55</v>
      </c>
      <c r="G2170" s="33">
        <f t="shared" si="31"/>
        <v>1.44147674538517</v>
      </c>
    </row>
    <row r="2171" ht="46.5" customHeight="1" spans="1:7">
      <c r="A2171" s="6" t="s">
        <v>3705</v>
      </c>
      <c r="B2171" s="12" t="s">
        <v>3706</v>
      </c>
      <c r="C2171" s="4" t="s">
        <v>16</v>
      </c>
      <c r="D2171" s="7">
        <v>3177.25</v>
      </c>
      <c r="F2171" s="32">
        <v>1300.25</v>
      </c>
      <c r="G2171" s="33">
        <f t="shared" si="31"/>
        <v>1.44356854451067</v>
      </c>
    </row>
    <row r="2172" ht="46.5" customHeight="1" spans="1:7">
      <c r="A2172" s="6" t="s">
        <v>3707</v>
      </c>
      <c r="B2172" s="12" t="s">
        <v>3708</v>
      </c>
      <c r="C2172" s="4" t="s">
        <v>12</v>
      </c>
      <c r="D2172" s="7">
        <v>1147.2</v>
      </c>
      <c r="F2172" s="32">
        <v>500.8</v>
      </c>
      <c r="G2172" s="33">
        <f t="shared" si="31"/>
        <v>1.29073482428115</v>
      </c>
    </row>
    <row r="2173" spans="1:7">
      <c r="A2173" s="6" t="s">
        <v>3709</v>
      </c>
      <c r="B2173" s="12" t="s">
        <v>3710</v>
      </c>
      <c r="C2173" s="4" t="s">
        <v>575</v>
      </c>
      <c r="D2173" s="7">
        <v>9.05</v>
      </c>
      <c r="F2173" s="32">
        <v>3.9</v>
      </c>
      <c r="G2173" s="33">
        <f t="shared" si="31"/>
        <v>1.32051282051282</v>
      </c>
    </row>
    <row r="2174" ht="46.5" customHeight="1" spans="1:7">
      <c r="A2174" s="6" t="s">
        <v>3711</v>
      </c>
      <c r="B2174" s="12" t="s">
        <v>3712</v>
      </c>
      <c r="C2174" s="4"/>
      <c r="D2174" s="14"/>
    </row>
    <row r="2175" spans="1:7">
      <c r="A2175" s="6" t="s">
        <v>3713</v>
      </c>
      <c r="B2175" s="3" t="s">
        <v>3714</v>
      </c>
      <c r="C2175" s="4" t="s">
        <v>16</v>
      </c>
      <c r="D2175" s="7">
        <v>704.9</v>
      </c>
      <c r="F2175" s="32">
        <v>288.45</v>
      </c>
      <c r="G2175" s="33">
        <f>(D2175-F2175)/F2175</f>
        <v>1.44375108337667</v>
      </c>
    </row>
    <row r="2176" spans="1:7">
      <c r="A2176" s="6" t="s">
        <v>3715</v>
      </c>
      <c r="B2176" s="3" t="s">
        <v>3716</v>
      </c>
      <c r="C2176" s="4" t="s">
        <v>16</v>
      </c>
      <c r="D2176" s="7">
        <v>1783.35</v>
      </c>
      <c r="F2176" s="32">
        <v>727.7</v>
      </c>
      <c r="G2176" s="33">
        <f>(D2176-F2176)/F2176</f>
        <v>1.45066648344098</v>
      </c>
    </row>
    <row r="2177" spans="1:7">
      <c r="A2177" s="6" t="s">
        <v>3717</v>
      </c>
      <c r="B2177" s="3" t="s">
        <v>3718</v>
      </c>
      <c r="C2177" s="4" t="s">
        <v>16</v>
      </c>
      <c r="D2177" s="7">
        <v>851.5</v>
      </c>
      <c r="F2177" s="32">
        <v>348.3</v>
      </c>
      <c r="G2177" s="33">
        <f>(D2177-F2177)/F2177</f>
        <v>1.44473155325868</v>
      </c>
    </row>
    <row r="2178" spans="1:7">
      <c r="A2178" s="6" t="s">
        <v>3719</v>
      </c>
      <c r="B2178" s="3" t="s">
        <v>3720</v>
      </c>
      <c r="C2178" s="4" t="s">
        <v>16</v>
      </c>
      <c r="D2178" s="7">
        <v>2060.2</v>
      </c>
      <c r="F2178" s="32">
        <v>842.75</v>
      </c>
      <c r="G2178" s="33">
        <f>(D2178-F2178)/F2178</f>
        <v>1.44461584099674</v>
      </c>
    </row>
    <row r="2179" ht="31" customHeight="1" spans="1:7">
      <c r="A2179" s="6" t="s">
        <v>3721</v>
      </c>
      <c r="B2179" s="12" t="s">
        <v>3722</v>
      </c>
      <c r="C2179" s="4"/>
      <c r="D2179" s="14"/>
    </row>
    <row r="2180" spans="1:7">
      <c r="A2180" s="6" t="s">
        <v>3723</v>
      </c>
      <c r="B2180" s="3" t="s">
        <v>3724</v>
      </c>
      <c r="C2180" s="4" t="s">
        <v>3725</v>
      </c>
      <c r="D2180" s="7">
        <v>4658.45</v>
      </c>
      <c r="F2180" s="32">
        <v>1921.5</v>
      </c>
      <c r="G2180" s="33">
        <f>(D2180-F2180)/F2180</f>
        <v>1.42438199323445</v>
      </c>
    </row>
    <row r="2181" spans="1:7">
      <c r="A2181" s="6" t="s">
        <v>3726</v>
      </c>
      <c r="B2181" s="3" t="s">
        <v>3727</v>
      </c>
      <c r="C2181" s="4" t="s">
        <v>3725</v>
      </c>
      <c r="D2181" s="7">
        <v>5355.3</v>
      </c>
      <c r="F2181" s="32">
        <v>2229.55</v>
      </c>
      <c r="G2181" s="33">
        <f>(D2181-F2181)/F2181</f>
        <v>1.40196452198874</v>
      </c>
    </row>
    <row r="2182" spans="1:7">
      <c r="A2182" s="6" t="s">
        <v>3728</v>
      </c>
      <c r="B2182" s="3" t="s">
        <v>3729</v>
      </c>
      <c r="C2182" s="4" t="s">
        <v>3725</v>
      </c>
      <c r="D2182" s="7">
        <v>6700.8</v>
      </c>
      <c r="F2182" s="32">
        <v>2798.6</v>
      </c>
      <c r="G2182" s="33">
        <f>(D2182-F2182)/F2182</f>
        <v>1.39434002715644</v>
      </c>
    </row>
    <row r="2183" ht="46.5" customHeight="1" spans="1:7">
      <c r="A2183" s="6" t="s">
        <v>3730</v>
      </c>
      <c r="B2183" s="12" t="s">
        <v>3731</v>
      </c>
      <c r="C2183" s="4"/>
      <c r="D2183" s="14"/>
    </row>
    <row r="2184" spans="1:7">
      <c r="A2184" s="6" t="s">
        <v>3732</v>
      </c>
      <c r="B2184" s="3" t="s">
        <v>3718</v>
      </c>
      <c r="C2184" s="4" t="s">
        <v>16</v>
      </c>
      <c r="D2184" s="7">
        <v>1158.1</v>
      </c>
      <c r="F2184" s="32">
        <v>474.1</v>
      </c>
      <c r="G2184" s="33">
        <f>(D2184-F2184)/F2184</f>
        <v>1.44273360050622</v>
      </c>
    </row>
    <row r="2185" spans="1:7">
      <c r="A2185" s="6" t="s">
        <v>3733</v>
      </c>
      <c r="B2185" s="3" t="s">
        <v>3720</v>
      </c>
      <c r="C2185" s="4" t="s">
        <v>16</v>
      </c>
      <c r="D2185" s="7">
        <v>2458.95</v>
      </c>
      <c r="F2185" s="32">
        <v>1005.7</v>
      </c>
      <c r="G2185" s="33">
        <f>(D2185-F2185)/F2185</f>
        <v>1.44501342348613</v>
      </c>
    </row>
    <row r="2186" ht="46.5" customHeight="1" spans="1:7">
      <c r="A2186" s="6" t="s">
        <v>3734</v>
      </c>
      <c r="B2186" s="12" t="s">
        <v>3735</v>
      </c>
      <c r="C2186" s="4"/>
      <c r="D2186" s="14"/>
    </row>
    <row r="2187" spans="1:7">
      <c r="A2187" s="6" t="s">
        <v>3736</v>
      </c>
      <c r="B2187" s="3" t="s">
        <v>3718</v>
      </c>
      <c r="C2187" s="4" t="s">
        <v>16</v>
      </c>
      <c r="D2187" s="7">
        <v>1464.25</v>
      </c>
      <c r="F2187" s="32">
        <v>599.6</v>
      </c>
      <c r="G2187" s="33">
        <f>(D2187-F2187)/F2187</f>
        <v>1.44204469646431</v>
      </c>
    </row>
    <row r="2188" spans="1:7">
      <c r="A2188" s="6" t="s">
        <v>3737</v>
      </c>
      <c r="B2188" s="3" t="s">
        <v>3720</v>
      </c>
      <c r="C2188" s="4" t="s">
        <v>16</v>
      </c>
      <c r="D2188" s="7">
        <v>2877.75</v>
      </c>
      <c r="F2188" s="32">
        <v>1176.65</v>
      </c>
      <c r="G2188" s="33">
        <f>(D2188-F2188)/F2188</f>
        <v>1.4457145285344</v>
      </c>
    </row>
    <row r="2189" ht="31" customHeight="1" spans="1:7">
      <c r="A2189" s="6" t="s">
        <v>3738</v>
      </c>
      <c r="B2189" s="12" t="s">
        <v>3739</v>
      </c>
      <c r="C2189" s="4"/>
      <c r="D2189" s="14"/>
    </row>
    <row r="2190" spans="1:7">
      <c r="A2190" s="6" t="s">
        <v>3740</v>
      </c>
      <c r="B2190" s="3" t="s">
        <v>3718</v>
      </c>
      <c r="C2190" s="4" t="s">
        <v>16</v>
      </c>
      <c r="D2190" s="7">
        <v>478.55</v>
      </c>
      <c r="F2190" s="32">
        <v>198.05</v>
      </c>
      <c r="G2190" s="33">
        <f>(D2190-F2190)/F2190</f>
        <v>1.41630901287554</v>
      </c>
    </row>
    <row r="2191" spans="1:7">
      <c r="A2191" s="6" t="s">
        <v>3741</v>
      </c>
      <c r="B2191" s="3" t="s">
        <v>3720</v>
      </c>
      <c r="C2191" s="4" t="s">
        <v>16</v>
      </c>
      <c r="D2191" s="7">
        <v>689.2</v>
      </c>
      <c r="F2191" s="32">
        <v>284.3</v>
      </c>
      <c r="G2191" s="33">
        <f>(D2191-F2191)/F2191</f>
        <v>1.42419978895533</v>
      </c>
    </row>
    <row r="2192" ht="31" customHeight="1" spans="1:7">
      <c r="A2192" s="6" t="s">
        <v>3742</v>
      </c>
      <c r="B2192" s="12" t="s">
        <v>3743</v>
      </c>
      <c r="C2192" s="4"/>
      <c r="D2192" s="14"/>
    </row>
    <row r="2193" spans="1:7">
      <c r="A2193" s="6" t="s">
        <v>3744</v>
      </c>
      <c r="B2193" s="3" t="s">
        <v>3745</v>
      </c>
      <c r="C2193" s="4" t="s">
        <v>156</v>
      </c>
      <c r="D2193" s="7">
        <v>367.2</v>
      </c>
      <c r="F2193" s="32">
        <v>157.85</v>
      </c>
      <c r="G2193" s="33">
        <f>(D2193-F2193)/F2193</f>
        <v>1.32625910674691</v>
      </c>
    </row>
    <row r="2194" spans="1:7">
      <c r="A2194" s="6" t="s">
        <v>3746</v>
      </c>
      <c r="B2194" s="3" t="s">
        <v>3747</v>
      </c>
      <c r="C2194" s="4" t="s">
        <v>156</v>
      </c>
      <c r="D2194" s="7">
        <v>502.75</v>
      </c>
      <c r="F2194" s="32">
        <v>216.4</v>
      </c>
      <c r="G2194" s="33">
        <f>(D2194-F2194)/F2194</f>
        <v>1.32324399260628</v>
      </c>
    </row>
    <row r="2195" ht="31" customHeight="1" spans="1:7">
      <c r="A2195" s="6" t="s">
        <v>3748</v>
      </c>
      <c r="B2195" s="12" t="s">
        <v>3749</v>
      </c>
      <c r="C2195" s="4"/>
      <c r="D2195" s="14"/>
    </row>
    <row r="2196" spans="1:7">
      <c r="A2196" s="6" t="s">
        <v>3750</v>
      </c>
      <c r="B2196" s="3" t="s">
        <v>3745</v>
      </c>
      <c r="C2196" s="4" t="s">
        <v>156</v>
      </c>
      <c r="D2196" s="7">
        <v>143.5</v>
      </c>
      <c r="F2196" s="32">
        <v>61.25</v>
      </c>
      <c r="G2196" s="33">
        <f>(D2196-F2196)/F2196</f>
        <v>1.34285714285714</v>
      </c>
    </row>
    <row r="2197" spans="1:7">
      <c r="A2197" s="6" t="s">
        <v>3751</v>
      </c>
      <c r="B2197" s="3" t="s">
        <v>3747</v>
      </c>
      <c r="C2197" s="4" t="s">
        <v>156</v>
      </c>
      <c r="D2197" s="7">
        <v>188.9</v>
      </c>
      <c r="F2197" s="32">
        <v>81</v>
      </c>
      <c r="G2197" s="33">
        <f>(D2197-F2197)/F2197</f>
        <v>1.3320987654321</v>
      </c>
    </row>
    <row r="2198" ht="31" customHeight="1" spans="1:7">
      <c r="A2198" s="6" t="s">
        <v>3752</v>
      </c>
      <c r="B2198" s="12" t="s">
        <v>3753</v>
      </c>
      <c r="C2198" s="4"/>
      <c r="D2198" s="14"/>
    </row>
    <row r="2199" spans="1:7">
      <c r="A2199" s="6" t="s">
        <v>3754</v>
      </c>
      <c r="B2199" s="3" t="s">
        <v>3755</v>
      </c>
      <c r="C2199" s="4" t="s">
        <v>16</v>
      </c>
      <c r="D2199" s="7">
        <v>4459.1</v>
      </c>
      <c r="F2199" s="32">
        <v>1922.45</v>
      </c>
      <c r="G2199" s="33">
        <f>(D2199-F2199)/F2199</f>
        <v>1.31948815313792</v>
      </c>
    </row>
    <row r="2200" spans="1:7">
      <c r="A2200" s="6" t="s">
        <v>3756</v>
      </c>
      <c r="B2200" s="3" t="s">
        <v>3757</v>
      </c>
      <c r="C2200" s="4" t="s">
        <v>49</v>
      </c>
      <c r="D2200" s="7">
        <v>17.85</v>
      </c>
      <c r="F2200" s="32">
        <v>7.7</v>
      </c>
      <c r="G2200" s="33">
        <f>(D2200-F2200)/F2200</f>
        <v>1.31818181818182</v>
      </c>
    </row>
    <row r="2201" ht="31" customHeight="1" spans="1:7">
      <c r="A2201" s="6" t="s">
        <v>3758</v>
      </c>
      <c r="B2201" s="12" t="s">
        <v>3759</v>
      </c>
      <c r="C2201" s="4"/>
      <c r="D2201" s="14"/>
    </row>
    <row r="2202" ht="31" customHeight="1" spans="1:7">
      <c r="A2202" s="6" t="s">
        <v>3760</v>
      </c>
      <c r="B2202" s="3" t="s">
        <v>3755</v>
      </c>
      <c r="C2202" s="4" t="s">
        <v>3761</v>
      </c>
      <c r="D2202" s="7">
        <v>589.55</v>
      </c>
      <c r="F2202" s="32">
        <v>256.2</v>
      </c>
      <c r="G2202" s="33">
        <f>(D2202-F2202)/F2202</f>
        <v>1.30113192818111</v>
      </c>
    </row>
    <row r="2203" ht="31" customHeight="1" spans="1:7">
      <c r="A2203" s="6" t="s">
        <v>3762</v>
      </c>
      <c r="B2203" s="3" t="s">
        <v>3757</v>
      </c>
      <c r="C2203" s="4" t="s">
        <v>3763</v>
      </c>
      <c r="D2203" s="7">
        <v>1.65</v>
      </c>
      <c r="F2203" s="32">
        <v>0.75</v>
      </c>
      <c r="G2203" s="33">
        <f>(D2203-F2203)/F2203</f>
        <v>1.2</v>
      </c>
    </row>
    <row r="2204" ht="31" customHeight="1" spans="1:7">
      <c r="A2204" s="6" t="s">
        <v>3764</v>
      </c>
      <c r="B2204" s="12" t="s">
        <v>3765</v>
      </c>
      <c r="C2204" s="4"/>
      <c r="D2204" s="14"/>
    </row>
    <row r="2205" ht="31" customHeight="1" spans="1:7">
      <c r="A2205" s="6" t="s">
        <v>3766</v>
      </c>
      <c r="B2205" s="3" t="s">
        <v>3755</v>
      </c>
      <c r="C2205" s="4" t="s">
        <v>3761</v>
      </c>
      <c r="D2205" s="7">
        <v>857</v>
      </c>
      <c r="F2205" s="32">
        <v>370.7</v>
      </c>
      <c r="G2205" s="33">
        <f>(D2205-F2205)/F2205</f>
        <v>1.31184246021041</v>
      </c>
    </row>
    <row r="2206" ht="31" customHeight="1" spans="1:7">
      <c r="A2206" s="6" t="s">
        <v>3767</v>
      </c>
      <c r="B2206" s="3" t="s">
        <v>3757</v>
      </c>
      <c r="C2206" s="4" t="s">
        <v>3763</v>
      </c>
      <c r="D2206" s="7">
        <v>3.4</v>
      </c>
      <c r="F2206" s="32">
        <v>1.45</v>
      </c>
      <c r="G2206" s="33">
        <f>(D2206-F2206)/F2206</f>
        <v>1.3448275862069</v>
      </c>
    </row>
    <row r="2207" ht="31" customHeight="1" spans="1:7">
      <c r="A2207" s="6" t="s">
        <v>3768</v>
      </c>
      <c r="B2207" s="12" t="s">
        <v>3769</v>
      </c>
      <c r="C2207" s="4"/>
      <c r="D2207" s="14"/>
    </row>
    <row r="2208" spans="1:7">
      <c r="A2208" s="6" t="s">
        <v>3770</v>
      </c>
      <c r="B2208" s="3" t="s">
        <v>3771</v>
      </c>
      <c r="C2208" s="4" t="s">
        <v>575</v>
      </c>
      <c r="D2208" s="7">
        <v>3.4</v>
      </c>
      <c r="F2208" s="32">
        <v>1.4</v>
      </c>
      <c r="G2208" s="33">
        <f t="shared" ref="G2208:G2214" si="32">(D2208-F2208)/F2208</f>
        <v>1.42857142857143</v>
      </c>
    </row>
    <row r="2209" spans="1:7">
      <c r="A2209" s="6" t="s">
        <v>3772</v>
      </c>
      <c r="B2209" s="3" t="s">
        <v>3773</v>
      </c>
      <c r="C2209" s="4" t="s">
        <v>575</v>
      </c>
      <c r="D2209" s="7">
        <v>2.3</v>
      </c>
      <c r="F2209" s="32">
        <v>0.95</v>
      </c>
      <c r="G2209" s="33">
        <f t="shared" si="32"/>
        <v>1.42105263157895</v>
      </c>
    </row>
    <row r="2210" ht="46.5" customHeight="1" spans="1:7">
      <c r="A2210" s="6" t="s">
        <v>3774</v>
      </c>
      <c r="B2210" s="12" t="s">
        <v>3775</v>
      </c>
      <c r="C2210" s="4" t="s">
        <v>575</v>
      </c>
      <c r="D2210" s="7">
        <v>5.65</v>
      </c>
      <c r="F2210" s="32">
        <v>2.4</v>
      </c>
      <c r="G2210" s="33">
        <f t="shared" si="32"/>
        <v>1.35416666666667</v>
      </c>
    </row>
    <row r="2211" ht="31" customHeight="1" spans="1:7">
      <c r="A2211" s="6" t="s">
        <v>3776</v>
      </c>
      <c r="B2211" s="12" t="s">
        <v>3777</v>
      </c>
      <c r="C2211" s="4" t="s">
        <v>575</v>
      </c>
      <c r="D2211" s="7">
        <v>3.85</v>
      </c>
      <c r="F2211" s="32">
        <v>1.6</v>
      </c>
      <c r="G2211" s="33">
        <f t="shared" si="32"/>
        <v>1.40625</v>
      </c>
    </row>
    <row r="2212" ht="31" customHeight="1" spans="1:7">
      <c r="A2212" s="6" t="s">
        <v>3778</v>
      </c>
      <c r="B2212" s="12" t="s">
        <v>3779</v>
      </c>
      <c r="C2212" s="4" t="s">
        <v>3780</v>
      </c>
      <c r="D2212" s="7">
        <v>0.85</v>
      </c>
      <c r="F2212" s="32">
        <v>0.35</v>
      </c>
      <c r="G2212" s="33">
        <f t="shared" si="32"/>
        <v>1.42857142857143</v>
      </c>
    </row>
    <row r="2213" ht="31" customHeight="1" spans="1:7">
      <c r="A2213" s="6" t="s">
        <v>3781</v>
      </c>
      <c r="B2213" s="12" t="s">
        <v>3782</v>
      </c>
      <c r="C2213" s="4" t="s">
        <v>3783</v>
      </c>
      <c r="D2213" s="7">
        <v>0.85</v>
      </c>
      <c r="F2213" s="32">
        <v>0.35</v>
      </c>
      <c r="G2213" s="33">
        <f t="shared" si="32"/>
        <v>1.42857142857143</v>
      </c>
    </row>
    <row r="2214" spans="1:7">
      <c r="A2214" s="6" t="s">
        <v>3784</v>
      </c>
      <c r="B2214" s="12" t="s">
        <v>3785</v>
      </c>
      <c r="C2214" s="4" t="s">
        <v>575</v>
      </c>
      <c r="D2214" s="7">
        <v>4.65</v>
      </c>
      <c r="F2214" s="32">
        <v>2</v>
      </c>
      <c r="G2214" s="33">
        <f t="shared" si="32"/>
        <v>1.325</v>
      </c>
    </row>
    <row r="2215" ht="31" customHeight="1" spans="1:7">
      <c r="A2215" s="6" t="s">
        <v>3786</v>
      </c>
      <c r="B2215" s="12" t="s">
        <v>3787</v>
      </c>
      <c r="C2215" s="4"/>
      <c r="D2215" s="14"/>
    </row>
    <row r="2216" spans="1:7">
      <c r="A2216" s="6" t="s">
        <v>3788</v>
      </c>
      <c r="B2216" s="3" t="s">
        <v>3789</v>
      </c>
      <c r="C2216" s="4" t="s">
        <v>12</v>
      </c>
      <c r="D2216" s="7">
        <v>73.4</v>
      </c>
      <c r="F2216" s="32">
        <v>31.55</v>
      </c>
      <c r="G2216" s="33">
        <f t="shared" ref="G2216:G2221" si="33">(D2216-F2216)/F2216</f>
        <v>1.32646592709984</v>
      </c>
    </row>
    <row r="2217" spans="1:7">
      <c r="A2217" s="6" t="s">
        <v>3790</v>
      </c>
      <c r="B2217" s="3" t="s">
        <v>3791</v>
      </c>
      <c r="C2217" s="4" t="s">
        <v>12</v>
      </c>
      <c r="D2217" s="7">
        <v>113.35</v>
      </c>
      <c r="F2217" s="32">
        <v>49.2</v>
      </c>
      <c r="G2217" s="33">
        <f t="shared" si="33"/>
        <v>1.30386178861789</v>
      </c>
    </row>
    <row r="2218" ht="31" customHeight="1" spans="1:7">
      <c r="A2218" s="6" t="s">
        <v>3792</v>
      </c>
      <c r="B2218" s="12" t="s">
        <v>3793</v>
      </c>
      <c r="C2218" s="4" t="s">
        <v>16</v>
      </c>
      <c r="D2218" s="7">
        <v>1317.65</v>
      </c>
      <c r="F2218" s="32">
        <v>539.8</v>
      </c>
      <c r="G2218" s="33">
        <f t="shared" si="33"/>
        <v>1.44099666543164</v>
      </c>
    </row>
    <row r="2219" ht="31" customHeight="1" spans="1:7">
      <c r="A2219" s="6" t="s">
        <v>3794</v>
      </c>
      <c r="B2219" s="12" t="s">
        <v>3795</v>
      </c>
      <c r="C2219" s="4" t="s">
        <v>12</v>
      </c>
      <c r="D2219" s="7">
        <v>266.45</v>
      </c>
      <c r="F2219" s="32">
        <v>109.35</v>
      </c>
      <c r="G2219" s="33">
        <f t="shared" si="33"/>
        <v>1.43667123914037</v>
      </c>
    </row>
    <row r="2220" ht="31" customHeight="1" spans="1:7">
      <c r="A2220" s="6" t="s">
        <v>3796</v>
      </c>
      <c r="B2220" s="12" t="s">
        <v>3797</v>
      </c>
      <c r="C2220" s="4" t="s">
        <v>12</v>
      </c>
      <c r="D2220" s="7">
        <v>105.35</v>
      </c>
      <c r="F2220" s="32">
        <v>45.7</v>
      </c>
      <c r="G2220" s="33">
        <f t="shared" si="33"/>
        <v>1.30525164113786</v>
      </c>
    </row>
    <row r="2221" spans="1:7">
      <c r="A2221" s="6" t="s">
        <v>3798</v>
      </c>
      <c r="B2221" s="12" t="s">
        <v>3799</v>
      </c>
      <c r="C2221" s="4" t="s">
        <v>16</v>
      </c>
      <c r="D2221" s="7">
        <v>914.3</v>
      </c>
      <c r="F2221" s="32">
        <v>373.95</v>
      </c>
      <c r="G2221" s="33">
        <f t="shared" si="33"/>
        <v>1.44497927530418</v>
      </c>
    </row>
    <row r="2222" ht="31" customHeight="1" spans="1:7">
      <c r="A2222" s="6" t="s">
        <v>3800</v>
      </c>
      <c r="B2222" s="12" t="s">
        <v>3801</v>
      </c>
      <c r="C2222" s="4"/>
      <c r="D2222" s="14"/>
    </row>
    <row r="2223" spans="1:7">
      <c r="A2223" s="6" t="s">
        <v>3802</v>
      </c>
      <c r="B2223" s="3" t="s">
        <v>3803</v>
      </c>
      <c r="C2223" s="4" t="s">
        <v>12</v>
      </c>
      <c r="D2223" s="7">
        <v>164.95</v>
      </c>
      <c r="F2223" s="32">
        <v>70.1</v>
      </c>
      <c r="G2223" s="33">
        <f t="shared" ref="G2223:G2229" si="34">(D2223-F2223)/F2223</f>
        <v>1.35306704707561</v>
      </c>
    </row>
    <row r="2224" spans="1:7">
      <c r="A2224" s="6" t="s">
        <v>3804</v>
      </c>
      <c r="B2224" s="3" t="s">
        <v>3805</v>
      </c>
      <c r="C2224" s="4" t="s">
        <v>12</v>
      </c>
      <c r="D2224" s="7">
        <v>77.3</v>
      </c>
      <c r="F2224" s="32">
        <v>32.85</v>
      </c>
      <c r="G2224" s="33">
        <f t="shared" si="34"/>
        <v>1.3531202435312</v>
      </c>
    </row>
    <row r="2225" ht="46.5" customHeight="1" spans="1:7">
      <c r="A2225" s="6" t="s">
        <v>3806</v>
      </c>
      <c r="B2225" s="12" t="s">
        <v>3807</v>
      </c>
      <c r="C2225" s="4" t="s">
        <v>16</v>
      </c>
      <c r="D2225" s="7">
        <v>2664.65</v>
      </c>
      <c r="F2225" s="32">
        <v>1093.3</v>
      </c>
      <c r="G2225" s="33">
        <f t="shared" si="34"/>
        <v>1.4372541845788</v>
      </c>
    </row>
    <row r="2226" ht="31" customHeight="1" spans="1:7">
      <c r="A2226" s="6" t="s">
        <v>3808</v>
      </c>
      <c r="B2226" s="12" t="s">
        <v>3809</v>
      </c>
      <c r="C2226" s="4" t="s">
        <v>12</v>
      </c>
      <c r="D2226" s="7">
        <v>253.9</v>
      </c>
      <c r="F2226" s="32">
        <v>104.2</v>
      </c>
      <c r="G2226" s="33">
        <f t="shared" si="34"/>
        <v>1.43666026871401</v>
      </c>
    </row>
    <row r="2227" ht="31" customHeight="1" spans="1:7">
      <c r="A2227" s="6" t="s">
        <v>3810</v>
      </c>
      <c r="B2227" s="12" t="s">
        <v>3811</v>
      </c>
      <c r="C2227" s="4" t="s">
        <v>12</v>
      </c>
      <c r="D2227" s="7">
        <v>209.9</v>
      </c>
      <c r="F2227" s="32">
        <v>85.25</v>
      </c>
      <c r="G2227" s="33">
        <f t="shared" si="34"/>
        <v>1.46217008797654</v>
      </c>
    </row>
    <row r="2228" ht="46.5" customHeight="1" spans="1:7">
      <c r="A2228" s="6" t="s">
        <v>3812</v>
      </c>
      <c r="B2228" s="12" t="s">
        <v>3813</v>
      </c>
      <c r="C2228" s="4" t="s">
        <v>12</v>
      </c>
      <c r="D2228" s="7">
        <v>57.7</v>
      </c>
      <c r="F2228" s="32">
        <v>23.8</v>
      </c>
      <c r="G2228" s="33">
        <f t="shared" si="34"/>
        <v>1.42436974789916</v>
      </c>
    </row>
    <row r="2229" spans="1:7">
      <c r="A2229" s="6" t="s">
        <v>3814</v>
      </c>
      <c r="B2229" s="12" t="s">
        <v>3815</v>
      </c>
      <c r="C2229" s="4" t="s">
        <v>49</v>
      </c>
      <c r="D2229" s="7">
        <v>20.95</v>
      </c>
      <c r="F2229" s="32">
        <v>8.5</v>
      </c>
      <c r="G2229" s="33">
        <f t="shared" si="34"/>
        <v>1.46470588235294</v>
      </c>
    </row>
    <row r="2230" ht="31" customHeight="1" spans="1:7">
      <c r="A2230" s="6" t="s">
        <v>3816</v>
      </c>
      <c r="B2230" s="12" t="s">
        <v>3817</v>
      </c>
      <c r="C2230" s="4"/>
      <c r="D2230" s="14"/>
    </row>
    <row r="2231" spans="1:7">
      <c r="A2231" s="6" t="s">
        <v>3818</v>
      </c>
      <c r="B2231" s="3" t="s">
        <v>3819</v>
      </c>
      <c r="C2231" s="4" t="s">
        <v>156</v>
      </c>
      <c r="D2231" s="7">
        <v>230.9</v>
      </c>
      <c r="F2231" s="32">
        <v>104.65</v>
      </c>
      <c r="G2231" s="33">
        <f t="shared" ref="G2231:G2236" si="35">(D2231-F2231)/F2231</f>
        <v>1.20640229335881</v>
      </c>
    </row>
    <row r="2232" spans="1:7">
      <c r="A2232" s="6" t="s">
        <v>3820</v>
      </c>
      <c r="B2232" s="3" t="s">
        <v>3821</v>
      </c>
      <c r="C2232" s="4" t="s">
        <v>156</v>
      </c>
      <c r="D2232" s="7">
        <v>243.3</v>
      </c>
      <c r="F2232" s="32">
        <v>116.2</v>
      </c>
      <c r="G2232" s="33">
        <f t="shared" si="35"/>
        <v>1.09380378657487</v>
      </c>
    </row>
    <row r="2233" ht="31" customHeight="1" spans="1:7">
      <c r="A2233" s="6" t="s">
        <v>3822</v>
      </c>
      <c r="B2233" s="12" t="s">
        <v>3823</v>
      </c>
      <c r="C2233" s="4" t="s">
        <v>156</v>
      </c>
      <c r="D2233" s="7">
        <v>13.45</v>
      </c>
      <c r="F2233" s="32">
        <v>8.35</v>
      </c>
      <c r="G2233" s="33">
        <f t="shared" si="35"/>
        <v>0.610778443113772</v>
      </c>
    </row>
    <row r="2234" ht="31" customHeight="1" spans="1:7">
      <c r="A2234" s="6" t="s">
        <v>3824</v>
      </c>
      <c r="B2234" s="12" t="s">
        <v>3825</v>
      </c>
      <c r="C2234" s="4" t="s">
        <v>575</v>
      </c>
      <c r="D2234" s="7">
        <v>36.8</v>
      </c>
      <c r="F2234" s="32">
        <v>15.05</v>
      </c>
      <c r="G2234" s="33">
        <f t="shared" si="35"/>
        <v>1.44518272425249</v>
      </c>
    </row>
    <row r="2235" ht="31" customHeight="1" spans="1:7">
      <c r="A2235" s="6" t="s">
        <v>3826</v>
      </c>
      <c r="B2235" s="12" t="s">
        <v>3827</v>
      </c>
      <c r="C2235" s="4" t="s">
        <v>12</v>
      </c>
      <c r="D2235" s="7">
        <v>64.85</v>
      </c>
      <c r="F2235" s="32">
        <v>27.1</v>
      </c>
      <c r="G2235" s="33">
        <f t="shared" si="35"/>
        <v>1.3929889298893</v>
      </c>
    </row>
    <row r="2236" ht="31" customHeight="1" spans="1:7">
      <c r="A2236" s="6" t="s">
        <v>3828</v>
      </c>
      <c r="B2236" s="12" t="s">
        <v>3829</v>
      </c>
      <c r="C2236" s="4" t="s">
        <v>12</v>
      </c>
      <c r="D2236" s="7">
        <v>75.8</v>
      </c>
      <c r="F2236" s="32">
        <v>31.7</v>
      </c>
      <c r="G2236" s="33">
        <f t="shared" si="35"/>
        <v>1.39116719242902</v>
      </c>
    </row>
    <row r="2237" ht="31" customHeight="1" spans="1:7">
      <c r="A2237" s="6" t="s">
        <v>3830</v>
      </c>
      <c r="B2237" s="12" t="s">
        <v>3831</v>
      </c>
      <c r="C2237" s="4"/>
      <c r="D2237" s="14"/>
    </row>
    <row r="2238" spans="1:7">
      <c r="A2238" s="6" t="s">
        <v>3832</v>
      </c>
      <c r="B2238" s="3" t="s">
        <v>3833</v>
      </c>
      <c r="C2238" s="4" t="s">
        <v>12</v>
      </c>
      <c r="D2238" s="7">
        <v>61</v>
      </c>
      <c r="F2238" s="32">
        <v>25.95</v>
      </c>
      <c r="G2238" s="33">
        <f>(D2238-F2238)/F2238</f>
        <v>1.35067437379576</v>
      </c>
    </row>
    <row r="2239" spans="1:7">
      <c r="A2239" s="6" t="s">
        <v>3834</v>
      </c>
      <c r="B2239" s="3" t="s">
        <v>3835</v>
      </c>
      <c r="C2239" s="4" t="s">
        <v>12</v>
      </c>
      <c r="D2239" s="7">
        <v>77.75</v>
      </c>
      <c r="F2239" s="32">
        <v>33.15</v>
      </c>
      <c r="G2239" s="33">
        <f>(D2239-F2239)/F2239</f>
        <v>1.34539969834087</v>
      </c>
    </row>
    <row r="2240" spans="1:7">
      <c r="A2240" s="6" t="s">
        <v>3836</v>
      </c>
      <c r="B2240" s="3" t="s">
        <v>3837</v>
      </c>
      <c r="C2240" s="4" t="s">
        <v>12</v>
      </c>
      <c r="D2240" s="7">
        <v>90.35</v>
      </c>
      <c r="F2240" s="32">
        <v>38.75</v>
      </c>
      <c r="G2240" s="33">
        <f>(D2240-F2240)/F2240</f>
        <v>1.33161290322581</v>
      </c>
    </row>
    <row r="2241" ht="31" customHeight="1" spans="1:7">
      <c r="A2241" s="6" t="s">
        <v>3838</v>
      </c>
      <c r="B2241" s="12" t="s">
        <v>3839</v>
      </c>
      <c r="C2241" s="4"/>
      <c r="D2241" s="14"/>
    </row>
    <row r="2242" spans="1:7">
      <c r="A2242" s="6" t="s">
        <v>3840</v>
      </c>
      <c r="B2242" s="3" t="s">
        <v>3841</v>
      </c>
      <c r="C2242" s="4" t="s">
        <v>12</v>
      </c>
      <c r="D2242" s="7">
        <v>289.3</v>
      </c>
      <c r="F2242" s="32">
        <v>119.95</v>
      </c>
      <c r="G2242" s="33">
        <f>(D2242-F2242)/F2242</f>
        <v>1.41183826594414</v>
      </c>
    </row>
    <row r="2243" spans="1:7">
      <c r="A2243" s="6" t="s">
        <v>3842</v>
      </c>
      <c r="B2243" s="3" t="s">
        <v>3843</v>
      </c>
      <c r="C2243" s="4" t="s">
        <v>12</v>
      </c>
      <c r="D2243" s="7">
        <v>433.55</v>
      </c>
      <c r="F2243" s="32">
        <v>179.7</v>
      </c>
      <c r="G2243" s="33">
        <f>(D2243-F2243)/F2243</f>
        <v>1.41263216471898</v>
      </c>
    </row>
    <row r="2244" ht="46.5" customHeight="1" spans="1:7">
      <c r="A2244" s="6" t="s">
        <v>3844</v>
      </c>
      <c r="B2244" s="12" t="s">
        <v>3845</v>
      </c>
      <c r="C2244" s="4" t="s">
        <v>12</v>
      </c>
      <c r="D2244" s="7">
        <v>56.35</v>
      </c>
      <c r="F2244" s="32">
        <v>24.3</v>
      </c>
      <c r="G2244" s="33">
        <f>(D2244-F2244)/F2244</f>
        <v>1.31893004115226</v>
      </c>
    </row>
    <row r="2245" ht="31" customHeight="1" spans="1:7">
      <c r="A2245" s="6" t="s">
        <v>3846</v>
      </c>
      <c r="B2245" s="12" t="s">
        <v>3847</v>
      </c>
      <c r="C2245" s="4"/>
      <c r="D2245" s="14"/>
    </row>
    <row r="2246" spans="1:7">
      <c r="A2246" s="6" t="s">
        <v>3848</v>
      </c>
      <c r="B2246" s="3" t="s">
        <v>3849</v>
      </c>
      <c r="C2246" s="4" t="s">
        <v>49</v>
      </c>
      <c r="D2246" s="7">
        <v>75.7</v>
      </c>
      <c r="F2246" s="32">
        <v>30.95</v>
      </c>
      <c r="G2246" s="33">
        <f>(D2246-F2246)/F2246</f>
        <v>1.44588045234249</v>
      </c>
    </row>
    <row r="2247" spans="1:7">
      <c r="A2247" s="6" t="s">
        <v>3850</v>
      </c>
      <c r="B2247" s="3" t="s">
        <v>3851</v>
      </c>
      <c r="C2247" s="4" t="s">
        <v>49</v>
      </c>
      <c r="D2247" s="7">
        <v>78</v>
      </c>
      <c r="F2247" s="32">
        <v>31.95</v>
      </c>
      <c r="G2247" s="33">
        <f>(D2247-F2247)/F2247</f>
        <v>1.44131455399061</v>
      </c>
    </row>
    <row r="2248" spans="1:7">
      <c r="A2248" s="6" t="s">
        <v>3852</v>
      </c>
      <c r="B2248" s="3" t="s">
        <v>3853</v>
      </c>
      <c r="C2248" s="4" t="s">
        <v>49</v>
      </c>
      <c r="D2248" s="7">
        <v>80.25</v>
      </c>
      <c r="F2248" s="32">
        <v>32.9</v>
      </c>
      <c r="G2248" s="33">
        <f>(D2248-F2248)/F2248</f>
        <v>1.43920972644377</v>
      </c>
    </row>
    <row r="2249" ht="46.5" customHeight="1" spans="1:7">
      <c r="A2249" s="6" t="s">
        <v>3854</v>
      </c>
      <c r="B2249" s="12" t="s">
        <v>3855</v>
      </c>
      <c r="C2249" s="4"/>
      <c r="D2249" s="14"/>
    </row>
    <row r="2250" spans="1:7">
      <c r="A2250" s="6" t="s">
        <v>3856</v>
      </c>
      <c r="B2250" s="3" t="s">
        <v>3857</v>
      </c>
      <c r="C2250" s="4" t="s">
        <v>12</v>
      </c>
      <c r="D2250" s="7">
        <v>217.45</v>
      </c>
      <c r="F2250" s="32">
        <v>90.5</v>
      </c>
      <c r="G2250" s="33">
        <f>(D2250-F2250)/F2250</f>
        <v>1.40276243093923</v>
      </c>
    </row>
    <row r="2251" spans="1:7">
      <c r="A2251" s="6" t="s">
        <v>3858</v>
      </c>
      <c r="B2251" s="3" t="s">
        <v>3859</v>
      </c>
      <c r="C2251" s="4" t="s">
        <v>12</v>
      </c>
      <c r="D2251" s="7">
        <v>428.5</v>
      </c>
      <c r="F2251" s="32">
        <v>177</v>
      </c>
      <c r="G2251" s="33">
        <f>(D2251-F2251)/F2251</f>
        <v>1.42090395480226</v>
      </c>
    </row>
    <row r="2252" ht="46.5" customHeight="1" spans="1:7">
      <c r="A2252" s="6" t="s">
        <v>3860</v>
      </c>
      <c r="B2252" s="12" t="s">
        <v>3861</v>
      </c>
      <c r="C2252" s="4"/>
      <c r="D2252" s="14"/>
    </row>
    <row r="2253" spans="1:7">
      <c r="A2253" s="6" t="s">
        <v>3862</v>
      </c>
      <c r="B2253" s="3" t="s">
        <v>3863</v>
      </c>
      <c r="C2253" s="4" t="s">
        <v>49</v>
      </c>
      <c r="D2253" s="7">
        <v>149.8</v>
      </c>
      <c r="F2253" s="32">
        <v>63.65</v>
      </c>
      <c r="G2253" s="33">
        <f>(D2253-F2253)/F2253</f>
        <v>1.35349567949725</v>
      </c>
    </row>
    <row r="2254" spans="1:7">
      <c r="A2254" s="6" t="s">
        <v>3864</v>
      </c>
      <c r="B2254" s="3" t="s">
        <v>3865</v>
      </c>
      <c r="C2254" s="4" t="s">
        <v>49</v>
      </c>
      <c r="D2254" s="7">
        <v>161.4</v>
      </c>
      <c r="F2254" s="32">
        <v>70.85</v>
      </c>
      <c r="G2254" s="33">
        <f>(D2254-F2254)/F2254</f>
        <v>1.27805222300635</v>
      </c>
    </row>
    <row r="2255" ht="62" customHeight="1" spans="1:7">
      <c r="A2255" s="6" t="s">
        <v>3866</v>
      </c>
      <c r="B2255" s="12" t="s">
        <v>3867</v>
      </c>
      <c r="C2255" s="4"/>
      <c r="D2255" s="14"/>
    </row>
    <row r="2256" spans="1:7">
      <c r="A2256" s="6" t="s">
        <v>3868</v>
      </c>
      <c r="B2256" s="3" t="s">
        <v>3869</v>
      </c>
      <c r="C2256" s="4" t="s">
        <v>49</v>
      </c>
      <c r="D2256" s="7">
        <v>332.4</v>
      </c>
      <c r="F2256" s="32">
        <v>183.05</v>
      </c>
      <c r="G2256" s="33">
        <f>(D2256-F2256)/F2256</f>
        <v>0.815897295820814</v>
      </c>
    </row>
    <row r="2257" spans="1:7">
      <c r="A2257" s="6" t="s">
        <v>3870</v>
      </c>
      <c r="B2257" s="3" t="s">
        <v>3871</v>
      </c>
      <c r="C2257" s="4" t="s">
        <v>49</v>
      </c>
      <c r="D2257" s="7">
        <v>456.65</v>
      </c>
      <c r="F2257" s="32">
        <v>242.05</v>
      </c>
      <c r="G2257" s="33">
        <f>(D2257-F2257)/F2257</f>
        <v>0.886593678991944</v>
      </c>
    </row>
    <row r="2258" spans="1:7">
      <c r="A2258" s="6" t="s">
        <v>3872</v>
      </c>
      <c r="B2258" s="3" t="s">
        <v>3873</v>
      </c>
      <c r="C2258" s="4" t="s">
        <v>49</v>
      </c>
      <c r="D2258" s="7">
        <v>614.3</v>
      </c>
      <c r="F2258" s="32">
        <v>314.4</v>
      </c>
      <c r="G2258" s="33">
        <f>(D2258-F2258)/F2258</f>
        <v>0.953880407124682</v>
      </c>
    </row>
    <row r="2259" ht="62" customHeight="1" spans="1:7">
      <c r="A2259" s="6" t="s">
        <v>3874</v>
      </c>
      <c r="B2259" s="12" t="s">
        <v>3875</v>
      </c>
      <c r="C2259" s="4"/>
      <c r="D2259" s="14"/>
    </row>
    <row r="2260" spans="1:7">
      <c r="A2260" s="6" t="s">
        <v>3876</v>
      </c>
      <c r="B2260" s="3" t="s">
        <v>3877</v>
      </c>
      <c r="C2260" s="4" t="s">
        <v>49</v>
      </c>
      <c r="D2260" s="7">
        <v>695.25</v>
      </c>
      <c r="F2260" s="32">
        <v>299.1</v>
      </c>
      <c r="G2260" s="33">
        <f>(D2260-F2260)/F2260</f>
        <v>1.32447342026078</v>
      </c>
    </row>
    <row r="2261" spans="1:7">
      <c r="A2261" s="6" t="s">
        <v>3878</v>
      </c>
      <c r="B2261" s="3" t="s">
        <v>3879</v>
      </c>
      <c r="C2261" s="4" t="s">
        <v>49</v>
      </c>
      <c r="D2261" s="7">
        <v>1752.45</v>
      </c>
      <c r="F2261" s="32">
        <v>752.85</v>
      </c>
      <c r="G2261" s="33">
        <f>(D2261-F2261)/F2261</f>
        <v>1.32775453277545</v>
      </c>
    </row>
    <row r="2262" ht="46.5" customHeight="1" spans="1:7">
      <c r="A2262" s="6" t="s">
        <v>3880</v>
      </c>
      <c r="B2262" s="12" t="s">
        <v>3881</v>
      </c>
      <c r="C2262" s="4"/>
      <c r="D2262" s="14"/>
    </row>
    <row r="2263" spans="1:7">
      <c r="A2263" s="6" t="s">
        <v>3882</v>
      </c>
      <c r="B2263" s="3" t="s">
        <v>3869</v>
      </c>
      <c r="C2263" s="4" t="s">
        <v>49</v>
      </c>
      <c r="D2263" s="7">
        <v>332.15</v>
      </c>
      <c r="F2263" s="32">
        <v>135.7</v>
      </c>
      <c r="G2263" s="33">
        <f t="shared" ref="G2263:G2269" si="36">(D2263-F2263)/F2263</f>
        <v>1.44767870302137</v>
      </c>
    </row>
    <row r="2264" spans="1:7">
      <c r="A2264" s="6" t="s">
        <v>3883</v>
      </c>
      <c r="B2264" s="3" t="s">
        <v>3884</v>
      </c>
      <c r="C2264" s="4" t="s">
        <v>49</v>
      </c>
      <c r="D2264" s="7">
        <v>403.05</v>
      </c>
      <c r="F2264" s="32">
        <v>164.8</v>
      </c>
      <c r="G2264" s="33">
        <f t="shared" si="36"/>
        <v>1.44569174757282</v>
      </c>
    </row>
    <row r="2265" ht="62" customHeight="1" spans="1:7">
      <c r="A2265" s="6" t="s">
        <v>3885</v>
      </c>
      <c r="B2265" s="12" t="s">
        <v>3886</v>
      </c>
      <c r="C2265" s="4" t="s">
        <v>156</v>
      </c>
      <c r="D2265" s="7">
        <v>697.4</v>
      </c>
      <c r="F2265" s="32">
        <v>290.55</v>
      </c>
      <c r="G2265" s="33">
        <f t="shared" si="36"/>
        <v>1.40027533987266</v>
      </c>
    </row>
    <row r="2266" ht="62" customHeight="1" spans="1:7">
      <c r="A2266" s="6" t="s">
        <v>3887</v>
      </c>
      <c r="B2266" s="12" t="s">
        <v>3888</v>
      </c>
      <c r="C2266" s="4" t="s">
        <v>156</v>
      </c>
      <c r="D2266" s="7">
        <v>406.75</v>
      </c>
      <c r="F2266" s="32">
        <v>170.15</v>
      </c>
      <c r="G2266" s="33">
        <f t="shared" si="36"/>
        <v>1.39053776079929</v>
      </c>
    </row>
    <row r="2267" ht="46.5" customHeight="1" spans="1:7">
      <c r="A2267" s="6" t="s">
        <v>3889</v>
      </c>
      <c r="B2267" s="12" t="s">
        <v>3890</v>
      </c>
      <c r="C2267" s="4" t="s">
        <v>156</v>
      </c>
      <c r="D2267" s="7">
        <v>4623.7</v>
      </c>
      <c r="F2267" s="32">
        <v>1947.25</v>
      </c>
      <c r="G2267" s="33">
        <f t="shared" si="36"/>
        <v>1.37447682629349</v>
      </c>
    </row>
    <row r="2268" ht="46.5" customHeight="1" spans="1:7">
      <c r="A2268" s="6" t="s">
        <v>3891</v>
      </c>
      <c r="B2268" s="12" t="s">
        <v>3892</v>
      </c>
      <c r="C2268" s="4" t="s">
        <v>156</v>
      </c>
      <c r="D2268" s="7">
        <v>958.75</v>
      </c>
      <c r="F2268" s="32">
        <v>397.15</v>
      </c>
      <c r="G2268" s="33">
        <f t="shared" si="36"/>
        <v>1.41407528641571</v>
      </c>
    </row>
    <row r="2269" ht="46.5" customHeight="1" spans="1:7">
      <c r="A2269" s="6" t="s">
        <v>3893</v>
      </c>
      <c r="B2269" s="12" t="s">
        <v>3894</v>
      </c>
      <c r="C2269" s="4" t="s">
        <v>156</v>
      </c>
      <c r="D2269" s="7">
        <v>112.05</v>
      </c>
      <c r="F2269" s="32">
        <v>391.2</v>
      </c>
      <c r="G2269" s="33">
        <f t="shared" si="36"/>
        <v>-0.713573619631902</v>
      </c>
    </row>
    <row r="2270" ht="31" customHeight="1" spans="1:7">
      <c r="A2270" s="6" t="s">
        <v>3895</v>
      </c>
      <c r="B2270" s="12" t="s">
        <v>3896</v>
      </c>
      <c r="C2270" s="4"/>
      <c r="D2270" s="14"/>
    </row>
    <row r="2271" spans="1:7">
      <c r="A2271" s="6" t="s">
        <v>3897</v>
      </c>
      <c r="B2271" s="3" t="s">
        <v>3869</v>
      </c>
      <c r="C2271" s="4" t="s">
        <v>156</v>
      </c>
      <c r="D2271" s="7">
        <v>319.5</v>
      </c>
      <c r="F2271" s="32">
        <v>141.15</v>
      </c>
      <c r="G2271" s="33">
        <f>(D2271-F2271)/F2271</f>
        <v>1.26354941551541</v>
      </c>
    </row>
    <row r="2272" spans="1:7">
      <c r="A2272" s="6" t="s">
        <v>3898</v>
      </c>
      <c r="B2272" s="3" t="s">
        <v>3884</v>
      </c>
      <c r="C2272" s="4" t="s">
        <v>156</v>
      </c>
      <c r="D2272" s="7">
        <v>1184.15</v>
      </c>
      <c r="F2272" s="32">
        <v>507.45</v>
      </c>
      <c r="G2272" s="33">
        <f>(D2272-F2272)/F2272</f>
        <v>1.33353039708346</v>
      </c>
    </row>
    <row r="2273" ht="31" customHeight="1" spans="1:7">
      <c r="A2273" s="6" t="s">
        <v>3899</v>
      </c>
      <c r="B2273" s="12" t="s">
        <v>3900</v>
      </c>
      <c r="C2273" s="4" t="s">
        <v>156</v>
      </c>
      <c r="D2273" s="7">
        <v>726.35</v>
      </c>
      <c r="F2273" s="32">
        <v>307.85</v>
      </c>
      <c r="G2273" s="33">
        <f>(D2273-F2273)/F2273</f>
        <v>1.35942829299984</v>
      </c>
    </row>
    <row r="2274" ht="46.5" customHeight="1" spans="1:7">
      <c r="A2274" s="6" t="s">
        <v>3901</v>
      </c>
      <c r="B2274" s="12" t="s">
        <v>3902</v>
      </c>
      <c r="C2274" s="4"/>
      <c r="D2274" s="14"/>
    </row>
    <row r="2275" spans="1:7">
      <c r="A2275" s="6" t="s">
        <v>3903</v>
      </c>
      <c r="B2275" s="3" t="s">
        <v>3904</v>
      </c>
      <c r="C2275" s="4" t="s">
        <v>156</v>
      </c>
      <c r="D2275" s="7">
        <v>1104.05</v>
      </c>
      <c r="F2275" s="32">
        <v>451.65</v>
      </c>
      <c r="G2275" s="33">
        <f t="shared" ref="G2275:G2282" si="37">(D2275-F2275)/F2275</f>
        <v>1.44448134617514</v>
      </c>
    </row>
    <row r="2276" spans="1:7">
      <c r="A2276" s="6" t="s">
        <v>3905</v>
      </c>
      <c r="B2276" s="3" t="s">
        <v>3906</v>
      </c>
      <c r="C2276" s="4" t="s">
        <v>156</v>
      </c>
      <c r="D2276" s="7">
        <v>1693.35</v>
      </c>
      <c r="F2276" s="32">
        <v>692.85</v>
      </c>
      <c r="G2276" s="33">
        <f t="shared" si="37"/>
        <v>1.44403550552068</v>
      </c>
    </row>
    <row r="2277" spans="1:7">
      <c r="A2277" s="6" t="s">
        <v>3907</v>
      </c>
      <c r="B2277" s="3" t="s">
        <v>3908</v>
      </c>
      <c r="C2277" s="4" t="s">
        <v>156</v>
      </c>
      <c r="D2277" s="7">
        <v>2396.95</v>
      </c>
      <c r="F2277" s="32">
        <v>980.55</v>
      </c>
      <c r="G2277" s="33">
        <f t="shared" si="37"/>
        <v>1.44449543623477</v>
      </c>
    </row>
    <row r="2278" ht="31" customHeight="1" spans="1:7">
      <c r="A2278" s="6" t="s">
        <v>3909</v>
      </c>
      <c r="B2278" s="12" t="s">
        <v>3910</v>
      </c>
      <c r="C2278" s="4" t="s">
        <v>12</v>
      </c>
      <c r="D2278" s="7">
        <v>54.65</v>
      </c>
      <c r="F2278" s="32">
        <v>22.4</v>
      </c>
      <c r="G2278" s="33">
        <f t="shared" si="37"/>
        <v>1.43973214285714</v>
      </c>
    </row>
    <row r="2279" ht="46.5" customHeight="1" spans="1:7">
      <c r="A2279" s="6" t="s">
        <v>3911</v>
      </c>
      <c r="B2279" s="12" t="s">
        <v>3912</v>
      </c>
      <c r="C2279" s="4" t="s">
        <v>12</v>
      </c>
      <c r="D2279" s="7">
        <v>56.35</v>
      </c>
      <c r="F2279" s="32">
        <v>24.3</v>
      </c>
      <c r="G2279" s="33">
        <f t="shared" si="37"/>
        <v>1.31893004115226</v>
      </c>
    </row>
    <row r="2280" ht="46.5" customHeight="1" spans="1:7">
      <c r="A2280" s="6" t="s">
        <v>3913</v>
      </c>
      <c r="B2280" s="12" t="s">
        <v>3914</v>
      </c>
      <c r="C2280" s="4" t="s">
        <v>16</v>
      </c>
      <c r="D2280" s="7">
        <v>2818.9</v>
      </c>
      <c r="F2280" s="32">
        <v>1337.4</v>
      </c>
      <c r="G2280" s="33">
        <f t="shared" si="37"/>
        <v>1.10774637356064</v>
      </c>
    </row>
    <row r="2281" ht="31" customHeight="1" spans="1:7">
      <c r="A2281" s="6" t="s">
        <v>3915</v>
      </c>
      <c r="B2281" s="12" t="s">
        <v>3916</v>
      </c>
      <c r="C2281" s="4" t="s">
        <v>16</v>
      </c>
      <c r="D2281" s="7">
        <v>420.8</v>
      </c>
      <c r="F2281" s="32">
        <v>204.5</v>
      </c>
      <c r="G2281" s="33">
        <f t="shared" si="37"/>
        <v>1.05770171149144</v>
      </c>
    </row>
    <row r="2282" ht="62" customHeight="1" spans="1:7">
      <c r="A2282" s="6" t="s">
        <v>3917</v>
      </c>
      <c r="B2282" s="12" t="s">
        <v>3918</v>
      </c>
      <c r="C2282" s="4" t="s">
        <v>16</v>
      </c>
      <c r="D2282" s="7">
        <v>263.95</v>
      </c>
      <c r="F2282" s="32">
        <v>120.55</v>
      </c>
      <c r="G2282" s="33">
        <f t="shared" si="37"/>
        <v>1.18954790543343</v>
      </c>
    </row>
    <row r="2287" spans="1:7">
      <c r="A2287" s="41" t="s">
        <v>3919</v>
      </c>
      <c r="C2287" s="31"/>
      <c r="D2287" s="31"/>
    </row>
    <row r="2288" spans="1:7">
      <c r="A2288" s="6" t="s">
        <v>204</v>
      </c>
      <c r="B2288" s="12" t="s">
        <v>2</v>
      </c>
      <c r="C2288" s="4" t="s">
        <v>205</v>
      </c>
      <c r="D2288" s="14" t="s">
        <v>4</v>
      </c>
    </row>
    <row r="2289" spans="1:7">
      <c r="A2289" s="40"/>
      <c r="B2289" s="12" t="s">
        <v>3920</v>
      </c>
      <c r="C2289" s="4"/>
      <c r="D2289" s="14"/>
    </row>
    <row r="2290" ht="62" customHeight="1" spans="1:7">
      <c r="A2290" s="6" t="s">
        <v>3921</v>
      </c>
      <c r="B2290" s="12" t="s">
        <v>3922</v>
      </c>
      <c r="C2290" s="4" t="s">
        <v>12</v>
      </c>
      <c r="D2290" s="7">
        <v>218.9</v>
      </c>
      <c r="F2290" s="32">
        <v>90.1</v>
      </c>
      <c r="G2290" s="33">
        <f>(D2290-F2290)/F2290</f>
        <v>1.42952275249723</v>
      </c>
    </row>
    <row r="2291" ht="31" customHeight="1" spans="1:7">
      <c r="A2291" s="6" t="s">
        <v>3923</v>
      </c>
      <c r="B2291" s="12" t="s">
        <v>3924</v>
      </c>
      <c r="C2291" s="4" t="s">
        <v>16</v>
      </c>
      <c r="D2291" s="7">
        <v>24.85</v>
      </c>
      <c r="F2291" s="32">
        <v>10.7</v>
      </c>
      <c r="G2291" s="33">
        <f>(D2291-F2291)/F2291</f>
        <v>1.32242990654206</v>
      </c>
    </row>
    <row r="2292" spans="1:7">
      <c r="A2292" s="6" t="s">
        <v>3925</v>
      </c>
      <c r="B2292" s="12" t="s">
        <v>3926</v>
      </c>
      <c r="C2292" s="4"/>
      <c r="D2292" s="14"/>
    </row>
    <row r="2293" spans="1:7">
      <c r="A2293" s="6" t="s">
        <v>3927</v>
      </c>
      <c r="B2293" s="3" t="s">
        <v>3928</v>
      </c>
      <c r="C2293" s="4" t="s">
        <v>16</v>
      </c>
      <c r="D2293" s="7">
        <v>2098.4</v>
      </c>
      <c r="F2293" s="32">
        <v>1336.05</v>
      </c>
      <c r="G2293" s="33">
        <f t="shared" ref="G2293:G2303" si="38">(D2293-F2293)/F2293</f>
        <v>0.570599902698252</v>
      </c>
    </row>
    <row r="2294" spans="1:7">
      <c r="A2294" s="6" t="s">
        <v>3929</v>
      </c>
      <c r="B2294" s="3" t="s">
        <v>3930</v>
      </c>
      <c r="C2294" s="4" t="s">
        <v>16</v>
      </c>
      <c r="D2294" s="7">
        <v>1636.05</v>
      </c>
      <c r="F2294" s="32">
        <v>1449.3</v>
      </c>
      <c r="G2294" s="33">
        <f t="shared" si="38"/>
        <v>0.128855309459739</v>
      </c>
    </row>
    <row r="2295" spans="1:7">
      <c r="A2295" s="6" t="s">
        <v>3931</v>
      </c>
      <c r="B2295" s="3" t="s">
        <v>3932</v>
      </c>
      <c r="C2295" s="4" t="s">
        <v>16</v>
      </c>
      <c r="D2295" s="7">
        <v>1842.3</v>
      </c>
      <c r="F2295" s="32">
        <v>1542.25</v>
      </c>
      <c r="G2295" s="33">
        <f t="shared" si="38"/>
        <v>0.194553412222402</v>
      </c>
    </row>
    <row r="2296" spans="1:7">
      <c r="A2296" s="6" t="s">
        <v>3933</v>
      </c>
      <c r="B2296" s="3" t="s">
        <v>3934</v>
      </c>
      <c r="C2296" s="4" t="s">
        <v>16</v>
      </c>
      <c r="D2296" s="7">
        <v>798.1</v>
      </c>
      <c r="E2296" s="51"/>
      <c r="F2296" s="32">
        <v>653.7</v>
      </c>
      <c r="G2296" s="33">
        <f t="shared" si="38"/>
        <v>0.220896435673856</v>
      </c>
    </row>
    <row r="2297" spans="1:7">
      <c r="A2297" s="6" t="s">
        <v>3935</v>
      </c>
      <c r="B2297" s="3" t="s">
        <v>3936</v>
      </c>
      <c r="C2297" s="4" t="s">
        <v>16</v>
      </c>
      <c r="D2297" s="7">
        <v>872.05</v>
      </c>
      <c r="E2297" s="51"/>
      <c r="F2297" s="32">
        <v>676.9</v>
      </c>
      <c r="G2297" s="33">
        <f t="shared" si="38"/>
        <v>0.288299601122766</v>
      </c>
    </row>
    <row r="2298" spans="1:7">
      <c r="A2298" s="6" t="s">
        <v>3937</v>
      </c>
      <c r="B2298" s="3" t="s">
        <v>3938</v>
      </c>
      <c r="C2298" s="4" t="s">
        <v>16</v>
      </c>
      <c r="D2298" s="7">
        <v>2034.35</v>
      </c>
      <c r="F2298" s="32">
        <v>1505.6</v>
      </c>
      <c r="G2298" s="33">
        <f t="shared" si="38"/>
        <v>0.351188894792774</v>
      </c>
    </row>
    <row r="2299" spans="1:7">
      <c r="A2299" s="6" t="s">
        <v>3939</v>
      </c>
      <c r="B2299" s="3" t="s">
        <v>3940</v>
      </c>
      <c r="C2299" s="4" t="s">
        <v>16</v>
      </c>
      <c r="D2299" s="7">
        <v>2247.75</v>
      </c>
      <c r="F2299" s="32">
        <v>1462.05</v>
      </c>
      <c r="G2299" s="33">
        <f t="shared" si="38"/>
        <v>0.537396121883657</v>
      </c>
    </row>
    <row r="2300" spans="1:7">
      <c r="A2300" s="6" t="s">
        <v>3941</v>
      </c>
      <c r="B2300" s="3" t="s">
        <v>3942</v>
      </c>
      <c r="C2300" s="4" t="s">
        <v>16</v>
      </c>
      <c r="D2300" s="7">
        <v>1564.9</v>
      </c>
      <c r="F2300" s="32">
        <v>1514.35</v>
      </c>
      <c r="G2300" s="33">
        <f t="shared" si="38"/>
        <v>0.0333806583682769</v>
      </c>
    </row>
    <row r="2301" spans="1:7">
      <c r="A2301" s="6" t="s">
        <v>3943</v>
      </c>
      <c r="B2301" s="3" t="s">
        <v>3944</v>
      </c>
      <c r="C2301" s="4" t="s">
        <v>16</v>
      </c>
      <c r="D2301" s="7">
        <v>775.5</v>
      </c>
      <c r="F2301" s="32">
        <v>332.55</v>
      </c>
      <c r="G2301" s="33">
        <f t="shared" si="38"/>
        <v>1.3319801533604</v>
      </c>
    </row>
    <row r="2302" spans="1:7">
      <c r="A2302" s="6" t="s">
        <v>3945</v>
      </c>
      <c r="B2302" s="3" t="s">
        <v>3946</v>
      </c>
      <c r="C2302" s="4" t="s">
        <v>16</v>
      </c>
      <c r="D2302" s="7">
        <v>768.25</v>
      </c>
      <c r="F2302" s="32">
        <v>643.2</v>
      </c>
      <c r="G2302" s="33">
        <f t="shared" si="38"/>
        <v>0.194418532338308</v>
      </c>
    </row>
    <row r="2303" ht="77.5" customHeight="1" spans="1:7">
      <c r="A2303" s="6" t="s">
        <v>3947</v>
      </c>
      <c r="B2303" s="12" t="s">
        <v>3948</v>
      </c>
      <c r="C2303" s="4" t="s">
        <v>16</v>
      </c>
      <c r="D2303" s="7">
        <v>1046.95</v>
      </c>
      <c r="F2303" s="32">
        <v>449.1</v>
      </c>
      <c r="G2303" s="33">
        <f t="shared" si="38"/>
        <v>1.33121799153863</v>
      </c>
    </row>
    <row r="2304" ht="62" customHeight="1" spans="1:7">
      <c r="A2304" s="6" t="s">
        <v>3949</v>
      </c>
      <c r="B2304" s="12" t="s">
        <v>3950</v>
      </c>
      <c r="C2304" s="4"/>
      <c r="D2304" s="14"/>
      <c r="E2304" s="51"/>
    </row>
    <row r="2305" spans="1:7">
      <c r="A2305" s="6" t="s">
        <v>3951</v>
      </c>
      <c r="B2305" s="3" t="s">
        <v>3934</v>
      </c>
      <c r="C2305" s="4" t="s">
        <v>16</v>
      </c>
      <c r="D2305" s="7">
        <v>879.7</v>
      </c>
      <c r="E2305" s="51"/>
      <c r="F2305" s="32">
        <v>363.25</v>
      </c>
      <c r="G2305" s="33">
        <f>(D2305-F2305)/F2305</f>
        <v>1.42174810736407</v>
      </c>
    </row>
    <row r="2306" spans="1:7">
      <c r="A2306" s="6" t="s">
        <v>3952</v>
      </c>
      <c r="B2306" s="3" t="s">
        <v>3936</v>
      </c>
      <c r="C2306" s="4" t="s">
        <v>16</v>
      </c>
      <c r="D2306" s="7">
        <v>879.7</v>
      </c>
      <c r="E2306" s="51"/>
      <c r="F2306" s="32">
        <v>363.25</v>
      </c>
      <c r="G2306" s="33">
        <f>(D2306-F2306)/F2306</f>
        <v>1.42174810736407</v>
      </c>
    </row>
    <row r="2307" ht="31" customHeight="1" spans="1:7">
      <c r="A2307" s="6" t="s">
        <v>3953</v>
      </c>
      <c r="B2307" s="12" t="s">
        <v>3954</v>
      </c>
      <c r="C2307" s="4"/>
      <c r="D2307" s="14"/>
      <c r="E2307" s="51"/>
    </row>
    <row r="2308" spans="1:7">
      <c r="A2308" s="6" t="s">
        <v>3955</v>
      </c>
      <c r="B2308" s="3" t="s">
        <v>3956</v>
      </c>
      <c r="C2308" s="4" t="s">
        <v>12</v>
      </c>
      <c r="D2308" s="7">
        <v>24.45</v>
      </c>
      <c r="E2308" s="51"/>
      <c r="F2308" s="32">
        <v>15.55</v>
      </c>
      <c r="G2308" s="33">
        <f>(D2308-F2308)/F2308</f>
        <v>0.572347266881029</v>
      </c>
    </row>
    <row r="2309" ht="31" customHeight="1" spans="1:7">
      <c r="A2309" s="6" t="s">
        <v>3957</v>
      </c>
      <c r="B2309" s="12" t="s">
        <v>3958</v>
      </c>
      <c r="C2309" s="4"/>
      <c r="D2309" s="7"/>
    </row>
    <row r="2310" spans="1:7">
      <c r="A2310" s="6" t="s">
        <v>3959</v>
      </c>
      <c r="B2310" s="3" t="s">
        <v>3960</v>
      </c>
      <c r="C2310" s="4" t="s">
        <v>49</v>
      </c>
      <c r="D2310" s="7">
        <v>194.3</v>
      </c>
      <c r="F2310" s="32">
        <v>127.6</v>
      </c>
      <c r="G2310" s="33">
        <f>(D2310-F2310)/F2310</f>
        <v>0.522727272727273</v>
      </c>
    </row>
    <row r="2311" ht="31" customHeight="1" spans="1:7">
      <c r="A2311" s="6" t="s">
        <v>3961</v>
      </c>
      <c r="B2311" s="12" t="s">
        <v>3962</v>
      </c>
      <c r="C2311" s="4"/>
      <c r="D2311" s="14"/>
    </row>
    <row r="2312" spans="1:7">
      <c r="A2312" s="6" t="s">
        <v>3963</v>
      </c>
      <c r="B2312" s="3" t="s">
        <v>3960</v>
      </c>
      <c r="C2312" s="4" t="s">
        <v>49</v>
      </c>
      <c r="D2312" s="7">
        <v>53.45</v>
      </c>
      <c r="F2312" s="32">
        <v>36.2</v>
      </c>
      <c r="G2312" s="33">
        <f>(D2312-F2312)/F2312</f>
        <v>0.476519337016575</v>
      </c>
    </row>
    <row r="2313" ht="46.5" customHeight="1" spans="1:7">
      <c r="A2313" s="6" t="s">
        <v>3964</v>
      </c>
      <c r="B2313" s="12" t="s">
        <v>3965</v>
      </c>
      <c r="C2313" s="4" t="s">
        <v>12</v>
      </c>
      <c r="D2313" s="7">
        <v>33.3</v>
      </c>
      <c r="F2313" s="32">
        <v>14.45</v>
      </c>
      <c r="G2313" s="33">
        <f>(D2313-F2313)/F2313</f>
        <v>1.30449826989619</v>
      </c>
    </row>
    <row r="2314" ht="46.5" customHeight="1" spans="1:7">
      <c r="A2314" s="6" t="s">
        <v>3966</v>
      </c>
      <c r="B2314" s="12" t="s">
        <v>3967</v>
      </c>
      <c r="C2314" s="4" t="s">
        <v>12</v>
      </c>
      <c r="D2314" s="7">
        <v>191.25</v>
      </c>
      <c r="F2314" s="32">
        <v>142.5</v>
      </c>
      <c r="G2314" s="33">
        <f>(D2314-F2314)/F2314</f>
        <v>0.342105263157895</v>
      </c>
    </row>
    <row r="2315" ht="31" customHeight="1" spans="1:7">
      <c r="A2315" s="6" t="s">
        <v>3968</v>
      </c>
      <c r="B2315" s="12" t="s">
        <v>3969</v>
      </c>
      <c r="C2315" s="4" t="s">
        <v>12</v>
      </c>
      <c r="D2315" s="7">
        <v>883.15</v>
      </c>
      <c r="F2315" s="32">
        <v>499.65</v>
      </c>
      <c r="G2315" s="33">
        <f>(D2315-F2315)/F2315</f>
        <v>0.767537276093265</v>
      </c>
    </row>
    <row r="2316" ht="31" customHeight="1" spans="1:7">
      <c r="A2316" s="6" t="s">
        <v>3970</v>
      </c>
      <c r="B2316" s="12" t="s">
        <v>3971</v>
      </c>
      <c r="C2316" s="4"/>
      <c r="D2316" s="14"/>
    </row>
    <row r="2317" spans="1:7">
      <c r="A2317" s="6" t="s">
        <v>3972</v>
      </c>
      <c r="B2317" s="3" t="s">
        <v>3960</v>
      </c>
      <c r="C2317" s="4" t="s">
        <v>12</v>
      </c>
      <c r="D2317" s="7">
        <v>644.05</v>
      </c>
      <c r="F2317" s="32">
        <v>447.45</v>
      </c>
      <c r="G2317" s="33">
        <f>(D2317-F2317)/F2317</f>
        <v>0.439378701530897</v>
      </c>
    </row>
    <row r="2318" ht="31" customHeight="1" spans="1:7">
      <c r="A2318" s="6" t="s">
        <v>3973</v>
      </c>
      <c r="B2318" s="12" t="s">
        <v>3974</v>
      </c>
      <c r="C2318" s="4"/>
      <c r="D2318" s="14"/>
    </row>
    <row r="2319" spans="1:7">
      <c r="A2319" s="6" t="s">
        <v>3975</v>
      </c>
      <c r="B2319" s="3" t="s">
        <v>3976</v>
      </c>
      <c r="C2319" s="4" t="s">
        <v>16</v>
      </c>
      <c r="D2319" s="7">
        <v>5032.25</v>
      </c>
      <c r="F2319" s="32">
        <v>2384.05</v>
      </c>
      <c r="G2319" s="33">
        <f>(D2319-F2319)/F2319</f>
        <v>1.11079885069525</v>
      </c>
    </row>
    <row r="2320" spans="1:7">
      <c r="A2320" s="6" t="s">
        <v>3977</v>
      </c>
      <c r="B2320" s="3" t="s">
        <v>3978</v>
      </c>
      <c r="C2320" s="4" t="s">
        <v>16</v>
      </c>
      <c r="D2320" s="7">
        <v>3078.05</v>
      </c>
      <c r="F2320" s="32">
        <v>1407.15</v>
      </c>
      <c r="G2320" s="33">
        <f>(D2320-F2320)/F2320</f>
        <v>1.18743559677362</v>
      </c>
    </row>
    <row r="2321" ht="31" customHeight="1" spans="1:7">
      <c r="A2321" s="6" t="s">
        <v>3979</v>
      </c>
      <c r="B2321" s="12" t="s">
        <v>3980</v>
      </c>
      <c r="C2321" s="4" t="s">
        <v>12</v>
      </c>
      <c r="D2321" s="7">
        <v>284.2</v>
      </c>
    </row>
    <row r="2322" spans="1:7">
      <c r="A2322" s="40"/>
      <c r="B2322" s="12" t="s">
        <v>3981</v>
      </c>
      <c r="C2322" s="4"/>
      <c r="D2322" s="14"/>
    </row>
    <row r="2323" spans="1:7">
      <c r="A2323" s="6" t="s">
        <v>3982</v>
      </c>
      <c r="B2323" s="12" t="s">
        <v>3983</v>
      </c>
      <c r="C2323" s="4"/>
      <c r="D2323" s="14"/>
    </row>
    <row r="2324" ht="62" customHeight="1" spans="1:7">
      <c r="A2324" s="6" t="s">
        <v>3984</v>
      </c>
      <c r="B2324" s="3" t="s">
        <v>3985</v>
      </c>
      <c r="C2324" s="4" t="s">
        <v>16</v>
      </c>
      <c r="D2324" s="7">
        <v>32891.2</v>
      </c>
      <c r="F2324" s="32">
        <v>19774.55</v>
      </c>
      <c r="G2324" s="33">
        <f>(D2324-F2324)/F2324</f>
        <v>0.663309658121171</v>
      </c>
    </row>
    <row r="2325" ht="46.5" customHeight="1" spans="1:7">
      <c r="A2325" s="6" t="s">
        <v>3986</v>
      </c>
      <c r="B2325" s="3" t="s">
        <v>3987</v>
      </c>
      <c r="C2325" s="4" t="s">
        <v>575</v>
      </c>
      <c r="D2325" s="7">
        <v>78.95</v>
      </c>
      <c r="F2325" s="32">
        <v>60.05</v>
      </c>
      <c r="G2325" s="33">
        <f>(D2325-F2325)/F2325</f>
        <v>0.31473771856786</v>
      </c>
    </row>
    <row r="2326" spans="1:7">
      <c r="A2326" s="6" t="s">
        <v>3988</v>
      </c>
      <c r="B2326" s="12" t="s">
        <v>3989</v>
      </c>
      <c r="C2326" s="4" t="s">
        <v>515</v>
      </c>
      <c r="D2326" s="7">
        <v>274.3</v>
      </c>
      <c r="F2326" s="32">
        <v>150.45</v>
      </c>
      <c r="G2326" s="33">
        <f>(D2326-F2326)/F2326</f>
        <v>0.823197075440346</v>
      </c>
    </row>
    <row r="2327" ht="108.5" customHeight="1" spans="1:7">
      <c r="A2327" s="6" t="s">
        <v>3990</v>
      </c>
      <c r="B2327" s="12" t="s">
        <v>3991</v>
      </c>
      <c r="C2327" s="4"/>
      <c r="D2327" s="14"/>
    </row>
    <row r="2328" spans="1:7">
      <c r="A2328" s="6" t="s">
        <v>3992</v>
      </c>
      <c r="B2328" s="3" t="s">
        <v>3993</v>
      </c>
      <c r="C2328" s="4" t="s">
        <v>49</v>
      </c>
      <c r="D2328" s="7">
        <v>14</v>
      </c>
      <c r="F2328" s="32">
        <v>8.25</v>
      </c>
      <c r="G2328" s="33">
        <f>(D2328-F2328)/F2328</f>
        <v>0.696969696969697</v>
      </c>
    </row>
    <row r="2329" ht="108.5" customHeight="1" spans="1:7">
      <c r="A2329" s="6" t="s">
        <v>3994</v>
      </c>
      <c r="B2329" s="12" t="s">
        <v>3995</v>
      </c>
      <c r="C2329" s="4"/>
      <c r="D2329" s="14"/>
    </row>
    <row r="2330" spans="1:7">
      <c r="A2330" s="6" t="s">
        <v>3996</v>
      </c>
      <c r="B2330" s="3" t="s">
        <v>3993</v>
      </c>
      <c r="C2330" s="4" t="s">
        <v>49</v>
      </c>
      <c r="D2330" s="7">
        <v>22.1</v>
      </c>
      <c r="F2330" s="32">
        <v>12.65</v>
      </c>
      <c r="G2330" s="33">
        <f>(D2330-F2330)/F2330</f>
        <v>0.74703557312253</v>
      </c>
    </row>
    <row r="2331" ht="46.5" customHeight="1" spans="1:7">
      <c r="A2331" s="6" t="s">
        <v>3997</v>
      </c>
      <c r="B2331" s="12" t="s">
        <v>3998</v>
      </c>
      <c r="C2331" s="4" t="s">
        <v>575</v>
      </c>
      <c r="D2331" s="7">
        <v>125.75</v>
      </c>
      <c r="F2331" s="32">
        <v>62.05</v>
      </c>
      <c r="G2331" s="33">
        <f>(D2331-F2331)/F2331</f>
        <v>1.02659145850121</v>
      </c>
    </row>
    <row r="2332" ht="124" customHeight="1" spans="1:7">
      <c r="A2332" s="6" t="s">
        <v>3999</v>
      </c>
      <c r="B2332" s="12" t="s">
        <v>4000</v>
      </c>
      <c r="C2332" s="4" t="s">
        <v>12</v>
      </c>
      <c r="D2332" s="7">
        <v>66.15</v>
      </c>
      <c r="F2332" s="32">
        <v>30.65</v>
      </c>
      <c r="G2332" s="33">
        <f>(D2332-F2332)/F2332</f>
        <v>1.15823817292007</v>
      </c>
    </row>
    <row r="2333" spans="1:7">
      <c r="A2333" s="40"/>
      <c r="B2333" s="12" t="s">
        <v>4001</v>
      </c>
      <c r="C2333" s="4"/>
      <c r="D2333" s="14"/>
    </row>
    <row r="2334" ht="46.5" customHeight="1" spans="1:7">
      <c r="A2334" s="6" t="s">
        <v>4002</v>
      </c>
      <c r="B2334" s="12" t="s">
        <v>4003</v>
      </c>
      <c r="C2334" s="4" t="s">
        <v>4004</v>
      </c>
      <c r="D2334" s="7">
        <v>10.55</v>
      </c>
      <c r="F2334" s="32">
        <v>4.75</v>
      </c>
      <c r="G2334" s="33">
        <f>(D2334-F2334)/F2334</f>
        <v>1.22105263157895</v>
      </c>
    </row>
    <row r="2335" ht="46.5" customHeight="1" spans="1:7">
      <c r="A2335" s="6" t="s">
        <v>4005</v>
      </c>
      <c r="B2335" s="12" t="s">
        <v>4006</v>
      </c>
      <c r="C2335" s="4" t="s">
        <v>156</v>
      </c>
      <c r="D2335" s="7">
        <v>252.9</v>
      </c>
      <c r="F2335" s="32">
        <v>140.95</v>
      </c>
      <c r="G2335" s="33">
        <f>(D2335-F2335)/F2335</f>
        <v>0.794253281305428</v>
      </c>
    </row>
    <row r="2336" ht="77.5" customHeight="1" spans="1:7">
      <c r="A2336" s="6" t="s">
        <v>4007</v>
      </c>
      <c r="B2336" s="12" t="s">
        <v>4008</v>
      </c>
      <c r="C2336" s="4" t="s">
        <v>156</v>
      </c>
      <c r="D2336" s="7">
        <v>852.4</v>
      </c>
      <c r="F2336" s="32">
        <v>459.1</v>
      </c>
      <c r="G2336" s="33">
        <f>(D2336-F2336)/F2336</f>
        <v>0.856676105423655</v>
      </c>
    </row>
    <row r="2337" ht="77.5" customHeight="1" spans="1:7">
      <c r="A2337" s="6" t="s">
        <v>4009</v>
      </c>
      <c r="B2337" s="12" t="s">
        <v>4010</v>
      </c>
      <c r="C2337" s="4"/>
      <c r="D2337" s="14"/>
    </row>
    <row r="2338" spans="1:7">
      <c r="A2338" s="6" t="s">
        <v>4011</v>
      </c>
      <c r="B2338" s="3" t="s">
        <v>4012</v>
      </c>
      <c r="C2338" s="4" t="s">
        <v>156</v>
      </c>
      <c r="D2338" s="7">
        <v>2876.7</v>
      </c>
      <c r="F2338" s="32">
        <v>1740.85</v>
      </c>
      <c r="G2338" s="33">
        <f>(D2338-F2338)/F2338</f>
        <v>0.652468621650343</v>
      </c>
    </row>
    <row r="2339" spans="1:7">
      <c r="A2339" s="6" t="s">
        <v>4013</v>
      </c>
      <c r="B2339" s="3" t="s">
        <v>4014</v>
      </c>
      <c r="C2339" s="4" t="s">
        <v>156</v>
      </c>
      <c r="D2339" s="7">
        <v>5170.25</v>
      </c>
      <c r="F2339" s="32">
        <v>3196.4</v>
      </c>
      <c r="G2339" s="33">
        <f>(D2339-F2339)/F2339</f>
        <v>0.617522838192967</v>
      </c>
    </row>
    <row r="2340" spans="1:7">
      <c r="A2340" s="6" t="s">
        <v>4015</v>
      </c>
      <c r="B2340" s="3" t="s">
        <v>4016</v>
      </c>
      <c r="C2340" s="4" t="s">
        <v>156</v>
      </c>
      <c r="D2340" s="7">
        <v>1924.5</v>
      </c>
      <c r="F2340" s="32">
        <v>1172.55</v>
      </c>
      <c r="G2340" s="33">
        <f>(D2340-F2340)/F2340</f>
        <v>0.641294614302162</v>
      </c>
    </row>
    <row r="2341" spans="1:7">
      <c r="A2341" s="40"/>
      <c r="B2341" s="12" t="s">
        <v>4017</v>
      </c>
      <c r="C2341" s="4"/>
      <c r="D2341" s="14"/>
    </row>
    <row r="2342" ht="62" customHeight="1" spans="1:7">
      <c r="A2342" s="6" t="s">
        <v>4018</v>
      </c>
      <c r="B2342" s="12" t="s">
        <v>4019</v>
      </c>
      <c r="C2342" s="4" t="s">
        <v>12</v>
      </c>
      <c r="D2342" s="7">
        <v>225.35</v>
      </c>
      <c r="F2342" s="32">
        <v>139.6</v>
      </c>
      <c r="G2342" s="33">
        <f>(D2342-F2342)/F2342</f>
        <v>0.614255014326648</v>
      </c>
    </row>
    <row r="2343" ht="93" customHeight="1" spans="1:7">
      <c r="A2343" s="6" t="s">
        <v>4020</v>
      </c>
      <c r="B2343" s="12" t="s">
        <v>4021</v>
      </c>
      <c r="C2343" s="4" t="s">
        <v>12</v>
      </c>
      <c r="D2343" s="7">
        <v>311.85</v>
      </c>
      <c r="F2343" s="32">
        <v>191.7</v>
      </c>
      <c r="G2343" s="33">
        <f>(D2343-F2343)/F2343</f>
        <v>0.626760563380282</v>
      </c>
    </row>
    <row r="2344" ht="62" customHeight="1" spans="1:7">
      <c r="A2344" s="6" t="s">
        <v>4022</v>
      </c>
      <c r="B2344" s="12" t="s">
        <v>4023</v>
      </c>
      <c r="C2344" s="4" t="s">
        <v>12</v>
      </c>
      <c r="D2344" s="7">
        <v>175.1</v>
      </c>
      <c r="F2344" s="32">
        <v>112.75</v>
      </c>
      <c r="G2344" s="33">
        <f>(D2344-F2344)/F2344</f>
        <v>0.552993348115299</v>
      </c>
    </row>
    <row r="2345" ht="62" customHeight="1" spans="1:7">
      <c r="A2345" s="6" t="s">
        <v>4024</v>
      </c>
      <c r="B2345" s="12" t="s">
        <v>4025</v>
      </c>
      <c r="C2345" s="4"/>
      <c r="D2345" s="14"/>
    </row>
    <row r="2346" ht="31" customHeight="1" spans="1:7">
      <c r="A2346" s="6" t="s">
        <v>4026</v>
      </c>
      <c r="B2346" s="3" t="s">
        <v>4027</v>
      </c>
      <c r="C2346" s="4" t="s">
        <v>12</v>
      </c>
      <c r="D2346" s="7">
        <v>198.45</v>
      </c>
      <c r="F2346" s="32">
        <v>114.1</v>
      </c>
      <c r="G2346" s="33">
        <f>(D2346-F2346)/F2346</f>
        <v>0.739263803680982</v>
      </c>
    </row>
    <row r="2347" ht="62" customHeight="1" spans="1:7">
      <c r="A2347" s="6" t="s">
        <v>4028</v>
      </c>
      <c r="B2347" s="12" t="s">
        <v>4029</v>
      </c>
      <c r="C2347" s="4"/>
      <c r="D2347" s="14"/>
    </row>
    <row r="2348" ht="31" customHeight="1" spans="1:7">
      <c r="A2348" s="6" t="s">
        <v>4030</v>
      </c>
      <c r="B2348" s="3" t="s">
        <v>4027</v>
      </c>
      <c r="C2348" s="4" t="s">
        <v>12</v>
      </c>
      <c r="D2348" s="7">
        <v>125.3</v>
      </c>
      <c r="F2348" s="32">
        <v>72.95</v>
      </c>
      <c r="G2348" s="33">
        <f>(D2348-F2348)/F2348</f>
        <v>0.717614804660726</v>
      </c>
    </row>
    <row r="2349" spans="1:7">
      <c r="A2349" s="40"/>
      <c r="B2349" s="12" t="s">
        <v>4031</v>
      </c>
      <c r="C2349" s="4"/>
      <c r="D2349" s="14"/>
    </row>
    <row r="2350" ht="62" customHeight="1" spans="1:7">
      <c r="A2350" s="6" t="s">
        <v>4032</v>
      </c>
      <c r="B2350" s="12" t="s">
        <v>4033</v>
      </c>
      <c r="C2350" s="4"/>
      <c r="D2350" s="14"/>
    </row>
    <row r="2351" spans="1:7">
      <c r="A2351" s="6" t="s">
        <v>4034</v>
      </c>
      <c r="B2351" s="3" t="s">
        <v>4035</v>
      </c>
      <c r="C2351" s="4" t="s">
        <v>12</v>
      </c>
      <c r="D2351" s="7">
        <v>60.5</v>
      </c>
      <c r="F2351" s="32">
        <v>36.4</v>
      </c>
      <c r="G2351" s="33">
        <f>(D2351-F2351)/F2351</f>
        <v>0.662087912087912</v>
      </c>
    </row>
    <row r="2352" spans="1:7">
      <c r="A2352" s="6" t="s">
        <v>4036</v>
      </c>
      <c r="B2352" s="3" t="s">
        <v>4037</v>
      </c>
      <c r="C2352" s="4" t="s">
        <v>12</v>
      </c>
      <c r="D2352" s="7">
        <v>48.2</v>
      </c>
      <c r="F2352" s="32">
        <v>27.5</v>
      </c>
      <c r="G2352" s="33">
        <f>(D2352-F2352)/F2352</f>
        <v>0.752727272727273</v>
      </c>
    </row>
    <row r="2353" ht="46.5" customHeight="1" spans="1:7">
      <c r="A2353" s="6" t="s">
        <v>4038</v>
      </c>
      <c r="B2353" s="12" t="s">
        <v>4039</v>
      </c>
      <c r="C2353" s="4"/>
      <c r="D2353" s="14"/>
    </row>
    <row r="2354" spans="1:7">
      <c r="A2354" s="6" t="s">
        <v>4040</v>
      </c>
      <c r="B2354" s="3" t="s">
        <v>4041</v>
      </c>
      <c r="C2354" s="4"/>
      <c r="D2354" s="14"/>
    </row>
    <row r="2355" spans="1:7">
      <c r="A2355" s="6" t="s">
        <v>4042</v>
      </c>
      <c r="B2355" s="3" t="s">
        <v>4043</v>
      </c>
      <c r="C2355" s="4" t="s">
        <v>12</v>
      </c>
      <c r="D2355" s="7">
        <v>13.45</v>
      </c>
      <c r="F2355" s="32">
        <v>13.1</v>
      </c>
      <c r="G2355" s="33">
        <f>(D2355-F2355)/F2355</f>
        <v>0.0267175572519084</v>
      </c>
    </row>
    <row r="2356" spans="1:7">
      <c r="A2356" s="6" t="s">
        <v>4044</v>
      </c>
      <c r="B2356" s="3" t="s">
        <v>4045</v>
      </c>
      <c r="C2356" s="4" t="s">
        <v>12</v>
      </c>
      <c r="D2356" s="7">
        <v>9.2</v>
      </c>
      <c r="F2356" s="32">
        <v>8.65</v>
      </c>
      <c r="G2356" s="33">
        <f>(D2356-F2356)/F2356</f>
        <v>0.0635838150289016</v>
      </c>
    </row>
    <row r="2357" spans="1:7">
      <c r="A2357" s="6" t="s">
        <v>4046</v>
      </c>
      <c r="B2357" s="3" t="s">
        <v>4047</v>
      </c>
      <c r="C2357" s="4"/>
      <c r="D2357" s="14"/>
    </row>
    <row r="2358" spans="1:7">
      <c r="A2358" s="6" t="s">
        <v>4048</v>
      </c>
      <c r="B2358" s="3" t="s">
        <v>4043</v>
      </c>
      <c r="C2358" s="4" t="s">
        <v>12</v>
      </c>
      <c r="D2358" s="7">
        <v>21.2</v>
      </c>
      <c r="F2358" s="32">
        <v>13.2</v>
      </c>
      <c r="G2358" s="33">
        <f>(D2358-F2358)/F2358</f>
        <v>0.606060606060606</v>
      </c>
    </row>
    <row r="2359" spans="1:7">
      <c r="A2359" s="6" t="s">
        <v>4049</v>
      </c>
      <c r="B2359" s="3" t="s">
        <v>4045</v>
      </c>
      <c r="C2359" s="4" t="s">
        <v>12</v>
      </c>
      <c r="D2359" s="7">
        <v>14.05</v>
      </c>
      <c r="F2359" s="32">
        <v>8.75</v>
      </c>
      <c r="G2359" s="33">
        <f>(D2359-F2359)/F2359</f>
        <v>0.605714285714286</v>
      </c>
    </row>
    <row r="2360" ht="77.5" customHeight="1" spans="1:7">
      <c r="A2360" s="6" t="s">
        <v>4050</v>
      </c>
      <c r="B2360" s="59" t="s">
        <v>4051</v>
      </c>
      <c r="C2360" s="4"/>
      <c r="D2360" s="14"/>
    </row>
    <row r="2361" ht="31" customHeight="1" spans="1:7">
      <c r="A2361" s="6" t="s">
        <v>4052</v>
      </c>
      <c r="B2361" s="3" t="s">
        <v>4053</v>
      </c>
      <c r="C2361" s="4" t="s">
        <v>12</v>
      </c>
      <c r="D2361" s="7">
        <v>234.05</v>
      </c>
      <c r="F2361" s="32">
        <v>139.85</v>
      </c>
      <c r="G2361" s="33">
        <f>(D2361-F2361)/F2361</f>
        <v>0.673578834465499</v>
      </c>
    </row>
    <row r="2362" spans="1:7">
      <c r="A2362" s="6" t="s">
        <v>4054</v>
      </c>
      <c r="B2362" s="3" t="s">
        <v>4055</v>
      </c>
      <c r="C2362" s="4" t="s">
        <v>12</v>
      </c>
      <c r="D2362" s="7">
        <v>245.15</v>
      </c>
      <c r="F2362" s="32">
        <v>138.45</v>
      </c>
      <c r="G2362" s="33">
        <f>(D2362-F2362)/F2362</f>
        <v>0.770675334055616</v>
      </c>
    </row>
    <row r="2363" spans="1:7">
      <c r="A2363" s="6" t="s">
        <v>4056</v>
      </c>
      <c r="B2363" s="3" t="s">
        <v>4057</v>
      </c>
      <c r="C2363" s="4" t="s">
        <v>12</v>
      </c>
      <c r="D2363" s="7">
        <v>233.15</v>
      </c>
      <c r="F2363" s="32">
        <v>146.45</v>
      </c>
      <c r="G2363" s="33">
        <f>(D2363-F2363)/F2363</f>
        <v>0.592010925230454</v>
      </c>
    </row>
    <row r="2364" ht="77.5" customHeight="1" spans="1:7">
      <c r="A2364" s="6" t="s">
        <v>4058</v>
      </c>
      <c r="B2364" s="59" t="s">
        <v>4059</v>
      </c>
      <c r="C2364" s="4"/>
      <c r="D2364" s="14"/>
    </row>
    <row r="2365" ht="31" customHeight="1" spans="1:7">
      <c r="A2365" s="6" t="s">
        <v>4060</v>
      </c>
      <c r="B2365" s="3" t="s">
        <v>4053</v>
      </c>
      <c r="C2365" s="4" t="s">
        <v>12</v>
      </c>
      <c r="D2365" s="7">
        <v>281</v>
      </c>
      <c r="F2365" s="32">
        <v>169.6</v>
      </c>
      <c r="G2365" s="33">
        <f>(D2365-F2365)/F2365</f>
        <v>0.65683962264151</v>
      </c>
    </row>
    <row r="2366" spans="1:7">
      <c r="A2366" s="6" t="s">
        <v>4061</v>
      </c>
      <c r="B2366" s="3" t="s">
        <v>4055</v>
      </c>
      <c r="C2366" s="4" t="s">
        <v>12</v>
      </c>
      <c r="D2366" s="7">
        <v>294.95</v>
      </c>
      <c r="F2366" s="32">
        <v>167.85</v>
      </c>
      <c r="G2366" s="33">
        <f>(D2366-F2366)/F2366</f>
        <v>0.757223711647304</v>
      </c>
    </row>
    <row r="2367" spans="1:7">
      <c r="A2367" s="6" t="s">
        <v>4062</v>
      </c>
      <c r="B2367" s="3" t="s">
        <v>4057</v>
      </c>
      <c r="C2367" s="4" t="s">
        <v>12</v>
      </c>
      <c r="D2367" s="7">
        <v>279.9</v>
      </c>
      <c r="F2367" s="32">
        <v>177.85</v>
      </c>
      <c r="G2367" s="33">
        <f>(D2367-F2367)/F2367</f>
        <v>0.573798144503795</v>
      </c>
    </row>
    <row r="2368" ht="62" customHeight="1" spans="1:7">
      <c r="A2368" s="6" t="s">
        <v>4063</v>
      </c>
      <c r="B2368" s="59" t="s">
        <v>4064</v>
      </c>
      <c r="C2368" s="4" t="s">
        <v>12</v>
      </c>
      <c r="D2368" s="7">
        <v>208.9</v>
      </c>
      <c r="F2368" s="32">
        <v>127.65</v>
      </c>
      <c r="G2368" s="33">
        <f>(D2368-F2368)/F2368</f>
        <v>0.63650607128868</v>
      </c>
    </row>
    <row r="2369" ht="62" customHeight="1" spans="1:7">
      <c r="A2369" s="6" t="s">
        <v>4065</v>
      </c>
      <c r="B2369" s="59" t="s">
        <v>4066</v>
      </c>
      <c r="C2369" s="4" t="s">
        <v>12</v>
      </c>
      <c r="D2369" s="7">
        <v>252.15</v>
      </c>
      <c r="F2369" s="32">
        <v>154.85</v>
      </c>
      <c r="G2369" s="33">
        <f>(D2369-F2369)/F2369</f>
        <v>0.628350016144656</v>
      </c>
    </row>
    <row r="2370" ht="108.5" customHeight="1" spans="1:7">
      <c r="A2370" s="6" t="s">
        <v>4067</v>
      </c>
      <c r="B2370" s="12" t="s">
        <v>4068</v>
      </c>
      <c r="C2370" s="4"/>
      <c r="D2370" s="14"/>
    </row>
    <row r="2371" ht="46.5" customHeight="1" spans="1:7">
      <c r="A2371" s="6" t="s">
        <v>4069</v>
      </c>
      <c r="B2371" s="3" t="s">
        <v>4070</v>
      </c>
      <c r="C2371" s="4" t="s">
        <v>12</v>
      </c>
      <c r="D2371" s="7">
        <v>505.65</v>
      </c>
      <c r="F2371" s="32">
        <v>342.05</v>
      </c>
      <c r="G2371" s="33">
        <f>(D2371-F2371)/F2371</f>
        <v>0.47829264727379</v>
      </c>
    </row>
    <row r="2372" ht="46.5" customHeight="1" spans="1:7">
      <c r="A2372" s="6" t="s">
        <v>4071</v>
      </c>
      <c r="B2372" s="3" t="s">
        <v>4072</v>
      </c>
      <c r="C2372" s="4" t="s">
        <v>12</v>
      </c>
      <c r="D2372" s="7">
        <v>744.15</v>
      </c>
      <c r="F2372" s="32">
        <v>496.7</v>
      </c>
      <c r="G2372" s="33">
        <f>(D2372-F2372)/F2372</f>
        <v>0.498188041071069</v>
      </c>
    </row>
    <row r="2373" ht="108.5" customHeight="1" spans="1:7">
      <c r="A2373" s="6" t="s">
        <v>4073</v>
      </c>
      <c r="B2373" s="12" t="s">
        <v>4074</v>
      </c>
      <c r="C2373" s="4"/>
      <c r="D2373" s="14"/>
    </row>
    <row r="2374" spans="1:7">
      <c r="A2374" s="6" t="s">
        <v>4075</v>
      </c>
      <c r="B2374" s="60" t="s">
        <v>558</v>
      </c>
      <c r="C2374" s="4" t="s">
        <v>12</v>
      </c>
      <c r="D2374" s="7">
        <v>854.15</v>
      </c>
      <c r="F2374" s="32">
        <v>491.75</v>
      </c>
      <c r="G2374" s="33">
        <f>(D2374-F2374)/F2374</f>
        <v>0.736959837315709</v>
      </c>
    </row>
    <row r="2375" spans="1:7">
      <c r="A2375" s="6" t="s">
        <v>4076</v>
      </c>
      <c r="B2375" s="60" t="s">
        <v>556</v>
      </c>
      <c r="C2375" s="4" t="s">
        <v>12</v>
      </c>
      <c r="D2375" s="7">
        <v>1365.5</v>
      </c>
      <c r="F2375" s="32">
        <v>486.8</v>
      </c>
      <c r="G2375" s="33">
        <f>(D2375-F2375)/F2375</f>
        <v>1.80505341002465</v>
      </c>
    </row>
    <row r="2376" ht="93" customHeight="1" spans="1:7">
      <c r="A2376" s="6" t="s">
        <v>4077</v>
      </c>
      <c r="B2376" s="59" t="s">
        <v>4078</v>
      </c>
      <c r="C2376" s="4"/>
      <c r="D2376" s="14"/>
    </row>
    <row r="2377" ht="31" customHeight="1" spans="1:7">
      <c r="A2377" s="6" t="s">
        <v>4079</v>
      </c>
      <c r="B2377" s="3" t="s">
        <v>4053</v>
      </c>
      <c r="C2377" s="4" t="s">
        <v>12</v>
      </c>
      <c r="D2377" s="7">
        <v>353.65</v>
      </c>
      <c r="F2377" s="32">
        <v>218.75</v>
      </c>
      <c r="G2377" s="33">
        <f>(D2377-F2377)/F2377</f>
        <v>0.616685714285714</v>
      </c>
    </row>
    <row r="2378" spans="1:7">
      <c r="A2378" s="6" t="s">
        <v>4080</v>
      </c>
      <c r="B2378" s="3" t="s">
        <v>4081</v>
      </c>
      <c r="C2378" s="4" t="s">
        <v>12</v>
      </c>
      <c r="D2378" s="7">
        <v>377.05</v>
      </c>
      <c r="F2378" s="32">
        <v>218.75</v>
      </c>
      <c r="G2378" s="33">
        <f>(D2378-F2378)/F2378</f>
        <v>0.723657142857143</v>
      </c>
    </row>
    <row r="2379" spans="1:7">
      <c r="A2379" s="6" t="s">
        <v>4082</v>
      </c>
      <c r="B2379" s="3" t="s">
        <v>4083</v>
      </c>
      <c r="C2379" s="4" t="s">
        <v>12</v>
      </c>
      <c r="D2379" s="7">
        <v>351.8</v>
      </c>
      <c r="F2379" s="32">
        <v>232.6</v>
      </c>
      <c r="G2379" s="33">
        <f>(D2379-F2379)/F2379</f>
        <v>0.512467755803955</v>
      </c>
    </row>
    <row r="2380" ht="93" customHeight="1" spans="1:7">
      <c r="A2380" s="6" t="s">
        <v>4084</v>
      </c>
      <c r="B2380" s="59" t="s">
        <v>4085</v>
      </c>
      <c r="C2380" s="4"/>
      <c r="D2380" s="14"/>
    </row>
    <row r="2381" ht="31" customHeight="1" spans="1:7">
      <c r="A2381" s="6" t="s">
        <v>4086</v>
      </c>
      <c r="B2381" s="3" t="s">
        <v>4053</v>
      </c>
      <c r="C2381" s="4" t="s">
        <v>12</v>
      </c>
      <c r="D2381" s="7">
        <v>531.6</v>
      </c>
      <c r="F2381" s="32">
        <v>333.2</v>
      </c>
      <c r="G2381" s="33">
        <f>(D2381-F2381)/F2381</f>
        <v>0.595438175270108</v>
      </c>
    </row>
    <row r="2382" spans="1:7">
      <c r="A2382" s="6" t="s">
        <v>4087</v>
      </c>
      <c r="B2382" s="3" t="s">
        <v>4088</v>
      </c>
      <c r="C2382" s="4" t="s">
        <v>12</v>
      </c>
      <c r="D2382" s="7">
        <v>568.6</v>
      </c>
      <c r="F2382" s="32">
        <v>328.5</v>
      </c>
      <c r="G2382" s="33">
        <f>(D2382-F2382)/F2382</f>
        <v>0.73089802130898</v>
      </c>
    </row>
    <row r="2383" spans="1:7">
      <c r="A2383" s="6" t="s">
        <v>4089</v>
      </c>
      <c r="B2383" s="3" t="s">
        <v>4083</v>
      </c>
      <c r="C2383" s="4" t="s">
        <v>12</v>
      </c>
      <c r="D2383" s="7">
        <v>528.65</v>
      </c>
      <c r="F2383" s="32">
        <v>355.15</v>
      </c>
      <c r="G2383" s="33">
        <f>(D2383-F2383)/F2383</f>
        <v>0.488525974940166</v>
      </c>
    </row>
    <row r="2384" spans="1:7">
      <c r="A2384" s="40"/>
      <c r="B2384" s="12" t="s">
        <v>4090</v>
      </c>
      <c r="C2384" s="4"/>
      <c r="D2384" s="14"/>
    </row>
    <row r="2385" ht="62" customHeight="1" spans="1:7">
      <c r="A2385" s="6" t="s">
        <v>4091</v>
      </c>
      <c r="B2385" s="12" t="s">
        <v>4092</v>
      </c>
      <c r="C2385" s="4" t="s">
        <v>12</v>
      </c>
      <c r="D2385" s="7">
        <v>88.55</v>
      </c>
      <c r="F2385" s="32">
        <v>59.5</v>
      </c>
      <c r="G2385" s="33">
        <f>(D2385-F2385)/F2385</f>
        <v>0.488235294117647</v>
      </c>
    </row>
    <row r="2386" ht="77.5" customHeight="1" spans="1:7">
      <c r="A2386" s="6" t="s">
        <v>4093</v>
      </c>
      <c r="B2386" s="12" t="s">
        <v>4094</v>
      </c>
      <c r="C2386" s="4" t="s">
        <v>12</v>
      </c>
      <c r="D2386" s="7">
        <v>130.85</v>
      </c>
      <c r="F2386" s="32">
        <v>79.85</v>
      </c>
      <c r="G2386" s="33">
        <f>(D2386-F2386)/F2386</f>
        <v>0.638697557921102</v>
      </c>
    </row>
    <row r="2387" ht="31" customHeight="1" spans="1:7">
      <c r="A2387" s="40"/>
      <c r="B2387" s="12" t="s">
        <v>4095</v>
      </c>
      <c r="C2387" s="4"/>
      <c r="D2387" s="14"/>
    </row>
    <row r="2388" spans="1:7">
      <c r="A2388" s="40"/>
      <c r="B2388" s="12" t="s">
        <v>4096</v>
      </c>
      <c r="C2388" s="4"/>
      <c r="D2388" s="14"/>
    </row>
    <row r="2389" ht="46.5" customHeight="1" spans="1:7">
      <c r="A2389" s="6" t="s">
        <v>4097</v>
      </c>
      <c r="B2389" s="12" t="s">
        <v>4098</v>
      </c>
      <c r="C2389" s="4" t="s">
        <v>16</v>
      </c>
      <c r="D2389" s="7">
        <v>7993.8</v>
      </c>
      <c r="F2389" s="32">
        <v>5503.8</v>
      </c>
      <c r="G2389" s="33">
        <f>(D2389-F2389)/F2389</f>
        <v>0.452414695301428</v>
      </c>
    </row>
    <row r="2390" ht="170.5" customHeight="1" spans="1:7">
      <c r="A2390" s="6" t="s">
        <v>4099</v>
      </c>
      <c r="B2390" s="12" t="s">
        <v>4100</v>
      </c>
      <c r="C2390" s="4"/>
      <c r="D2390" s="14"/>
    </row>
    <row r="2391" ht="31" customHeight="1" spans="1:7">
      <c r="A2391" s="40"/>
      <c r="B2391" s="12" t="s">
        <v>4101</v>
      </c>
      <c r="C2391" s="4"/>
      <c r="D2391" s="14"/>
    </row>
    <row r="2392" spans="1:7">
      <c r="A2392" s="6" t="s">
        <v>4102</v>
      </c>
      <c r="B2392" s="3" t="s">
        <v>4103</v>
      </c>
      <c r="C2392" s="4" t="s">
        <v>16</v>
      </c>
      <c r="D2392" s="7">
        <v>10529.35</v>
      </c>
      <c r="F2392" s="32">
        <v>6893.25</v>
      </c>
      <c r="G2392" s="33">
        <f>(D2392-F2392)/F2392</f>
        <v>0.527487034417727</v>
      </c>
    </row>
    <row r="2393" ht="31" customHeight="1" spans="1:7">
      <c r="A2393" s="6" t="s">
        <v>4104</v>
      </c>
      <c r="B2393" s="3" t="s">
        <v>4105</v>
      </c>
      <c r="C2393" s="4" t="s">
        <v>16</v>
      </c>
      <c r="D2393" s="7">
        <v>11098.45</v>
      </c>
      <c r="F2393" s="32">
        <v>7160.4</v>
      </c>
      <c r="G2393" s="33">
        <f>(D2393-F2393)/F2393</f>
        <v>0.549976258309592</v>
      </c>
    </row>
    <row r="2394" ht="31" customHeight="1" spans="1:7">
      <c r="A2394" s="6" t="s">
        <v>4106</v>
      </c>
      <c r="B2394" s="12" t="s">
        <v>4107</v>
      </c>
      <c r="C2394" s="4" t="s">
        <v>178</v>
      </c>
      <c r="D2394" s="7">
        <v>55.5</v>
      </c>
      <c r="F2394" s="32">
        <v>46.45</v>
      </c>
      <c r="G2394" s="33">
        <f>(D2394-F2394)/F2394</f>
        <v>0.194833153928956</v>
      </c>
    </row>
    <row r="2395" ht="93" customHeight="1" spans="1:7">
      <c r="A2395" s="6" t="s">
        <v>4108</v>
      </c>
      <c r="B2395" s="12" t="s">
        <v>4109</v>
      </c>
      <c r="C2395" s="4" t="s">
        <v>4110</v>
      </c>
      <c r="D2395" s="7">
        <v>5.3</v>
      </c>
      <c r="F2395" s="32">
        <v>2.2</v>
      </c>
      <c r="G2395" s="33">
        <f>(D2395-F2395)/F2395</f>
        <v>1.40909090909091</v>
      </c>
    </row>
    <row r="2396" ht="46.5" customHeight="1" spans="1:7">
      <c r="A2396" s="6" t="s">
        <v>4111</v>
      </c>
      <c r="B2396" s="12" t="s">
        <v>4112</v>
      </c>
      <c r="C2396" s="4"/>
      <c r="D2396" s="14"/>
    </row>
    <row r="2397" ht="62" customHeight="1" spans="1:7">
      <c r="A2397" s="6" t="s">
        <v>4113</v>
      </c>
      <c r="B2397" s="3" t="s">
        <v>4112</v>
      </c>
      <c r="C2397" s="4" t="s">
        <v>4110</v>
      </c>
      <c r="D2397" s="7">
        <v>8.65</v>
      </c>
      <c r="F2397" s="32">
        <v>2.2</v>
      </c>
      <c r="G2397" s="33">
        <f>(D2397-F2397)/F2397</f>
        <v>2.93181818181818</v>
      </c>
    </row>
    <row r="2398" spans="1:7">
      <c r="A2398" s="40"/>
      <c r="B2398" s="12" t="s">
        <v>4114</v>
      </c>
      <c r="C2398" s="4"/>
      <c r="D2398" s="7"/>
    </row>
    <row r="2399" ht="62" customHeight="1" spans="1:7">
      <c r="A2399" s="6" t="s">
        <v>4115</v>
      </c>
      <c r="B2399" s="12" t="s">
        <v>4116</v>
      </c>
      <c r="C2399" s="4"/>
      <c r="D2399" s="14"/>
    </row>
    <row r="2400" spans="1:7">
      <c r="A2400" s="6" t="s">
        <v>4117</v>
      </c>
      <c r="B2400" s="3" t="s">
        <v>4118</v>
      </c>
      <c r="C2400" s="4" t="s">
        <v>12</v>
      </c>
      <c r="D2400" s="7">
        <v>188.2</v>
      </c>
      <c r="F2400" s="32">
        <v>104.9</v>
      </c>
      <c r="G2400" s="33">
        <f>(D2400-F2400)/F2400</f>
        <v>0.794089609151573</v>
      </c>
    </row>
    <row r="2401" spans="1:7">
      <c r="A2401" s="6" t="s">
        <v>4119</v>
      </c>
      <c r="B2401" s="3" t="s">
        <v>4120</v>
      </c>
      <c r="C2401" s="4" t="s">
        <v>12</v>
      </c>
      <c r="D2401" s="7">
        <v>120.8</v>
      </c>
      <c r="F2401" s="32">
        <v>66.25</v>
      </c>
      <c r="G2401" s="33">
        <f>(D2401-F2401)/F2401</f>
        <v>0.823396226415094</v>
      </c>
    </row>
    <row r="2402" ht="62" customHeight="1" spans="1:7">
      <c r="A2402" s="6" t="s">
        <v>4121</v>
      </c>
      <c r="B2402" s="12" t="s">
        <v>4122</v>
      </c>
      <c r="C2402" s="4"/>
      <c r="D2402" s="14"/>
    </row>
    <row r="2403" spans="1:7">
      <c r="A2403" s="6" t="s">
        <v>4123</v>
      </c>
      <c r="B2403" s="3" t="s">
        <v>4118</v>
      </c>
      <c r="C2403" s="4" t="s">
        <v>12</v>
      </c>
      <c r="D2403" s="7">
        <v>288.9</v>
      </c>
      <c r="F2403" s="32">
        <v>133.1</v>
      </c>
      <c r="G2403" s="33">
        <f>(D2403-F2403)/F2403</f>
        <v>1.17054845980466</v>
      </c>
    </row>
    <row r="2404" spans="1:7">
      <c r="A2404" s="6" t="s">
        <v>4124</v>
      </c>
      <c r="B2404" s="3" t="s">
        <v>4120</v>
      </c>
      <c r="C2404" s="4" t="s">
        <v>12</v>
      </c>
      <c r="D2404" s="7">
        <v>189.85</v>
      </c>
      <c r="F2404" s="32">
        <v>86.9</v>
      </c>
      <c r="G2404" s="33">
        <f>(D2404-F2404)/F2404</f>
        <v>1.18469505178366</v>
      </c>
    </row>
    <row r="2405" spans="1:7">
      <c r="A2405" s="40"/>
      <c r="B2405" s="12" t="s">
        <v>365</v>
      </c>
      <c r="C2405" s="4"/>
      <c r="D2405" s="7"/>
    </row>
    <row r="2406" ht="108.5" customHeight="1" spans="1:7">
      <c r="A2406" s="6" t="s">
        <v>4125</v>
      </c>
      <c r="B2406" s="12" t="s">
        <v>4126</v>
      </c>
      <c r="C2406" s="4" t="s">
        <v>156</v>
      </c>
      <c r="D2406" s="7">
        <v>3050.4</v>
      </c>
      <c r="F2406" s="32">
        <v>1829.7</v>
      </c>
      <c r="G2406" s="33">
        <f>(D2406-F2406)/F2406</f>
        <v>0.667158550582063</v>
      </c>
    </row>
    <row r="2407" ht="155" customHeight="1" spans="1:7">
      <c r="A2407" s="6" t="s">
        <v>4127</v>
      </c>
      <c r="B2407" s="12" t="s">
        <v>4128</v>
      </c>
      <c r="C2407" s="4" t="s">
        <v>156</v>
      </c>
      <c r="D2407" s="7">
        <v>206.3</v>
      </c>
      <c r="F2407" s="32">
        <v>159.1</v>
      </c>
      <c r="G2407" s="33">
        <f>(D2407-F2407)/F2407</f>
        <v>0.296668761785041</v>
      </c>
    </row>
    <row r="2408" ht="62" customHeight="1" spans="1:7">
      <c r="A2408" s="6" t="s">
        <v>4129</v>
      </c>
      <c r="B2408" s="12" t="s">
        <v>4130</v>
      </c>
      <c r="C2408" s="4"/>
      <c r="D2408" s="14"/>
    </row>
    <row r="2409" spans="1:7">
      <c r="A2409" s="6" t="s">
        <v>4131</v>
      </c>
      <c r="B2409" s="3" t="s">
        <v>4132</v>
      </c>
      <c r="C2409" s="4" t="s">
        <v>16</v>
      </c>
      <c r="D2409" s="7">
        <v>1514.4</v>
      </c>
      <c r="F2409" s="32">
        <v>729.65</v>
      </c>
      <c r="G2409" s="33">
        <f>(D2409-F2409)/F2409</f>
        <v>1.07551565819228</v>
      </c>
    </row>
    <row r="2410" ht="77.5" customHeight="1" spans="1:7">
      <c r="A2410" s="6" t="s">
        <v>4133</v>
      </c>
      <c r="B2410" s="12" t="s">
        <v>4134</v>
      </c>
      <c r="C2410" s="4" t="s">
        <v>16</v>
      </c>
      <c r="D2410" s="7">
        <v>13719.05</v>
      </c>
      <c r="F2410" s="32">
        <v>7026.2</v>
      </c>
      <c r="G2410" s="33">
        <f>(D2410-F2410)/F2410</f>
        <v>0.952556146992684</v>
      </c>
    </row>
    <row r="2411" ht="139.5" customHeight="1" spans="1:7">
      <c r="A2411" s="6" t="s">
        <v>4135</v>
      </c>
      <c r="B2411" s="12" t="s">
        <v>4136</v>
      </c>
      <c r="C2411" s="4" t="s">
        <v>49</v>
      </c>
      <c r="D2411" s="7">
        <v>375.8</v>
      </c>
      <c r="F2411" s="32">
        <v>255</v>
      </c>
      <c r="G2411" s="33">
        <f>(D2411-F2411)/F2411</f>
        <v>0.473725490196078</v>
      </c>
    </row>
    <row r="2412" ht="93" customHeight="1" spans="1:7">
      <c r="A2412" s="6" t="s">
        <v>4137</v>
      </c>
      <c r="B2412" s="12" t="s">
        <v>4138</v>
      </c>
      <c r="C2412" s="4"/>
      <c r="D2412" s="14"/>
    </row>
    <row r="2413" ht="46.5" customHeight="1" spans="1:7">
      <c r="A2413" s="6" t="s">
        <v>4139</v>
      </c>
      <c r="B2413" s="3" t="s">
        <v>4140</v>
      </c>
      <c r="C2413" s="4" t="s">
        <v>16</v>
      </c>
      <c r="D2413" s="7">
        <v>11129.55</v>
      </c>
      <c r="F2413" s="32">
        <v>7247.7</v>
      </c>
      <c r="G2413" s="33">
        <f>(D2413-F2413)/F2413</f>
        <v>0.535597499896519</v>
      </c>
    </row>
    <row r="2414" ht="46.5" customHeight="1" spans="1:7">
      <c r="A2414" s="6" t="s">
        <v>4141</v>
      </c>
      <c r="B2414" s="3" t="s">
        <v>4142</v>
      </c>
      <c r="C2414" s="4" t="s">
        <v>16</v>
      </c>
      <c r="D2414" s="7">
        <v>11032.2</v>
      </c>
      <c r="F2414" s="32">
        <v>7140.45</v>
      </c>
      <c r="G2414" s="33">
        <f>(D2414-F2414)/F2414</f>
        <v>0.545028674663362</v>
      </c>
    </row>
    <row r="2415" ht="93" customHeight="1" spans="1:7">
      <c r="A2415" s="6" t="s">
        <v>4143</v>
      </c>
      <c r="B2415" s="12" t="s">
        <v>4144</v>
      </c>
      <c r="C2415" s="4"/>
      <c r="D2415" s="14"/>
    </row>
    <row r="2416" ht="46.5" customHeight="1" spans="1:7">
      <c r="A2416" s="6" t="s">
        <v>4145</v>
      </c>
      <c r="B2416" s="3" t="s">
        <v>4146</v>
      </c>
      <c r="C2416" s="4" t="s">
        <v>16</v>
      </c>
      <c r="D2416" s="7">
        <v>8505.65</v>
      </c>
      <c r="F2416" s="32">
        <v>5708.05</v>
      </c>
      <c r="G2416" s="33">
        <f>(D2416-F2416)/F2416</f>
        <v>0.490114837816767</v>
      </c>
    </row>
    <row r="2417" ht="46.5" customHeight="1" spans="1:7">
      <c r="A2417" s="6" t="s">
        <v>4147</v>
      </c>
      <c r="B2417" s="3" t="s">
        <v>4148</v>
      </c>
      <c r="C2417" s="4" t="s">
        <v>16</v>
      </c>
      <c r="D2417" s="7">
        <v>8413</v>
      </c>
      <c r="F2417" s="32">
        <v>5606.1</v>
      </c>
      <c r="G2417" s="33">
        <f>(D2417-F2417)/F2417</f>
        <v>0.500686751930932</v>
      </c>
    </row>
    <row r="2418" ht="93" customHeight="1" spans="1:7">
      <c r="A2418" s="6" t="s">
        <v>4149</v>
      </c>
      <c r="B2418" s="12" t="s">
        <v>4150</v>
      </c>
      <c r="C2418" s="4"/>
      <c r="D2418" s="14"/>
    </row>
    <row r="2419" ht="46.5" customHeight="1" spans="1:7">
      <c r="A2419" s="6" t="s">
        <v>4151</v>
      </c>
      <c r="B2419" s="3" t="s">
        <v>4152</v>
      </c>
      <c r="C2419" s="4" t="s">
        <v>12</v>
      </c>
      <c r="D2419" s="7">
        <v>277.7</v>
      </c>
      <c r="F2419" s="32">
        <v>181.15</v>
      </c>
      <c r="G2419" s="33">
        <f>(D2419-F2419)/F2419</f>
        <v>0.532983715153188</v>
      </c>
    </row>
    <row r="2420" ht="46.5" customHeight="1" spans="1:7">
      <c r="A2420" s="6" t="s">
        <v>4153</v>
      </c>
      <c r="B2420" s="3" t="s">
        <v>4154</v>
      </c>
      <c r="C2420" s="4" t="s">
        <v>12</v>
      </c>
      <c r="D2420" s="7">
        <v>275.3</v>
      </c>
      <c r="F2420" s="32">
        <v>178.45</v>
      </c>
      <c r="G2420" s="33">
        <f>(D2420-F2420)/F2420</f>
        <v>0.542729055757916</v>
      </c>
    </row>
    <row r="2421" ht="93" customHeight="1" spans="1:7">
      <c r="A2421" s="6" t="s">
        <v>4155</v>
      </c>
      <c r="B2421" s="12" t="s">
        <v>4156</v>
      </c>
      <c r="C2421" s="4"/>
      <c r="D2421" s="14"/>
    </row>
    <row r="2422" ht="46.5" customHeight="1" spans="1:7">
      <c r="A2422" s="6" t="s">
        <v>4157</v>
      </c>
      <c r="B2422" s="3" t="s">
        <v>4158</v>
      </c>
      <c r="C2422" s="4" t="s">
        <v>16</v>
      </c>
      <c r="D2422" s="7">
        <v>12126.2</v>
      </c>
      <c r="F2422" s="32">
        <v>7863.85</v>
      </c>
      <c r="G2422" s="33">
        <f t="shared" ref="G2422:G2429" si="39">(D2422-F2422)/F2422</f>
        <v>0.542018222626322</v>
      </c>
    </row>
    <row r="2423" ht="62" customHeight="1" spans="1:7">
      <c r="A2423" s="6" t="s">
        <v>4159</v>
      </c>
      <c r="B2423" s="3" t="s">
        <v>4160</v>
      </c>
      <c r="C2423" s="4" t="s">
        <v>16</v>
      </c>
      <c r="D2423" s="7">
        <v>12708.75</v>
      </c>
      <c r="F2423" s="32">
        <v>8345.45</v>
      </c>
      <c r="G2423" s="33">
        <f t="shared" si="39"/>
        <v>0.522835796751523</v>
      </c>
    </row>
    <row r="2424" ht="46.5" customHeight="1" spans="1:7">
      <c r="A2424" s="6" t="s">
        <v>4161</v>
      </c>
      <c r="B2424" s="3" t="s">
        <v>4162</v>
      </c>
      <c r="C2424" s="4" t="s">
        <v>16</v>
      </c>
      <c r="D2424" s="7">
        <v>11204.1</v>
      </c>
      <c r="F2424" s="32">
        <v>9073</v>
      </c>
      <c r="G2424" s="33">
        <f t="shared" si="39"/>
        <v>0.234883720930233</v>
      </c>
    </row>
    <row r="2425" ht="46.5" customHeight="1" spans="1:7">
      <c r="A2425" s="6" t="s">
        <v>4163</v>
      </c>
      <c r="B2425" s="3" t="s">
        <v>4164</v>
      </c>
      <c r="C2425" s="4" t="s">
        <v>16</v>
      </c>
      <c r="D2425" s="7">
        <v>10660.3</v>
      </c>
      <c r="F2425" s="32">
        <v>8389.1</v>
      </c>
      <c r="G2425" s="33">
        <f t="shared" si="39"/>
        <v>0.270732259717967</v>
      </c>
    </row>
    <row r="2426" ht="46.5" customHeight="1" spans="1:7">
      <c r="A2426" s="6" t="s">
        <v>4165</v>
      </c>
      <c r="B2426" s="3" t="s">
        <v>4166</v>
      </c>
      <c r="C2426" s="4" t="s">
        <v>16</v>
      </c>
      <c r="D2426" s="7">
        <v>12026.8</v>
      </c>
      <c r="F2426" s="32">
        <v>7754.35</v>
      </c>
      <c r="G2426" s="33">
        <f t="shared" si="39"/>
        <v>0.550974614248776</v>
      </c>
    </row>
    <row r="2427" ht="62" customHeight="1" spans="1:7">
      <c r="A2427" s="6" t="s">
        <v>4167</v>
      </c>
      <c r="B2427" s="3" t="s">
        <v>4168</v>
      </c>
      <c r="C2427" s="4" t="s">
        <v>16</v>
      </c>
      <c r="D2427" s="7">
        <v>12609.3</v>
      </c>
      <c r="F2427" s="32">
        <v>8236</v>
      </c>
      <c r="G2427" s="33">
        <f t="shared" si="39"/>
        <v>0.530998057309373</v>
      </c>
    </row>
    <row r="2428" ht="46.5" customHeight="1" spans="1:7">
      <c r="A2428" s="6" t="s">
        <v>4169</v>
      </c>
      <c r="B2428" s="3" t="s">
        <v>4170</v>
      </c>
      <c r="C2428" s="4" t="s">
        <v>16</v>
      </c>
      <c r="D2428" s="7">
        <v>11104.65</v>
      </c>
      <c r="F2428" s="32">
        <v>8963.55</v>
      </c>
      <c r="G2428" s="33">
        <f t="shared" si="39"/>
        <v>0.238867413022742</v>
      </c>
    </row>
    <row r="2429" ht="46.5" customHeight="1" spans="1:7">
      <c r="A2429" s="6" t="s">
        <v>4171</v>
      </c>
      <c r="B2429" s="3" t="s">
        <v>4172</v>
      </c>
      <c r="C2429" s="4" t="s">
        <v>16</v>
      </c>
      <c r="D2429" s="7">
        <v>10560.85</v>
      </c>
      <c r="F2429" s="32">
        <v>8279.65</v>
      </c>
      <c r="G2429" s="33">
        <f t="shared" si="39"/>
        <v>0.275518892706817</v>
      </c>
    </row>
    <row r="2430" ht="279" customHeight="1" spans="1:7">
      <c r="A2430" s="6" t="s">
        <v>4173</v>
      </c>
      <c r="B2430" s="12" t="s">
        <v>4174</v>
      </c>
      <c r="C2430" s="4"/>
      <c r="D2430" s="14"/>
    </row>
    <row r="2431" spans="1:7">
      <c r="A2431" s="6" t="s">
        <v>4175</v>
      </c>
      <c r="B2431" s="3" t="s">
        <v>4176</v>
      </c>
      <c r="C2431" s="4" t="s">
        <v>156</v>
      </c>
      <c r="D2431" s="7">
        <v>7183.35</v>
      </c>
      <c r="F2431" s="32">
        <v>4786.35</v>
      </c>
      <c r="G2431" s="33">
        <f t="shared" ref="G2431:G2439" si="40">(D2431-F2431)/F2431</f>
        <v>0.500799147575919</v>
      </c>
    </row>
    <row r="2432" ht="31" customHeight="1" spans="1:7">
      <c r="A2432" s="6" t="s">
        <v>4177</v>
      </c>
      <c r="B2432" s="3" t="s">
        <v>4178</v>
      </c>
      <c r="C2432" s="4" t="s">
        <v>156</v>
      </c>
      <c r="D2432" s="7">
        <v>5559.75</v>
      </c>
      <c r="F2432" s="32">
        <v>3464.05</v>
      </c>
      <c r="G2432" s="33">
        <f t="shared" si="40"/>
        <v>0.604985493858345</v>
      </c>
    </row>
    <row r="2433" ht="248" customHeight="1" spans="1:7">
      <c r="A2433" s="6" t="s">
        <v>4179</v>
      </c>
      <c r="B2433" s="12" t="s">
        <v>4180</v>
      </c>
      <c r="C2433" s="4"/>
      <c r="D2433" s="14"/>
      <c r="G2433" s="33" t="e">
        <f t="shared" si="40"/>
        <v>#DIV/0!</v>
      </c>
    </row>
    <row r="2434" spans="1:7">
      <c r="A2434" s="6" t="s">
        <v>4181</v>
      </c>
      <c r="B2434" s="3" t="s">
        <v>4182</v>
      </c>
      <c r="C2434" s="4" t="s">
        <v>12</v>
      </c>
      <c r="D2434" s="7">
        <v>5879.9</v>
      </c>
      <c r="F2434" s="32">
        <v>4722.2</v>
      </c>
      <c r="G2434" s="33">
        <f t="shared" si="40"/>
        <v>0.245161153699547</v>
      </c>
    </row>
    <row r="2435" ht="170.5" customHeight="1" spans="1:7">
      <c r="A2435" s="6" t="s">
        <v>4183</v>
      </c>
      <c r="B2435" s="12" t="s">
        <v>4184</v>
      </c>
      <c r="C2435" s="4" t="s">
        <v>156</v>
      </c>
      <c r="D2435" s="7">
        <v>8154.35</v>
      </c>
      <c r="F2435" s="32">
        <v>5266.45</v>
      </c>
      <c r="G2435" s="33">
        <f t="shared" si="40"/>
        <v>0.548358002069706</v>
      </c>
    </row>
    <row r="2436" ht="108.5" customHeight="1" spans="1:7">
      <c r="A2436" s="6" t="s">
        <v>4185</v>
      </c>
      <c r="B2436" s="12" t="s">
        <v>4186</v>
      </c>
      <c r="C2436" s="4" t="s">
        <v>12</v>
      </c>
      <c r="D2436" s="7">
        <v>747.8</v>
      </c>
      <c r="F2436" s="32">
        <v>391.25</v>
      </c>
      <c r="G2436" s="33">
        <f t="shared" si="40"/>
        <v>0.911309904153355</v>
      </c>
    </row>
    <row r="2437" ht="77.5" customHeight="1" spans="1:7">
      <c r="A2437" s="6" t="s">
        <v>4187</v>
      </c>
      <c r="B2437" s="12" t="s">
        <v>4188</v>
      </c>
      <c r="C2437" s="4" t="s">
        <v>12</v>
      </c>
      <c r="D2437" s="7">
        <v>558.3</v>
      </c>
      <c r="E2437" s="51"/>
      <c r="F2437" s="32">
        <v>382.05</v>
      </c>
      <c r="G2437" s="33">
        <f t="shared" si="40"/>
        <v>0.461327051433058</v>
      </c>
    </row>
    <row r="2438" ht="46.5" customHeight="1" spans="1:7">
      <c r="A2438" s="6" t="s">
        <v>4189</v>
      </c>
      <c r="B2438" s="12" t="s">
        <v>4190</v>
      </c>
      <c r="C2438" s="4" t="s">
        <v>12</v>
      </c>
      <c r="D2438" s="7">
        <v>199.35</v>
      </c>
      <c r="E2438" s="51"/>
      <c r="F2438" s="32">
        <v>141.35</v>
      </c>
      <c r="G2438" s="33">
        <f t="shared" si="40"/>
        <v>0.410328970640255</v>
      </c>
    </row>
    <row r="2439" ht="46.5" customHeight="1" spans="1:7">
      <c r="A2439" s="6" t="s">
        <v>4191</v>
      </c>
      <c r="B2439" s="12" t="s">
        <v>4192</v>
      </c>
      <c r="C2439" s="4" t="s">
        <v>156</v>
      </c>
      <c r="D2439" s="7">
        <v>904.2</v>
      </c>
      <c r="F2439" s="32">
        <v>554.5</v>
      </c>
      <c r="G2439" s="33">
        <f t="shared" si="40"/>
        <v>0.630658250676285</v>
      </c>
    </row>
    <row r="2440" ht="62" customHeight="1" spans="1:7">
      <c r="A2440" s="6" t="s">
        <v>4193</v>
      </c>
      <c r="B2440" s="12" t="s">
        <v>4194</v>
      </c>
      <c r="C2440" s="4"/>
      <c r="D2440" s="14"/>
    </row>
    <row r="2441" spans="1:7">
      <c r="A2441" s="6" t="s">
        <v>4195</v>
      </c>
      <c r="B2441" s="3" t="s">
        <v>4196</v>
      </c>
      <c r="C2441" s="4" t="s">
        <v>156</v>
      </c>
      <c r="D2441" s="7">
        <v>27.5</v>
      </c>
      <c r="F2441" s="32">
        <v>17.55</v>
      </c>
      <c r="G2441" s="33">
        <f>(D2441-F2441)/F2441</f>
        <v>0.566951566951567</v>
      </c>
    </row>
    <row r="2442" ht="93" customHeight="1" spans="1:7">
      <c r="A2442" s="6" t="s">
        <v>4197</v>
      </c>
      <c r="B2442" s="12" t="s">
        <v>4198</v>
      </c>
      <c r="C2442" s="4" t="s">
        <v>12</v>
      </c>
      <c r="D2442" s="7">
        <v>1600.55</v>
      </c>
      <c r="F2442" s="32">
        <v>654.35</v>
      </c>
      <c r="G2442" s="33">
        <f>(D2442-F2442)/F2442</f>
        <v>1.44601512951784</v>
      </c>
    </row>
    <row r="2443" ht="77.5" customHeight="1" spans="1:7">
      <c r="A2443" s="6" t="s">
        <v>4199</v>
      </c>
      <c r="B2443" s="12" t="s">
        <v>4200</v>
      </c>
      <c r="C2443" s="4" t="s">
        <v>12</v>
      </c>
      <c r="D2443" s="7">
        <v>972</v>
      </c>
      <c r="F2443" s="32">
        <v>615.7</v>
      </c>
      <c r="G2443" s="33">
        <f>(D2443-F2443)/F2443</f>
        <v>0.578690920903037</v>
      </c>
    </row>
    <row r="2444" ht="108.5" customHeight="1" spans="1:7">
      <c r="A2444" s="6" t="s">
        <v>4201</v>
      </c>
      <c r="B2444" s="12" t="s">
        <v>4202</v>
      </c>
      <c r="C2444" s="4" t="s">
        <v>16</v>
      </c>
      <c r="D2444" s="7">
        <v>10117.6</v>
      </c>
      <c r="F2444" s="32">
        <v>5012.65</v>
      </c>
      <c r="G2444" s="33">
        <f>(D2444-F2444)/F2444</f>
        <v>1.01841341406242</v>
      </c>
    </row>
    <row r="2445" ht="46.5" customHeight="1" spans="1:7">
      <c r="A2445" s="6" t="s">
        <v>4203</v>
      </c>
      <c r="B2445" s="12" t="s">
        <v>4204</v>
      </c>
      <c r="C2445" s="4"/>
      <c r="D2445" s="14"/>
    </row>
    <row r="2446" spans="1:7">
      <c r="A2446" s="6" t="s">
        <v>4205</v>
      </c>
      <c r="B2446" s="3" t="s">
        <v>4206</v>
      </c>
      <c r="C2446" s="4" t="s">
        <v>12</v>
      </c>
      <c r="D2446" s="7">
        <v>1017.8</v>
      </c>
      <c r="F2446" s="32">
        <v>561.7</v>
      </c>
      <c r="G2446" s="33">
        <f>(D2446-F2446)/F2446</f>
        <v>0.81199928787609</v>
      </c>
    </row>
    <row r="2447" ht="31" customHeight="1" spans="1:7">
      <c r="A2447" s="6" t="s">
        <v>4207</v>
      </c>
      <c r="B2447" s="3" t="s">
        <v>4208</v>
      </c>
      <c r="C2447" s="4" t="s">
        <v>12</v>
      </c>
      <c r="D2447" s="7">
        <v>1067.1</v>
      </c>
      <c r="F2447" s="32">
        <v>594.65</v>
      </c>
      <c r="G2447" s="33">
        <f>(D2447-F2447)/F2447</f>
        <v>0.794500966955352</v>
      </c>
    </row>
    <row r="2448" ht="46.5" customHeight="1" spans="1:7">
      <c r="A2448" s="6" t="s">
        <v>4209</v>
      </c>
      <c r="B2448" s="12" t="s">
        <v>4210</v>
      </c>
      <c r="C2448" s="4" t="s">
        <v>12</v>
      </c>
      <c r="D2448" s="7">
        <v>1149.25</v>
      </c>
      <c r="F2448" s="32">
        <v>594.15</v>
      </c>
      <c r="G2448" s="33">
        <f>(D2448-F2448)/F2448</f>
        <v>0.934275856265253</v>
      </c>
    </row>
    <row r="2449" spans="1:7">
      <c r="A2449" s="6" t="s">
        <v>4211</v>
      </c>
      <c r="B2449" s="12" t="s">
        <v>4212</v>
      </c>
      <c r="C2449" s="4" t="s">
        <v>16</v>
      </c>
      <c r="D2449" s="7">
        <v>995.85</v>
      </c>
      <c r="F2449" s="32">
        <v>880.5</v>
      </c>
      <c r="G2449" s="33">
        <f>(D2449-F2449)/F2449</f>
        <v>0.131005110732538</v>
      </c>
    </row>
    <row r="2450" ht="46.5" customHeight="1" spans="1:7">
      <c r="A2450" s="6" t="s">
        <v>4213</v>
      </c>
      <c r="B2450" s="12" t="s">
        <v>4214</v>
      </c>
      <c r="C2450" s="4" t="s">
        <v>12</v>
      </c>
      <c r="D2450" s="7">
        <v>659.05</v>
      </c>
      <c r="F2450" s="32">
        <v>279.35</v>
      </c>
      <c r="G2450" s="33">
        <f>(D2450-F2450)/F2450</f>
        <v>1.35922677644532</v>
      </c>
    </row>
    <row r="2451" ht="31" customHeight="1" spans="1:7">
      <c r="A2451" s="6" t="s">
        <v>4215</v>
      </c>
      <c r="B2451" s="12" t="s">
        <v>4216</v>
      </c>
      <c r="C2451" s="4"/>
      <c r="D2451" s="14"/>
    </row>
    <row r="2452" spans="1:7">
      <c r="A2452" s="6" t="s">
        <v>4217</v>
      </c>
      <c r="B2452" s="3" t="s">
        <v>3946</v>
      </c>
      <c r="C2452" s="4" t="s">
        <v>12</v>
      </c>
      <c r="D2452" s="7">
        <v>76.3</v>
      </c>
      <c r="F2452" s="32">
        <v>55.85</v>
      </c>
      <c r="G2452" s="33">
        <f>(D2452-F2452)/F2452</f>
        <v>0.366159355416294</v>
      </c>
    </row>
    <row r="2453" spans="1:7">
      <c r="A2453" s="6" t="s">
        <v>4218</v>
      </c>
      <c r="B2453" s="3" t="s">
        <v>4219</v>
      </c>
      <c r="C2453" s="4" t="s">
        <v>12</v>
      </c>
      <c r="D2453" s="7">
        <v>175</v>
      </c>
      <c r="F2453" s="32">
        <v>131.65</v>
      </c>
      <c r="G2453" s="33">
        <f>(D2453-F2453)/F2453</f>
        <v>0.329282187618686</v>
      </c>
    </row>
    <row r="2454" spans="1:7">
      <c r="A2454" s="6" t="s">
        <v>4220</v>
      </c>
      <c r="B2454" s="3" t="s">
        <v>4221</v>
      </c>
      <c r="C2454" s="4" t="s">
        <v>12</v>
      </c>
      <c r="D2454" s="7">
        <v>172.35</v>
      </c>
      <c r="F2454" s="32">
        <v>128.1</v>
      </c>
      <c r="G2454" s="33">
        <f>(D2454-F2454)/F2454</f>
        <v>0.345433255269321</v>
      </c>
    </row>
    <row r="2455" ht="93" customHeight="1" spans="1:7">
      <c r="A2455" s="6" t="s">
        <v>4222</v>
      </c>
      <c r="B2455" s="12" t="s">
        <v>4223</v>
      </c>
      <c r="C2455" s="4" t="s">
        <v>16</v>
      </c>
      <c r="D2455" s="7">
        <v>9823.8</v>
      </c>
    </row>
    <row r="2456" spans="1:7">
      <c r="A2456" s="6" t="s">
        <v>4224</v>
      </c>
      <c r="B2456" s="12" t="s">
        <v>4225</v>
      </c>
      <c r="C2456" s="4" t="s">
        <v>16</v>
      </c>
      <c r="D2456" s="7">
        <v>203.8</v>
      </c>
      <c r="F2456" s="32">
        <v>187.6</v>
      </c>
      <c r="G2456" s="33">
        <f>(D2456-F2456)/F2456</f>
        <v>0.0863539445628999</v>
      </c>
    </row>
    <row r="2457" ht="31" customHeight="1" spans="1:7">
      <c r="A2457" s="6" t="s">
        <v>4226</v>
      </c>
      <c r="B2457" s="12" t="s">
        <v>4227</v>
      </c>
      <c r="C2457" s="4" t="s">
        <v>12</v>
      </c>
      <c r="D2457" s="7">
        <v>7</v>
      </c>
      <c r="F2457" s="32">
        <v>3.6</v>
      </c>
      <c r="G2457" s="33">
        <f>(D2457-F2457)/F2457</f>
        <v>0.944444444444444</v>
      </c>
    </row>
    <row r="2458" ht="93" customHeight="1" spans="1:7">
      <c r="A2458" s="6" t="s">
        <v>4228</v>
      </c>
      <c r="B2458" s="12" t="s">
        <v>4229</v>
      </c>
      <c r="C2458" s="4"/>
      <c r="D2458" s="14"/>
    </row>
    <row r="2459" ht="31" customHeight="1" spans="1:7">
      <c r="A2459" s="6" t="s">
        <v>4230</v>
      </c>
      <c r="B2459" s="3" t="s">
        <v>4231</v>
      </c>
      <c r="C2459" s="4" t="s">
        <v>16</v>
      </c>
      <c r="D2459" s="7">
        <v>2784</v>
      </c>
      <c r="F2459" s="32">
        <v>2089.7</v>
      </c>
      <c r="G2459" s="33">
        <f>(D2459-F2459)/F2459</f>
        <v>0.332248648131311</v>
      </c>
    </row>
    <row r="2460" ht="31" customHeight="1" spans="1:7">
      <c r="A2460" s="6" t="s">
        <v>4232</v>
      </c>
      <c r="B2460" s="3" t="s">
        <v>4233</v>
      </c>
      <c r="C2460" s="4" t="s">
        <v>16</v>
      </c>
      <c r="D2460" s="7">
        <v>2924.85</v>
      </c>
      <c r="F2460" s="32">
        <v>2080.15</v>
      </c>
      <c r="G2460" s="33">
        <f>(D2460-F2460)/F2460</f>
        <v>0.40607648486888</v>
      </c>
    </row>
    <row r="2461" ht="31" customHeight="1" spans="1:7">
      <c r="A2461" s="6" t="s">
        <v>4234</v>
      </c>
      <c r="B2461" s="3" t="s">
        <v>4235</v>
      </c>
      <c r="C2461" s="4" t="s">
        <v>16</v>
      </c>
      <c r="D2461" s="7">
        <v>2808.55</v>
      </c>
      <c r="F2461" s="32">
        <v>1931.45</v>
      </c>
      <c r="G2461" s="33">
        <f>(D2461-F2461)/F2461</f>
        <v>0.454114784229465</v>
      </c>
    </row>
    <row r="2462" ht="93" customHeight="1" spans="1:7">
      <c r="A2462" s="6" t="s">
        <v>4236</v>
      </c>
      <c r="B2462" s="12" t="s">
        <v>4237</v>
      </c>
      <c r="C2462" s="4" t="s">
        <v>16</v>
      </c>
      <c r="D2462" s="7">
        <v>2914.3</v>
      </c>
      <c r="F2462" s="32">
        <v>2132.25</v>
      </c>
      <c r="G2462" s="33">
        <f>(D2462-F2462)/F2462</f>
        <v>0.366772189002228</v>
      </c>
    </row>
    <row r="2463" ht="124" customHeight="1" spans="1:7">
      <c r="A2463" s="6" t="s">
        <v>4238</v>
      </c>
      <c r="B2463" s="12" t="s">
        <v>4239</v>
      </c>
      <c r="C2463" s="4" t="s">
        <v>16</v>
      </c>
      <c r="D2463" s="7">
        <v>4148.65</v>
      </c>
      <c r="F2463" s="32">
        <v>3331.95</v>
      </c>
      <c r="G2463" s="33">
        <f>(D2463-F2463)/F2463</f>
        <v>0.245111721364366</v>
      </c>
    </row>
    <row r="2464" ht="310" customHeight="1" spans="1:7">
      <c r="A2464" s="6" t="s">
        <v>4240</v>
      </c>
      <c r="B2464" s="12" t="s">
        <v>4241</v>
      </c>
      <c r="C2464" s="4" t="s">
        <v>49</v>
      </c>
      <c r="D2464" s="7">
        <v>3439.5</v>
      </c>
    </row>
    <row r="2465" ht="62" customHeight="1" spans="1:7">
      <c r="A2465" s="6" t="s">
        <v>4242</v>
      </c>
      <c r="B2465" s="12" t="s">
        <v>4243</v>
      </c>
      <c r="C2465" s="4" t="s">
        <v>49</v>
      </c>
      <c r="D2465" s="7">
        <v>39.35</v>
      </c>
      <c r="F2465" s="32">
        <v>16.05</v>
      </c>
      <c r="G2465" s="33">
        <f>(D2465-F2465)/F2465</f>
        <v>1.45171339563863</v>
      </c>
    </row>
    <row r="2466" ht="62" customHeight="1" spans="1:7">
      <c r="A2466" s="6" t="s">
        <v>4244</v>
      </c>
      <c r="B2466" s="12" t="s">
        <v>4245</v>
      </c>
      <c r="C2466" s="4" t="s">
        <v>12</v>
      </c>
      <c r="D2466" s="7">
        <v>131.75</v>
      </c>
      <c r="F2466" s="32">
        <v>53.95</v>
      </c>
      <c r="G2466" s="33">
        <f>(D2466-F2466)/F2466</f>
        <v>1.44207599629286</v>
      </c>
    </row>
    <row r="2467" ht="77.5" customHeight="1" spans="1:7">
      <c r="A2467" s="6" t="s">
        <v>4246</v>
      </c>
      <c r="B2467" s="12" t="s">
        <v>4247</v>
      </c>
      <c r="C2467" s="4" t="s">
        <v>12</v>
      </c>
      <c r="D2467" s="7">
        <v>402.95</v>
      </c>
      <c r="F2467" s="32">
        <v>209.2</v>
      </c>
      <c r="G2467" s="33">
        <f>(D2467-F2467)/F2467</f>
        <v>0.926147227533461</v>
      </c>
    </row>
    <row r="2468" ht="93" customHeight="1" spans="1:7">
      <c r="A2468" s="6" t="s">
        <v>4248</v>
      </c>
      <c r="B2468" s="12" t="s">
        <v>4249</v>
      </c>
      <c r="C2468" s="4" t="s">
        <v>49</v>
      </c>
      <c r="D2468" s="7">
        <v>109.45</v>
      </c>
      <c r="F2468" s="32">
        <v>48.9</v>
      </c>
      <c r="G2468" s="33">
        <f>(D2468-F2468)/F2468</f>
        <v>1.23824130879346</v>
      </c>
    </row>
    <row r="2469" ht="108.5" customHeight="1" spans="1:7">
      <c r="A2469" s="6" t="s">
        <v>4250</v>
      </c>
      <c r="B2469" s="12" t="s">
        <v>4251</v>
      </c>
      <c r="C2469" s="4"/>
      <c r="D2469" s="14"/>
    </row>
    <row r="2470" spans="1:7">
      <c r="A2470" s="6" t="s">
        <v>4252</v>
      </c>
      <c r="B2470" s="3" t="s">
        <v>4253</v>
      </c>
      <c r="C2470" s="4" t="s">
        <v>12</v>
      </c>
      <c r="D2470" s="7">
        <v>4746.2</v>
      </c>
      <c r="F2470" s="32">
        <v>3034.7</v>
      </c>
      <c r="G2470" s="33">
        <f>(D2470-F2470)/F2470</f>
        <v>0.563976669852045</v>
      </c>
    </row>
    <row r="2471" ht="93" customHeight="1" spans="1:7">
      <c r="A2471" s="6" t="s">
        <v>4254</v>
      </c>
      <c r="B2471" s="12" t="s">
        <v>4255</v>
      </c>
      <c r="C2471" s="4"/>
      <c r="D2471" s="14"/>
    </row>
    <row r="2472" spans="1:7">
      <c r="A2472" s="6" t="s">
        <v>4256</v>
      </c>
      <c r="B2472" s="3" t="s">
        <v>4257</v>
      </c>
      <c r="C2472" s="4" t="s">
        <v>12</v>
      </c>
      <c r="D2472" s="7">
        <v>4950.9</v>
      </c>
      <c r="F2472" s="32">
        <v>3339.6</v>
      </c>
      <c r="G2472" s="33">
        <f>(D2472-F2472)/F2472</f>
        <v>0.482482932087675</v>
      </c>
    </row>
    <row r="2473" spans="1:7">
      <c r="A2473" s="6" t="s">
        <v>4258</v>
      </c>
      <c r="B2473" s="3" t="s">
        <v>4259</v>
      </c>
      <c r="C2473" s="4" t="s">
        <v>12</v>
      </c>
      <c r="D2473" s="7">
        <v>5272.05</v>
      </c>
    </row>
    <row r="2474" ht="93" customHeight="1" spans="1:7">
      <c r="A2474" s="6" t="s">
        <v>4260</v>
      </c>
      <c r="B2474" s="12" t="s">
        <v>4261</v>
      </c>
      <c r="C2474" s="4" t="s">
        <v>12</v>
      </c>
      <c r="D2474" s="7">
        <v>2159.85</v>
      </c>
      <c r="F2474" s="32">
        <v>842.95</v>
      </c>
      <c r="G2474" s="33">
        <f>(D2474-F2474)/F2474</f>
        <v>1.56225161634735</v>
      </c>
    </row>
    <row r="2475" ht="93" customHeight="1" spans="1:7">
      <c r="A2475" s="6" t="s">
        <v>4262</v>
      </c>
      <c r="B2475" s="12" t="s">
        <v>4263</v>
      </c>
      <c r="C2475" s="4" t="s">
        <v>12</v>
      </c>
      <c r="D2475" s="7">
        <v>1455.65</v>
      </c>
      <c r="F2475" s="32">
        <v>764</v>
      </c>
      <c r="G2475" s="33">
        <f>(D2475-F2475)/F2475</f>
        <v>0.905301047120419</v>
      </c>
    </row>
    <row r="2476" ht="93" customHeight="1" spans="1:7">
      <c r="A2476" s="6" t="s">
        <v>4264</v>
      </c>
      <c r="B2476" s="12" t="s">
        <v>4265</v>
      </c>
      <c r="C2476" s="4" t="s">
        <v>12</v>
      </c>
      <c r="D2476" s="7">
        <v>2017.6</v>
      </c>
      <c r="F2476" s="32">
        <v>1450.45</v>
      </c>
      <c r="G2476" s="33">
        <f>(D2476-F2476)/F2476</f>
        <v>0.39101658106105</v>
      </c>
    </row>
    <row r="2477" ht="124" customHeight="1" spans="1:7">
      <c r="A2477" s="6" t="s">
        <v>4266</v>
      </c>
      <c r="B2477" s="12" t="s">
        <v>4267</v>
      </c>
      <c r="C2477" s="4"/>
      <c r="D2477" s="14"/>
    </row>
    <row r="2478" ht="31" customHeight="1" spans="1:7">
      <c r="A2478" s="6" t="s">
        <v>4268</v>
      </c>
      <c r="B2478" s="3" t="s">
        <v>4269</v>
      </c>
      <c r="C2478" s="4" t="s">
        <v>12</v>
      </c>
      <c r="D2478" s="7">
        <v>1045.65</v>
      </c>
      <c r="F2478" s="32">
        <v>756.15</v>
      </c>
      <c r="G2478" s="33">
        <f t="shared" ref="G2478:G2484" si="41">(D2478-F2478)/F2478</f>
        <v>0.382860543542948</v>
      </c>
    </row>
    <row r="2479" spans="1:7">
      <c r="A2479" s="6" t="s">
        <v>4270</v>
      </c>
      <c r="B2479" s="3" t="s">
        <v>4271</v>
      </c>
      <c r="C2479" s="4" t="s">
        <v>12</v>
      </c>
      <c r="D2479" s="7">
        <v>1091.5</v>
      </c>
      <c r="F2479" s="32">
        <v>638.95</v>
      </c>
      <c r="G2479" s="33">
        <f t="shared" si="41"/>
        <v>0.708271382737303</v>
      </c>
    </row>
    <row r="2480" ht="62" customHeight="1" spans="1:7">
      <c r="A2480" s="6" t="s">
        <v>4272</v>
      </c>
      <c r="B2480" s="12" t="s">
        <v>4273</v>
      </c>
      <c r="C2480" s="4" t="s">
        <v>12</v>
      </c>
      <c r="D2480" s="7">
        <v>2189.15</v>
      </c>
      <c r="F2480" s="32">
        <v>1395.25</v>
      </c>
      <c r="G2480" s="33">
        <f t="shared" si="41"/>
        <v>0.569001970972944</v>
      </c>
    </row>
    <row r="2481" ht="139.5" customHeight="1" spans="1:7">
      <c r="A2481" s="6" t="s">
        <v>4274</v>
      </c>
      <c r="B2481" s="12" t="s">
        <v>4275</v>
      </c>
      <c r="C2481" s="4" t="s">
        <v>12</v>
      </c>
      <c r="D2481" s="7">
        <v>3273.25</v>
      </c>
      <c r="F2481" s="32">
        <v>1907.95</v>
      </c>
      <c r="G2481" s="33">
        <f t="shared" si="41"/>
        <v>0.715584789957808</v>
      </c>
    </row>
    <row r="2482" ht="124" customHeight="1" spans="1:7">
      <c r="A2482" s="6" t="s">
        <v>4276</v>
      </c>
      <c r="B2482" s="12" t="s">
        <v>4277</v>
      </c>
      <c r="C2482" s="4" t="s">
        <v>16</v>
      </c>
      <c r="D2482" s="7">
        <v>4178</v>
      </c>
      <c r="F2482" s="32">
        <v>2501.1</v>
      </c>
      <c r="G2482" s="33">
        <f t="shared" si="41"/>
        <v>0.670464995402023</v>
      </c>
    </row>
    <row r="2483" ht="124" customHeight="1" spans="1:7">
      <c r="A2483" s="6" t="s">
        <v>4278</v>
      </c>
      <c r="B2483" s="12" t="s">
        <v>4279</v>
      </c>
      <c r="C2483" s="4" t="s">
        <v>16</v>
      </c>
      <c r="D2483" s="7">
        <v>4569.25</v>
      </c>
      <c r="F2483" s="32">
        <v>2692.75</v>
      </c>
      <c r="G2483" s="33">
        <f t="shared" si="41"/>
        <v>0.696871228298208</v>
      </c>
    </row>
    <row r="2484" ht="124" customHeight="1" spans="1:7">
      <c r="A2484" s="6" t="s">
        <v>4280</v>
      </c>
      <c r="B2484" s="12" t="s">
        <v>4281</v>
      </c>
      <c r="C2484" s="4" t="s">
        <v>16</v>
      </c>
      <c r="D2484" s="7">
        <v>4882.2</v>
      </c>
      <c r="F2484" s="32">
        <v>3139.95</v>
      </c>
      <c r="G2484" s="33">
        <f t="shared" si="41"/>
        <v>0.554865523336359</v>
      </c>
    </row>
    <row r="2485" spans="1:7">
      <c r="B2485" s="53"/>
      <c r="D2485" s="16"/>
    </row>
    <row r="2486" spans="1:7">
      <c r="B2486" s="53"/>
      <c r="D2486" s="16"/>
    </row>
    <row r="2487" spans="1:7">
      <c r="B2487" s="53"/>
      <c r="D2487" s="16"/>
    </row>
    <row r="2488" spans="1:7">
      <c r="B2488" s="53"/>
      <c r="D2488" s="16"/>
    </row>
    <row r="2489" spans="1:7">
      <c r="B2489" s="53"/>
      <c r="D2489" s="16"/>
    </row>
    <row r="2490" spans="1:7">
      <c r="B2490" s="53"/>
      <c r="D2490" s="16"/>
    </row>
    <row r="2491" spans="1:7">
      <c r="A2491" s="42" t="s">
        <v>4282</v>
      </c>
      <c r="C2491" s="31"/>
      <c r="D2491" s="31"/>
    </row>
    <row r="2492" spans="1:7">
      <c r="A2492" s="6" t="s">
        <v>204</v>
      </c>
      <c r="B2492" s="12" t="s">
        <v>2</v>
      </c>
      <c r="C2492" s="4" t="s">
        <v>205</v>
      </c>
      <c r="D2492" s="14" t="s">
        <v>4</v>
      </c>
    </row>
    <row r="2493" ht="77.5" customHeight="1" spans="1:7">
      <c r="A2493" s="6" t="s">
        <v>4283</v>
      </c>
      <c r="B2493" s="12" t="s">
        <v>4284</v>
      </c>
      <c r="C2493" s="4"/>
      <c r="D2493" s="14"/>
      <c r="E2493" s="31" t="s">
        <v>9</v>
      </c>
    </row>
    <row r="2494" ht="31" customHeight="1" spans="1:7">
      <c r="A2494" s="6" t="s">
        <v>4285</v>
      </c>
      <c r="B2494" s="3" t="s">
        <v>4286</v>
      </c>
      <c r="C2494" s="4" t="s">
        <v>156</v>
      </c>
      <c r="D2494" s="7">
        <v>6767.4</v>
      </c>
      <c r="E2494" s="31" t="s">
        <v>9</v>
      </c>
      <c r="F2494" s="32">
        <v>3494.2</v>
      </c>
      <c r="G2494" s="33">
        <f>(D2494-F2494)/F2494</f>
        <v>0.936752332436609</v>
      </c>
    </row>
    <row r="2495" ht="31" customHeight="1" spans="1:7">
      <c r="A2495" s="6" t="s">
        <v>4287</v>
      </c>
      <c r="B2495" s="3" t="s">
        <v>4288</v>
      </c>
      <c r="C2495" s="4" t="s">
        <v>156</v>
      </c>
      <c r="D2495" s="7">
        <v>11390.95</v>
      </c>
      <c r="E2495" s="31" t="s">
        <v>9</v>
      </c>
      <c r="F2495" s="32">
        <v>6769.6</v>
      </c>
      <c r="G2495" s="33">
        <f>(D2495-F2495)/F2495</f>
        <v>0.682662195698416</v>
      </c>
    </row>
    <row r="2496" ht="77.5" customHeight="1" spans="1:7">
      <c r="A2496" s="6" t="s">
        <v>4289</v>
      </c>
      <c r="B2496" s="12" t="s">
        <v>4290</v>
      </c>
      <c r="C2496" s="4"/>
      <c r="D2496" s="14"/>
      <c r="E2496" s="31" t="s">
        <v>9</v>
      </c>
    </row>
    <row r="2497" spans="1:7">
      <c r="A2497" s="6" t="s">
        <v>4291</v>
      </c>
      <c r="B2497" s="3" t="s">
        <v>4292</v>
      </c>
      <c r="C2497" s="4" t="s">
        <v>156</v>
      </c>
      <c r="D2497" s="7">
        <v>6515.55</v>
      </c>
      <c r="E2497" s="31" t="s">
        <v>9</v>
      </c>
      <c r="F2497" s="32">
        <v>3418.7</v>
      </c>
      <c r="G2497" s="33">
        <f>(D2497-F2497)/F2497</f>
        <v>0.905856027144821</v>
      </c>
    </row>
    <row r="2498" spans="1:7">
      <c r="A2498" s="6" t="s">
        <v>4293</v>
      </c>
      <c r="B2498" s="3" t="s">
        <v>4294</v>
      </c>
      <c r="C2498" s="4" t="s">
        <v>156</v>
      </c>
      <c r="D2498" s="7">
        <v>6383.25</v>
      </c>
      <c r="E2498" s="31" t="s">
        <v>9</v>
      </c>
      <c r="F2498" s="32">
        <v>3395.45</v>
      </c>
      <c r="G2498" s="33">
        <f>(D2498-F2498)/F2498</f>
        <v>0.879942275692471</v>
      </c>
    </row>
    <row r="2499" ht="93" customHeight="1" spans="1:7">
      <c r="A2499" s="6" t="s">
        <v>4295</v>
      </c>
      <c r="B2499" s="12" t="s">
        <v>4296</v>
      </c>
      <c r="C2499" s="4"/>
      <c r="D2499" s="14"/>
      <c r="E2499" s="31" t="s">
        <v>9</v>
      </c>
    </row>
    <row r="2500" spans="1:7">
      <c r="A2500" s="6" t="s">
        <v>4297</v>
      </c>
      <c r="B2500" s="3" t="s">
        <v>4292</v>
      </c>
      <c r="C2500" s="4" t="s">
        <v>156</v>
      </c>
      <c r="D2500" s="7">
        <v>8006.6</v>
      </c>
      <c r="E2500" s="31" t="s">
        <v>9</v>
      </c>
      <c r="F2500" s="32">
        <v>4593.75</v>
      </c>
      <c r="G2500" s="33">
        <f>(D2500-F2500)/F2500</f>
        <v>0.742933333333333</v>
      </c>
    </row>
    <row r="2501" spans="1:7">
      <c r="A2501" s="6" t="s">
        <v>4298</v>
      </c>
      <c r="B2501" s="3" t="s">
        <v>4294</v>
      </c>
      <c r="C2501" s="4" t="s">
        <v>156</v>
      </c>
      <c r="D2501" s="7">
        <v>7874.3</v>
      </c>
      <c r="E2501" s="31" t="s">
        <v>9</v>
      </c>
      <c r="F2501" s="32">
        <v>4570.5</v>
      </c>
      <c r="G2501" s="33">
        <f>(D2501-F2501)/F2501</f>
        <v>0.72285307953178</v>
      </c>
    </row>
    <row r="2502" ht="77.5" customHeight="1" spans="1:7">
      <c r="A2502" s="6" t="s">
        <v>4299</v>
      </c>
      <c r="B2502" s="12" t="s">
        <v>4300</v>
      </c>
      <c r="C2502" s="4"/>
      <c r="D2502" s="14"/>
      <c r="E2502" s="31" t="s">
        <v>9</v>
      </c>
    </row>
    <row r="2503" spans="1:7">
      <c r="A2503" s="6" t="s">
        <v>4301</v>
      </c>
      <c r="B2503" s="3" t="s">
        <v>4302</v>
      </c>
      <c r="C2503" s="4" t="s">
        <v>156</v>
      </c>
      <c r="D2503" s="7">
        <v>6258.75</v>
      </c>
      <c r="E2503" s="31" t="s">
        <v>9</v>
      </c>
      <c r="F2503" s="32">
        <v>3494.15</v>
      </c>
      <c r="G2503" s="33">
        <f>(D2503-F2503)/F2503</f>
        <v>0.791208162213986</v>
      </c>
    </row>
    <row r="2504" spans="1:7">
      <c r="A2504" s="6" t="s">
        <v>4303</v>
      </c>
      <c r="B2504" s="3" t="s">
        <v>4304</v>
      </c>
      <c r="C2504" s="4" t="s">
        <v>156</v>
      </c>
      <c r="D2504" s="7">
        <v>9612.4</v>
      </c>
      <c r="E2504" s="31" t="s">
        <v>9</v>
      </c>
      <c r="F2504" s="32">
        <v>5373.4</v>
      </c>
      <c r="G2504" s="33">
        <f>(D2504-F2504)/F2504</f>
        <v>0.788885993970298</v>
      </c>
    </row>
    <row r="2505" spans="1:7">
      <c r="A2505" s="6" t="s">
        <v>4305</v>
      </c>
      <c r="B2505" s="3" t="s">
        <v>4306</v>
      </c>
      <c r="C2505" s="4" t="s">
        <v>156</v>
      </c>
      <c r="D2505" s="7">
        <v>13417.3</v>
      </c>
      <c r="E2505" s="31" t="s">
        <v>9</v>
      </c>
      <c r="F2505" s="32">
        <v>7403.35</v>
      </c>
      <c r="G2505" s="33">
        <f>(D2505-F2505)/F2505</f>
        <v>0.812328202773069</v>
      </c>
    </row>
    <row r="2506" spans="1:7">
      <c r="A2506" s="6" t="s">
        <v>4307</v>
      </c>
      <c r="B2506" s="3" t="s">
        <v>4308</v>
      </c>
      <c r="C2506" s="4" t="s">
        <v>156</v>
      </c>
      <c r="D2506" s="7">
        <v>18579.95</v>
      </c>
      <c r="E2506" s="31" t="s">
        <v>9</v>
      </c>
      <c r="F2506" s="32">
        <v>10109.6</v>
      </c>
      <c r="G2506" s="33">
        <f>(D2506-F2506)/F2506</f>
        <v>0.837852140539685</v>
      </c>
    </row>
    <row r="2507" ht="77.5" customHeight="1" spans="1:7">
      <c r="A2507" s="6" t="s">
        <v>4309</v>
      </c>
      <c r="B2507" s="12" t="s">
        <v>4310</v>
      </c>
      <c r="C2507" s="4"/>
      <c r="D2507" s="14"/>
      <c r="E2507" s="31" t="s">
        <v>9</v>
      </c>
    </row>
    <row r="2508" spans="1:7">
      <c r="A2508" s="6" t="s">
        <v>4311</v>
      </c>
      <c r="B2508" s="3" t="s">
        <v>4312</v>
      </c>
      <c r="C2508" s="4" t="s">
        <v>156</v>
      </c>
      <c r="D2508" s="7">
        <v>12071.75</v>
      </c>
      <c r="E2508" s="31" t="s">
        <v>9</v>
      </c>
      <c r="F2508" s="32">
        <v>6187.4</v>
      </c>
      <c r="G2508" s="33">
        <f>(D2508-F2508)/F2508</f>
        <v>0.951021430649384</v>
      </c>
    </row>
    <row r="2509" spans="1:7">
      <c r="A2509" s="6" t="s">
        <v>4313</v>
      </c>
      <c r="B2509" s="3" t="s">
        <v>4314</v>
      </c>
      <c r="C2509" s="4" t="s">
        <v>156</v>
      </c>
      <c r="D2509" s="7">
        <v>18008.75</v>
      </c>
      <c r="E2509" s="31" t="s">
        <v>9</v>
      </c>
      <c r="F2509" s="32">
        <v>9317.6</v>
      </c>
      <c r="G2509" s="33">
        <f>(D2509-F2509)/F2509</f>
        <v>0.932767021550614</v>
      </c>
    </row>
    <row r="2510" spans="1:7">
      <c r="A2510" s="6" t="s">
        <v>4315</v>
      </c>
      <c r="B2510" s="3" t="s">
        <v>4316</v>
      </c>
      <c r="C2510" s="4" t="s">
        <v>156</v>
      </c>
      <c r="D2510" s="7">
        <v>22058.25</v>
      </c>
      <c r="E2510" s="31" t="s">
        <v>9</v>
      </c>
      <c r="F2510" s="32">
        <v>11694.9</v>
      </c>
      <c r="G2510" s="33">
        <f>(D2510-F2510)/F2510</f>
        <v>0.886142677577406</v>
      </c>
    </row>
    <row r="2511" spans="1:7">
      <c r="A2511" s="6" t="s">
        <v>4317</v>
      </c>
      <c r="B2511" s="3" t="s">
        <v>4318</v>
      </c>
      <c r="C2511" s="4" t="s">
        <v>156</v>
      </c>
      <c r="D2511" s="7">
        <v>25969.45</v>
      </c>
      <c r="E2511" s="31" t="s">
        <v>9</v>
      </c>
      <c r="F2511" s="32">
        <v>13941.75</v>
      </c>
      <c r="G2511" s="33">
        <f>(D2511-F2511)/F2511</f>
        <v>0.862710922229993</v>
      </c>
    </row>
    <row r="2512" ht="77.5" customHeight="1" spans="1:7">
      <c r="A2512" s="6" t="s">
        <v>4319</v>
      </c>
      <c r="B2512" s="12" t="s">
        <v>4320</v>
      </c>
      <c r="C2512" s="4"/>
      <c r="D2512" s="14"/>
      <c r="E2512" s="31" t="s">
        <v>9</v>
      </c>
    </row>
    <row r="2513" spans="1:7">
      <c r="A2513" s="6" t="s">
        <v>4321</v>
      </c>
      <c r="B2513" s="3" t="s">
        <v>4322</v>
      </c>
      <c r="C2513" s="4" t="s">
        <v>156</v>
      </c>
      <c r="D2513" s="7">
        <v>9256.45</v>
      </c>
      <c r="E2513" s="31" t="s">
        <v>9</v>
      </c>
      <c r="F2513" s="32">
        <v>4887.5</v>
      </c>
      <c r="G2513" s="33">
        <f>(D2513-F2513)/F2513</f>
        <v>0.893902813299233</v>
      </c>
    </row>
    <row r="2514" spans="1:7">
      <c r="A2514" s="6" t="s">
        <v>4323</v>
      </c>
      <c r="B2514" s="3" t="s">
        <v>4324</v>
      </c>
      <c r="C2514" s="4" t="s">
        <v>156</v>
      </c>
      <c r="D2514" s="7">
        <v>13476.35</v>
      </c>
      <c r="E2514" s="31" t="s">
        <v>9</v>
      </c>
      <c r="F2514" s="32">
        <v>7257.4</v>
      </c>
      <c r="G2514" s="33">
        <f>(D2514-F2514)/F2514</f>
        <v>0.85691156612561</v>
      </c>
    </row>
    <row r="2515" spans="1:7">
      <c r="A2515" s="6" t="s">
        <v>4325</v>
      </c>
      <c r="B2515" s="3" t="s">
        <v>4326</v>
      </c>
      <c r="C2515" s="4" t="s">
        <v>156</v>
      </c>
      <c r="D2515" s="7">
        <v>17702.2</v>
      </c>
      <c r="E2515" s="31" t="s">
        <v>9</v>
      </c>
      <c r="F2515" s="32">
        <v>9650.15</v>
      </c>
      <c r="G2515" s="33">
        <f>(D2515-F2515)/F2515</f>
        <v>0.834396356533318</v>
      </c>
    </row>
    <row r="2516" spans="1:7">
      <c r="A2516" s="6" t="s">
        <v>4327</v>
      </c>
      <c r="B2516" s="3" t="s">
        <v>4328</v>
      </c>
      <c r="C2516" s="4" t="s">
        <v>156</v>
      </c>
      <c r="D2516" s="7">
        <v>21203.2</v>
      </c>
      <c r="E2516" s="31" t="s">
        <v>9</v>
      </c>
      <c r="F2516" s="32">
        <v>11723.85</v>
      </c>
      <c r="G2516" s="33">
        <f>(D2516-F2516)/F2516</f>
        <v>0.808552651219523</v>
      </c>
    </row>
    <row r="2517" ht="46.5" customHeight="1" spans="1:7">
      <c r="A2517" s="6" t="s">
        <v>4329</v>
      </c>
      <c r="B2517" s="12" t="s">
        <v>4330</v>
      </c>
      <c r="C2517" s="4"/>
      <c r="D2517" s="14"/>
      <c r="E2517" s="31" t="s">
        <v>9</v>
      </c>
    </row>
    <row r="2518" ht="31" customHeight="1" spans="1:7">
      <c r="A2518" s="6" t="s">
        <v>4331</v>
      </c>
      <c r="B2518" s="3" t="s">
        <v>4332</v>
      </c>
      <c r="C2518" s="4" t="s">
        <v>156</v>
      </c>
      <c r="D2518" s="7">
        <v>2648.85</v>
      </c>
      <c r="E2518" s="31" t="s">
        <v>9</v>
      </c>
      <c r="F2518" s="32">
        <v>2298.55</v>
      </c>
      <c r="G2518" s="33">
        <f t="shared" ref="G2518:G2528" si="42">(D2518-F2518)/F2518</f>
        <v>0.152400426355746</v>
      </c>
    </row>
    <row r="2519" ht="31" customHeight="1" spans="1:7">
      <c r="A2519" s="6" t="s">
        <v>4333</v>
      </c>
      <c r="B2519" s="3" t="s">
        <v>4334</v>
      </c>
      <c r="C2519" s="4" t="s">
        <v>156</v>
      </c>
      <c r="D2519" s="7">
        <v>2226.35</v>
      </c>
      <c r="E2519" s="31" t="s">
        <v>9</v>
      </c>
      <c r="F2519" s="32">
        <v>2020.6</v>
      </c>
      <c r="G2519" s="33">
        <f t="shared" si="42"/>
        <v>0.101826190240523</v>
      </c>
    </row>
    <row r="2520" ht="31" customHeight="1" spans="1:7">
      <c r="A2520" s="6" t="s">
        <v>4335</v>
      </c>
      <c r="B2520" s="3" t="s">
        <v>4336</v>
      </c>
      <c r="C2520" s="4" t="s">
        <v>156</v>
      </c>
      <c r="D2520" s="7">
        <v>2301.75</v>
      </c>
      <c r="E2520" s="31" t="s">
        <v>9</v>
      </c>
      <c r="F2520" s="32">
        <v>2095.3</v>
      </c>
      <c r="G2520" s="33">
        <f t="shared" si="42"/>
        <v>0.0985300434305349</v>
      </c>
    </row>
    <row r="2521" ht="31" customHeight="1" spans="1:7">
      <c r="A2521" s="6" t="s">
        <v>4337</v>
      </c>
      <c r="B2521" s="3" t="s">
        <v>4338</v>
      </c>
      <c r="C2521" s="4" t="s">
        <v>156</v>
      </c>
      <c r="D2521" s="7">
        <v>1879.2</v>
      </c>
      <c r="E2521" s="31" t="s">
        <v>9</v>
      </c>
      <c r="F2521" s="32">
        <v>1817.35</v>
      </c>
      <c r="G2521" s="33">
        <f t="shared" si="42"/>
        <v>0.0340330701295844</v>
      </c>
    </row>
    <row r="2522" ht="31" customHeight="1" spans="1:7">
      <c r="A2522" s="6" t="s">
        <v>4339</v>
      </c>
      <c r="B2522" s="3" t="s">
        <v>4340</v>
      </c>
      <c r="C2522" s="4" t="s">
        <v>156</v>
      </c>
      <c r="D2522" s="7">
        <v>2226.35</v>
      </c>
      <c r="E2522" s="31" t="s">
        <v>9</v>
      </c>
      <c r="F2522" s="32">
        <v>2020.6</v>
      </c>
      <c r="G2522" s="33">
        <f t="shared" si="42"/>
        <v>0.101826190240523</v>
      </c>
    </row>
    <row r="2523" ht="31" customHeight="1" spans="1:7">
      <c r="A2523" s="6" t="s">
        <v>4341</v>
      </c>
      <c r="B2523" s="3" t="s">
        <v>4342</v>
      </c>
      <c r="C2523" s="4" t="s">
        <v>156</v>
      </c>
      <c r="D2523" s="7">
        <v>1756.85</v>
      </c>
      <c r="E2523" s="31" t="s">
        <v>9</v>
      </c>
      <c r="F2523" s="32">
        <v>1672.15</v>
      </c>
      <c r="G2523" s="33">
        <f t="shared" si="42"/>
        <v>0.0506533504769308</v>
      </c>
    </row>
    <row r="2524" ht="31" customHeight="1" spans="1:7">
      <c r="A2524" s="6" t="s">
        <v>4343</v>
      </c>
      <c r="B2524" s="3" t="s">
        <v>4344</v>
      </c>
      <c r="C2524" s="4" t="s">
        <v>156</v>
      </c>
      <c r="D2524" s="7">
        <v>1513.6</v>
      </c>
      <c r="E2524" s="31" t="s">
        <v>9</v>
      </c>
      <c r="F2524" s="32">
        <v>1556</v>
      </c>
      <c r="G2524" s="33">
        <f t="shared" si="42"/>
        <v>-0.0272493573264782</v>
      </c>
    </row>
    <row r="2525" ht="31" customHeight="1" spans="1:7">
      <c r="A2525" s="6" t="s">
        <v>4345</v>
      </c>
      <c r="B2525" s="3" t="s">
        <v>4346</v>
      </c>
      <c r="C2525" s="4" t="s">
        <v>156</v>
      </c>
      <c r="D2525" s="7">
        <v>3600.6</v>
      </c>
      <c r="E2525" s="31" t="s">
        <v>9</v>
      </c>
      <c r="F2525" s="32">
        <v>3175.5</v>
      </c>
      <c r="G2525" s="33">
        <f t="shared" si="42"/>
        <v>0.133868682097307</v>
      </c>
    </row>
    <row r="2526" ht="31" customHeight="1" spans="1:7">
      <c r="A2526" s="6" t="s">
        <v>4347</v>
      </c>
      <c r="B2526" s="3" t="s">
        <v>4348</v>
      </c>
      <c r="C2526" s="4" t="s">
        <v>156</v>
      </c>
      <c r="D2526" s="7">
        <v>2940.5</v>
      </c>
      <c r="E2526" s="31" t="s">
        <v>9</v>
      </c>
      <c r="F2526" s="32">
        <v>2617.75</v>
      </c>
      <c r="G2526" s="33">
        <f t="shared" si="42"/>
        <v>0.123292904211632</v>
      </c>
    </row>
    <row r="2527" ht="31" customHeight="1" spans="1:7">
      <c r="A2527" s="6" t="s">
        <v>4349</v>
      </c>
      <c r="B2527" s="3" t="s">
        <v>4350</v>
      </c>
      <c r="C2527" s="4" t="s">
        <v>156</v>
      </c>
      <c r="D2527" s="7">
        <v>3438.4</v>
      </c>
      <c r="E2527" s="31" t="s">
        <v>9</v>
      </c>
      <c r="F2527" s="32">
        <v>2920.75</v>
      </c>
      <c r="G2527" s="33">
        <f t="shared" si="42"/>
        <v>0.177231875374476</v>
      </c>
    </row>
    <row r="2528" ht="31" customHeight="1" spans="1:7">
      <c r="A2528" s="6" t="s">
        <v>4351</v>
      </c>
      <c r="B2528" s="3" t="s">
        <v>4352</v>
      </c>
      <c r="C2528" s="4" t="s">
        <v>156</v>
      </c>
      <c r="D2528" s="7">
        <v>4149.75</v>
      </c>
      <c r="E2528" s="31" t="s">
        <v>9</v>
      </c>
      <c r="F2528" s="32">
        <v>2920.75</v>
      </c>
      <c r="G2528" s="33">
        <f t="shared" si="42"/>
        <v>0.420782333304802</v>
      </c>
    </row>
    <row r="2529" ht="62" customHeight="1" spans="1:7">
      <c r="A2529" s="6" t="s">
        <v>4353</v>
      </c>
      <c r="B2529" s="12" t="s">
        <v>4354</v>
      </c>
      <c r="C2529" s="4" t="s">
        <v>156</v>
      </c>
      <c r="D2529" s="7">
        <v>3960.55</v>
      </c>
      <c r="E2529" s="31" t="s">
        <v>9</v>
      </c>
    </row>
    <row r="2530" ht="62" customHeight="1" spans="1:7">
      <c r="A2530" s="6" t="s">
        <v>4355</v>
      </c>
      <c r="B2530" s="12" t="s">
        <v>4356</v>
      </c>
      <c r="C2530" s="4" t="s">
        <v>156</v>
      </c>
      <c r="D2530" s="7">
        <v>1550.6</v>
      </c>
      <c r="E2530" s="31" t="s">
        <v>9</v>
      </c>
      <c r="F2530" s="32">
        <v>1706.2</v>
      </c>
      <c r="G2530" s="33">
        <f>(D2530-F2530)/F2530</f>
        <v>-0.0911968116281797</v>
      </c>
    </row>
    <row r="2531" ht="31" customHeight="1" spans="1:7">
      <c r="A2531" s="6" t="s">
        <v>4357</v>
      </c>
      <c r="B2531" s="12" t="s">
        <v>4358</v>
      </c>
      <c r="C2531" s="4" t="s">
        <v>156</v>
      </c>
      <c r="D2531" s="7">
        <v>1683.35</v>
      </c>
      <c r="E2531" s="31" t="s">
        <v>9</v>
      </c>
      <c r="F2531" s="32">
        <v>975.25</v>
      </c>
      <c r="G2531" s="33">
        <f>(D2531-F2531)/F2531</f>
        <v>0.72607023840041</v>
      </c>
    </row>
    <row r="2532" ht="46.5" customHeight="1" spans="1:7">
      <c r="A2532" s="6" t="s">
        <v>4359</v>
      </c>
      <c r="B2532" s="12" t="s">
        <v>4360</v>
      </c>
      <c r="C2532" s="4"/>
      <c r="D2532" s="14"/>
      <c r="E2532" s="31" t="s">
        <v>9</v>
      </c>
    </row>
    <row r="2533" spans="1:7">
      <c r="A2533" s="6" t="s">
        <v>4361</v>
      </c>
      <c r="B2533" s="3" t="s">
        <v>4362</v>
      </c>
      <c r="C2533" s="4" t="s">
        <v>156</v>
      </c>
      <c r="D2533" s="7">
        <v>3892.75</v>
      </c>
      <c r="E2533" s="31" t="s">
        <v>9</v>
      </c>
      <c r="F2533" s="32">
        <v>2433.25</v>
      </c>
      <c r="G2533" s="33">
        <f>(D2533-F2533)/F2533</f>
        <v>0.599815062159663</v>
      </c>
    </row>
    <row r="2534" ht="46.5" customHeight="1" spans="1:7">
      <c r="A2534" s="6" t="s">
        <v>4363</v>
      </c>
      <c r="B2534" s="12" t="s">
        <v>4364</v>
      </c>
      <c r="C2534" s="4"/>
      <c r="D2534" s="14"/>
      <c r="E2534" s="31" t="s">
        <v>9</v>
      </c>
    </row>
    <row r="2535" spans="1:7">
      <c r="A2535" s="6" t="s">
        <v>4365</v>
      </c>
      <c r="B2535" s="3" t="s">
        <v>4366</v>
      </c>
      <c r="C2535" s="4"/>
      <c r="D2535" s="14"/>
      <c r="E2535" s="31" t="s">
        <v>9</v>
      </c>
      <c r="F2535" s="34"/>
    </row>
    <row r="2536" spans="1:7">
      <c r="A2536" s="6" t="s">
        <v>4367</v>
      </c>
      <c r="B2536" s="3" t="s">
        <v>4368</v>
      </c>
      <c r="C2536" s="4" t="s">
        <v>156</v>
      </c>
      <c r="D2536" s="7">
        <v>6945.6</v>
      </c>
      <c r="E2536" s="31" t="s">
        <v>9</v>
      </c>
      <c r="F2536" s="32">
        <v>4120.8</v>
      </c>
      <c r="G2536" s="33">
        <f>(D2536-F2536)/F2536</f>
        <v>0.685497961560862</v>
      </c>
    </row>
    <row r="2537" spans="1:7">
      <c r="A2537" s="6" t="s">
        <v>4369</v>
      </c>
      <c r="B2537" s="3" t="s">
        <v>4370</v>
      </c>
      <c r="C2537" s="4" t="s">
        <v>156</v>
      </c>
      <c r="D2537" s="7">
        <v>7514.65</v>
      </c>
      <c r="E2537" s="31" t="s">
        <v>9</v>
      </c>
      <c r="F2537" s="32">
        <v>3830.4</v>
      </c>
      <c r="G2537" s="33">
        <f>(D2537-F2537)/F2537</f>
        <v>0.961844715956558</v>
      </c>
    </row>
    <row r="2538" spans="1:7">
      <c r="A2538" s="6" t="s">
        <v>4371</v>
      </c>
      <c r="B2538" s="3" t="s">
        <v>4372</v>
      </c>
      <c r="C2538" s="4" t="s">
        <v>156</v>
      </c>
      <c r="D2538" s="7">
        <v>7159</v>
      </c>
      <c r="E2538" s="31" t="s">
        <v>9</v>
      </c>
      <c r="F2538" s="32">
        <v>3772.35</v>
      </c>
      <c r="G2538" s="33">
        <f>(D2538-F2538)/F2538</f>
        <v>0.897756040664307</v>
      </c>
    </row>
    <row r="2539" spans="1:7">
      <c r="A2539" s="6" t="s">
        <v>4373</v>
      </c>
      <c r="B2539" s="3" t="s">
        <v>4374</v>
      </c>
      <c r="C2539" s="4" t="s">
        <v>156</v>
      </c>
      <c r="D2539" s="7">
        <v>6917.2</v>
      </c>
      <c r="E2539" s="31" t="s">
        <v>9</v>
      </c>
      <c r="F2539" s="32">
        <v>3714.25</v>
      </c>
      <c r="G2539" s="33">
        <f>(D2539-F2539)/F2539</f>
        <v>0.862340984047923</v>
      </c>
    </row>
    <row r="2540" spans="1:7">
      <c r="A2540" s="6" t="s">
        <v>4375</v>
      </c>
      <c r="B2540" s="3" t="s">
        <v>4376</v>
      </c>
      <c r="C2540" s="4"/>
      <c r="D2540" s="14"/>
      <c r="E2540" s="31" t="s">
        <v>9</v>
      </c>
    </row>
    <row r="2541" spans="1:7">
      <c r="A2541" s="6" t="s">
        <v>4377</v>
      </c>
      <c r="B2541" s="3" t="s">
        <v>4378</v>
      </c>
      <c r="C2541" s="4" t="s">
        <v>156</v>
      </c>
      <c r="D2541" s="7">
        <v>4940.8</v>
      </c>
      <c r="E2541" s="31" t="s">
        <v>9</v>
      </c>
      <c r="F2541" s="32">
        <v>2476.6</v>
      </c>
      <c r="G2541" s="33">
        <f>(D2541-F2541)/F2541</f>
        <v>0.994993135750626</v>
      </c>
    </row>
    <row r="2542" spans="1:7">
      <c r="A2542" s="6" t="s">
        <v>4379</v>
      </c>
      <c r="B2542" s="3" t="s">
        <v>4380</v>
      </c>
      <c r="C2542" s="4" t="s">
        <v>156</v>
      </c>
      <c r="D2542" s="7">
        <v>3873.8</v>
      </c>
      <c r="E2542" s="31" t="s">
        <v>9</v>
      </c>
      <c r="F2542" s="32">
        <v>2186.25</v>
      </c>
      <c r="G2542" s="33">
        <f>(D2542-F2542)/F2542</f>
        <v>0.771892510005718</v>
      </c>
    </row>
    <row r="2543" spans="1:7">
      <c r="A2543" s="6" t="s">
        <v>4381</v>
      </c>
      <c r="B2543" s="3" t="s">
        <v>4382</v>
      </c>
      <c r="C2543" s="4" t="s">
        <v>156</v>
      </c>
      <c r="D2543" s="7">
        <v>3407.2</v>
      </c>
      <c r="E2543" s="31" t="s">
        <v>9</v>
      </c>
      <c r="F2543" s="32">
        <v>2012</v>
      </c>
      <c r="G2543" s="33">
        <f>(D2543-F2543)/F2543</f>
        <v>0.693439363817097</v>
      </c>
    </row>
    <row r="2544" ht="62" customHeight="1" spans="1:7">
      <c r="A2544" s="6" t="s">
        <v>4383</v>
      </c>
      <c r="B2544" s="12" t="s">
        <v>4384</v>
      </c>
      <c r="C2544" s="4"/>
      <c r="D2544" s="14"/>
      <c r="E2544" s="31" t="s">
        <v>9</v>
      </c>
    </row>
    <row r="2545" spans="1:7">
      <c r="A2545" s="6" t="s">
        <v>4385</v>
      </c>
      <c r="B2545" s="3" t="s">
        <v>4386</v>
      </c>
      <c r="C2545" s="4" t="s">
        <v>156</v>
      </c>
      <c r="D2545" s="7">
        <v>5020.85</v>
      </c>
      <c r="E2545" s="31" t="s">
        <v>9</v>
      </c>
      <c r="F2545" s="32">
        <v>2392.6</v>
      </c>
      <c r="G2545" s="33">
        <f>(D2545-F2545)/F2545</f>
        <v>1.09849118114185</v>
      </c>
    </row>
    <row r="2546" spans="1:7">
      <c r="A2546" s="6" t="s">
        <v>4387</v>
      </c>
      <c r="B2546" s="3" t="s">
        <v>4388</v>
      </c>
      <c r="C2546" s="4" t="s">
        <v>156</v>
      </c>
      <c r="D2546" s="7">
        <v>6585.8</v>
      </c>
      <c r="E2546" s="31" t="s">
        <v>9</v>
      </c>
      <c r="F2546" s="32">
        <v>3211.45</v>
      </c>
      <c r="G2546" s="33">
        <f>(D2546-F2546)/F2546</f>
        <v>1.05072475050211</v>
      </c>
    </row>
    <row r="2547" ht="31" customHeight="1" spans="1:7">
      <c r="A2547" s="6" t="s">
        <v>4389</v>
      </c>
      <c r="B2547" s="12" t="s">
        <v>4390</v>
      </c>
      <c r="C2547" s="4"/>
      <c r="D2547" s="14"/>
      <c r="E2547" s="31" t="s">
        <v>9</v>
      </c>
    </row>
    <row r="2548" spans="1:7">
      <c r="A2548" s="6" t="s">
        <v>4391</v>
      </c>
      <c r="B2548" s="3" t="s">
        <v>4392</v>
      </c>
      <c r="C2548" s="4" t="s">
        <v>156</v>
      </c>
      <c r="D2548" s="7">
        <v>1579.65</v>
      </c>
      <c r="E2548" s="31" t="s">
        <v>9</v>
      </c>
      <c r="F2548" s="32">
        <v>1033.3</v>
      </c>
      <c r="G2548" s="33">
        <f>(D2548-F2548)/F2548</f>
        <v>0.52874286267299</v>
      </c>
    </row>
    <row r="2549" spans="1:7">
      <c r="A2549" s="6" t="s">
        <v>4393</v>
      </c>
      <c r="B2549" s="12" t="s">
        <v>4394</v>
      </c>
      <c r="C2549" s="4"/>
      <c r="D2549" s="14"/>
      <c r="E2549" s="31" t="s">
        <v>9</v>
      </c>
    </row>
    <row r="2550" spans="1:7">
      <c r="A2550" s="6" t="s">
        <v>4395</v>
      </c>
      <c r="B2550" s="3" t="s">
        <v>4396</v>
      </c>
      <c r="C2550" s="4" t="s">
        <v>156</v>
      </c>
      <c r="D2550" s="7">
        <v>1959.8</v>
      </c>
      <c r="E2550" s="31" t="s">
        <v>9</v>
      </c>
      <c r="F2550" s="32">
        <v>1073.3</v>
      </c>
      <c r="G2550" s="33">
        <f>(D2550-F2550)/F2550</f>
        <v>0.825957327867325</v>
      </c>
    </row>
    <row r="2551" spans="1:7">
      <c r="A2551" s="6" t="s">
        <v>4397</v>
      </c>
      <c r="B2551" s="3" t="s">
        <v>4398</v>
      </c>
      <c r="C2551" s="4" t="s">
        <v>156</v>
      </c>
      <c r="D2551" s="7">
        <v>3169.05</v>
      </c>
      <c r="E2551" s="31" t="s">
        <v>9</v>
      </c>
      <c r="F2551" s="32">
        <v>1456.6</v>
      </c>
      <c r="G2551" s="33">
        <f>(D2551-F2551)/F2551</f>
        <v>1.17564877111081</v>
      </c>
    </row>
    <row r="2552" spans="1:7">
      <c r="A2552" s="6" t="s">
        <v>4399</v>
      </c>
      <c r="B2552" s="12" t="s">
        <v>4400</v>
      </c>
      <c r="C2552" s="4"/>
      <c r="D2552" s="14"/>
      <c r="E2552" s="31" t="s">
        <v>9</v>
      </c>
    </row>
    <row r="2553" spans="1:7">
      <c r="A2553" s="6" t="s">
        <v>4401</v>
      </c>
      <c r="B2553" s="3" t="s">
        <v>4402</v>
      </c>
      <c r="C2553" s="4" t="s">
        <v>156</v>
      </c>
      <c r="D2553" s="7">
        <v>426.8</v>
      </c>
      <c r="E2553" s="31" t="s">
        <v>9</v>
      </c>
      <c r="F2553" s="32">
        <v>232.3</v>
      </c>
      <c r="G2553" s="33">
        <f>(D2553-F2553)/F2553</f>
        <v>0.837279380111924</v>
      </c>
    </row>
    <row r="2554" ht="31" customHeight="1" spans="1:7">
      <c r="A2554" s="6" t="s">
        <v>4403</v>
      </c>
      <c r="B2554" s="12" t="s">
        <v>4404</v>
      </c>
      <c r="C2554" s="4" t="s">
        <v>156</v>
      </c>
      <c r="D2554" s="7">
        <v>2784.95</v>
      </c>
      <c r="E2554" s="31" t="s">
        <v>9</v>
      </c>
      <c r="F2554" s="32">
        <v>1363.65</v>
      </c>
      <c r="G2554" s="33">
        <f>(D2554-F2554)/F2554</f>
        <v>1.04227624390423</v>
      </c>
    </row>
    <row r="2555" ht="31" customHeight="1" spans="1:7">
      <c r="A2555" s="6" t="s">
        <v>4405</v>
      </c>
      <c r="B2555" s="12" t="s">
        <v>4406</v>
      </c>
      <c r="C2555" s="4" t="s">
        <v>156</v>
      </c>
      <c r="D2555" s="7">
        <v>170.7</v>
      </c>
      <c r="E2555" s="31" t="s">
        <v>9</v>
      </c>
      <c r="F2555" s="32">
        <v>638.85</v>
      </c>
      <c r="G2555" s="33">
        <f>(D2555-F2555)/F2555</f>
        <v>-0.732801127025123</v>
      </c>
    </row>
    <row r="2556" ht="46.5" customHeight="1" spans="1:7">
      <c r="A2556" s="6" t="s">
        <v>4407</v>
      </c>
      <c r="B2556" s="12" t="s">
        <v>4408</v>
      </c>
      <c r="C2556" s="4" t="s">
        <v>156</v>
      </c>
      <c r="D2556" s="7">
        <v>349.15</v>
      </c>
      <c r="E2556" s="31" t="s">
        <v>9</v>
      </c>
      <c r="F2556" s="32">
        <v>254.8</v>
      </c>
      <c r="G2556" s="33">
        <f>(D2556-F2556)/F2556</f>
        <v>0.370290423861852</v>
      </c>
    </row>
    <row r="2557" ht="31" customHeight="1" spans="1:7">
      <c r="A2557" s="6" t="s">
        <v>4409</v>
      </c>
      <c r="B2557" s="12" t="s">
        <v>4410</v>
      </c>
      <c r="C2557" s="4"/>
      <c r="D2557" s="14"/>
      <c r="E2557" s="31" t="s">
        <v>9</v>
      </c>
    </row>
    <row r="2558" spans="1:7">
      <c r="A2558" s="6" t="s">
        <v>4411</v>
      </c>
      <c r="B2558" s="3" t="s">
        <v>4412</v>
      </c>
      <c r="C2558" s="4" t="s">
        <v>2735</v>
      </c>
      <c r="D2558" s="7">
        <v>244.85</v>
      </c>
      <c r="E2558" s="31" t="s">
        <v>9</v>
      </c>
      <c r="F2558" s="32">
        <v>166.3</v>
      </c>
      <c r="G2558" s="33">
        <f>(D2558-F2558)/F2558</f>
        <v>0.472339146121467</v>
      </c>
    </row>
    <row r="2559" spans="1:7">
      <c r="A2559" s="6" t="s">
        <v>4413</v>
      </c>
      <c r="B2559" s="3" t="s">
        <v>4414</v>
      </c>
      <c r="C2559" s="4" t="s">
        <v>2735</v>
      </c>
      <c r="D2559" s="7">
        <v>256.25</v>
      </c>
      <c r="E2559" s="31" t="s">
        <v>9</v>
      </c>
      <c r="F2559" s="32">
        <v>166.3</v>
      </c>
      <c r="G2559" s="33">
        <f>(D2559-F2559)/F2559</f>
        <v>0.540889957907396</v>
      </c>
    </row>
    <row r="2560" ht="31" customHeight="1" spans="1:7">
      <c r="A2560" s="6" t="s">
        <v>4415</v>
      </c>
      <c r="B2560" s="12" t="s">
        <v>4416</v>
      </c>
      <c r="C2560" s="4"/>
      <c r="D2560" s="14"/>
      <c r="E2560" s="31" t="s">
        <v>9</v>
      </c>
    </row>
    <row r="2561" spans="1:7">
      <c r="A2561" s="6" t="s">
        <v>4417</v>
      </c>
      <c r="B2561" s="3" t="s">
        <v>4418</v>
      </c>
      <c r="C2561" s="4" t="s">
        <v>156</v>
      </c>
      <c r="D2561" s="7">
        <v>1190.65</v>
      </c>
      <c r="E2561" s="31" t="s">
        <v>9</v>
      </c>
      <c r="F2561" s="32">
        <v>831.5</v>
      </c>
      <c r="G2561" s="33">
        <f>(D2561-F2561)/F2561</f>
        <v>0.431930246542393</v>
      </c>
    </row>
    <row r="2562" spans="1:7">
      <c r="A2562" s="6" t="s">
        <v>4419</v>
      </c>
      <c r="B2562" s="3" t="s">
        <v>4420</v>
      </c>
      <c r="C2562" s="4" t="s">
        <v>156</v>
      </c>
      <c r="D2562" s="7">
        <v>1136.6</v>
      </c>
      <c r="E2562" s="31" t="s">
        <v>9</v>
      </c>
      <c r="F2562" s="32">
        <v>765.45</v>
      </c>
      <c r="G2562" s="33">
        <f>(D2562-F2562)/F2562</f>
        <v>0.484878176236201</v>
      </c>
    </row>
    <row r="2563" ht="31" customHeight="1" spans="1:7">
      <c r="A2563" s="6" t="s">
        <v>4421</v>
      </c>
      <c r="B2563" s="12" t="s">
        <v>4422</v>
      </c>
      <c r="C2563" s="4"/>
      <c r="D2563" s="14"/>
      <c r="E2563" s="31" t="s">
        <v>9</v>
      </c>
    </row>
    <row r="2564" spans="1:7">
      <c r="A2564" s="6" t="s">
        <v>4423</v>
      </c>
      <c r="B2564" s="3" t="s">
        <v>4424</v>
      </c>
      <c r="C2564" s="4" t="s">
        <v>156</v>
      </c>
      <c r="D2564" s="7">
        <v>2243.75</v>
      </c>
      <c r="E2564" s="31" t="s">
        <v>9</v>
      </c>
      <c r="F2564" s="32">
        <v>1452.9</v>
      </c>
      <c r="G2564" s="33">
        <f>(D2564-F2564)/F2564</f>
        <v>0.544325142817813</v>
      </c>
    </row>
    <row r="2565" spans="1:7">
      <c r="A2565" s="6" t="s">
        <v>4425</v>
      </c>
      <c r="B2565" s="3" t="s">
        <v>4426</v>
      </c>
      <c r="C2565" s="4" t="s">
        <v>156</v>
      </c>
      <c r="D2565" s="7">
        <v>2912.4</v>
      </c>
      <c r="E2565" s="31" t="s">
        <v>9</v>
      </c>
      <c r="F2565" s="32">
        <v>1917.5</v>
      </c>
      <c r="G2565" s="33">
        <f>(D2565-F2565)/F2565</f>
        <v>0.518852672750978</v>
      </c>
    </row>
    <row r="2566" spans="1:7">
      <c r="A2566" s="6" t="s">
        <v>4427</v>
      </c>
      <c r="B2566" s="12" t="s">
        <v>4428</v>
      </c>
      <c r="C2566" s="4"/>
      <c r="D2566" s="14"/>
      <c r="E2566" s="31" t="s">
        <v>9</v>
      </c>
    </row>
    <row r="2567" spans="1:7">
      <c r="A2567" s="6" t="s">
        <v>4429</v>
      </c>
      <c r="B2567" s="3" t="s">
        <v>4430</v>
      </c>
      <c r="C2567" s="4" t="s">
        <v>156</v>
      </c>
      <c r="D2567" s="7">
        <v>684.85</v>
      </c>
      <c r="E2567" s="31" t="s">
        <v>9</v>
      </c>
      <c r="F2567" s="32">
        <v>410.2</v>
      </c>
      <c r="G2567" s="33">
        <f>(D2567-F2567)/F2567</f>
        <v>0.66955143832277</v>
      </c>
    </row>
    <row r="2568" spans="1:7">
      <c r="A2568" s="6" t="s">
        <v>4431</v>
      </c>
      <c r="B2568" s="3" t="s">
        <v>4432</v>
      </c>
      <c r="C2568" s="4" t="s">
        <v>156</v>
      </c>
      <c r="D2568" s="7">
        <v>552.55</v>
      </c>
      <c r="E2568" s="31" t="s">
        <v>9</v>
      </c>
      <c r="F2568" s="32">
        <v>386.95</v>
      </c>
      <c r="G2568" s="33">
        <f>(D2568-F2568)/F2568</f>
        <v>0.427962269027006</v>
      </c>
    </row>
    <row r="2569" spans="1:7">
      <c r="A2569" s="6" t="s">
        <v>4433</v>
      </c>
      <c r="B2569" s="3" t="s">
        <v>4434</v>
      </c>
      <c r="C2569" s="4" t="s">
        <v>156</v>
      </c>
      <c r="D2569" s="7">
        <v>590.95</v>
      </c>
      <c r="E2569" s="31" t="s">
        <v>9</v>
      </c>
      <c r="F2569" s="32">
        <v>497.3</v>
      </c>
      <c r="G2569" s="33">
        <f>(D2569-F2569)/F2569</f>
        <v>0.188316911321134</v>
      </c>
    </row>
    <row r="2570" spans="1:7">
      <c r="A2570" s="6" t="s">
        <v>4435</v>
      </c>
      <c r="B2570" s="12" t="s">
        <v>4436</v>
      </c>
      <c r="C2570" s="4" t="s">
        <v>156</v>
      </c>
      <c r="D2570" s="7">
        <v>142.85</v>
      </c>
      <c r="E2570" s="31" t="s">
        <v>9</v>
      </c>
      <c r="F2570" s="32">
        <v>96.6</v>
      </c>
      <c r="G2570" s="33">
        <f>(D2570-F2570)/F2570</f>
        <v>0.478778467908903</v>
      </c>
    </row>
    <row r="2571" ht="31" customHeight="1" spans="1:7">
      <c r="A2571" s="6" t="s">
        <v>4437</v>
      </c>
      <c r="B2571" s="12" t="s">
        <v>4438</v>
      </c>
      <c r="C2571" s="4" t="s">
        <v>156</v>
      </c>
      <c r="D2571" s="7">
        <v>1034.8</v>
      </c>
      <c r="E2571" s="31" t="s">
        <v>9</v>
      </c>
      <c r="F2571" s="32">
        <v>795.15</v>
      </c>
      <c r="G2571" s="33">
        <f>(D2571-F2571)/F2571</f>
        <v>0.301389674904106</v>
      </c>
    </row>
    <row r="2572" ht="31" customHeight="1" spans="1:7">
      <c r="A2572" s="6" t="s">
        <v>4439</v>
      </c>
      <c r="B2572" s="12" t="s">
        <v>4440</v>
      </c>
      <c r="C2572" s="4" t="s">
        <v>156</v>
      </c>
      <c r="D2572" s="7">
        <v>6940.75</v>
      </c>
      <c r="E2572" s="31" t="s">
        <v>9</v>
      </c>
    </row>
    <row r="2573" ht="31" customHeight="1" spans="1:7">
      <c r="A2573" s="6" t="s">
        <v>4441</v>
      </c>
      <c r="B2573" s="12" t="s">
        <v>4442</v>
      </c>
      <c r="C2573" s="4" t="s">
        <v>156</v>
      </c>
      <c r="D2573" s="7">
        <v>1648.95</v>
      </c>
      <c r="E2573" s="31" t="s">
        <v>9</v>
      </c>
      <c r="F2573" s="32">
        <v>930.75</v>
      </c>
      <c r="G2573" s="33">
        <f>(D2573-F2573)/F2573</f>
        <v>0.771635777598711</v>
      </c>
    </row>
    <row r="2574" ht="31" customHeight="1" spans="1:7">
      <c r="A2574" s="6" t="s">
        <v>4443</v>
      </c>
      <c r="B2574" s="12" t="s">
        <v>4444</v>
      </c>
      <c r="C2574" s="4" t="s">
        <v>156</v>
      </c>
      <c r="D2574" s="7">
        <v>4048.65</v>
      </c>
      <c r="E2574" s="31" t="s">
        <v>9</v>
      </c>
      <c r="F2574" s="32">
        <v>2264.75</v>
      </c>
      <c r="G2574" s="33">
        <f>(D2574-F2574)/F2574</f>
        <v>0.787680759465725</v>
      </c>
    </row>
    <row r="2575" ht="31" customHeight="1" spans="1:7">
      <c r="A2575" s="6" t="s">
        <v>4445</v>
      </c>
      <c r="B2575" s="12" t="s">
        <v>4446</v>
      </c>
      <c r="C2575" s="4"/>
      <c r="D2575" s="14"/>
      <c r="E2575" s="31" t="s">
        <v>9</v>
      </c>
    </row>
    <row r="2576" spans="1:7">
      <c r="A2576" s="6" t="s">
        <v>4447</v>
      </c>
      <c r="B2576" s="3" t="s">
        <v>4448</v>
      </c>
      <c r="C2576" s="4" t="s">
        <v>156</v>
      </c>
      <c r="D2576" s="7">
        <v>1339.7</v>
      </c>
      <c r="E2576" s="31" t="s">
        <v>9</v>
      </c>
      <c r="F2576" s="32">
        <v>969.3</v>
      </c>
      <c r="G2576" s="33">
        <f t="shared" ref="G2576:G2581" si="43">(D2576-F2576)/F2576</f>
        <v>0.382131435056226</v>
      </c>
    </row>
    <row r="2577" spans="1:7">
      <c r="A2577" s="6" t="s">
        <v>4449</v>
      </c>
      <c r="B2577" s="3" t="s">
        <v>4450</v>
      </c>
      <c r="C2577" s="4" t="s">
        <v>156</v>
      </c>
      <c r="D2577" s="7">
        <v>992.6</v>
      </c>
      <c r="E2577" s="31" t="s">
        <v>9</v>
      </c>
      <c r="F2577" s="32">
        <v>766.05</v>
      </c>
      <c r="G2577" s="33">
        <f t="shared" si="43"/>
        <v>0.295737876117747</v>
      </c>
    </row>
    <row r="2578" spans="1:7">
      <c r="A2578" s="6" t="s">
        <v>4451</v>
      </c>
      <c r="B2578" s="3" t="s">
        <v>4452</v>
      </c>
      <c r="C2578" s="4" t="s">
        <v>156</v>
      </c>
      <c r="D2578" s="7">
        <v>1339.7</v>
      </c>
      <c r="E2578" s="31" t="s">
        <v>9</v>
      </c>
      <c r="F2578" s="32">
        <v>969.3</v>
      </c>
      <c r="G2578" s="33">
        <f t="shared" si="43"/>
        <v>0.382131435056226</v>
      </c>
    </row>
    <row r="2579" spans="1:7">
      <c r="A2579" s="6" t="s">
        <v>4453</v>
      </c>
      <c r="B2579" s="3" t="s">
        <v>4454</v>
      </c>
      <c r="C2579" s="4" t="s">
        <v>156</v>
      </c>
      <c r="D2579" s="7">
        <v>870.25</v>
      </c>
      <c r="E2579" s="31" t="s">
        <v>9</v>
      </c>
      <c r="F2579" s="32">
        <v>620.85</v>
      </c>
      <c r="G2579" s="33">
        <f t="shared" si="43"/>
        <v>0.401707336715793</v>
      </c>
    </row>
    <row r="2580" spans="1:7">
      <c r="A2580" s="6" t="s">
        <v>4455</v>
      </c>
      <c r="B2580" s="3" t="s">
        <v>4456</v>
      </c>
      <c r="C2580" s="4" t="s">
        <v>156</v>
      </c>
      <c r="D2580" s="7">
        <v>627</v>
      </c>
      <c r="E2580" s="31" t="s">
        <v>9</v>
      </c>
      <c r="F2580" s="32">
        <v>504.7</v>
      </c>
      <c r="G2580" s="33">
        <f t="shared" si="43"/>
        <v>0.242322171587081</v>
      </c>
    </row>
    <row r="2581" spans="1:7">
      <c r="A2581" s="6" t="s">
        <v>4457</v>
      </c>
      <c r="B2581" s="3" t="s">
        <v>4458</v>
      </c>
      <c r="C2581" s="4" t="s">
        <v>156</v>
      </c>
      <c r="D2581" s="7">
        <v>1816.3</v>
      </c>
      <c r="E2581" s="31" t="s">
        <v>9</v>
      </c>
      <c r="F2581" s="32">
        <v>1288.7</v>
      </c>
      <c r="G2581" s="33">
        <f t="shared" si="43"/>
        <v>0.409404826569411</v>
      </c>
    </row>
    <row r="2582" ht="31" customHeight="1" spans="1:7">
      <c r="A2582" s="6" t="s">
        <v>4459</v>
      </c>
      <c r="B2582" s="12" t="s">
        <v>4460</v>
      </c>
      <c r="C2582" s="4"/>
      <c r="D2582" s="14"/>
      <c r="E2582" s="31" t="s">
        <v>9</v>
      </c>
    </row>
    <row r="2583" spans="1:7">
      <c r="A2583" s="6" t="s">
        <v>4461</v>
      </c>
      <c r="B2583" s="3" t="s">
        <v>4462</v>
      </c>
      <c r="C2583" s="4" t="s">
        <v>156</v>
      </c>
      <c r="D2583" s="7">
        <v>2199.8</v>
      </c>
      <c r="E2583" s="31" t="s">
        <v>9</v>
      </c>
      <c r="F2583" s="32">
        <v>1612.9</v>
      </c>
      <c r="G2583" s="33">
        <f>(D2583-F2583)/F2583</f>
        <v>0.363878727757456</v>
      </c>
    </row>
    <row r="2584" ht="31" customHeight="1" spans="1:7">
      <c r="A2584" s="6" t="s">
        <v>4463</v>
      </c>
      <c r="B2584" s="12" t="s">
        <v>4464</v>
      </c>
      <c r="C2584" s="4"/>
      <c r="D2584" s="14"/>
      <c r="E2584" s="31" t="s">
        <v>9</v>
      </c>
    </row>
    <row r="2585" spans="1:7">
      <c r="A2585" s="6" t="s">
        <v>4465</v>
      </c>
      <c r="B2585" s="3" t="s">
        <v>4386</v>
      </c>
      <c r="C2585" s="4" t="s">
        <v>156</v>
      </c>
      <c r="D2585" s="7">
        <v>2512.75</v>
      </c>
      <c r="E2585" s="31" t="s">
        <v>9</v>
      </c>
      <c r="F2585" s="32">
        <v>1055.35</v>
      </c>
      <c r="G2585" s="33">
        <f>(D2585-F2585)/F2585</f>
        <v>1.38096366134458</v>
      </c>
    </row>
    <row r="2586" spans="1:7">
      <c r="A2586" s="6" t="s">
        <v>4466</v>
      </c>
      <c r="B2586" s="3" t="s">
        <v>4388</v>
      </c>
      <c r="C2586" s="4" t="s">
        <v>156</v>
      </c>
      <c r="D2586" s="7">
        <v>4077.65</v>
      </c>
      <c r="E2586" s="31" t="s">
        <v>9</v>
      </c>
      <c r="F2586" s="32">
        <v>1874.2</v>
      </c>
      <c r="G2586" s="33">
        <f>(D2586-F2586)/F2586</f>
        <v>1.17567495464732</v>
      </c>
    </row>
    <row r="2587" ht="31" customHeight="1" spans="1:7">
      <c r="A2587" s="6" t="s">
        <v>4467</v>
      </c>
      <c r="B2587" s="12" t="s">
        <v>4468</v>
      </c>
      <c r="C2587" s="4"/>
      <c r="D2587" s="14"/>
      <c r="E2587" s="31" t="s">
        <v>9</v>
      </c>
    </row>
    <row r="2588" spans="1:7">
      <c r="A2588" s="6" t="s">
        <v>4469</v>
      </c>
      <c r="B2588" s="3" t="s">
        <v>4470</v>
      </c>
      <c r="C2588" s="4"/>
      <c r="D2588" s="14"/>
      <c r="E2588" s="31" t="s">
        <v>9</v>
      </c>
    </row>
    <row r="2589" spans="1:7">
      <c r="A2589" s="6" t="s">
        <v>4471</v>
      </c>
      <c r="B2589" s="3" t="s">
        <v>3422</v>
      </c>
      <c r="C2589" s="4" t="s">
        <v>156</v>
      </c>
      <c r="D2589" s="7">
        <v>103.9</v>
      </c>
      <c r="E2589" s="31" t="s">
        <v>9</v>
      </c>
      <c r="F2589" s="32">
        <v>75.6</v>
      </c>
      <c r="G2589" s="33">
        <f>(D2589-F2589)/F2589</f>
        <v>0.374338624338625</v>
      </c>
    </row>
    <row r="2590" spans="1:7">
      <c r="A2590" s="6" t="s">
        <v>4472</v>
      </c>
      <c r="B2590" s="3" t="s">
        <v>3424</v>
      </c>
      <c r="C2590" s="4" t="s">
        <v>156</v>
      </c>
      <c r="D2590" s="7">
        <v>116.7</v>
      </c>
      <c r="E2590" s="31" t="s">
        <v>9</v>
      </c>
      <c r="F2590" s="32">
        <v>81.4</v>
      </c>
      <c r="G2590" s="33">
        <f>(D2590-F2590)/F2590</f>
        <v>0.433660933660934</v>
      </c>
    </row>
    <row r="2591" spans="1:7">
      <c r="A2591" s="6" t="s">
        <v>4473</v>
      </c>
      <c r="B2591" s="3" t="s">
        <v>4474</v>
      </c>
      <c r="C2591" s="4"/>
      <c r="D2591" s="14"/>
      <c r="E2591" s="31" t="s">
        <v>9</v>
      </c>
    </row>
    <row r="2592" spans="1:7">
      <c r="A2592" s="6" t="s">
        <v>4475</v>
      </c>
      <c r="B2592" s="3" t="s">
        <v>3422</v>
      </c>
      <c r="C2592" s="4" t="s">
        <v>156</v>
      </c>
      <c r="D2592" s="7">
        <v>119.55</v>
      </c>
      <c r="E2592" s="31" t="s">
        <v>9</v>
      </c>
      <c r="F2592" s="32">
        <v>73.25</v>
      </c>
      <c r="G2592" s="33">
        <f>(D2592-F2592)/F2592</f>
        <v>0.632081911262799</v>
      </c>
    </row>
    <row r="2593" spans="1:7">
      <c r="A2593" s="6" t="s">
        <v>4476</v>
      </c>
      <c r="B2593" s="3" t="s">
        <v>3424</v>
      </c>
      <c r="C2593" s="4" t="s">
        <v>156</v>
      </c>
      <c r="D2593" s="7">
        <v>119.55</v>
      </c>
      <c r="E2593" s="31" t="s">
        <v>9</v>
      </c>
      <c r="F2593" s="32">
        <v>75.6</v>
      </c>
      <c r="G2593" s="33">
        <f>(D2593-F2593)/F2593</f>
        <v>0.581349206349206</v>
      </c>
    </row>
    <row r="2594" spans="1:7">
      <c r="A2594" s="6" t="s">
        <v>4477</v>
      </c>
      <c r="B2594" s="12" t="s">
        <v>4478</v>
      </c>
      <c r="C2594" s="4" t="s">
        <v>156</v>
      </c>
      <c r="D2594" s="7">
        <v>53.25</v>
      </c>
      <c r="E2594" s="31" t="s">
        <v>9</v>
      </c>
      <c r="F2594" s="32">
        <v>29.25</v>
      </c>
      <c r="G2594" s="33">
        <f>(D2594-F2594)/F2594</f>
        <v>0.82051282051282</v>
      </c>
    </row>
    <row r="2595" ht="31" customHeight="1" spans="1:7">
      <c r="A2595" s="6" t="s">
        <v>4479</v>
      </c>
      <c r="B2595" s="12" t="s">
        <v>4480</v>
      </c>
      <c r="C2595" s="4" t="s">
        <v>156</v>
      </c>
      <c r="D2595" s="7">
        <v>55.65</v>
      </c>
      <c r="E2595" s="31" t="s">
        <v>9</v>
      </c>
      <c r="F2595" s="32">
        <v>38.5</v>
      </c>
      <c r="G2595" s="33">
        <f>(D2595-F2595)/F2595</f>
        <v>0.445454545454545</v>
      </c>
    </row>
    <row r="2596" ht="46.5" customHeight="1" spans="1:7">
      <c r="A2596" s="6" t="s">
        <v>4481</v>
      </c>
      <c r="B2596" s="12" t="s">
        <v>4482</v>
      </c>
      <c r="C2596" s="4" t="s">
        <v>156</v>
      </c>
      <c r="D2596" s="7">
        <v>1607.95</v>
      </c>
      <c r="E2596" s="31" t="s">
        <v>9</v>
      </c>
      <c r="F2596" s="32">
        <v>817.95</v>
      </c>
      <c r="G2596" s="33">
        <f>(D2596-F2596)/F2596</f>
        <v>0.965829207164252</v>
      </c>
    </row>
    <row r="2597" ht="46.5" customHeight="1" spans="1:7">
      <c r="A2597" s="6" t="s">
        <v>4483</v>
      </c>
      <c r="B2597" s="12" t="s">
        <v>4484</v>
      </c>
      <c r="C2597" s="4"/>
      <c r="D2597" s="14"/>
      <c r="E2597" s="31" t="s">
        <v>9</v>
      </c>
    </row>
    <row r="2598" spans="1:7">
      <c r="A2598" s="6" t="s">
        <v>4485</v>
      </c>
      <c r="B2598" s="3" t="s">
        <v>4486</v>
      </c>
      <c r="C2598" s="4" t="s">
        <v>156</v>
      </c>
      <c r="D2598" s="7">
        <v>1479.05</v>
      </c>
      <c r="E2598" s="31" t="s">
        <v>9</v>
      </c>
      <c r="F2598" s="32">
        <v>905</v>
      </c>
      <c r="G2598" s="33">
        <f>(D2598-F2598)/F2598</f>
        <v>0.634309392265193</v>
      </c>
    </row>
    <row r="2599" spans="1:7">
      <c r="A2599" s="6" t="s">
        <v>4487</v>
      </c>
      <c r="B2599" s="3" t="s">
        <v>4488</v>
      </c>
      <c r="C2599" s="4" t="s">
        <v>156</v>
      </c>
      <c r="D2599" s="7">
        <v>1361.8</v>
      </c>
      <c r="E2599" s="31" t="s">
        <v>9</v>
      </c>
      <c r="F2599" s="32">
        <v>752.8</v>
      </c>
      <c r="G2599" s="33">
        <f>(D2599-F2599)/F2599</f>
        <v>0.808979808714134</v>
      </c>
    </row>
    <row r="2600" spans="1:7">
      <c r="A2600" s="6" t="s">
        <v>4489</v>
      </c>
      <c r="B2600" s="3" t="s">
        <v>4490</v>
      </c>
      <c r="C2600" s="4" t="s">
        <v>156</v>
      </c>
      <c r="D2600" s="7">
        <v>1377.1</v>
      </c>
      <c r="E2600" s="31" t="s">
        <v>9</v>
      </c>
      <c r="F2600" s="32">
        <v>809.5</v>
      </c>
      <c r="G2600" s="33">
        <f>(D2600-F2600)/F2600</f>
        <v>0.701173563928351</v>
      </c>
    </row>
    <row r="2601" spans="1:7">
      <c r="A2601" s="6" t="s">
        <v>4491</v>
      </c>
      <c r="B2601" s="3" t="s">
        <v>4492</v>
      </c>
      <c r="C2601" s="4" t="s">
        <v>156</v>
      </c>
      <c r="D2601" s="7">
        <v>2093</v>
      </c>
      <c r="E2601" s="31" t="s">
        <v>9</v>
      </c>
      <c r="F2601" s="32">
        <v>1323.1</v>
      </c>
      <c r="G2601" s="33">
        <f>(D2601-F2601)/F2601</f>
        <v>0.581891013528834</v>
      </c>
    </row>
    <row r="2602" ht="46.5" customHeight="1" spans="1:7">
      <c r="A2602" s="6" t="s">
        <v>4493</v>
      </c>
      <c r="B2602" s="12" t="s">
        <v>4494</v>
      </c>
      <c r="C2602" s="4" t="s">
        <v>156</v>
      </c>
      <c r="D2602" s="7">
        <v>1083.5</v>
      </c>
      <c r="E2602" s="31" t="s">
        <v>9</v>
      </c>
      <c r="F2602" s="32">
        <v>573.3</v>
      </c>
      <c r="G2602" s="33">
        <f>(D2602-F2602)/F2602</f>
        <v>0.889935461364033</v>
      </c>
    </row>
    <row r="2603" spans="1:7">
      <c r="A2603" s="6" t="s">
        <v>4495</v>
      </c>
      <c r="B2603" s="12" t="s">
        <v>4496</v>
      </c>
      <c r="C2603" s="4"/>
      <c r="D2603" s="14"/>
      <c r="E2603" s="31" t="s">
        <v>9</v>
      </c>
    </row>
    <row r="2604" spans="1:7">
      <c r="A2604" s="6" t="s">
        <v>4497</v>
      </c>
      <c r="B2604" s="3" t="s">
        <v>4498</v>
      </c>
      <c r="C2604" s="4" t="s">
        <v>156</v>
      </c>
      <c r="D2604" s="7">
        <v>803.7</v>
      </c>
      <c r="E2604" s="31" t="s">
        <v>9</v>
      </c>
      <c r="F2604" s="32">
        <v>385.35</v>
      </c>
      <c r="G2604" s="33">
        <f>(D2604-F2604)/F2604</f>
        <v>1.08563643441028</v>
      </c>
    </row>
    <row r="2605" spans="1:7">
      <c r="A2605" s="6" t="s">
        <v>4499</v>
      </c>
      <c r="B2605" s="3" t="s">
        <v>4500</v>
      </c>
      <c r="C2605" s="4" t="s">
        <v>156</v>
      </c>
      <c r="D2605" s="7">
        <v>546.35</v>
      </c>
      <c r="E2605" s="31" t="s">
        <v>9</v>
      </c>
      <c r="F2605" s="32">
        <v>295.45</v>
      </c>
      <c r="G2605" s="33">
        <f>(D2605-F2605)/F2605</f>
        <v>0.849213064816382</v>
      </c>
    </row>
    <row r="2606" spans="1:7">
      <c r="A2606" s="6" t="s">
        <v>4501</v>
      </c>
      <c r="B2606" s="12" t="s">
        <v>4502</v>
      </c>
      <c r="C2606" s="4"/>
      <c r="D2606" s="14"/>
      <c r="E2606" s="31" t="s">
        <v>9</v>
      </c>
    </row>
    <row r="2607" spans="1:7">
      <c r="A2607" s="6" t="s">
        <v>4503</v>
      </c>
      <c r="B2607" s="3" t="s">
        <v>4504</v>
      </c>
      <c r="C2607" s="4"/>
      <c r="D2607" s="14"/>
      <c r="E2607" s="31" t="s">
        <v>9</v>
      </c>
    </row>
    <row r="2608" spans="1:7">
      <c r="A2608" s="6" t="s">
        <v>4505</v>
      </c>
      <c r="B2608" s="3" t="s">
        <v>4506</v>
      </c>
      <c r="C2608" s="4" t="s">
        <v>49</v>
      </c>
      <c r="D2608" s="7">
        <v>1151.9</v>
      </c>
      <c r="E2608" s="31" t="s">
        <v>9</v>
      </c>
      <c r="F2608" s="32">
        <v>862.8</v>
      </c>
      <c r="G2608" s="33">
        <f>(D2608-F2608)/F2608</f>
        <v>0.335071859063514</v>
      </c>
    </row>
    <row r="2609" spans="1:7">
      <c r="A2609" s="6" t="s">
        <v>4507</v>
      </c>
      <c r="B2609" s="3" t="s">
        <v>4508</v>
      </c>
      <c r="C2609" s="4" t="s">
        <v>49</v>
      </c>
      <c r="D2609" s="7">
        <v>1180.75</v>
      </c>
      <c r="E2609" s="31" t="s">
        <v>9</v>
      </c>
      <c r="F2609" s="32">
        <v>921.65</v>
      </c>
      <c r="G2609" s="33">
        <f>(D2609-F2609)/F2609</f>
        <v>0.28112624098085</v>
      </c>
    </row>
    <row r="2610" spans="1:7">
      <c r="A2610" s="6" t="s">
        <v>4509</v>
      </c>
      <c r="B2610" s="3" t="s">
        <v>4510</v>
      </c>
      <c r="C2610" s="4" t="s">
        <v>49</v>
      </c>
      <c r="D2610" s="7">
        <v>1169.3</v>
      </c>
      <c r="E2610" s="31" t="s">
        <v>9</v>
      </c>
      <c r="F2610" s="32">
        <v>925.55</v>
      </c>
      <c r="G2610" s="33">
        <f>(D2610-F2610)/F2610</f>
        <v>0.263356922910702</v>
      </c>
    </row>
    <row r="2611" spans="1:7">
      <c r="A2611" s="6" t="s">
        <v>4511</v>
      </c>
      <c r="B2611" s="3" t="s">
        <v>4512</v>
      </c>
      <c r="C2611" s="4"/>
      <c r="D2611" s="14"/>
      <c r="E2611" s="31" t="s">
        <v>9</v>
      </c>
    </row>
    <row r="2612" spans="1:7">
      <c r="A2612" s="6" t="s">
        <v>4513</v>
      </c>
      <c r="B2612" s="3" t="s">
        <v>4506</v>
      </c>
      <c r="C2612" s="4" t="s">
        <v>49</v>
      </c>
      <c r="D2612" s="7">
        <v>1044.75</v>
      </c>
      <c r="E2612" s="31" t="s">
        <v>9</v>
      </c>
      <c r="F2612" s="32">
        <v>712.2</v>
      </c>
      <c r="G2612" s="33">
        <f>(D2612-F2612)/F2612</f>
        <v>0.466933445661331</v>
      </c>
    </row>
    <row r="2613" spans="1:7">
      <c r="A2613" s="6" t="s">
        <v>4514</v>
      </c>
      <c r="B2613" s="3" t="s">
        <v>4515</v>
      </c>
      <c r="C2613" s="4" t="s">
        <v>49</v>
      </c>
      <c r="D2613" s="7">
        <v>1186</v>
      </c>
      <c r="E2613" s="31" t="s">
        <v>9</v>
      </c>
      <c r="F2613" s="32">
        <v>794.55</v>
      </c>
      <c r="G2613" s="33">
        <f>(D2613-F2613)/F2613</f>
        <v>0.492668806242527</v>
      </c>
    </row>
    <row r="2614" spans="1:7">
      <c r="A2614" s="6" t="s">
        <v>4516</v>
      </c>
      <c r="B2614" s="3" t="s">
        <v>4517</v>
      </c>
      <c r="C2614" s="4" t="s">
        <v>49</v>
      </c>
      <c r="D2614" s="7">
        <v>964.25</v>
      </c>
      <c r="E2614" s="31" t="s">
        <v>9</v>
      </c>
      <c r="F2614" s="32">
        <v>759.8</v>
      </c>
      <c r="G2614" s="33">
        <f>(D2614-F2614)/F2614</f>
        <v>0.269083969465649</v>
      </c>
    </row>
    <row r="2615" ht="31" customHeight="1" spans="1:7">
      <c r="A2615" s="6" t="s">
        <v>4518</v>
      </c>
      <c r="B2615" s="12" t="s">
        <v>4519</v>
      </c>
      <c r="C2615" s="4"/>
      <c r="D2615" s="14"/>
      <c r="E2615" s="31" t="s">
        <v>9</v>
      </c>
    </row>
    <row r="2616" spans="1:7">
      <c r="A2616" s="6" t="s">
        <v>4520</v>
      </c>
      <c r="B2616" s="3" t="s">
        <v>4521</v>
      </c>
      <c r="C2616" s="4" t="s">
        <v>156</v>
      </c>
      <c r="D2616" s="7">
        <v>168.2</v>
      </c>
      <c r="E2616" s="31" t="s">
        <v>9</v>
      </c>
      <c r="F2616" s="32">
        <v>72.95</v>
      </c>
      <c r="G2616" s="33">
        <f>(D2616-F2616)/F2616</f>
        <v>1.30568882796436</v>
      </c>
    </row>
    <row r="2617" spans="1:7">
      <c r="A2617" s="6" t="s">
        <v>4522</v>
      </c>
      <c r="B2617" s="3" t="s">
        <v>3851</v>
      </c>
      <c r="C2617" s="4" t="s">
        <v>156</v>
      </c>
      <c r="D2617" s="7">
        <v>198.15</v>
      </c>
      <c r="E2617" s="31" t="s">
        <v>9</v>
      </c>
      <c r="F2617" s="32">
        <v>85.95</v>
      </c>
      <c r="G2617" s="33">
        <f>(D2617-F2617)/F2617</f>
        <v>1.30541012216405</v>
      </c>
    </row>
    <row r="2618" ht="62" customHeight="1" spans="1:7">
      <c r="A2618" s="6" t="s">
        <v>4523</v>
      </c>
      <c r="B2618" s="12" t="s">
        <v>4524</v>
      </c>
      <c r="C2618" s="4"/>
      <c r="D2618" s="14"/>
      <c r="E2618" s="31" t="s">
        <v>9</v>
      </c>
    </row>
    <row r="2619" spans="1:7">
      <c r="A2619" s="6" t="s">
        <v>4525</v>
      </c>
      <c r="B2619" s="3" t="s">
        <v>4526</v>
      </c>
      <c r="C2619" s="4" t="s">
        <v>156</v>
      </c>
      <c r="D2619" s="7">
        <v>362.85</v>
      </c>
      <c r="E2619" s="31" t="s">
        <v>9</v>
      </c>
      <c r="F2619" s="32">
        <v>167.35</v>
      </c>
      <c r="G2619" s="33">
        <f>(D2619-F2619)/F2619</f>
        <v>1.16821033761578</v>
      </c>
    </row>
    <row r="2620" spans="1:7">
      <c r="A2620" s="6" t="s">
        <v>4527</v>
      </c>
      <c r="B2620" s="3" t="s">
        <v>4528</v>
      </c>
      <c r="C2620" s="4" t="s">
        <v>156</v>
      </c>
      <c r="D2620" s="7">
        <v>360</v>
      </c>
      <c r="E2620" s="31" t="s">
        <v>9</v>
      </c>
      <c r="F2620" s="32">
        <v>165.05</v>
      </c>
      <c r="G2620" s="33">
        <f>(D2620-F2620)/F2620</f>
        <v>1.18115722508331</v>
      </c>
    </row>
    <row r="2621" ht="31" customHeight="1" spans="1:7">
      <c r="A2621" s="6" t="s">
        <v>4529</v>
      </c>
      <c r="B2621" s="12" t="s">
        <v>4530</v>
      </c>
      <c r="C2621" s="4"/>
      <c r="D2621" s="14"/>
      <c r="E2621" s="31" t="s">
        <v>9</v>
      </c>
    </row>
    <row r="2622" spans="1:7">
      <c r="A2622" s="6" t="s">
        <v>4531</v>
      </c>
      <c r="B2622" s="3" t="s">
        <v>4504</v>
      </c>
      <c r="C2622" s="4"/>
      <c r="D2622" s="14"/>
      <c r="E2622" s="31" t="s">
        <v>9</v>
      </c>
    </row>
    <row r="2623" spans="1:7">
      <c r="A2623" s="6" t="s">
        <v>4532</v>
      </c>
      <c r="B2623" s="3" t="s">
        <v>4533</v>
      </c>
      <c r="C2623" s="4" t="s">
        <v>156</v>
      </c>
      <c r="D2623" s="7">
        <v>598.5</v>
      </c>
      <c r="E2623" s="31" t="s">
        <v>9</v>
      </c>
      <c r="F2623" s="32">
        <v>340.75</v>
      </c>
      <c r="G2623" s="33">
        <f>(D2623-F2623)/F2623</f>
        <v>0.756419662509171</v>
      </c>
    </row>
    <row r="2624" spans="1:7">
      <c r="A2624" s="6" t="s">
        <v>4534</v>
      </c>
      <c r="B2624" s="3" t="s">
        <v>4535</v>
      </c>
      <c r="C2624" s="4" t="s">
        <v>156</v>
      </c>
      <c r="D2624" s="7">
        <v>705.2</v>
      </c>
      <c r="E2624" s="31" t="s">
        <v>9</v>
      </c>
      <c r="F2624" s="32">
        <v>384.9</v>
      </c>
      <c r="G2624" s="33">
        <f>(D2624-F2624)/F2624</f>
        <v>0.832164198493115</v>
      </c>
    </row>
    <row r="2625" spans="1:7">
      <c r="A2625" s="6" t="s">
        <v>4536</v>
      </c>
      <c r="B2625" s="3" t="s">
        <v>4537</v>
      </c>
      <c r="C2625" s="4" t="s">
        <v>156</v>
      </c>
      <c r="D2625" s="7">
        <v>567.2</v>
      </c>
      <c r="E2625" s="31" t="s">
        <v>9</v>
      </c>
      <c r="F2625" s="32">
        <v>489.45</v>
      </c>
      <c r="G2625" s="33">
        <f>(D2625-F2625)/F2625</f>
        <v>0.158851772397589</v>
      </c>
    </row>
    <row r="2626" spans="1:7">
      <c r="A2626" s="6" t="s">
        <v>4538</v>
      </c>
      <c r="B2626" s="3" t="s">
        <v>4539</v>
      </c>
      <c r="C2626" s="4"/>
      <c r="D2626" s="14"/>
      <c r="E2626" s="31" t="s">
        <v>9</v>
      </c>
    </row>
    <row r="2627" spans="1:7">
      <c r="A2627" s="6" t="s">
        <v>4540</v>
      </c>
      <c r="B2627" s="3" t="s">
        <v>4533</v>
      </c>
      <c r="C2627" s="4" t="s">
        <v>156</v>
      </c>
      <c r="D2627" s="7">
        <v>501.45</v>
      </c>
      <c r="E2627" s="31" t="s">
        <v>9</v>
      </c>
      <c r="F2627" s="32">
        <v>271.4</v>
      </c>
      <c r="G2627" s="33">
        <f>(D2627-F2627)/F2627</f>
        <v>0.847641857037583</v>
      </c>
    </row>
    <row r="2628" spans="1:7">
      <c r="A2628" s="6" t="s">
        <v>4541</v>
      </c>
      <c r="B2628" s="3" t="s">
        <v>4542</v>
      </c>
      <c r="C2628" s="4" t="s">
        <v>156</v>
      </c>
      <c r="D2628" s="7">
        <v>522.8</v>
      </c>
      <c r="E2628" s="31" t="s">
        <v>9</v>
      </c>
      <c r="F2628" s="32">
        <v>317.85</v>
      </c>
      <c r="G2628" s="33">
        <f>(D2628-F2628)/F2628</f>
        <v>0.644801006764197</v>
      </c>
    </row>
    <row r="2629" spans="1:7">
      <c r="A2629" s="6" t="s">
        <v>4543</v>
      </c>
      <c r="B2629" s="3" t="s">
        <v>4537</v>
      </c>
      <c r="C2629" s="4" t="s">
        <v>156</v>
      </c>
      <c r="D2629" s="7">
        <v>418.95</v>
      </c>
      <c r="E2629" s="31" t="s">
        <v>9</v>
      </c>
      <c r="F2629" s="32">
        <v>391.05</v>
      </c>
      <c r="G2629" s="33">
        <f>(D2629-F2629)/F2629</f>
        <v>0.0713463751438434</v>
      </c>
    </row>
    <row r="2630" spans="1:7">
      <c r="A2630" s="6" t="s">
        <v>4544</v>
      </c>
      <c r="B2630" s="12" t="s">
        <v>4545</v>
      </c>
      <c r="C2630" s="4"/>
      <c r="D2630" s="14"/>
      <c r="E2630" s="31" t="s">
        <v>9</v>
      </c>
    </row>
    <row r="2631" spans="1:7">
      <c r="A2631" s="6" t="s">
        <v>4546</v>
      </c>
      <c r="B2631" s="3" t="s">
        <v>4504</v>
      </c>
      <c r="C2631" s="4"/>
      <c r="D2631" s="14"/>
      <c r="E2631" s="31" t="s">
        <v>9</v>
      </c>
    </row>
    <row r="2632" spans="1:7">
      <c r="A2632" s="6" t="s">
        <v>4547</v>
      </c>
      <c r="B2632" s="3" t="s">
        <v>4533</v>
      </c>
      <c r="C2632" s="4" t="s">
        <v>156</v>
      </c>
      <c r="D2632" s="7">
        <v>470.45</v>
      </c>
      <c r="E2632" s="31" t="s">
        <v>9</v>
      </c>
      <c r="F2632" s="32">
        <v>433.7</v>
      </c>
      <c r="G2632" s="33">
        <f>(D2632-F2632)/F2632</f>
        <v>0.0847359926216279</v>
      </c>
    </row>
    <row r="2633" spans="1:7">
      <c r="A2633" s="6" t="s">
        <v>4548</v>
      </c>
      <c r="B2633" s="3" t="s">
        <v>4549</v>
      </c>
      <c r="C2633" s="4" t="s">
        <v>156</v>
      </c>
      <c r="D2633" s="7">
        <v>570.05</v>
      </c>
      <c r="E2633" s="31" t="s">
        <v>9</v>
      </c>
      <c r="F2633" s="32">
        <v>334.95</v>
      </c>
      <c r="G2633" s="33">
        <f>(D2633-F2633)/F2633</f>
        <v>0.701895805344081</v>
      </c>
    </row>
    <row r="2634" spans="1:7">
      <c r="A2634" s="6" t="s">
        <v>4550</v>
      </c>
      <c r="B2634" s="3" t="s">
        <v>4517</v>
      </c>
      <c r="C2634" s="4" t="s">
        <v>156</v>
      </c>
      <c r="D2634" s="7">
        <v>368</v>
      </c>
      <c r="E2634" s="31" t="s">
        <v>9</v>
      </c>
      <c r="F2634" s="32">
        <v>307.1</v>
      </c>
      <c r="G2634" s="33">
        <f>(D2634-F2634)/F2634</f>
        <v>0.198306740475415</v>
      </c>
    </row>
    <row r="2635" spans="1:7">
      <c r="A2635" s="6" t="s">
        <v>4551</v>
      </c>
      <c r="B2635" s="3" t="s">
        <v>4539</v>
      </c>
      <c r="C2635" s="4"/>
      <c r="D2635" s="14"/>
      <c r="E2635" s="31" t="s">
        <v>9</v>
      </c>
    </row>
    <row r="2636" spans="1:7">
      <c r="A2636" s="6" t="s">
        <v>4552</v>
      </c>
      <c r="B2636" s="3" t="s">
        <v>4553</v>
      </c>
      <c r="C2636" s="4" t="s">
        <v>156</v>
      </c>
      <c r="D2636" s="7">
        <v>376.25</v>
      </c>
      <c r="E2636" s="31" t="s">
        <v>9</v>
      </c>
      <c r="F2636" s="32">
        <v>219.15</v>
      </c>
      <c r="G2636" s="33">
        <f>(D2636-F2636)/F2636</f>
        <v>0.716860597764089</v>
      </c>
    </row>
    <row r="2637" spans="1:7">
      <c r="A2637" s="6" t="s">
        <v>4554</v>
      </c>
      <c r="B2637" s="3" t="s">
        <v>4535</v>
      </c>
      <c r="C2637" s="4" t="s">
        <v>156</v>
      </c>
      <c r="D2637" s="7">
        <v>390.5</v>
      </c>
      <c r="E2637" s="31" t="s">
        <v>9</v>
      </c>
      <c r="F2637" s="32">
        <v>248.2</v>
      </c>
      <c r="G2637" s="33">
        <f>(D2637-F2637)/F2637</f>
        <v>0.573327961321515</v>
      </c>
    </row>
    <row r="2638" spans="1:7">
      <c r="A2638" s="6" t="s">
        <v>4555</v>
      </c>
      <c r="B2638" s="3" t="s">
        <v>4517</v>
      </c>
      <c r="C2638" s="4" t="s">
        <v>156</v>
      </c>
      <c r="D2638" s="7">
        <v>252.5</v>
      </c>
      <c r="E2638" s="31" t="s">
        <v>9</v>
      </c>
      <c r="F2638" s="32">
        <v>212.2</v>
      </c>
      <c r="G2638" s="33">
        <f>(D2638-F2638)/F2638</f>
        <v>0.189915174363808</v>
      </c>
    </row>
    <row r="2639" spans="1:7">
      <c r="A2639" s="6" t="s">
        <v>4556</v>
      </c>
      <c r="B2639" s="12" t="s">
        <v>4557</v>
      </c>
      <c r="C2639" s="4"/>
      <c r="D2639" s="14"/>
      <c r="E2639" s="31" t="s">
        <v>9</v>
      </c>
    </row>
    <row r="2640" spans="1:7">
      <c r="A2640" s="6" t="s">
        <v>4558</v>
      </c>
      <c r="B2640" s="3" t="s">
        <v>4504</v>
      </c>
      <c r="C2640" s="4"/>
      <c r="D2640" s="14"/>
      <c r="E2640" s="31" t="s">
        <v>9</v>
      </c>
    </row>
    <row r="2641" spans="1:7">
      <c r="A2641" s="6" t="s">
        <v>4559</v>
      </c>
      <c r="B2641" s="3" t="s">
        <v>4533</v>
      </c>
      <c r="C2641" s="4" t="s">
        <v>156</v>
      </c>
      <c r="D2641" s="7">
        <v>584.25</v>
      </c>
      <c r="E2641" s="31" t="s">
        <v>9</v>
      </c>
      <c r="F2641" s="32">
        <v>317.55</v>
      </c>
      <c r="G2641" s="33">
        <f>(D2641-F2641)/F2641</f>
        <v>0.839867737364195</v>
      </c>
    </row>
    <row r="2642" spans="1:7">
      <c r="A2642" s="6" t="s">
        <v>4560</v>
      </c>
      <c r="B2642" s="3" t="s">
        <v>4535</v>
      </c>
      <c r="C2642" s="4" t="s">
        <v>156</v>
      </c>
      <c r="D2642" s="7">
        <v>548.7</v>
      </c>
      <c r="E2642" s="31" t="s">
        <v>9</v>
      </c>
      <c r="F2642" s="32">
        <v>370.95</v>
      </c>
      <c r="G2642" s="33">
        <f>(D2642-F2642)/F2642</f>
        <v>0.479175090982612</v>
      </c>
    </row>
    <row r="2643" spans="1:7">
      <c r="A2643" s="6" t="s">
        <v>4561</v>
      </c>
      <c r="B2643" s="3" t="s">
        <v>4539</v>
      </c>
      <c r="C2643" s="4"/>
      <c r="D2643" s="14"/>
      <c r="E2643" s="31" t="s">
        <v>9</v>
      </c>
    </row>
    <row r="2644" spans="1:7">
      <c r="A2644" s="6" t="s">
        <v>4562</v>
      </c>
      <c r="B2644" s="3" t="s">
        <v>4533</v>
      </c>
      <c r="C2644" s="4" t="s">
        <v>156</v>
      </c>
      <c r="D2644" s="7">
        <v>490.05</v>
      </c>
      <c r="E2644" s="31" t="s">
        <v>9</v>
      </c>
      <c r="F2644" s="32">
        <v>277.2</v>
      </c>
      <c r="G2644" s="33">
        <f>(D2644-F2644)/F2644</f>
        <v>0.767857142857143</v>
      </c>
    </row>
    <row r="2645" spans="1:7">
      <c r="A2645" s="6" t="s">
        <v>4563</v>
      </c>
      <c r="B2645" s="3" t="s">
        <v>4535</v>
      </c>
      <c r="C2645" s="4" t="s">
        <v>156</v>
      </c>
      <c r="D2645" s="7">
        <v>504.3</v>
      </c>
      <c r="E2645" s="31" t="s">
        <v>9</v>
      </c>
      <c r="F2645" s="32">
        <v>312.05</v>
      </c>
      <c r="G2645" s="33">
        <f>(D2645-F2645)/F2645</f>
        <v>0.616087165518346</v>
      </c>
    </row>
    <row r="2646" ht="31" customHeight="1" spans="1:7">
      <c r="A2646" s="6" t="s">
        <v>4564</v>
      </c>
      <c r="B2646" s="12" t="s">
        <v>4565</v>
      </c>
      <c r="C2646" s="4"/>
      <c r="D2646" s="14"/>
      <c r="E2646" s="31" t="s">
        <v>9</v>
      </c>
    </row>
    <row r="2647" spans="1:7">
      <c r="A2647" s="6" t="s">
        <v>4566</v>
      </c>
      <c r="B2647" s="3" t="s">
        <v>4567</v>
      </c>
      <c r="C2647" s="4"/>
      <c r="D2647" s="14"/>
      <c r="E2647" s="31" t="s">
        <v>9</v>
      </c>
    </row>
    <row r="2648" spans="1:7">
      <c r="A2648" s="6" t="s">
        <v>4568</v>
      </c>
      <c r="B2648" s="3" t="s">
        <v>4533</v>
      </c>
      <c r="C2648" s="4" t="s">
        <v>156</v>
      </c>
      <c r="D2648" s="7">
        <v>1138.65</v>
      </c>
      <c r="E2648" s="31" t="s">
        <v>9</v>
      </c>
      <c r="F2648" s="32">
        <v>686.65</v>
      </c>
      <c r="G2648" s="33">
        <f>(D2648-F2648)/F2648</f>
        <v>0.658268404572927</v>
      </c>
    </row>
    <row r="2649" spans="1:7">
      <c r="A2649" s="6" t="s">
        <v>4569</v>
      </c>
      <c r="B2649" s="3" t="s">
        <v>4535</v>
      </c>
      <c r="C2649" s="4" t="s">
        <v>156</v>
      </c>
      <c r="D2649" s="7">
        <v>1103.1</v>
      </c>
      <c r="E2649" s="31" t="s">
        <v>9</v>
      </c>
      <c r="F2649" s="32">
        <v>762.15</v>
      </c>
      <c r="G2649" s="33">
        <f>(D2649-F2649)/F2649</f>
        <v>0.447352883290691</v>
      </c>
    </row>
    <row r="2650" spans="1:7">
      <c r="A2650" s="6" t="s">
        <v>4570</v>
      </c>
      <c r="B2650" s="3" t="s">
        <v>4571</v>
      </c>
      <c r="C2650" s="4"/>
      <c r="D2650" s="14"/>
      <c r="E2650" s="31" t="s">
        <v>9</v>
      </c>
    </row>
    <row r="2651" spans="1:7">
      <c r="A2651" s="6" t="s">
        <v>4572</v>
      </c>
      <c r="B2651" s="3" t="s">
        <v>4533</v>
      </c>
      <c r="C2651" s="4" t="s">
        <v>156</v>
      </c>
      <c r="D2651" s="7">
        <v>842.9</v>
      </c>
      <c r="E2651" s="31" t="s">
        <v>9</v>
      </c>
      <c r="F2651" s="32">
        <v>532.75</v>
      </c>
      <c r="G2651" s="33">
        <f>(D2651-F2651)/F2651</f>
        <v>0.582167996245894</v>
      </c>
    </row>
    <row r="2652" spans="1:7">
      <c r="A2652" s="6" t="s">
        <v>4573</v>
      </c>
      <c r="B2652" s="3" t="s">
        <v>4535</v>
      </c>
      <c r="C2652" s="4" t="s">
        <v>156</v>
      </c>
      <c r="D2652" s="7">
        <v>885.6</v>
      </c>
      <c r="E2652" s="31" t="s">
        <v>9</v>
      </c>
      <c r="F2652" s="32">
        <v>596.65</v>
      </c>
      <c r="G2652" s="33">
        <f>(D2652-F2652)/F2652</f>
        <v>0.484287270594151</v>
      </c>
    </row>
    <row r="2653" spans="1:7">
      <c r="A2653" s="6" t="s">
        <v>4574</v>
      </c>
      <c r="B2653" s="12" t="s">
        <v>4575</v>
      </c>
      <c r="C2653" s="4"/>
      <c r="D2653" s="14"/>
      <c r="E2653" s="31" t="s">
        <v>9</v>
      </c>
    </row>
    <row r="2654" spans="1:7">
      <c r="A2654" s="6" t="s">
        <v>4576</v>
      </c>
      <c r="B2654" s="3" t="s">
        <v>4567</v>
      </c>
      <c r="C2654" s="4"/>
      <c r="D2654" s="14"/>
      <c r="E2654" s="31" t="s">
        <v>9</v>
      </c>
    </row>
    <row r="2655" spans="1:7">
      <c r="A2655" s="6" t="s">
        <v>4577</v>
      </c>
      <c r="B2655" s="3" t="s">
        <v>4533</v>
      </c>
      <c r="C2655" s="4" t="s">
        <v>156</v>
      </c>
      <c r="D2655" s="7">
        <v>939.9</v>
      </c>
      <c r="E2655" s="31" t="s">
        <v>9</v>
      </c>
      <c r="F2655" s="32">
        <v>631.15</v>
      </c>
      <c r="G2655" s="33">
        <f>(D2655-F2655)/F2655</f>
        <v>0.48918640576725</v>
      </c>
    </row>
    <row r="2656" spans="1:7">
      <c r="A2656" s="6" t="s">
        <v>4578</v>
      </c>
      <c r="B2656" s="3" t="s">
        <v>4535</v>
      </c>
      <c r="C2656" s="4" t="s">
        <v>156</v>
      </c>
      <c r="D2656" s="7">
        <v>1075.05</v>
      </c>
      <c r="E2656" s="31" t="s">
        <v>9</v>
      </c>
      <c r="F2656" s="32">
        <v>747.3</v>
      </c>
      <c r="G2656" s="33">
        <f>(D2656-F2656)/F2656</f>
        <v>0.438578883982336</v>
      </c>
    </row>
    <row r="2657" spans="1:7">
      <c r="A2657" s="6" t="s">
        <v>4579</v>
      </c>
      <c r="B2657" s="3" t="s">
        <v>4517</v>
      </c>
      <c r="C2657" s="4" t="s">
        <v>156</v>
      </c>
      <c r="D2657" s="7">
        <v>760.7</v>
      </c>
      <c r="E2657" s="31" t="s">
        <v>9</v>
      </c>
      <c r="F2657" s="32">
        <v>645.1</v>
      </c>
      <c r="G2657" s="33">
        <f>(D2657-F2657)/F2657</f>
        <v>0.179197023717253</v>
      </c>
    </row>
    <row r="2658" spans="1:7">
      <c r="A2658" s="6" t="s">
        <v>4580</v>
      </c>
      <c r="B2658" s="3" t="s">
        <v>4571</v>
      </c>
      <c r="C2658" s="4"/>
      <c r="D2658" s="14"/>
      <c r="E2658" s="31" t="s">
        <v>9</v>
      </c>
    </row>
    <row r="2659" spans="1:7">
      <c r="A2659" s="6" t="s">
        <v>4581</v>
      </c>
      <c r="B2659" s="3" t="s">
        <v>4533</v>
      </c>
      <c r="C2659" s="4" t="s">
        <v>156</v>
      </c>
      <c r="D2659" s="7">
        <v>625.2</v>
      </c>
      <c r="E2659" s="31" t="s">
        <v>9</v>
      </c>
      <c r="F2659" s="32">
        <v>423.55</v>
      </c>
      <c r="G2659" s="33">
        <f>(D2659-F2659)/F2659</f>
        <v>0.476094912052886</v>
      </c>
    </row>
    <row r="2660" spans="1:7">
      <c r="A2660" s="6" t="s">
        <v>4582</v>
      </c>
      <c r="B2660" s="3" t="s">
        <v>4535</v>
      </c>
      <c r="C2660" s="4" t="s">
        <v>156</v>
      </c>
      <c r="D2660" s="7">
        <v>803.05</v>
      </c>
      <c r="E2660" s="31" t="s">
        <v>9</v>
      </c>
      <c r="F2660" s="32">
        <v>558.3</v>
      </c>
      <c r="G2660" s="33">
        <f>(D2660-F2660)/F2660</f>
        <v>0.438384381157084</v>
      </c>
    </row>
    <row r="2661" spans="1:7">
      <c r="A2661" s="6" t="s">
        <v>4583</v>
      </c>
      <c r="B2661" s="3" t="s">
        <v>4517</v>
      </c>
      <c r="C2661" s="4" t="s">
        <v>156</v>
      </c>
      <c r="D2661" s="7">
        <v>418.95</v>
      </c>
      <c r="E2661" s="31" t="s">
        <v>9</v>
      </c>
      <c r="F2661" s="45">
        <v>353.9</v>
      </c>
      <c r="G2661" s="33">
        <f>(D2661-F2661)/F2661</f>
        <v>0.18380898558915</v>
      </c>
    </row>
    <row r="2662" ht="31" customHeight="1" spans="1:7">
      <c r="A2662" s="6" t="s">
        <v>4584</v>
      </c>
      <c r="B2662" s="12" t="s">
        <v>4585</v>
      </c>
      <c r="C2662" s="4"/>
      <c r="D2662" s="14"/>
      <c r="E2662" s="31" t="s">
        <v>9</v>
      </c>
    </row>
    <row r="2663" spans="1:7">
      <c r="A2663" s="6" t="s">
        <v>4586</v>
      </c>
      <c r="B2663" s="3" t="s">
        <v>4587</v>
      </c>
      <c r="C2663" s="4"/>
      <c r="D2663" s="14"/>
      <c r="E2663" s="31" t="s">
        <v>9</v>
      </c>
    </row>
    <row r="2664" spans="1:7">
      <c r="A2664" s="6" t="s">
        <v>4588</v>
      </c>
      <c r="B2664" s="3" t="s">
        <v>4533</v>
      </c>
      <c r="C2664" s="4" t="s">
        <v>156</v>
      </c>
      <c r="D2664" s="7">
        <v>726.55</v>
      </c>
      <c r="E2664" s="31" t="s">
        <v>9</v>
      </c>
      <c r="F2664" s="32">
        <v>484.8</v>
      </c>
      <c r="G2664" s="33">
        <f>(D2664-F2664)/F2664</f>
        <v>0.498659240924092</v>
      </c>
    </row>
    <row r="2665" spans="1:7">
      <c r="A2665" s="6" t="s">
        <v>4589</v>
      </c>
      <c r="B2665" s="3" t="s">
        <v>4535</v>
      </c>
      <c r="C2665" s="4" t="s">
        <v>156</v>
      </c>
      <c r="D2665" s="7">
        <v>925.7</v>
      </c>
      <c r="E2665" s="31" t="s">
        <v>9</v>
      </c>
      <c r="F2665" s="32">
        <v>623</v>
      </c>
      <c r="G2665" s="33">
        <f>(D2665-F2665)/F2665</f>
        <v>0.485874799357945</v>
      </c>
    </row>
    <row r="2666" spans="1:7">
      <c r="A2666" s="6" t="s">
        <v>4590</v>
      </c>
      <c r="B2666" s="3" t="s">
        <v>2881</v>
      </c>
      <c r="C2666" s="4"/>
      <c r="D2666" s="14"/>
      <c r="E2666" s="31" t="s">
        <v>9</v>
      </c>
    </row>
    <row r="2667" spans="1:7">
      <c r="A2667" s="6" t="s">
        <v>4591</v>
      </c>
      <c r="B2667" s="3" t="s">
        <v>4533</v>
      </c>
      <c r="C2667" s="4" t="s">
        <v>156</v>
      </c>
      <c r="D2667" s="7">
        <v>629.5</v>
      </c>
      <c r="E2667" s="31" t="s">
        <v>9</v>
      </c>
      <c r="F2667" s="32">
        <v>362</v>
      </c>
      <c r="G2667" s="33">
        <f>(D2667-F2667)/F2667</f>
        <v>0.738950276243094</v>
      </c>
    </row>
    <row r="2668" spans="1:7">
      <c r="A2668" s="6" t="s">
        <v>4592</v>
      </c>
      <c r="B2668" s="3" t="s">
        <v>4535</v>
      </c>
      <c r="C2668" s="4" t="s">
        <v>156</v>
      </c>
      <c r="D2668" s="7">
        <v>665.05</v>
      </c>
      <c r="E2668" s="31" t="s">
        <v>9</v>
      </c>
      <c r="F2668" s="32">
        <v>472.35</v>
      </c>
      <c r="G2668" s="33">
        <f>(D2668-F2668)/F2668</f>
        <v>0.407960199004975</v>
      </c>
    </row>
    <row r="2669" spans="1:7">
      <c r="A2669" s="6" t="s">
        <v>4593</v>
      </c>
      <c r="B2669" s="12" t="s">
        <v>4594</v>
      </c>
      <c r="C2669" s="4"/>
      <c r="D2669" s="14"/>
      <c r="E2669" s="31" t="s">
        <v>9</v>
      </c>
    </row>
    <row r="2670" spans="1:7">
      <c r="A2670" s="6" t="s">
        <v>4595</v>
      </c>
      <c r="B2670" s="3" t="s">
        <v>4587</v>
      </c>
      <c r="C2670" s="4"/>
      <c r="D2670" s="14"/>
      <c r="E2670" s="31" t="s">
        <v>9</v>
      </c>
    </row>
    <row r="2671" spans="1:7">
      <c r="A2671" s="6" t="s">
        <v>4596</v>
      </c>
      <c r="B2671" s="3" t="s">
        <v>4533</v>
      </c>
      <c r="C2671" s="4" t="s">
        <v>156</v>
      </c>
      <c r="D2671" s="7">
        <v>626.95</v>
      </c>
      <c r="E2671" s="31" t="s">
        <v>9</v>
      </c>
      <c r="F2671" s="32">
        <v>549.85</v>
      </c>
      <c r="G2671" s="33">
        <f>(D2671-F2671)/F2671</f>
        <v>0.140220060016368</v>
      </c>
    </row>
    <row r="2672" spans="1:7">
      <c r="A2672" s="6" t="s">
        <v>4597</v>
      </c>
      <c r="B2672" s="3" t="s">
        <v>4535</v>
      </c>
      <c r="C2672" s="4" t="s">
        <v>156</v>
      </c>
      <c r="D2672" s="7">
        <v>811.9</v>
      </c>
      <c r="E2672" s="31" t="s">
        <v>9</v>
      </c>
      <c r="F2672" s="32">
        <v>575.4</v>
      </c>
      <c r="G2672" s="33">
        <f>(D2672-F2672)/F2672</f>
        <v>0.411018421967327</v>
      </c>
    </row>
    <row r="2673" spans="1:7">
      <c r="A2673" s="6" t="s">
        <v>4598</v>
      </c>
      <c r="B2673" s="3" t="s">
        <v>4599</v>
      </c>
      <c r="C2673" s="4" t="s">
        <v>156</v>
      </c>
      <c r="D2673" s="7">
        <v>581.45</v>
      </c>
      <c r="E2673" s="31" t="s">
        <v>9</v>
      </c>
      <c r="F2673" s="32">
        <v>503.4</v>
      </c>
      <c r="G2673" s="33">
        <f>(D2673-F2673)/F2673</f>
        <v>0.155045689312674</v>
      </c>
    </row>
    <row r="2674" spans="1:7">
      <c r="A2674" s="6" t="s">
        <v>4600</v>
      </c>
      <c r="B2674" s="3" t="s">
        <v>2881</v>
      </c>
      <c r="C2674" s="4"/>
      <c r="D2674" s="14"/>
      <c r="E2674" s="31" t="s">
        <v>9</v>
      </c>
    </row>
    <row r="2675" spans="1:7">
      <c r="A2675" s="6" t="s">
        <v>4601</v>
      </c>
      <c r="B2675" s="3" t="s">
        <v>4533</v>
      </c>
      <c r="C2675" s="4" t="s">
        <v>156</v>
      </c>
      <c r="D2675" s="7">
        <v>504.3</v>
      </c>
      <c r="E2675" s="31" t="s">
        <v>9</v>
      </c>
      <c r="F2675" s="32">
        <v>329.5</v>
      </c>
      <c r="G2675" s="33">
        <f>(D2675-F2675)/F2675</f>
        <v>0.530500758725341</v>
      </c>
    </row>
    <row r="2676" spans="1:7">
      <c r="A2676" s="6" t="s">
        <v>4602</v>
      </c>
      <c r="B2676" s="3" t="s">
        <v>4535</v>
      </c>
      <c r="C2676" s="4" t="s">
        <v>156</v>
      </c>
      <c r="D2676" s="7">
        <v>561.2</v>
      </c>
      <c r="E2676" s="31" t="s">
        <v>9</v>
      </c>
      <c r="F2676" s="32">
        <v>405</v>
      </c>
      <c r="G2676" s="33">
        <f>(D2676-F2676)/F2676</f>
        <v>0.385679012345679</v>
      </c>
    </row>
    <row r="2677" spans="1:7">
      <c r="A2677" s="6" t="s">
        <v>4603</v>
      </c>
      <c r="B2677" s="3" t="s">
        <v>4537</v>
      </c>
      <c r="C2677" s="4" t="s">
        <v>156</v>
      </c>
      <c r="D2677" s="7">
        <v>337.85</v>
      </c>
      <c r="E2677" s="31" t="s">
        <v>9</v>
      </c>
      <c r="F2677" s="32">
        <v>283.05</v>
      </c>
      <c r="G2677" s="33">
        <f>(D2677-F2677)/F2677</f>
        <v>0.193605370075958</v>
      </c>
    </row>
    <row r="2678" ht="31" customHeight="1" spans="1:7">
      <c r="A2678" s="6" t="s">
        <v>4604</v>
      </c>
      <c r="B2678" s="12" t="s">
        <v>4605</v>
      </c>
      <c r="C2678" s="4"/>
      <c r="D2678" s="14"/>
      <c r="E2678" s="31" t="s">
        <v>9</v>
      </c>
    </row>
    <row r="2679" spans="1:7">
      <c r="A2679" s="6" t="s">
        <v>4606</v>
      </c>
      <c r="B2679" s="3" t="s">
        <v>4607</v>
      </c>
      <c r="C2679" s="4"/>
      <c r="D2679" s="14"/>
      <c r="E2679" s="31" t="s">
        <v>9</v>
      </c>
    </row>
    <row r="2680" spans="1:7">
      <c r="A2680" s="6" t="s">
        <v>4608</v>
      </c>
      <c r="B2680" s="3" t="s">
        <v>4533</v>
      </c>
      <c r="C2680" s="4" t="s">
        <v>156</v>
      </c>
      <c r="D2680" s="7">
        <v>1153.3</v>
      </c>
      <c r="E2680" s="31" t="s">
        <v>9</v>
      </c>
      <c r="F2680" s="32">
        <v>686.9</v>
      </c>
      <c r="G2680" s="33">
        <f>(D2680-F2680)/F2680</f>
        <v>0.678992575338477</v>
      </c>
    </row>
    <row r="2681" spans="1:7">
      <c r="A2681" s="6" t="s">
        <v>4609</v>
      </c>
      <c r="B2681" s="3" t="s">
        <v>4535</v>
      </c>
      <c r="C2681" s="4" t="s">
        <v>156</v>
      </c>
      <c r="D2681" s="7">
        <v>1601.45</v>
      </c>
      <c r="E2681" s="31" t="s">
        <v>9</v>
      </c>
      <c r="F2681" s="32">
        <v>1035.35</v>
      </c>
      <c r="G2681" s="33">
        <f>(D2681-F2681)/F2681</f>
        <v>0.546771623122616</v>
      </c>
    </row>
    <row r="2682" spans="1:7">
      <c r="A2682" s="6" t="s">
        <v>4610</v>
      </c>
      <c r="B2682" s="12" t="s">
        <v>4611</v>
      </c>
      <c r="C2682" s="4"/>
      <c r="D2682" s="14"/>
      <c r="E2682" s="31" t="s">
        <v>9</v>
      </c>
    </row>
    <row r="2683" spans="1:7">
      <c r="A2683" s="6" t="s">
        <v>4612</v>
      </c>
      <c r="B2683" s="3" t="s">
        <v>4607</v>
      </c>
      <c r="C2683" s="4"/>
      <c r="D2683" s="14"/>
      <c r="E2683" s="31" t="s">
        <v>9</v>
      </c>
    </row>
    <row r="2684" spans="1:7">
      <c r="A2684" s="6" t="s">
        <v>4613</v>
      </c>
      <c r="B2684" s="3" t="s">
        <v>4533</v>
      </c>
      <c r="C2684" s="4" t="s">
        <v>156</v>
      </c>
      <c r="D2684" s="7">
        <v>954.15</v>
      </c>
      <c r="E2684" s="31" t="s">
        <v>9</v>
      </c>
      <c r="F2684" s="32">
        <v>666</v>
      </c>
      <c r="G2684" s="33">
        <f>(D2684-F2684)/F2684</f>
        <v>0.432657657657658</v>
      </c>
    </row>
    <row r="2685" spans="1:7">
      <c r="A2685" s="6" t="s">
        <v>4614</v>
      </c>
      <c r="B2685" s="3" t="s">
        <v>4535</v>
      </c>
      <c r="C2685" s="4" t="s">
        <v>156</v>
      </c>
      <c r="D2685" s="7">
        <v>1402.3</v>
      </c>
      <c r="E2685" s="31" t="s">
        <v>9</v>
      </c>
      <c r="F2685" s="32">
        <v>956.35</v>
      </c>
      <c r="G2685" s="33">
        <f>(D2685-F2685)/F2685</f>
        <v>0.466304177340932</v>
      </c>
    </row>
    <row r="2686" spans="1:7">
      <c r="A2686" s="6" t="s">
        <v>4615</v>
      </c>
      <c r="B2686" s="3" t="s">
        <v>4537</v>
      </c>
      <c r="C2686" s="4" t="s">
        <v>156</v>
      </c>
      <c r="D2686" s="7">
        <v>607.05</v>
      </c>
      <c r="E2686" s="31" t="s">
        <v>9</v>
      </c>
      <c r="F2686" s="32">
        <v>516.15</v>
      </c>
      <c r="G2686" s="33">
        <f>(D2686-F2686)/F2686</f>
        <v>0.176111595466434</v>
      </c>
    </row>
    <row r="2687" ht="31" customHeight="1" spans="1:7">
      <c r="A2687" s="6" t="s">
        <v>4616</v>
      </c>
      <c r="B2687" s="12" t="s">
        <v>4617</v>
      </c>
      <c r="C2687" s="4"/>
      <c r="D2687" s="14"/>
      <c r="E2687" s="31" t="s">
        <v>9</v>
      </c>
    </row>
    <row r="2688" spans="1:7">
      <c r="A2688" s="6" t="s">
        <v>4618</v>
      </c>
      <c r="B2688" s="3" t="s">
        <v>4619</v>
      </c>
      <c r="C2688" s="4"/>
      <c r="D2688" s="14"/>
      <c r="E2688" s="31" t="s">
        <v>9</v>
      </c>
    </row>
    <row r="2689" spans="1:7">
      <c r="A2689" s="6" t="s">
        <v>4620</v>
      </c>
      <c r="B2689" s="3" t="s">
        <v>4533</v>
      </c>
      <c r="C2689" s="4" t="s">
        <v>156</v>
      </c>
      <c r="D2689" s="7">
        <v>911.45</v>
      </c>
      <c r="E2689" s="31" t="s">
        <v>9</v>
      </c>
      <c r="F2689" s="32">
        <v>512.65</v>
      </c>
      <c r="G2689" s="33">
        <f>(D2689-F2689)/F2689</f>
        <v>0.77791865795377</v>
      </c>
    </row>
    <row r="2690" spans="1:7">
      <c r="A2690" s="6" t="s">
        <v>4621</v>
      </c>
      <c r="B2690" s="3" t="s">
        <v>4535</v>
      </c>
      <c r="C2690" s="4" t="s">
        <v>156</v>
      </c>
      <c r="D2690" s="7">
        <v>1146.2</v>
      </c>
      <c r="E2690" s="31" t="s">
        <v>9</v>
      </c>
      <c r="F2690" s="32">
        <v>791.45</v>
      </c>
      <c r="G2690" s="33">
        <f>(D2690-F2690)/F2690</f>
        <v>0.448227936066713</v>
      </c>
    </row>
    <row r="2691" spans="1:7">
      <c r="A2691" s="6" t="s">
        <v>4622</v>
      </c>
      <c r="B2691" s="12" t="s">
        <v>4623</v>
      </c>
      <c r="C2691" s="4"/>
      <c r="D2691" s="14"/>
      <c r="E2691" s="31" t="s">
        <v>9</v>
      </c>
    </row>
    <row r="2692" spans="1:7">
      <c r="A2692" s="6" t="s">
        <v>4624</v>
      </c>
      <c r="B2692" s="3" t="s">
        <v>4619</v>
      </c>
      <c r="C2692" s="4"/>
      <c r="D2692" s="14"/>
      <c r="E2692" s="31" t="s">
        <v>9</v>
      </c>
    </row>
    <row r="2693" spans="1:7">
      <c r="A2693" s="6" t="s">
        <v>4625</v>
      </c>
      <c r="B2693" s="3" t="s">
        <v>4533</v>
      </c>
      <c r="C2693" s="4" t="s">
        <v>156</v>
      </c>
      <c r="D2693" s="7">
        <v>811.9</v>
      </c>
      <c r="E2693" s="31" t="s">
        <v>9</v>
      </c>
      <c r="F2693" s="32">
        <v>456.9</v>
      </c>
      <c r="G2693" s="33">
        <f>(D2693-F2693)/F2693</f>
        <v>0.776975268111184</v>
      </c>
    </row>
    <row r="2694" spans="1:7">
      <c r="A2694" s="6" t="s">
        <v>4626</v>
      </c>
      <c r="B2694" s="3" t="s">
        <v>4535</v>
      </c>
      <c r="C2694" s="4" t="s">
        <v>156</v>
      </c>
      <c r="D2694" s="7">
        <v>1032.4</v>
      </c>
      <c r="E2694" s="31" t="s">
        <v>9</v>
      </c>
      <c r="F2694" s="32">
        <v>689.2</v>
      </c>
      <c r="G2694" s="33">
        <f>(D2694-F2694)/F2694</f>
        <v>0.497968659315148</v>
      </c>
    </row>
    <row r="2695" spans="1:7">
      <c r="A2695" s="6" t="s">
        <v>4627</v>
      </c>
      <c r="B2695" s="3" t="s">
        <v>4537</v>
      </c>
      <c r="C2695" s="4" t="s">
        <v>156</v>
      </c>
      <c r="D2695" s="7">
        <v>551.55</v>
      </c>
      <c r="E2695" s="31" t="s">
        <v>9</v>
      </c>
      <c r="F2695" s="32">
        <v>482.45</v>
      </c>
      <c r="G2695" s="33">
        <f>(D2695-F2695)/F2695</f>
        <v>0.143227277438076</v>
      </c>
    </row>
    <row r="2696" spans="1:7">
      <c r="A2696" s="6" t="s">
        <v>4628</v>
      </c>
      <c r="B2696" s="12" t="s">
        <v>4629</v>
      </c>
      <c r="C2696" s="4"/>
      <c r="D2696" s="14"/>
      <c r="E2696" s="31" t="s">
        <v>9</v>
      </c>
    </row>
    <row r="2697" spans="1:7">
      <c r="A2697" s="6" t="s">
        <v>4630</v>
      </c>
      <c r="B2697" s="3" t="s">
        <v>4567</v>
      </c>
      <c r="C2697" s="4"/>
      <c r="D2697" s="14"/>
      <c r="E2697" s="31" t="s">
        <v>9</v>
      </c>
    </row>
    <row r="2698" spans="1:7">
      <c r="A2698" s="6" t="s">
        <v>4631</v>
      </c>
      <c r="B2698" s="3" t="s">
        <v>4533</v>
      </c>
      <c r="C2698" s="4" t="s">
        <v>156</v>
      </c>
      <c r="D2698" s="7">
        <v>883</v>
      </c>
      <c r="E2698" s="31" t="s">
        <v>9</v>
      </c>
      <c r="F2698" s="32">
        <v>666</v>
      </c>
      <c r="G2698" s="33">
        <f>(D2698-F2698)/F2698</f>
        <v>0.325825825825826</v>
      </c>
    </row>
    <row r="2699" spans="1:7">
      <c r="A2699" s="6" t="s">
        <v>4632</v>
      </c>
      <c r="B2699" s="3" t="s">
        <v>4633</v>
      </c>
      <c r="C2699" s="4" t="s">
        <v>156</v>
      </c>
      <c r="D2699" s="7">
        <v>989.7</v>
      </c>
      <c r="E2699" s="31" t="s">
        <v>9</v>
      </c>
      <c r="F2699" s="32">
        <v>642.75</v>
      </c>
      <c r="G2699" s="33">
        <f>(D2699-F2699)/F2699</f>
        <v>0.539789964994166</v>
      </c>
    </row>
    <row r="2700" spans="1:7">
      <c r="A2700" s="6" t="s">
        <v>4634</v>
      </c>
      <c r="B2700" s="3" t="s">
        <v>4537</v>
      </c>
      <c r="C2700" s="4" t="s">
        <v>156</v>
      </c>
      <c r="D2700" s="7">
        <v>1106.35</v>
      </c>
      <c r="E2700" s="31" t="s">
        <v>9</v>
      </c>
      <c r="F2700" s="32">
        <v>785.6</v>
      </c>
      <c r="G2700" s="33">
        <f>(D2700-F2700)/F2700</f>
        <v>0.4082866598778</v>
      </c>
    </row>
    <row r="2701" spans="1:7">
      <c r="A2701" s="6" t="s">
        <v>4635</v>
      </c>
      <c r="B2701" s="3" t="s">
        <v>4571</v>
      </c>
      <c r="C2701" s="4"/>
      <c r="D2701" s="14"/>
      <c r="E2701" s="31" t="s">
        <v>9</v>
      </c>
    </row>
    <row r="2702" spans="1:7">
      <c r="A2702" s="6" t="s">
        <v>4636</v>
      </c>
      <c r="B2702" s="3" t="s">
        <v>4533</v>
      </c>
      <c r="C2702" s="4" t="s">
        <v>156</v>
      </c>
      <c r="D2702" s="7">
        <v>660.8</v>
      </c>
      <c r="E2702" s="31" t="s">
        <v>9</v>
      </c>
      <c r="F2702" s="32">
        <v>497.9</v>
      </c>
      <c r="G2702" s="33">
        <f>(D2702-F2702)/F2702</f>
        <v>0.327174131351677</v>
      </c>
    </row>
    <row r="2703" spans="1:7">
      <c r="A2703" s="6" t="s">
        <v>4637</v>
      </c>
      <c r="B2703" s="3" t="s">
        <v>4535</v>
      </c>
      <c r="C2703" s="4" t="s">
        <v>156</v>
      </c>
      <c r="D2703" s="7">
        <v>803.05</v>
      </c>
      <c r="E2703" s="31" t="s">
        <v>9</v>
      </c>
      <c r="F2703" s="32">
        <v>515.35</v>
      </c>
      <c r="G2703" s="33">
        <f>(D2703-F2703)/F2703</f>
        <v>0.558261375764044</v>
      </c>
    </row>
    <row r="2704" spans="1:7">
      <c r="A2704" s="6" t="s">
        <v>4638</v>
      </c>
      <c r="B2704" s="12" t="s">
        <v>4639</v>
      </c>
      <c r="C2704" s="4"/>
      <c r="D2704" s="14"/>
      <c r="E2704" s="31" t="s">
        <v>9</v>
      </c>
    </row>
    <row r="2705" spans="1:7">
      <c r="A2705" s="6" t="s">
        <v>4640</v>
      </c>
      <c r="B2705" s="3" t="s">
        <v>4587</v>
      </c>
      <c r="C2705" s="4"/>
      <c r="D2705" s="14"/>
      <c r="E2705" s="31" t="s">
        <v>9</v>
      </c>
    </row>
    <row r="2706" spans="1:7">
      <c r="A2706" s="6" t="s">
        <v>4641</v>
      </c>
      <c r="B2706" s="3" t="s">
        <v>4642</v>
      </c>
      <c r="C2706" s="4" t="s">
        <v>156</v>
      </c>
      <c r="D2706" s="7">
        <v>698.05</v>
      </c>
      <c r="E2706" s="31" t="s">
        <v>9</v>
      </c>
      <c r="F2706" s="32">
        <v>503.4</v>
      </c>
      <c r="G2706" s="33">
        <f>(D2706-F2706)/F2706</f>
        <v>0.386670639650377</v>
      </c>
    </row>
    <row r="2707" spans="1:7">
      <c r="A2707" s="6" t="s">
        <v>4643</v>
      </c>
      <c r="B2707" s="3" t="s">
        <v>4535</v>
      </c>
      <c r="C2707" s="4" t="s">
        <v>156</v>
      </c>
      <c r="D2707" s="7">
        <v>747.85</v>
      </c>
      <c r="E2707" s="31" t="s">
        <v>9</v>
      </c>
      <c r="F2707" s="32">
        <v>520.8</v>
      </c>
      <c r="G2707" s="33">
        <f>(D2707-F2707)/F2707</f>
        <v>0.435963901689708</v>
      </c>
    </row>
    <row r="2708" spans="1:7">
      <c r="A2708" s="6" t="s">
        <v>4644</v>
      </c>
      <c r="B2708" s="3" t="s">
        <v>4537</v>
      </c>
      <c r="C2708" s="4" t="s">
        <v>156</v>
      </c>
      <c r="D2708" s="7">
        <v>645.45</v>
      </c>
      <c r="E2708" s="31" t="s">
        <v>9</v>
      </c>
      <c r="F2708" s="32">
        <v>503.4</v>
      </c>
      <c r="G2708" s="33">
        <f>(D2708-F2708)/F2708</f>
        <v>0.282181168057211</v>
      </c>
    </row>
    <row r="2709" spans="1:7">
      <c r="A2709" s="6" t="s">
        <v>4645</v>
      </c>
      <c r="B2709" s="3" t="s">
        <v>2881</v>
      </c>
      <c r="C2709" s="4"/>
      <c r="D2709" s="14"/>
      <c r="E2709" s="31" t="s">
        <v>9</v>
      </c>
    </row>
    <row r="2710" spans="1:7">
      <c r="A2710" s="6" t="s">
        <v>4646</v>
      </c>
      <c r="B2710" s="3" t="s">
        <v>4533</v>
      </c>
      <c r="C2710" s="4" t="s">
        <v>156</v>
      </c>
      <c r="D2710" s="7">
        <v>575.45</v>
      </c>
      <c r="E2710" s="31" t="s">
        <v>9</v>
      </c>
      <c r="F2710" s="32">
        <v>393.35</v>
      </c>
      <c r="G2710" s="33">
        <f>(D2710-F2710)/F2710</f>
        <v>0.462946485318419</v>
      </c>
    </row>
    <row r="2711" spans="1:7">
      <c r="A2711" s="6" t="s">
        <v>4647</v>
      </c>
      <c r="B2711" s="3" t="s">
        <v>4535</v>
      </c>
      <c r="C2711" s="4" t="s">
        <v>156</v>
      </c>
      <c r="D2711" s="7">
        <v>575.45</v>
      </c>
      <c r="E2711" s="31" t="s">
        <v>9</v>
      </c>
      <c r="F2711" s="32">
        <v>396.85</v>
      </c>
      <c r="G2711" s="33">
        <f>(D2711-F2711)/F2711</f>
        <v>0.45004409726597</v>
      </c>
    </row>
    <row r="2712" spans="1:7">
      <c r="A2712" s="6" t="s">
        <v>4648</v>
      </c>
      <c r="B2712" s="3" t="s">
        <v>4537</v>
      </c>
      <c r="C2712" s="4" t="s">
        <v>156</v>
      </c>
      <c r="D2712" s="7">
        <v>401.9</v>
      </c>
      <c r="E2712" s="31" t="s">
        <v>9</v>
      </c>
      <c r="F2712" s="32">
        <v>335.3</v>
      </c>
      <c r="G2712" s="33">
        <f>(D2712-F2712)/F2712</f>
        <v>0.198628094243961</v>
      </c>
    </row>
    <row r="2713" spans="1:7">
      <c r="A2713" s="6" t="s">
        <v>4649</v>
      </c>
      <c r="B2713" s="12" t="s">
        <v>4650</v>
      </c>
      <c r="C2713" s="4"/>
      <c r="D2713" s="14"/>
      <c r="E2713" s="31" t="s">
        <v>9</v>
      </c>
    </row>
    <row r="2714" spans="1:7">
      <c r="A2714" s="6" t="s">
        <v>4651</v>
      </c>
      <c r="B2714" s="3" t="s">
        <v>4607</v>
      </c>
      <c r="C2714" s="4"/>
      <c r="D2714" s="14"/>
      <c r="E2714" s="31" t="s">
        <v>9</v>
      </c>
    </row>
    <row r="2715" spans="1:7">
      <c r="A2715" s="6" t="s">
        <v>4652</v>
      </c>
      <c r="B2715" s="3" t="s">
        <v>4533</v>
      </c>
      <c r="C2715" s="4" t="s">
        <v>156</v>
      </c>
      <c r="D2715" s="7">
        <v>1011.05</v>
      </c>
      <c r="E2715" s="31" t="s">
        <v>9</v>
      </c>
      <c r="F2715" s="32">
        <v>689.2</v>
      </c>
      <c r="G2715" s="33">
        <f>(D2715-F2715)/F2715</f>
        <v>0.466990713871155</v>
      </c>
    </row>
    <row r="2716" spans="1:7">
      <c r="A2716" s="6" t="s">
        <v>4653</v>
      </c>
      <c r="B2716" s="3" t="s">
        <v>4535</v>
      </c>
      <c r="C2716" s="4" t="s">
        <v>156</v>
      </c>
      <c r="D2716" s="7">
        <v>1274.25</v>
      </c>
      <c r="E2716" s="31" t="s">
        <v>9</v>
      </c>
      <c r="F2716" s="32">
        <v>869.25</v>
      </c>
      <c r="G2716" s="33">
        <f>(D2716-F2716)/F2716</f>
        <v>0.465918895599655</v>
      </c>
    </row>
    <row r="2717" spans="1:7">
      <c r="A2717" s="6" t="s">
        <v>4654</v>
      </c>
      <c r="B2717" s="12" t="s">
        <v>4655</v>
      </c>
      <c r="C2717" s="4"/>
      <c r="D2717" s="14"/>
      <c r="E2717" s="31" t="s">
        <v>9</v>
      </c>
    </row>
    <row r="2718" spans="1:7">
      <c r="A2718" s="6" t="s">
        <v>4656</v>
      </c>
      <c r="B2718" s="3" t="s">
        <v>4619</v>
      </c>
      <c r="C2718" s="4"/>
      <c r="D2718" s="14"/>
      <c r="E2718" s="31" t="s">
        <v>9</v>
      </c>
    </row>
    <row r="2719" spans="1:7">
      <c r="A2719" s="6" t="s">
        <v>4657</v>
      </c>
      <c r="B2719" s="3" t="s">
        <v>4533</v>
      </c>
      <c r="C2719" s="4" t="s">
        <v>156</v>
      </c>
      <c r="D2719" s="7">
        <v>804.8</v>
      </c>
      <c r="E2719" s="31" t="s">
        <v>9</v>
      </c>
      <c r="F2719" s="32">
        <v>602.1</v>
      </c>
      <c r="G2719" s="33">
        <f>(D2719-F2719)/F2719</f>
        <v>0.336655040690915</v>
      </c>
    </row>
    <row r="2720" spans="1:7">
      <c r="A2720" s="6" t="s">
        <v>4658</v>
      </c>
      <c r="B2720" s="3" t="s">
        <v>4535</v>
      </c>
      <c r="C2720" s="4" t="s">
        <v>156</v>
      </c>
      <c r="D2720" s="7">
        <v>996.85</v>
      </c>
      <c r="E2720" s="31" t="s">
        <v>9</v>
      </c>
      <c r="F2720" s="32">
        <v>660.2</v>
      </c>
      <c r="G2720" s="33">
        <f>(D2720-F2720)/F2720</f>
        <v>0.509921235989094</v>
      </c>
    </row>
    <row r="2721" spans="1:7">
      <c r="A2721" s="6" t="s">
        <v>4659</v>
      </c>
      <c r="B2721" s="3" t="s">
        <v>4537</v>
      </c>
      <c r="C2721" s="4" t="s">
        <v>156</v>
      </c>
      <c r="D2721" s="7">
        <v>658.25</v>
      </c>
      <c r="E2721" s="31" t="s">
        <v>9</v>
      </c>
      <c r="F2721" s="32">
        <v>549.85</v>
      </c>
      <c r="G2721" s="33">
        <f>(D2721-F2721)/F2721</f>
        <v>0.197144675820678</v>
      </c>
    </row>
    <row r="2722" spans="1:7">
      <c r="A2722" s="6" t="s">
        <v>4660</v>
      </c>
      <c r="B2722" s="12" t="s">
        <v>4661</v>
      </c>
      <c r="C2722" s="4"/>
      <c r="D2722" s="14"/>
      <c r="E2722" s="31" t="s">
        <v>9</v>
      </c>
    </row>
    <row r="2723" spans="1:7">
      <c r="A2723" s="6" t="s">
        <v>4662</v>
      </c>
      <c r="B2723" s="3" t="s">
        <v>4663</v>
      </c>
      <c r="C2723" s="4"/>
      <c r="D2723" s="14"/>
      <c r="E2723" s="31" t="s">
        <v>9</v>
      </c>
    </row>
    <row r="2724" spans="1:7">
      <c r="A2724" s="6" t="s">
        <v>4664</v>
      </c>
      <c r="B2724" s="3" t="s">
        <v>4665</v>
      </c>
      <c r="C2724" s="4" t="s">
        <v>156</v>
      </c>
      <c r="D2724" s="7">
        <v>376.25</v>
      </c>
      <c r="E2724" s="31" t="s">
        <v>9</v>
      </c>
      <c r="F2724" s="32">
        <v>274.9</v>
      </c>
      <c r="G2724" s="33">
        <f>(D2724-F2724)/F2724</f>
        <v>0.368679519825391</v>
      </c>
    </row>
    <row r="2725" spans="1:7">
      <c r="A2725" s="6" t="s">
        <v>4666</v>
      </c>
      <c r="B2725" s="3" t="s">
        <v>4667</v>
      </c>
      <c r="C2725" s="4" t="s">
        <v>156</v>
      </c>
      <c r="D2725" s="7">
        <v>603.9</v>
      </c>
      <c r="E2725" s="31" t="s">
        <v>9</v>
      </c>
      <c r="F2725" s="32">
        <v>443.3</v>
      </c>
      <c r="G2725" s="33">
        <f>(D2725-F2725)/F2725</f>
        <v>0.362282878411911</v>
      </c>
    </row>
    <row r="2726" spans="1:7">
      <c r="A2726" s="6" t="s">
        <v>4668</v>
      </c>
      <c r="B2726" s="3" t="s">
        <v>4669</v>
      </c>
      <c r="C2726" s="4"/>
      <c r="D2726" s="14"/>
      <c r="E2726" s="31" t="s">
        <v>9</v>
      </c>
    </row>
    <row r="2727" spans="1:7">
      <c r="A2727" s="6" t="s">
        <v>4670</v>
      </c>
      <c r="B2727" s="3" t="s">
        <v>4665</v>
      </c>
      <c r="C2727" s="4" t="s">
        <v>156</v>
      </c>
      <c r="D2727" s="7">
        <v>527.35</v>
      </c>
      <c r="E2727" s="31" t="s">
        <v>9</v>
      </c>
      <c r="F2727" s="32">
        <v>375.6</v>
      </c>
      <c r="G2727" s="33">
        <f>(D2727-F2727)/F2727</f>
        <v>0.4040202342918</v>
      </c>
    </row>
    <row r="2728" spans="1:7">
      <c r="A2728" s="6" t="s">
        <v>4671</v>
      </c>
      <c r="B2728" s="3" t="s">
        <v>4667</v>
      </c>
      <c r="C2728" s="4" t="s">
        <v>156</v>
      </c>
      <c r="D2728" s="7">
        <v>648.3</v>
      </c>
      <c r="E2728" s="31" t="s">
        <v>9</v>
      </c>
      <c r="F2728" s="32">
        <v>472</v>
      </c>
      <c r="G2728" s="33">
        <f>(D2728-F2728)/F2728</f>
        <v>0.373516949152542</v>
      </c>
    </row>
    <row r="2729" spans="1:7">
      <c r="A2729" s="6" t="s">
        <v>4672</v>
      </c>
      <c r="B2729" s="3" t="s">
        <v>4673</v>
      </c>
      <c r="C2729" s="4"/>
      <c r="D2729" s="14"/>
      <c r="E2729" s="31" t="s">
        <v>9</v>
      </c>
    </row>
    <row r="2730" spans="1:7">
      <c r="A2730" s="6" t="s">
        <v>4674</v>
      </c>
      <c r="B2730" s="3" t="s">
        <v>4665</v>
      </c>
      <c r="C2730" s="4" t="s">
        <v>156</v>
      </c>
      <c r="D2730" s="7">
        <v>619.9</v>
      </c>
      <c r="E2730" s="31" t="s">
        <v>9</v>
      </c>
      <c r="F2730" s="32">
        <v>451.85</v>
      </c>
      <c r="G2730" s="33">
        <f>(D2730-F2730)/F2730</f>
        <v>0.371915458669912</v>
      </c>
    </row>
    <row r="2731" spans="1:7">
      <c r="A2731" s="6" t="s">
        <v>4675</v>
      </c>
      <c r="B2731" s="3" t="s">
        <v>4667</v>
      </c>
      <c r="C2731" s="4" t="s">
        <v>156</v>
      </c>
      <c r="D2731" s="7">
        <v>769.25</v>
      </c>
      <c r="E2731" s="31" t="s">
        <v>9</v>
      </c>
      <c r="F2731" s="32">
        <v>564.55</v>
      </c>
      <c r="G2731" s="33">
        <f>(D2731-F2731)/F2731</f>
        <v>0.362589673191037</v>
      </c>
    </row>
    <row r="2732" ht="31" customHeight="1" spans="1:7">
      <c r="A2732" s="6" t="s">
        <v>4676</v>
      </c>
      <c r="B2732" s="12" t="s">
        <v>4677</v>
      </c>
      <c r="C2732" s="4"/>
      <c r="D2732" s="14"/>
      <c r="E2732" s="31" t="s">
        <v>9</v>
      </c>
    </row>
    <row r="2733" spans="1:7">
      <c r="A2733" s="6" t="s">
        <v>4678</v>
      </c>
      <c r="B2733" s="3" t="s">
        <v>4679</v>
      </c>
      <c r="C2733" s="4"/>
      <c r="D2733" s="14"/>
      <c r="E2733" s="31" t="s">
        <v>9</v>
      </c>
    </row>
    <row r="2734" spans="1:7">
      <c r="A2734" s="6" t="s">
        <v>4680</v>
      </c>
      <c r="B2734" s="3" t="s">
        <v>4667</v>
      </c>
      <c r="C2734" s="4" t="s">
        <v>156</v>
      </c>
      <c r="D2734" s="7">
        <v>547</v>
      </c>
      <c r="E2734" s="31" t="s">
        <v>9</v>
      </c>
      <c r="F2734" s="32">
        <v>460.75</v>
      </c>
      <c r="G2734" s="33">
        <f>(D2734-F2734)/F2734</f>
        <v>0.187194791101465</v>
      </c>
    </row>
    <row r="2735" spans="1:7">
      <c r="A2735" s="6" t="s">
        <v>4681</v>
      </c>
      <c r="B2735" s="3" t="s">
        <v>4665</v>
      </c>
      <c r="C2735" s="4" t="s">
        <v>156</v>
      </c>
      <c r="D2735" s="7">
        <v>454.5</v>
      </c>
      <c r="E2735" s="31" t="s">
        <v>9</v>
      </c>
      <c r="F2735" s="32">
        <v>379.45</v>
      </c>
      <c r="G2735" s="33">
        <f>(D2735-F2735)/F2735</f>
        <v>0.197786269600738</v>
      </c>
    </row>
    <row r="2736" spans="1:7">
      <c r="A2736" s="6" t="s">
        <v>4682</v>
      </c>
      <c r="B2736" s="12" t="s">
        <v>4683</v>
      </c>
      <c r="C2736" s="4"/>
      <c r="D2736" s="14"/>
      <c r="E2736" s="31" t="s">
        <v>9</v>
      </c>
    </row>
    <row r="2737" spans="1:7">
      <c r="A2737" s="6" t="s">
        <v>4684</v>
      </c>
      <c r="B2737" s="3" t="s">
        <v>4685</v>
      </c>
      <c r="C2737" s="4"/>
      <c r="D2737" s="14"/>
      <c r="E2737" s="31" t="s">
        <v>9</v>
      </c>
    </row>
    <row r="2738" spans="1:7">
      <c r="A2738" s="6" t="s">
        <v>4686</v>
      </c>
      <c r="B2738" s="3" t="s">
        <v>4665</v>
      </c>
      <c r="C2738" s="4" t="s">
        <v>156</v>
      </c>
      <c r="D2738" s="7">
        <v>418.95</v>
      </c>
      <c r="E2738" s="31" t="s">
        <v>9</v>
      </c>
      <c r="F2738" s="32">
        <v>283.05</v>
      </c>
      <c r="G2738" s="33">
        <f>(D2738-F2738)/F2738</f>
        <v>0.480127186009539</v>
      </c>
    </row>
    <row r="2739" spans="1:7">
      <c r="A2739" s="6" t="s">
        <v>4687</v>
      </c>
      <c r="B2739" s="3" t="s">
        <v>4688</v>
      </c>
      <c r="C2739" s="4"/>
      <c r="D2739" s="14"/>
      <c r="E2739" s="31" t="s">
        <v>9</v>
      </c>
      <c r="F2739" s="34"/>
    </row>
    <row r="2740" spans="1:7">
      <c r="A2740" s="6" t="s">
        <v>4689</v>
      </c>
      <c r="B2740" s="3" t="s">
        <v>4665</v>
      </c>
      <c r="C2740" s="4" t="s">
        <v>156</v>
      </c>
      <c r="D2740" s="7">
        <v>585.55</v>
      </c>
      <c r="E2740" s="31" t="s">
        <v>9</v>
      </c>
      <c r="F2740" s="32">
        <v>363.4</v>
      </c>
      <c r="G2740" s="33">
        <f>(D2740-F2740)/F2740</f>
        <v>0.611309851403412</v>
      </c>
    </row>
    <row r="2741" spans="1:7">
      <c r="A2741" s="6" t="s">
        <v>4690</v>
      </c>
      <c r="B2741" s="3" t="s">
        <v>4667</v>
      </c>
      <c r="C2741" s="4" t="s">
        <v>156</v>
      </c>
      <c r="D2741" s="7">
        <v>734.95</v>
      </c>
      <c r="E2741" s="31" t="s">
        <v>9</v>
      </c>
      <c r="F2741" s="32">
        <v>485.4</v>
      </c>
      <c r="G2741" s="33">
        <f>(D2741-F2741)/F2741</f>
        <v>0.514112072517511</v>
      </c>
    </row>
    <row r="2742" ht="31" customHeight="1" spans="1:7">
      <c r="A2742" s="6" t="s">
        <v>4691</v>
      </c>
      <c r="B2742" s="12" t="s">
        <v>4677</v>
      </c>
      <c r="C2742" s="4"/>
      <c r="D2742" s="14"/>
      <c r="E2742" s="31" t="s">
        <v>9</v>
      </c>
    </row>
    <row r="2743" spans="1:7">
      <c r="A2743" s="6" t="s">
        <v>4692</v>
      </c>
      <c r="B2743" s="3" t="s">
        <v>4693</v>
      </c>
      <c r="C2743" s="4"/>
      <c r="D2743" s="14"/>
      <c r="E2743" s="31" t="s">
        <v>9</v>
      </c>
    </row>
    <row r="2744" spans="1:7">
      <c r="A2744" s="6" t="s">
        <v>4694</v>
      </c>
      <c r="B2744" s="3" t="s">
        <v>4695</v>
      </c>
      <c r="C2744" s="4" t="s">
        <v>156</v>
      </c>
      <c r="D2744" s="7">
        <v>632.65</v>
      </c>
      <c r="E2744" s="31" t="s">
        <v>9</v>
      </c>
      <c r="F2744" s="32">
        <v>557.95</v>
      </c>
      <c r="G2744" s="33">
        <f>(D2744-F2744)/F2744</f>
        <v>0.133882964423335</v>
      </c>
    </row>
    <row r="2745" spans="1:7">
      <c r="A2745" s="6" t="s">
        <v>4696</v>
      </c>
      <c r="B2745" s="3" t="s">
        <v>4697</v>
      </c>
      <c r="C2745" s="4" t="s">
        <v>156</v>
      </c>
      <c r="D2745" s="7">
        <v>465.9</v>
      </c>
      <c r="E2745" s="31" t="s">
        <v>9</v>
      </c>
      <c r="F2745" s="32">
        <v>399.2</v>
      </c>
      <c r="G2745" s="33">
        <f>(D2745-F2745)/F2745</f>
        <v>0.167084168336673</v>
      </c>
    </row>
    <row r="2746" ht="31" customHeight="1" spans="1:7">
      <c r="A2746" s="6" t="s">
        <v>4698</v>
      </c>
      <c r="B2746" s="12" t="s">
        <v>4699</v>
      </c>
      <c r="C2746" s="4"/>
      <c r="D2746" s="14"/>
      <c r="E2746" s="31" t="s">
        <v>9</v>
      </c>
    </row>
    <row r="2747" spans="1:7">
      <c r="A2747" s="6" t="s">
        <v>4700</v>
      </c>
      <c r="B2747" s="3" t="s">
        <v>1554</v>
      </c>
      <c r="C2747" s="4"/>
      <c r="D2747" s="14"/>
      <c r="E2747" s="31" t="s">
        <v>9</v>
      </c>
    </row>
    <row r="2748" spans="1:7">
      <c r="A2748" s="6" t="s">
        <v>4701</v>
      </c>
      <c r="B2748" s="3" t="s">
        <v>4533</v>
      </c>
      <c r="C2748" s="4" t="s">
        <v>156</v>
      </c>
      <c r="D2748" s="7">
        <v>783.45</v>
      </c>
      <c r="E2748" s="31" t="s">
        <v>9</v>
      </c>
      <c r="F2748" s="32">
        <v>512.65</v>
      </c>
      <c r="G2748" s="33">
        <f>(D2748-F2748)/F2748</f>
        <v>0.528235638349751</v>
      </c>
    </row>
    <row r="2749" spans="1:7">
      <c r="A2749" s="6" t="s">
        <v>4702</v>
      </c>
      <c r="B2749" s="3" t="s">
        <v>4535</v>
      </c>
      <c r="C2749" s="4" t="s">
        <v>156</v>
      </c>
      <c r="D2749" s="7">
        <v>683.85</v>
      </c>
      <c r="E2749" s="31" t="s">
        <v>9</v>
      </c>
      <c r="F2749" s="32">
        <v>512.65</v>
      </c>
      <c r="G2749" s="33">
        <f>(D2749-F2749)/F2749</f>
        <v>0.333951038720375</v>
      </c>
    </row>
    <row r="2750" spans="1:7">
      <c r="A2750" s="6" t="s">
        <v>4703</v>
      </c>
      <c r="B2750" s="3" t="s">
        <v>1597</v>
      </c>
      <c r="C2750" s="4"/>
      <c r="D2750" s="14"/>
      <c r="E2750" s="31" t="s">
        <v>9</v>
      </c>
    </row>
    <row r="2751" spans="1:7">
      <c r="A2751" s="6" t="s">
        <v>4704</v>
      </c>
      <c r="B2751" s="3" t="s">
        <v>4533</v>
      </c>
      <c r="C2751" s="4" t="s">
        <v>156</v>
      </c>
      <c r="D2751" s="7">
        <v>501.45</v>
      </c>
      <c r="E2751" s="31" t="s">
        <v>9</v>
      </c>
      <c r="F2751" s="32">
        <v>358.5</v>
      </c>
      <c r="G2751" s="33">
        <f>(D2751-F2751)/F2751</f>
        <v>0.398744769874477</v>
      </c>
    </row>
    <row r="2752" spans="1:7">
      <c r="A2752" s="6" t="s">
        <v>4705</v>
      </c>
      <c r="B2752" s="3" t="s">
        <v>4535</v>
      </c>
      <c r="C2752" s="4" t="s">
        <v>156</v>
      </c>
      <c r="D2752" s="7">
        <v>537</v>
      </c>
      <c r="E2752" s="31" t="s">
        <v>9</v>
      </c>
      <c r="F2752" s="32">
        <v>381.75</v>
      </c>
      <c r="G2752" s="33">
        <f>(D2752-F2752)/F2752</f>
        <v>0.406679764243615</v>
      </c>
    </row>
    <row r="2753" spans="1:7">
      <c r="A2753" s="6" t="s">
        <v>4706</v>
      </c>
      <c r="B2753" s="12" t="s">
        <v>4707</v>
      </c>
      <c r="C2753" s="4"/>
      <c r="D2753" s="14"/>
      <c r="E2753" s="31" t="s">
        <v>9</v>
      </c>
    </row>
    <row r="2754" spans="1:7">
      <c r="A2754" s="6" t="s">
        <v>4708</v>
      </c>
      <c r="B2754" s="3" t="s">
        <v>1554</v>
      </c>
      <c r="C2754" s="4"/>
      <c r="D2754" s="14"/>
      <c r="E2754" s="31" t="s">
        <v>9</v>
      </c>
    </row>
    <row r="2755" spans="1:7">
      <c r="A2755" s="6" t="s">
        <v>4709</v>
      </c>
      <c r="B2755" s="3" t="s">
        <v>4533</v>
      </c>
      <c r="C2755" s="4" t="s">
        <v>156</v>
      </c>
      <c r="D2755" s="7">
        <v>442</v>
      </c>
      <c r="E2755" s="31" t="s">
        <v>9</v>
      </c>
      <c r="F2755" s="32">
        <v>247.85</v>
      </c>
      <c r="G2755" s="33">
        <f>(D2755-F2755)/F2755</f>
        <v>0.783336695582005</v>
      </c>
    </row>
    <row r="2756" spans="1:7">
      <c r="A2756" s="6" t="s">
        <v>4710</v>
      </c>
      <c r="B2756" s="3" t="s">
        <v>4535</v>
      </c>
      <c r="C2756" s="4" t="s">
        <v>156</v>
      </c>
      <c r="D2756" s="7">
        <v>506</v>
      </c>
      <c r="E2756" s="31" t="s">
        <v>9</v>
      </c>
      <c r="F2756" s="32">
        <v>333.8</v>
      </c>
      <c r="G2756" s="33">
        <f>(D2756-F2756)/F2756</f>
        <v>0.515877771120431</v>
      </c>
    </row>
    <row r="2757" spans="1:7">
      <c r="A2757" s="6" t="s">
        <v>4711</v>
      </c>
      <c r="B2757" s="3" t="s">
        <v>4537</v>
      </c>
      <c r="C2757" s="4" t="s">
        <v>156</v>
      </c>
      <c r="D2757" s="7">
        <v>427.8</v>
      </c>
      <c r="E2757" s="31" t="s">
        <v>9</v>
      </c>
      <c r="F2757" s="32">
        <v>355.85</v>
      </c>
      <c r="G2757" s="33">
        <f>(D2757-F2757)/F2757</f>
        <v>0.20219193480399</v>
      </c>
    </row>
    <row r="2758" spans="1:7">
      <c r="A2758" s="6" t="s">
        <v>4712</v>
      </c>
      <c r="B2758" s="3" t="s">
        <v>1597</v>
      </c>
      <c r="C2758" s="4"/>
      <c r="D2758" s="14"/>
      <c r="E2758" s="31" t="s">
        <v>9</v>
      </c>
    </row>
    <row r="2759" spans="1:7">
      <c r="A2759" s="6" t="s">
        <v>4713</v>
      </c>
      <c r="B2759" s="3" t="s">
        <v>4533</v>
      </c>
      <c r="C2759" s="4" t="s">
        <v>156</v>
      </c>
      <c r="D2759" s="7">
        <v>340.7</v>
      </c>
      <c r="E2759" s="31" t="s">
        <v>9</v>
      </c>
      <c r="F2759" s="32">
        <v>197.1</v>
      </c>
      <c r="G2759" s="33">
        <f>(D2759-F2759)/F2759</f>
        <v>0.728564180618975</v>
      </c>
    </row>
    <row r="2760" spans="1:7">
      <c r="A2760" s="6" t="s">
        <v>4714</v>
      </c>
      <c r="B2760" s="3" t="s">
        <v>4535</v>
      </c>
      <c r="C2760" s="4" t="s">
        <v>156</v>
      </c>
      <c r="D2760" s="7">
        <v>404.75</v>
      </c>
      <c r="E2760" s="31" t="s">
        <v>9</v>
      </c>
      <c r="F2760" s="32">
        <v>265.6</v>
      </c>
      <c r="G2760" s="33">
        <f>(D2760-F2760)/F2760</f>
        <v>0.52390813253012</v>
      </c>
    </row>
    <row r="2761" spans="1:7">
      <c r="A2761" s="6" t="s">
        <v>4715</v>
      </c>
      <c r="B2761" s="12" t="s">
        <v>4716</v>
      </c>
      <c r="C2761" s="4"/>
      <c r="D2761" s="14"/>
      <c r="E2761" s="31" t="s">
        <v>9</v>
      </c>
    </row>
    <row r="2762" spans="1:7">
      <c r="A2762" s="6" t="s">
        <v>4717</v>
      </c>
      <c r="B2762" s="3" t="s">
        <v>1554</v>
      </c>
      <c r="C2762" s="4"/>
      <c r="D2762" s="14"/>
      <c r="E2762" s="31" t="s">
        <v>9</v>
      </c>
    </row>
    <row r="2763" spans="1:7">
      <c r="A2763" s="6" t="s">
        <v>4718</v>
      </c>
      <c r="B2763" s="3" t="s">
        <v>4533</v>
      </c>
      <c r="C2763" s="4" t="s">
        <v>156</v>
      </c>
      <c r="D2763" s="7">
        <v>463.35</v>
      </c>
      <c r="E2763" s="31" t="s">
        <v>9</v>
      </c>
      <c r="F2763" s="32">
        <v>187.45</v>
      </c>
      <c r="G2763" s="33">
        <f>(D2763-F2763)/F2763</f>
        <v>1.47185916244332</v>
      </c>
    </row>
    <row r="2764" spans="1:7">
      <c r="A2764" s="6" t="s">
        <v>4719</v>
      </c>
      <c r="B2764" s="3" t="s">
        <v>4535</v>
      </c>
      <c r="C2764" s="4" t="s">
        <v>156</v>
      </c>
      <c r="D2764" s="7">
        <v>513.15</v>
      </c>
      <c r="E2764" s="31" t="s">
        <v>9</v>
      </c>
      <c r="F2764" s="32">
        <v>351.2</v>
      </c>
      <c r="G2764" s="33">
        <f>(D2764-F2764)/F2764</f>
        <v>0.461133257403189</v>
      </c>
    </row>
    <row r="2765" spans="1:7">
      <c r="A2765" s="6" t="s">
        <v>4720</v>
      </c>
      <c r="B2765" s="3" t="s">
        <v>1597</v>
      </c>
      <c r="C2765" s="4"/>
      <c r="D2765" s="14"/>
      <c r="E2765" s="31" t="s">
        <v>9</v>
      </c>
    </row>
    <row r="2766" spans="1:7">
      <c r="A2766" s="6" t="s">
        <v>4721</v>
      </c>
      <c r="B2766" s="3" t="s">
        <v>4533</v>
      </c>
      <c r="C2766" s="4" t="s">
        <v>156</v>
      </c>
      <c r="D2766" s="7">
        <v>305.15</v>
      </c>
      <c r="E2766" s="31" t="s">
        <v>9</v>
      </c>
      <c r="F2766" s="32">
        <v>128.55</v>
      </c>
      <c r="G2766" s="33">
        <f>(D2766-F2766)/F2766</f>
        <v>1.37378451964216</v>
      </c>
    </row>
    <row r="2767" spans="1:7">
      <c r="A2767" s="6" t="s">
        <v>4722</v>
      </c>
      <c r="B2767" s="3" t="s">
        <v>4535</v>
      </c>
      <c r="C2767" s="4" t="s">
        <v>156</v>
      </c>
      <c r="D2767" s="7">
        <v>362.05</v>
      </c>
      <c r="E2767" s="31" t="s">
        <v>9</v>
      </c>
      <c r="F2767" s="32">
        <v>219.15</v>
      </c>
      <c r="G2767" s="33">
        <f>(D2767-F2767)/F2767</f>
        <v>0.652064795801962</v>
      </c>
    </row>
    <row r="2768" spans="1:7">
      <c r="A2768" s="6" t="s">
        <v>4723</v>
      </c>
      <c r="B2768" s="12" t="s">
        <v>4724</v>
      </c>
      <c r="C2768" s="4"/>
      <c r="D2768" s="14"/>
      <c r="E2768" s="31" t="s">
        <v>9</v>
      </c>
    </row>
    <row r="2769" spans="1:7">
      <c r="A2769" s="6" t="s">
        <v>4725</v>
      </c>
      <c r="B2769" s="3" t="s">
        <v>4504</v>
      </c>
      <c r="C2769" s="4"/>
      <c r="D2769" s="14"/>
      <c r="E2769" s="31" t="s">
        <v>9</v>
      </c>
    </row>
    <row r="2770" spans="1:7">
      <c r="A2770" s="6" t="s">
        <v>4726</v>
      </c>
      <c r="B2770" s="3" t="s">
        <v>4727</v>
      </c>
      <c r="C2770" s="4" t="s">
        <v>156</v>
      </c>
      <c r="D2770" s="7">
        <v>432.05</v>
      </c>
      <c r="E2770" s="31" t="s">
        <v>9</v>
      </c>
      <c r="F2770" s="32">
        <v>360.5</v>
      </c>
      <c r="G2770" s="33">
        <f>(D2770-F2770)/F2770</f>
        <v>0.198474341192788</v>
      </c>
    </row>
    <row r="2771" spans="1:7">
      <c r="A2771" s="6" t="s">
        <v>4728</v>
      </c>
      <c r="B2771" s="3" t="s">
        <v>4539</v>
      </c>
      <c r="C2771" s="4"/>
      <c r="D2771" s="14"/>
      <c r="E2771" s="31" t="s">
        <v>9</v>
      </c>
    </row>
    <row r="2772" spans="1:7">
      <c r="A2772" s="6" t="s">
        <v>4729</v>
      </c>
      <c r="B2772" s="3" t="s">
        <v>4727</v>
      </c>
      <c r="C2772" s="4" t="s">
        <v>156</v>
      </c>
      <c r="D2772" s="7">
        <v>389.05</v>
      </c>
      <c r="E2772" s="31" t="s">
        <v>9</v>
      </c>
      <c r="F2772" s="32">
        <v>326</v>
      </c>
      <c r="G2772" s="33">
        <f>(D2772-F2772)/F2772</f>
        <v>0.19340490797546</v>
      </c>
    </row>
    <row r="2773" ht="31" customHeight="1" spans="1:7">
      <c r="A2773" s="6" t="s">
        <v>4730</v>
      </c>
      <c r="B2773" s="12" t="s">
        <v>4731</v>
      </c>
      <c r="C2773" s="4"/>
      <c r="D2773" s="14"/>
      <c r="E2773" s="31" t="s">
        <v>9</v>
      </c>
    </row>
    <row r="2774" spans="1:7">
      <c r="A2774" s="6" t="s">
        <v>4732</v>
      </c>
      <c r="B2774" s="3" t="s">
        <v>1554</v>
      </c>
      <c r="C2774" s="4" t="s">
        <v>156</v>
      </c>
      <c r="D2774" s="7">
        <v>622.5</v>
      </c>
      <c r="E2774" s="31" t="s">
        <v>9</v>
      </c>
      <c r="F2774" s="32">
        <v>309.95</v>
      </c>
      <c r="G2774" s="33">
        <f>(D2774-F2774)/F2774</f>
        <v>1.00838844974996</v>
      </c>
    </row>
    <row r="2775" spans="1:7">
      <c r="A2775" s="6" t="s">
        <v>4733</v>
      </c>
      <c r="B2775" s="3" t="s">
        <v>1597</v>
      </c>
      <c r="C2775" s="4" t="s">
        <v>156</v>
      </c>
      <c r="D2775" s="7">
        <v>526.25</v>
      </c>
      <c r="E2775" s="31" t="s">
        <v>9</v>
      </c>
      <c r="F2775" s="32">
        <v>263.6</v>
      </c>
      <c r="G2775" s="33">
        <f>(D2775-F2775)/F2775</f>
        <v>0.996396054628224</v>
      </c>
    </row>
    <row r="2776" spans="1:7">
      <c r="A2776" s="6" t="s">
        <v>4734</v>
      </c>
      <c r="B2776" s="3" t="s">
        <v>1683</v>
      </c>
      <c r="C2776" s="4" t="s">
        <v>156</v>
      </c>
      <c r="D2776" s="7">
        <v>423.15</v>
      </c>
      <c r="E2776" s="31" t="s">
        <v>9</v>
      </c>
      <c r="F2776" s="32">
        <v>213.35</v>
      </c>
      <c r="G2776" s="33">
        <f>(D2776-F2776)/F2776</f>
        <v>0.98336067494727</v>
      </c>
    </row>
    <row r="2777" ht="31" customHeight="1" spans="1:7">
      <c r="A2777" s="6" t="s">
        <v>4735</v>
      </c>
      <c r="B2777" s="12" t="s">
        <v>4736</v>
      </c>
      <c r="C2777" s="4"/>
      <c r="D2777" s="14"/>
      <c r="E2777" s="31" t="s">
        <v>9</v>
      </c>
    </row>
    <row r="2778" spans="1:7">
      <c r="A2778" s="6" t="s">
        <v>4737</v>
      </c>
      <c r="B2778" s="3" t="s">
        <v>1554</v>
      </c>
      <c r="C2778" s="4" t="s">
        <v>156</v>
      </c>
      <c r="D2778" s="7">
        <v>139.7</v>
      </c>
      <c r="E2778" s="31" t="s">
        <v>9</v>
      </c>
      <c r="F2778" s="32">
        <v>62</v>
      </c>
      <c r="G2778" s="33">
        <f>(D2778-F2778)/F2778</f>
        <v>1.25322580645161</v>
      </c>
    </row>
    <row r="2779" spans="1:7">
      <c r="A2779" s="6" t="s">
        <v>4738</v>
      </c>
      <c r="B2779" s="3" t="s">
        <v>1597</v>
      </c>
      <c r="C2779" s="4" t="s">
        <v>156</v>
      </c>
      <c r="D2779" s="7">
        <v>90.3</v>
      </c>
      <c r="E2779" s="31" t="s">
        <v>9</v>
      </c>
      <c r="F2779" s="32">
        <v>56.55</v>
      </c>
      <c r="G2779" s="33">
        <f>(D2779-F2779)/F2779</f>
        <v>0.596816976127321</v>
      </c>
    </row>
    <row r="2780" spans="1:7">
      <c r="A2780" s="6" t="s">
        <v>4739</v>
      </c>
      <c r="B2780" s="3" t="s">
        <v>1683</v>
      </c>
      <c r="C2780" s="4" t="s">
        <v>156</v>
      </c>
      <c r="D2780" s="7">
        <v>81.85</v>
      </c>
      <c r="E2780" s="31" t="s">
        <v>9</v>
      </c>
      <c r="F2780" s="32">
        <v>51.6</v>
      </c>
      <c r="G2780" s="33">
        <f>(D2780-F2780)/F2780</f>
        <v>0.586240310077519</v>
      </c>
    </row>
    <row r="2781" ht="46.5" customHeight="1" spans="1:7">
      <c r="A2781" s="6" t="s">
        <v>4740</v>
      </c>
      <c r="B2781" s="12" t="s">
        <v>4741</v>
      </c>
      <c r="C2781" s="4"/>
      <c r="D2781" s="14"/>
      <c r="E2781" s="31" t="s">
        <v>9</v>
      </c>
    </row>
    <row r="2782" spans="1:7">
      <c r="A2782" s="6" t="s">
        <v>4742</v>
      </c>
      <c r="B2782" s="3" t="s">
        <v>4743</v>
      </c>
      <c r="C2782" s="4"/>
      <c r="D2782" s="14"/>
      <c r="E2782" s="31" t="s">
        <v>9</v>
      </c>
    </row>
    <row r="2783" spans="1:7">
      <c r="A2783" s="6" t="s">
        <v>4744</v>
      </c>
      <c r="B2783" s="3" t="s">
        <v>4745</v>
      </c>
      <c r="C2783" s="4" t="s">
        <v>156</v>
      </c>
      <c r="D2783" s="7">
        <v>1996.5</v>
      </c>
      <c r="E2783" s="31" t="s">
        <v>9</v>
      </c>
      <c r="F2783" s="32">
        <v>1034.45</v>
      </c>
      <c r="G2783" s="33">
        <f>(D2783-F2783)/F2783</f>
        <v>0.930011117018706</v>
      </c>
    </row>
    <row r="2784" spans="1:7">
      <c r="A2784" s="6" t="s">
        <v>4746</v>
      </c>
      <c r="B2784" s="3" t="s">
        <v>4747</v>
      </c>
      <c r="C2784" s="4" t="s">
        <v>156</v>
      </c>
      <c r="D2784" s="7">
        <v>1683.55</v>
      </c>
      <c r="E2784" s="31" t="s">
        <v>9</v>
      </c>
      <c r="F2784" s="32">
        <v>848.6</v>
      </c>
      <c r="G2784" s="33">
        <f>(D2784-F2784)/F2784</f>
        <v>0.983914683007306</v>
      </c>
    </row>
    <row r="2785" spans="1:7">
      <c r="A2785" s="6" t="s">
        <v>4748</v>
      </c>
      <c r="B2785" s="3" t="s">
        <v>4537</v>
      </c>
      <c r="C2785" s="4" t="s">
        <v>156</v>
      </c>
      <c r="D2785" s="7">
        <v>854.55</v>
      </c>
      <c r="E2785" s="31" t="s">
        <v>9</v>
      </c>
      <c r="F2785" s="32">
        <v>677.6</v>
      </c>
      <c r="G2785" s="33">
        <f>(D2785-F2785)/F2785</f>
        <v>0.261142266824085</v>
      </c>
    </row>
    <row r="2786" spans="1:7">
      <c r="A2786" s="6" t="s">
        <v>4749</v>
      </c>
      <c r="B2786" s="3" t="s">
        <v>4750</v>
      </c>
      <c r="C2786" s="4"/>
      <c r="D2786" s="14"/>
      <c r="E2786" s="31" t="s">
        <v>9</v>
      </c>
    </row>
    <row r="2787" spans="1:7">
      <c r="A2787" s="6" t="s">
        <v>4751</v>
      </c>
      <c r="B2787" s="3" t="s">
        <v>4535</v>
      </c>
      <c r="C2787" s="4" t="s">
        <v>156</v>
      </c>
      <c r="D2787" s="7">
        <v>1975.15</v>
      </c>
      <c r="E2787" s="31" t="s">
        <v>9</v>
      </c>
      <c r="F2787" s="32">
        <v>1072.8</v>
      </c>
      <c r="G2787" s="33">
        <f>(D2787-F2787)/F2787</f>
        <v>0.841116703952275</v>
      </c>
    </row>
    <row r="2788" spans="1:7">
      <c r="A2788" s="6" t="s">
        <v>4752</v>
      </c>
      <c r="B2788" s="3" t="s">
        <v>4753</v>
      </c>
      <c r="C2788" s="4" t="s">
        <v>156</v>
      </c>
      <c r="D2788" s="7">
        <v>1558.35</v>
      </c>
      <c r="E2788" s="31" t="s">
        <v>9</v>
      </c>
      <c r="F2788" s="32">
        <v>782.4</v>
      </c>
      <c r="G2788" s="33">
        <f>(D2788-F2788)/F2788</f>
        <v>0.991756134969325</v>
      </c>
    </row>
    <row r="2789" spans="1:7">
      <c r="A2789" s="6" t="s">
        <v>4754</v>
      </c>
      <c r="B2789" s="3" t="s">
        <v>4537</v>
      </c>
      <c r="C2789" s="4" t="s">
        <v>156</v>
      </c>
      <c r="D2789" s="7">
        <v>591.4</v>
      </c>
      <c r="E2789" s="31" t="s">
        <v>9</v>
      </c>
      <c r="F2789" s="32">
        <v>496.4</v>
      </c>
      <c r="G2789" s="33">
        <f>(D2789-F2789)/F2789</f>
        <v>0.191377921031426</v>
      </c>
    </row>
    <row r="2790" ht="62" customHeight="1" spans="1:7">
      <c r="A2790" s="6" t="s">
        <v>4755</v>
      </c>
      <c r="B2790" s="12" t="s">
        <v>4756</v>
      </c>
      <c r="C2790" s="4"/>
      <c r="D2790" s="14"/>
      <c r="E2790" s="31" t="s">
        <v>9</v>
      </c>
    </row>
    <row r="2791" spans="1:7">
      <c r="A2791" s="6" t="s">
        <v>4757</v>
      </c>
      <c r="B2791" s="3" t="s">
        <v>4504</v>
      </c>
      <c r="C2791" s="4" t="s">
        <v>49</v>
      </c>
      <c r="D2791" s="7">
        <v>713.2</v>
      </c>
      <c r="E2791" s="31" t="s">
        <v>9</v>
      </c>
      <c r="F2791" s="32">
        <v>355.7</v>
      </c>
      <c r="G2791" s="33">
        <f t="shared" ref="G2791:G2796" si="44">(D2791-F2791)/F2791</f>
        <v>1.00506044419455</v>
      </c>
    </row>
    <row r="2792" spans="1:7">
      <c r="A2792" s="6" t="s">
        <v>4758</v>
      </c>
      <c r="B2792" s="3" t="s">
        <v>4539</v>
      </c>
      <c r="C2792" s="4" t="s">
        <v>49</v>
      </c>
      <c r="D2792" s="7">
        <v>513.25</v>
      </c>
      <c r="E2792" s="31" t="s">
        <v>9</v>
      </c>
      <c r="F2792" s="32">
        <v>254.65</v>
      </c>
      <c r="G2792" s="33">
        <f t="shared" si="44"/>
        <v>1.01551148635382</v>
      </c>
    </row>
    <row r="2793" spans="1:7">
      <c r="A2793" s="6" t="s">
        <v>4759</v>
      </c>
      <c r="B2793" s="3" t="s">
        <v>4760</v>
      </c>
      <c r="C2793" s="4" t="s">
        <v>49</v>
      </c>
      <c r="D2793" s="7">
        <v>336</v>
      </c>
      <c r="E2793" s="31" t="s">
        <v>9</v>
      </c>
      <c r="F2793" s="32">
        <v>163.3</v>
      </c>
      <c r="G2793" s="33">
        <f t="shared" si="44"/>
        <v>1.05756276791182</v>
      </c>
    </row>
    <row r="2794" ht="46.5" customHeight="1" spans="1:7">
      <c r="A2794" s="6" t="s">
        <v>4761</v>
      </c>
      <c r="B2794" s="12" t="s">
        <v>4762</v>
      </c>
      <c r="C2794" s="4" t="s">
        <v>156</v>
      </c>
      <c r="D2794" s="7">
        <v>1020.6</v>
      </c>
      <c r="E2794" s="31" t="s">
        <v>9</v>
      </c>
      <c r="F2794" s="32">
        <v>471.75</v>
      </c>
      <c r="G2794" s="33">
        <f t="shared" si="44"/>
        <v>1.16343402225755</v>
      </c>
    </row>
    <row r="2795" ht="62" customHeight="1" spans="1:7">
      <c r="A2795" s="6" t="s">
        <v>4763</v>
      </c>
      <c r="B2795" s="12" t="s">
        <v>4764</v>
      </c>
      <c r="C2795" s="4" t="s">
        <v>156</v>
      </c>
      <c r="D2795" s="7">
        <v>673.7</v>
      </c>
      <c r="E2795" s="31" t="s">
        <v>9</v>
      </c>
      <c r="F2795" s="32">
        <v>328.4</v>
      </c>
      <c r="G2795" s="33">
        <f t="shared" si="44"/>
        <v>1.05146163215591</v>
      </c>
    </row>
    <row r="2796" ht="31" customHeight="1" spans="1:7">
      <c r="A2796" s="6" t="s">
        <v>4765</v>
      </c>
      <c r="B2796" s="12" t="s">
        <v>4766</v>
      </c>
      <c r="C2796" s="4" t="s">
        <v>156</v>
      </c>
      <c r="D2796" s="7">
        <v>292.55</v>
      </c>
      <c r="E2796" s="31" t="s">
        <v>9</v>
      </c>
      <c r="F2796" s="32">
        <v>140.3</v>
      </c>
      <c r="G2796" s="33">
        <f t="shared" si="44"/>
        <v>1.08517462580185</v>
      </c>
    </row>
    <row r="2797" ht="46.5" customHeight="1" spans="1:7">
      <c r="A2797" s="6" t="s">
        <v>4767</v>
      </c>
      <c r="B2797" s="12" t="s">
        <v>4768</v>
      </c>
      <c r="C2797" s="4"/>
      <c r="D2797" s="14"/>
      <c r="E2797" s="31" t="s">
        <v>9</v>
      </c>
      <c r="F2797" s="34"/>
    </row>
    <row r="2798" spans="1:7">
      <c r="A2798" s="6" t="s">
        <v>4769</v>
      </c>
      <c r="B2798" s="3" t="s">
        <v>4770</v>
      </c>
      <c r="C2798" s="4" t="s">
        <v>49</v>
      </c>
      <c r="D2798" s="7">
        <v>82.8</v>
      </c>
      <c r="E2798" s="31" t="s">
        <v>9</v>
      </c>
      <c r="F2798" s="32">
        <v>40.65</v>
      </c>
      <c r="G2798" s="33">
        <f>(D2798-F2798)/F2798</f>
        <v>1.03690036900369</v>
      </c>
    </row>
    <row r="2799" spans="1:7">
      <c r="A2799" s="6" t="s">
        <v>4771</v>
      </c>
      <c r="B2799" s="3" t="s">
        <v>4772</v>
      </c>
      <c r="C2799" s="4" t="s">
        <v>49</v>
      </c>
      <c r="D2799" s="7">
        <v>62.95</v>
      </c>
      <c r="E2799" s="31" t="s">
        <v>9</v>
      </c>
      <c r="F2799" s="32">
        <v>31</v>
      </c>
      <c r="G2799" s="33">
        <f>(D2799-F2799)/F2799</f>
        <v>1.03064516129032</v>
      </c>
    </row>
    <row r="2800" ht="46.5" customHeight="1" spans="1:7">
      <c r="A2800" s="6" t="s">
        <v>4773</v>
      </c>
      <c r="B2800" s="12" t="s">
        <v>4774</v>
      </c>
      <c r="C2800" s="4"/>
      <c r="D2800" s="14"/>
      <c r="E2800" s="31" t="s">
        <v>9</v>
      </c>
    </row>
    <row r="2801" spans="1:7">
      <c r="A2801" s="6" t="s">
        <v>4775</v>
      </c>
      <c r="B2801" s="3" t="s">
        <v>4770</v>
      </c>
      <c r="C2801" s="4" t="s">
        <v>49</v>
      </c>
      <c r="D2801" s="7">
        <v>39.5</v>
      </c>
      <c r="E2801" s="31" t="s">
        <v>9</v>
      </c>
      <c r="F2801" s="32">
        <v>20.2</v>
      </c>
      <c r="G2801" s="33">
        <f>(D2801-F2801)/F2801</f>
        <v>0.955445544554456</v>
      </c>
    </row>
    <row r="2802" spans="1:7">
      <c r="A2802" s="6" t="s">
        <v>4776</v>
      </c>
      <c r="B2802" s="3" t="s">
        <v>4772</v>
      </c>
      <c r="C2802" s="4" t="s">
        <v>49</v>
      </c>
      <c r="D2802" s="7">
        <v>29.55</v>
      </c>
      <c r="E2802" s="31" t="s">
        <v>9</v>
      </c>
      <c r="F2802" s="32">
        <v>15.1</v>
      </c>
      <c r="G2802" s="33">
        <f>(D2802-F2802)/F2802</f>
        <v>0.956953642384106</v>
      </c>
    </row>
    <row r="2803" spans="1:7">
      <c r="A2803" s="6" t="s">
        <v>4777</v>
      </c>
      <c r="B2803" s="12" t="s">
        <v>4778</v>
      </c>
      <c r="C2803" s="4" t="s">
        <v>156</v>
      </c>
      <c r="D2803" s="7">
        <v>804.3</v>
      </c>
      <c r="E2803" s="31" t="s">
        <v>9</v>
      </c>
      <c r="F2803" s="32">
        <v>412.55</v>
      </c>
      <c r="G2803" s="33">
        <f>(D2803-F2803)/F2803</f>
        <v>0.94958186886438</v>
      </c>
    </row>
    <row r="2804" ht="93" customHeight="1" spans="1:7">
      <c r="A2804" s="6" t="s">
        <v>4779</v>
      </c>
      <c r="B2804" s="12" t="s">
        <v>4780</v>
      </c>
      <c r="C2804" s="4"/>
      <c r="D2804" s="14"/>
      <c r="E2804" s="31" t="s">
        <v>9</v>
      </c>
    </row>
    <row r="2805" ht="31" customHeight="1" spans="1:7">
      <c r="A2805" s="6" t="s">
        <v>4781</v>
      </c>
      <c r="B2805" s="3" t="s">
        <v>4782</v>
      </c>
      <c r="C2805" s="4" t="s">
        <v>156</v>
      </c>
      <c r="D2805" s="7">
        <v>11847.65</v>
      </c>
      <c r="E2805" s="31" t="s">
        <v>9</v>
      </c>
      <c r="F2805" s="32">
        <v>6290.85</v>
      </c>
      <c r="G2805" s="33">
        <f>(D2805-F2805)/F2805</f>
        <v>0.883314655412226</v>
      </c>
    </row>
    <row r="2806" ht="31" customHeight="1" spans="1:7">
      <c r="A2806" s="6" t="s">
        <v>4783</v>
      </c>
      <c r="B2806" s="12" t="s">
        <v>4784</v>
      </c>
      <c r="C2806" s="4"/>
      <c r="D2806" s="14"/>
      <c r="E2806" s="31" t="s">
        <v>9</v>
      </c>
    </row>
    <row r="2807" ht="31" customHeight="1" spans="1:7">
      <c r="A2807" s="6" t="s">
        <v>4785</v>
      </c>
      <c r="B2807" s="3" t="s">
        <v>4786</v>
      </c>
      <c r="C2807" s="4" t="s">
        <v>156</v>
      </c>
      <c r="D2807" s="7">
        <v>115.3</v>
      </c>
      <c r="E2807" s="31" t="s">
        <v>9</v>
      </c>
      <c r="F2807" s="32">
        <v>82.55</v>
      </c>
      <c r="G2807" s="33">
        <f>(D2807-F2807)/F2807</f>
        <v>0.396729254996972</v>
      </c>
    </row>
    <row r="2808" ht="31" customHeight="1" spans="1:7">
      <c r="A2808" s="6" t="s">
        <v>4787</v>
      </c>
      <c r="B2808" s="3" t="s">
        <v>4788</v>
      </c>
      <c r="C2808" s="4" t="s">
        <v>156</v>
      </c>
      <c r="D2808" s="7">
        <v>122.4</v>
      </c>
      <c r="E2808" s="31" t="s">
        <v>9</v>
      </c>
      <c r="F2808" s="32">
        <v>98.8</v>
      </c>
      <c r="G2808" s="33">
        <f>(D2808-F2808)/F2808</f>
        <v>0.238866396761134</v>
      </c>
    </row>
    <row r="2809" spans="1:7">
      <c r="A2809" s="6" t="s">
        <v>4789</v>
      </c>
      <c r="B2809" s="12" t="s">
        <v>4790</v>
      </c>
      <c r="C2809" s="4"/>
      <c r="D2809" s="14"/>
      <c r="E2809" s="31" t="s">
        <v>9</v>
      </c>
    </row>
    <row r="2810" ht="46.5" customHeight="1" spans="1:7">
      <c r="A2810" s="6" t="s">
        <v>4791</v>
      </c>
      <c r="B2810" s="3" t="s">
        <v>4792</v>
      </c>
      <c r="C2810" s="4" t="s">
        <v>156</v>
      </c>
      <c r="D2810" s="7">
        <v>367.1</v>
      </c>
      <c r="E2810" s="31" t="s">
        <v>9</v>
      </c>
      <c r="F2810" s="32">
        <v>293.95</v>
      </c>
      <c r="G2810" s="33">
        <f>(D2810-F2810)/F2810</f>
        <v>0.248851845551965</v>
      </c>
    </row>
    <row r="2811" ht="46.5" customHeight="1" spans="1:7">
      <c r="A2811" s="6" t="s">
        <v>4793</v>
      </c>
      <c r="B2811" s="3" t="s">
        <v>4794</v>
      </c>
      <c r="C2811" s="4" t="s">
        <v>156</v>
      </c>
      <c r="D2811" s="7">
        <v>375.65</v>
      </c>
      <c r="E2811" s="31" t="s">
        <v>9</v>
      </c>
      <c r="F2811" s="32">
        <v>305.55</v>
      </c>
      <c r="G2811" s="33">
        <f>(D2811-F2811)/F2811</f>
        <v>0.229422353133693</v>
      </c>
    </row>
    <row r="2812" ht="46.5" customHeight="1" spans="1:7">
      <c r="A2812" s="6" t="s">
        <v>4795</v>
      </c>
      <c r="B2812" s="12" t="s">
        <v>4796</v>
      </c>
      <c r="C2812" s="4" t="s">
        <v>156</v>
      </c>
      <c r="D2812" s="7">
        <v>168.35</v>
      </c>
      <c r="E2812" s="31" t="s">
        <v>9</v>
      </c>
      <c r="F2812" s="32">
        <v>137.85</v>
      </c>
      <c r="G2812" s="33">
        <f>(D2812-F2812)/F2812</f>
        <v>0.221254987305042</v>
      </c>
    </row>
    <row r="2813" ht="46.5" customHeight="1" spans="1:7">
      <c r="A2813" s="6" t="s">
        <v>4797</v>
      </c>
      <c r="B2813" s="12" t="s">
        <v>4798</v>
      </c>
      <c r="C2813" s="4" t="s">
        <v>156</v>
      </c>
      <c r="D2813" s="7">
        <v>231.95</v>
      </c>
      <c r="E2813" s="31" t="s">
        <v>9</v>
      </c>
      <c r="F2813" s="32">
        <v>197.55</v>
      </c>
      <c r="G2813" s="33">
        <f>(D2813-F2813)/F2813</f>
        <v>0.174133130852948</v>
      </c>
    </row>
    <row r="2814" ht="31" customHeight="1" spans="1:7">
      <c r="A2814" s="6" t="s">
        <v>4799</v>
      </c>
      <c r="B2814" s="12" t="s">
        <v>4800</v>
      </c>
      <c r="C2814" s="4"/>
      <c r="D2814" s="14"/>
      <c r="E2814" s="31" t="s">
        <v>9</v>
      </c>
    </row>
    <row r="2815" ht="31" customHeight="1" spans="1:7">
      <c r="A2815" s="6" t="s">
        <v>4801</v>
      </c>
      <c r="B2815" s="3" t="s">
        <v>4802</v>
      </c>
      <c r="C2815" s="4" t="s">
        <v>156</v>
      </c>
      <c r="D2815" s="7">
        <v>673.4</v>
      </c>
      <c r="E2815" s="31" t="s">
        <v>9</v>
      </c>
      <c r="F2815" s="32">
        <v>390.2</v>
      </c>
      <c r="G2815" s="33">
        <f>(D2815-F2815)/F2815</f>
        <v>0.725781650435674</v>
      </c>
    </row>
    <row r="2816" ht="31" customHeight="1" spans="1:7">
      <c r="A2816" s="6" t="s">
        <v>4803</v>
      </c>
      <c r="B2816" s="3" t="s">
        <v>4804</v>
      </c>
      <c r="C2816" s="4" t="s">
        <v>156</v>
      </c>
      <c r="D2816" s="7">
        <v>708.95</v>
      </c>
      <c r="E2816" s="31" t="s">
        <v>9</v>
      </c>
      <c r="F2816" s="32">
        <v>422.7</v>
      </c>
      <c r="G2816" s="33">
        <f>(D2816-F2816)/F2816</f>
        <v>0.677194227584575</v>
      </c>
    </row>
    <row r="2817" ht="31" customHeight="1" spans="1:7">
      <c r="A2817" s="6" t="s">
        <v>4805</v>
      </c>
      <c r="B2817" s="12" t="s">
        <v>4806</v>
      </c>
      <c r="C2817" s="4" t="s">
        <v>156</v>
      </c>
      <c r="D2817" s="7">
        <v>713.2</v>
      </c>
      <c r="E2817" s="31" t="s">
        <v>9</v>
      </c>
      <c r="F2817" s="32">
        <v>470.35</v>
      </c>
      <c r="G2817" s="33">
        <f>(D2817-F2817)/F2817</f>
        <v>0.516317635803125</v>
      </c>
    </row>
    <row r="2818" ht="31" customHeight="1" spans="1:7">
      <c r="A2818" s="6" t="s">
        <v>4807</v>
      </c>
      <c r="B2818" s="12" t="s">
        <v>4808</v>
      </c>
      <c r="C2818" s="4" t="s">
        <v>156</v>
      </c>
      <c r="D2818" s="7">
        <v>107.2</v>
      </c>
      <c r="E2818" s="31" t="s">
        <v>9</v>
      </c>
      <c r="F2818" s="32">
        <v>106.5</v>
      </c>
      <c r="G2818" s="33">
        <f>(D2818-F2818)/F2818</f>
        <v>0.00657276995305167</v>
      </c>
    </row>
    <row r="2819" spans="1:7">
      <c r="A2819" s="6" t="s">
        <v>4809</v>
      </c>
      <c r="B2819" s="12" t="s">
        <v>4810</v>
      </c>
      <c r="C2819" s="4"/>
      <c r="D2819" s="14"/>
      <c r="E2819" s="31" t="s">
        <v>9</v>
      </c>
    </row>
    <row r="2820" ht="31" customHeight="1" spans="1:7">
      <c r="A2820" s="6" t="s">
        <v>4811</v>
      </c>
      <c r="B2820" s="3" t="s">
        <v>4812</v>
      </c>
      <c r="C2820" s="4" t="s">
        <v>156</v>
      </c>
      <c r="D2820" s="7">
        <v>175.4</v>
      </c>
      <c r="E2820" s="31" t="s">
        <v>9</v>
      </c>
      <c r="F2820" s="32">
        <v>143.95</v>
      </c>
      <c r="G2820" s="33">
        <f>(D2820-F2820)/F2820</f>
        <v>0.218478638416117</v>
      </c>
    </row>
    <row r="2821" ht="124" customHeight="1" spans="1:7">
      <c r="A2821" s="6" t="s">
        <v>4813</v>
      </c>
      <c r="B2821" s="12" t="s">
        <v>4814</v>
      </c>
      <c r="C2821" s="4"/>
      <c r="D2821" s="14"/>
      <c r="E2821" s="31" t="s">
        <v>9</v>
      </c>
    </row>
    <row r="2822" spans="1:7">
      <c r="A2822" s="6" t="s">
        <v>4815</v>
      </c>
      <c r="B2822" s="3" t="s">
        <v>4816</v>
      </c>
      <c r="C2822" s="4" t="s">
        <v>156</v>
      </c>
      <c r="D2822" s="7">
        <v>304.05</v>
      </c>
      <c r="E2822" s="31" t="s">
        <v>9</v>
      </c>
      <c r="F2822" s="32">
        <v>179.4</v>
      </c>
      <c r="G2822" s="33">
        <f t="shared" ref="G2822:G2828" si="45">(D2822-F2822)/F2822</f>
        <v>0.694816053511706</v>
      </c>
    </row>
    <row r="2823" spans="1:7">
      <c r="A2823" s="6" t="s">
        <v>4817</v>
      </c>
      <c r="B2823" s="3" t="s">
        <v>4818</v>
      </c>
      <c r="C2823" s="4" t="s">
        <v>156</v>
      </c>
      <c r="D2823" s="7">
        <v>378.1</v>
      </c>
      <c r="E2823" s="31" t="s">
        <v>9</v>
      </c>
      <c r="F2823" s="32">
        <v>216.3</v>
      </c>
      <c r="G2823" s="33">
        <f t="shared" si="45"/>
        <v>0.748035136384651</v>
      </c>
    </row>
    <row r="2824" spans="1:7">
      <c r="A2824" s="6" t="s">
        <v>4819</v>
      </c>
      <c r="B2824" s="3" t="s">
        <v>4820</v>
      </c>
      <c r="C2824" s="4" t="s">
        <v>156</v>
      </c>
      <c r="D2824" s="7">
        <v>451.9</v>
      </c>
      <c r="E2824" s="31" t="s">
        <v>9</v>
      </c>
      <c r="F2824" s="32">
        <v>253.15</v>
      </c>
      <c r="G2824" s="33">
        <f t="shared" si="45"/>
        <v>0.785107643689512</v>
      </c>
    </row>
    <row r="2825" ht="62" customHeight="1" spans="1:7">
      <c r="A2825" s="6" t="s">
        <v>4821</v>
      </c>
      <c r="B2825" s="12" t="s">
        <v>4822</v>
      </c>
      <c r="C2825" s="4" t="s">
        <v>156</v>
      </c>
      <c r="D2825" s="7">
        <v>14999.15</v>
      </c>
      <c r="E2825" s="31" t="s">
        <v>9</v>
      </c>
      <c r="F2825" s="32">
        <v>9685.7</v>
      </c>
      <c r="G2825" s="33">
        <f t="shared" si="45"/>
        <v>0.548587092311345</v>
      </c>
    </row>
    <row r="2826" ht="46.5" customHeight="1" spans="1:7">
      <c r="A2826" s="6" t="s">
        <v>4823</v>
      </c>
      <c r="B2826" s="12" t="s">
        <v>4824</v>
      </c>
      <c r="C2826" s="4" t="s">
        <v>156</v>
      </c>
      <c r="D2826" s="7">
        <v>18088.45</v>
      </c>
      <c r="E2826" s="31" t="s">
        <v>9</v>
      </c>
      <c r="F2826" s="32">
        <v>15040.75</v>
      </c>
      <c r="G2826" s="33">
        <f t="shared" si="45"/>
        <v>0.202629523128833</v>
      </c>
    </row>
    <row r="2827" ht="62" customHeight="1" spans="1:7">
      <c r="A2827" s="6" t="s">
        <v>4825</v>
      </c>
      <c r="B2827" s="12" t="s">
        <v>4826</v>
      </c>
      <c r="C2827" s="4" t="s">
        <v>156</v>
      </c>
      <c r="D2827" s="7">
        <v>7979.2</v>
      </c>
      <c r="E2827" s="31" t="s">
        <v>9</v>
      </c>
      <c r="F2827" s="32">
        <v>5162.2</v>
      </c>
      <c r="G2827" s="33">
        <f t="shared" si="45"/>
        <v>0.545697570803146</v>
      </c>
    </row>
    <row r="2828" ht="93" customHeight="1" spans="1:7">
      <c r="A2828" s="6" t="s">
        <v>4827</v>
      </c>
      <c r="B2828" s="12" t="s">
        <v>4828</v>
      </c>
      <c r="C2828" s="4" t="s">
        <v>156</v>
      </c>
      <c r="D2828" s="7">
        <v>18212.9</v>
      </c>
      <c r="E2828" s="31" t="s">
        <v>9</v>
      </c>
      <c r="F2828" s="32">
        <v>12612.65</v>
      </c>
      <c r="G2828" s="33">
        <f t="shared" si="45"/>
        <v>0.44401850523086</v>
      </c>
    </row>
    <row r="2829" spans="1:7">
      <c r="B2829" s="53"/>
      <c r="D2829" s="16"/>
    </row>
    <row r="2830" spans="1:7">
      <c r="B2830" s="53"/>
      <c r="D2830" s="16"/>
    </row>
    <row r="2831" spans="1:7">
      <c r="B2831" s="53"/>
      <c r="D2831" s="16"/>
    </row>
    <row r="2832" spans="1:7">
      <c r="B2832" s="53"/>
      <c r="D2832" s="16"/>
    </row>
    <row r="2833" spans="1:7">
      <c r="A2833" s="41" t="s">
        <v>4829</v>
      </c>
      <c r="C2833" s="31"/>
      <c r="D2833" s="31"/>
      <c r="E2833" s="31" t="s">
        <v>9</v>
      </c>
    </row>
    <row r="2834" spans="1:7">
      <c r="A2834" s="6" t="s">
        <v>204</v>
      </c>
      <c r="B2834" s="12" t="s">
        <v>2</v>
      </c>
      <c r="C2834" s="4" t="s">
        <v>205</v>
      </c>
      <c r="D2834" s="14" t="s">
        <v>4</v>
      </c>
      <c r="E2834" s="31" t="s">
        <v>9</v>
      </c>
    </row>
    <row r="2835" spans="1:7">
      <c r="A2835" s="40"/>
      <c r="B2835" s="12" t="s">
        <v>4830</v>
      </c>
      <c r="C2835" s="4"/>
      <c r="D2835" s="14"/>
      <c r="E2835" s="31" t="s">
        <v>9</v>
      </c>
    </row>
    <row r="2836" ht="108.5" customHeight="1" spans="1:7">
      <c r="A2836" s="6" t="s">
        <v>4831</v>
      </c>
      <c r="B2836" s="12" t="s">
        <v>4832</v>
      </c>
      <c r="C2836" s="4"/>
      <c r="D2836" s="14"/>
      <c r="E2836" s="31" t="s">
        <v>9</v>
      </c>
    </row>
    <row r="2837" spans="1:7">
      <c r="A2837" s="40"/>
      <c r="B2837" s="12" t="s">
        <v>4833</v>
      </c>
      <c r="C2837" s="4"/>
      <c r="D2837" s="14"/>
      <c r="E2837" s="31" t="s">
        <v>9</v>
      </c>
    </row>
    <row r="2838" spans="1:7">
      <c r="A2838" s="6" t="s">
        <v>4834</v>
      </c>
      <c r="B2838" s="3" t="s">
        <v>4835</v>
      </c>
      <c r="C2838" s="4" t="s">
        <v>49</v>
      </c>
      <c r="D2838" s="7">
        <v>286.75</v>
      </c>
      <c r="E2838" s="31" t="s">
        <v>9</v>
      </c>
      <c r="F2838" s="32">
        <v>175.4</v>
      </c>
      <c r="G2838" s="33">
        <f t="shared" ref="G2838:G2843" si="46">(D2838-F2838)/F2838</f>
        <v>0.634834663625998</v>
      </c>
    </row>
    <row r="2839" spans="1:7">
      <c r="A2839" s="6" t="s">
        <v>4836</v>
      </c>
      <c r="B2839" s="3" t="s">
        <v>4837</v>
      </c>
      <c r="C2839" s="4" t="s">
        <v>49</v>
      </c>
      <c r="D2839" s="7">
        <v>331.2</v>
      </c>
      <c r="E2839" s="31" t="s">
        <v>9</v>
      </c>
      <c r="F2839" s="32">
        <v>207.85</v>
      </c>
      <c r="G2839" s="33">
        <f t="shared" si="46"/>
        <v>0.593456819821987</v>
      </c>
    </row>
    <row r="2840" spans="1:7">
      <c r="A2840" s="6" t="s">
        <v>4838</v>
      </c>
      <c r="B2840" s="3" t="s">
        <v>4839</v>
      </c>
      <c r="C2840" s="4" t="s">
        <v>49</v>
      </c>
      <c r="D2840" s="7">
        <v>401.55</v>
      </c>
      <c r="E2840" s="31" t="s">
        <v>9</v>
      </c>
      <c r="F2840" s="32">
        <v>264.5</v>
      </c>
      <c r="G2840" s="33">
        <f t="shared" si="46"/>
        <v>0.518147448015123</v>
      </c>
    </row>
    <row r="2841" spans="1:7">
      <c r="A2841" s="6" t="s">
        <v>4840</v>
      </c>
      <c r="B2841" s="3" t="s">
        <v>4841</v>
      </c>
      <c r="C2841" s="4" t="s">
        <v>49</v>
      </c>
      <c r="D2841" s="7">
        <v>529.85</v>
      </c>
      <c r="E2841" s="31" t="s">
        <v>9</v>
      </c>
      <c r="F2841" s="32">
        <v>349.45</v>
      </c>
      <c r="G2841" s="33">
        <f t="shared" si="46"/>
        <v>0.516239805408499</v>
      </c>
    </row>
    <row r="2842" spans="1:7">
      <c r="A2842" s="6" t="s">
        <v>4842</v>
      </c>
      <c r="B2842" s="3" t="s">
        <v>4843</v>
      </c>
      <c r="C2842" s="4" t="s">
        <v>49</v>
      </c>
      <c r="D2842" s="7">
        <v>684.45</v>
      </c>
      <c r="E2842" s="31" t="s">
        <v>9</v>
      </c>
      <c r="F2842" s="32">
        <v>498.75</v>
      </c>
      <c r="G2842" s="33">
        <f t="shared" si="46"/>
        <v>0.372330827067669</v>
      </c>
    </row>
    <row r="2843" spans="1:7">
      <c r="A2843" s="6" t="s">
        <v>4844</v>
      </c>
      <c r="B2843" s="3" t="s">
        <v>4845</v>
      </c>
      <c r="C2843" s="4" t="s">
        <v>49</v>
      </c>
      <c r="D2843" s="7">
        <v>939.7</v>
      </c>
      <c r="E2843" s="31" t="s">
        <v>9</v>
      </c>
      <c r="F2843" s="32">
        <v>642.2</v>
      </c>
      <c r="G2843" s="33">
        <f t="shared" si="46"/>
        <v>0.46325132357521</v>
      </c>
    </row>
    <row r="2844" ht="108.5" customHeight="1" spans="1:7">
      <c r="A2844" s="6" t="s">
        <v>4846</v>
      </c>
      <c r="B2844" s="12" t="s">
        <v>4847</v>
      </c>
      <c r="C2844" s="4"/>
      <c r="D2844" s="14"/>
      <c r="E2844" s="31" t="s">
        <v>9</v>
      </c>
    </row>
    <row r="2845" spans="1:7">
      <c r="A2845" s="40"/>
      <c r="B2845" s="12" t="s">
        <v>4848</v>
      </c>
      <c r="C2845" s="4"/>
      <c r="D2845" s="14"/>
      <c r="E2845" s="31" t="s">
        <v>9</v>
      </c>
    </row>
    <row r="2846" spans="1:7">
      <c r="A2846" s="6" t="s">
        <v>4849</v>
      </c>
      <c r="B2846" s="3" t="s">
        <v>4835</v>
      </c>
      <c r="C2846" s="4" t="s">
        <v>49</v>
      </c>
      <c r="D2846" s="7">
        <v>522.7</v>
      </c>
      <c r="E2846" s="31" t="s">
        <v>9</v>
      </c>
      <c r="F2846" s="32">
        <v>301.1</v>
      </c>
      <c r="G2846" s="33">
        <f>(D2846-F2846)/F2846</f>
        <v>0.735968116904683</v>
      </c>
    </row>
    <row r="2847" spans="1:7">
      <c r="A2847" s="6" t="s">
        <v>4850</v>
      </c>
      <c r="B2847" s="3" t="s">
        <v>4837</v>
      </c>
      <c r="C2847" s="4" t="s">
        <v>49</v>
      </c>
      <c r="D2847" s="7">
        <v>557.55</v>
      </c>
      <c r="E2847" s="31" t="s">
        <v>9</v>
      </c>
      <c r="F2847" s="32">
        <v>333.6</v>
      </c>
      <c r="G2847" s="33">
        <f>(D2847-F2847)/F2847</f>
        <v>0.671312949640288</v>
      </c>
    </row>
    <row r="2848" spans="1:7">
      <c r="A2848" s="6" t="s">
        <v>4851</v>
      </c>
      <c r="B2848" s="3" t="s">
        <v>4839</v>
      </c>
      <c r="C2848" s="4" t="s">
        <v>49</v>
      </c>
      <c r="D2848" s="7">
        <v>627.25</v>
      </c>
      <c r="E2848" s="31" t="s">
        <v>9</v>
      </c>
      <c r="F2848" s="32">
        <v>398.65</v>
      </c>
      <c r="G2848" s="33">
        <f>(D2848-F2848)/F2848</f>
        <v>0.573435344286969</v>
      </c>
    </row>
    <row r="2849" spans="1:7">
      <c r="A2849" s="6" t="s">
        <v>4852</v>
      </c>
      <c r="B2849" s="3" t="s">
        <v>4841</v>
      </c>
      <c r="C2849" s="4" t="s">
        <v>49</v>
      </c>
      <c r="D2849" s="7">
        <v>754.2</v>
      </c>
      <c r="E2849" s="31" t="s">
        <v>9</v>
      </c>
      <c r="F2849" s="32">
        <v>494.2</v>
      </c>
      <c r="G2849" s="33">
        <f>(D2849-F2849)/F2849</f>
        <v>0.526102792391744</v>
      </c>
    </row>
    <row r="2850" ht="93" customHeight="1" spans="1:7">
      <c r="A2850" s="6" t="s">
        <v>4853</v>
      </c>
      <c r="B2850" s="12" t="s">
        <v>4854</v>
      </c>
      <c r="C2850" s="4"/>
      <c r="D2850" s="14"/>
      <c r="E2850" s="31" t="s">
        <v>9</v>
      </c>
    </row>
    <row r="2851" spans="1:7">
      <c r="A2851" s="40"/>
      <c r="B2851" s="12" t="s">
        <v>4855</v>
      </c>
      <c r="C2851" s="4"/>
      <c r="D2851" s="14"/>
      <c r="E2851" s="31" t="s">
        <v>9</v>
      </c>
    </row>
    <row r="2852" spans="1:7">
      <c r="A2852" s="6" t="s">
        <v>4856</v>
      </c>
      <c r="B2852" s="3" t="s">
        <v>4835</v>
      </c>
      <c r="C2852" s="4" t="s">
        <v>49</v>
      </c>
      <c r="D2852" s="7">
        <v>263.2</v>
      </c>
      <c r="E2852" s="31" t="s">
        <v>9</v>
      </c>
      <c r="F2852" s="32">
        <v>161.4</v>
      </c>
      <c r="G2852" s="33">
        <f t="shared" ref="G2852:G2857" si="47">(D2852-F2852)/F2852</f>
        <v>0.630731102850062</v>
      </c>
    </row>
    <row r="2853" spans="1:7">
      <c r="A2853" s="6" t="s">
        <v>4857</v>
      </c>
      <c r="B2853" s="3" t="s">
        <v>4858</v>
      </c>
      <c r="C2853" s="4" t="s">
        <v>49</v>
      </c>
      <c r="D2853" s="7">
        <v>289.1</v>
      </c>
      <c r="E2853" s="31" t="s">
        <v>9</v>
      </c>
      <c r="F2853" s="32">
        <v>185.55</v>
      </c>
      <c r="G2853" s="33">
        <f t="shared" si="47"/>
        <v>0.558070600916195</v>
      </c>
    </row>
    <row r="2854" spans="1:7">
      <c r="A2854" s="6" t="s">
        <v>4859</v>
      </c>
      <c r="B2854" s="3" t="s">
        <v>4860</v>
      </c>
      <c r="C2854" s="4" t="s">
        <v>49</v>
      </c>
      <c r="D2854" s="7">
        <v>340.85</v>
      </c>
      <c r="E2854" s="31" t="s">
        <v>9</v>
      </c>
      <c r="F2854" s="32">
        <v>233.9</v>
      </c>
      <c r="G2854" s="33">
        <f t="shared" si="47"/>
        <v>0.457246686618213</v>
      </c>
    </row>
    <row r="2855" spans="1:7">
      <c r="A2855" s="6" t="s">
        <v>4861</v>
      </c>
      <c r="B2855" s="3" t="s">
        <v>4862</v>
      </c>
      <c r="C2855" s="4" t="s">
        <v>49</v>
      </c>
      <c r="D2855" s="7">
        <v>435.2</v>
      </c>
      <c r="E2855" s="31" t="s">
        <v>9</v>
      </c>
      <c r="F2855" s="32">
        <v>304.85</v>
      </c>
      <c r="G2855" s="33">
        <f t="shared" si="47"/>
        <v>0.427587338035099</v>
      </c>
    </row>
    <row r="2856" spans="1:7">
      <c r="A2856" s="6" t="s">
        <v>4863</v>
      </c>
      <c r="B2856" s="3" t="s">
        <v>4864</v>
      </c>
      <c r="C2856" s="4" t="s">
        <v>49</v>
      </c>
      <c r="D2856" s="7">
        <v>544.55</v>
      </c>
      <c r="E2856" s="31" t="s">
        <v>9</v>
      </c>
      <c r="F2856" s="32">
        <v>434.4</v>
      </c>
      <c r="G2856" s="33">
        <f t="shared" si="47"/>
        <v>0.253568139963168</v>
      </c>
    </row>
    <row r="2857" spans="1:7">
      <c r="A2857" s="6" t="s">
        <v>4865</v>
      </c>
      <c r="B2857" s="3" t="s">
        <v>4866</v>
      </c>
      <c r="C2857" s="4" t="s">
        <v>49</v>
      </c>
      <c r="D2857" s="7">
        <v>799.8</v>
      </c>
      <c r="E2857" s="31" t="s">
        <v>9</v>
      </c>
      <c r="F2857" s="32">
        <v>577.85</v>
      </c>
      <c r="G2857" s="33">
        <f t="shared" si="47"/>
        <v>0.384096218741888</v>
      </c>
    </row>
    <row r="2858" spans="1:7">
      <c r="A2858" s="40"/>
      <c r="B2858" s="12" t="s">
        <v>4867</v>
      </c>
      <c r="C2858" s="4"/>
      <c r="D2858" s="7"/>
    </row>
    <row r="2859" ht="77.5" customHeight="1" spans="1:7">
      <c r="A2859" s="6" t="s">
        <v>4868</v>
      </c>
      <c r="B2859" s="12" t="s">
        <v>4869</v>
      </c>
      <c r="C2859" s="4"/>
      <c r="D2859" s="7"/>
    </row>
    <row r="2860" spans="1:7">
      <c r="A2860" s="40"/>
      <c r="B2860" s="12" t="s">
        <v>4870</v>
      </c>
      <c r="C2860" s="4"/>
      <c r="D2860" s="7"/>
    </row>
    <row r="2861" spans="1:7">
      <c r="A2861" s="6" t="s">
        <v>4871</v>
      </c>
      <c r="B2861" s="3" t="s">
        <v>4872</v>
      </c>
      <c r="C2861" s="4" t="s">
        <v>49</v>
      </c>
      <c r="D2861" s="7">
        <v>272</v>
      </c>
    </row>
    <row r="2862" spans="1:7">
      <c r="A2862" s="6" t="s">
        <v>4873</v>
      </c>
      <c r="B2862" s="3" t="s">
        <v>4874</v>
      </c>
      <c r="C2862" s="4" t="s">
        <v>49</v>
      </c>
      <c r="D2862" s="7">
        <v>318.35</v>
      </c>
    </row>
    <row r="2863" spans="1:7">
      <c r="A2863" s="6" t="s">
        <v>4875</v>
      </c>
      <c r="B2863" s="3" t="s">
        <v>4876</v>
      </c>
      <c r="C2863" s="4" t="s">
        <v>49</v>
      </c>
      <c r="D2863" s="7">
        <v>362.9</v>
      </c>
    </row>
    <row r="2864" spans="1:7">
      <c r="A2864" s="6" t="s">
        <v>4877</v>
      </c>
      <c r="B2864" s="3" t="s">
        <v>4878</v>
      </c>
      <c r="C2864" s="4" t="s">
        <v>49</v>
      </c>
      <c r="D2864" s="7">
        <v>545.75</v>
      </c>
    </row>
    <row r="2865" spans="1:4">
      <c r="A2865" s="6" t="s">
        <v>4879</v>
      </c>
      <c r="B2865" s="3" t="s">
        <v>4880</v>
      </c>
      <c r="C2865" s="4" t="s">
        <v>49</v>
      </c>
      <c r="D2865" s="7">
        <v>580.1</v>
      </c>
    </row>
    <row r="2866" ht="93" customHeight="1" spans="1:4">
      <c r="A2866" s="6" t="s">
        <v>4881</v>
      </c>
      <c r="B2866" s="12" t="s">
        <v>4882</v>
      </c>
      <c r="C2866" s="4"/>
      <c r="D2866" s="7"/>
    </row>
    <row r="2867" spans="1:4">
      <c r="A2867" s="40"/>
      <c r="B2867" s="12" t="s">
        <v>4883</v>
      </c>
      <c r="C2867" s="4"/>
      <c r="D2867" s="7"/>
    </row>
    <row r="2868" spans="1:4">
      <c r="A2868" s="6" t="s">
        <v>4884</v>
      </c>
      <c r="B2868" s="3" t="s">
        <v>4872</v>
      </c>
      <c r="C2868" s="4" t="s">
        <v>49</v>
      </c>
      <c r="D2868" s="7">
        <v>477.85</v>
      </c>
    </row>
    <row r="2869" spans="1:4">
      <c r="A2869" s="6" t="s">
        <v>4885</v>
      </c>
      <c r="B2869" s="3" t="s">
        <v>4874</v>
      </c>
      <c r="C2869" s="4" t="s">
        <v>49</v>
      </c>
      <c r="D2869" s="7">
        <v>515.2</v>
      </c>
    </row>
    <row r="2870" spans="1:4">
      <c r="A2870" s="6" t="s">
        <v>4886</v>
      </c>
      <c r="B2870" s="3" t="s">
        <v>4876</v>
      </c>
      <c r="C2870" s="4" t="s">
        <v>49</v>
      </c>
      <c r="D2870" s="7">
        <v>561.45</v>
      </c>
    </row>
    <row r="2871" ht="77.5" customHeight="1" spans="1:4">
      <c r="A2871" s="6" t="s">
        <v>4887</v>
      </c>
      <c r="B2871" s="12" t="s">
        <v>4888</v>
      </c>
      <c r="C2871" s="4"/>
      <c r="D2871" s="7"/>
    </row>
    <row r="2872" spans="1:4">
      <c r="A2872" s="40"/>
      <c r="B2872" s="12" t="s">
        <v>4855</v>
      </c>
      <c r="C2872" s="4"/>
      <c r="D2872" s="7"/>
    </row>
    <row r="2873" spans="1:4">
      <c r="A2873" s="6" t="s">
        <v>4889</v>
      </c>
      <c r="B2873" s="3" t="s">
        <v>4872</v>
      </c>
      <c r="C2873" s="4" t="s">
        <v>49</v>
      </c>
      <c r="D2873" s="7">
        <v>224.95</v>
      </c>
    </row>
    <row r="2874" spans="1:4">
      <c r="A2874" s="6" t="s">
        <v>4890</v>
      </c>
      <c r="B2874" s="3" t="s">
        <v>4891</v>
      </c>
      <c r="C2874" s="4" t="s">
        <v>49</v>
      </c>
      <c r="D2874" s="7">
        <v>265.05</v>
      </c>
    </row>
    <row r="2875" spans="1:4">
      <c r="A2875" s="6" t="s">
        <v>4892</v>
      </c>
      <c r="B2875" s="3" t="s">
        <v>4893</v>
      </c>
      <c r="C2875" s="4" t="s">
        <v>49</v>
      </c>
      <c r="D2875" s="7">
        <v>316.25</v>
      </c>
    </row>
    <row r="2876" spans="1:4">
      <c r="A2876" s="6" t="s">
        <v>4894</v>
      </c>
      <c r="B2876" s="3" t="s">
        <v>4895</v>
      </c>
      <c r="C2876" s="4" t="s">
        <v>49</v>
      </c>
      <c r="D2876" s="7">
        <v>415.1</v>
      </c>
    </row>
    <row r="2877" spans="1:4">
      <c r="A2877" s="6" t="s">
        <v>4896</v>
      </c>
      <c r="B2877" s="3" t="s">
        <v>4897</v>
      </c>
      <c r="C2877" s="4" t="s">
        <v>49</v>
      </c>
      <c r="D2877" s="7">
        <v>450.95</v>
      </c>
    </row>
    <row r="2878" spans="1:4">
      <c r="A2878" s="6" t="s">
        <v>4898</v>
      </c>
      <c r="B2878" s="3" t="s">
        <v>4899</v>
      </c>
      <c r="C2878" s="4" t="s">
        <v>49</v>
      </c>
      <c r="D2878" s="7">
        <v>597.75</v>
      </c>
    </row>
    <row r="2879" spans="1:4">
      <c r="A2879" s="6" t="s">
        <v>4900</v>
      </c>
      <c r="B2879" s="3" t="s">
        <v>4901</v>
      </c>
      <c r="C2879" s="4" t="s">
        <v>49</v>
      </c>
      <c r="D2879" s="7">
        <v>696.75</v>
      </c>
    </row>
    <row r="2880" spans="1:4">
      <c r="A2880" s="6" t="s">
        <v>4902</v>
      </c>
      <c r="B2880" s="3" t="s">
        <v>4903</v>
      </c>
      <c r="C2880" s="4" t="s">
        <v>49</v>
      </c>
      <c r="D2880" s="7">
        <v>975.3</v>
      </c>
    </row>
    <row r="2881" spans="1:7">
      <c r="A2881" s="6" t="s">
        <v>4904</v>
      </c>
      <c r="B2881" s="3" t="s">
        <v>4905</v>
      </c>
      <c r="C2881" s="4" t="s">
        <v>49</v>
      </c>
      <c r="D2881" s="7">
        <v>1301.35</v>
      </c>
    </row>
    <row r="2882" spans="1:7">
      <c r="A2882" s="6" t="s">
        <v>4906</v>
      </c>
      <c r="B2882" s="3" t="s">
        <v>4907</v>
      </c>
      <c r="C2882" s="4" t="s">
        <v>49</v>
      </c>
      <c r="D2882" s="7">
        <v>2746.85</v>
      </c>
    </row>
    <row r="2883" spans="1:7">
      <c r="A2883" s="6" t="s">
        <v>4908</v>
      </c>
      <c r="B2883" s="12" t="s">
        <v>4909</v>
      </c>
      <c r="C2883" s="4"/>
      <c r="D2883" s="7"/>
    </row>
    <row r="2884" spans="1:7">
      <c r="A2884" s="6" t="s">
        <v>4910</v>
      </c>
      <c r="B2884" s="3" t="s">
        <v>4911</v>
      </c>
      <c r="C2884" s="4" t="s">
        <v>156</v>
      </c>
      <c r="D2884" s="7">
        <v>315.5</v>
      </c>
    </row>
    <row r="2885" spans="1:7">
      <c r="A2885" s="6" t="s">
        <v>4912</v>
      </c>
      <c r="B2885" s="3" t="s">
        <v>4913</v>
      </c>
      <c r="C2885" s="4" t="s">
        <v>156</v>
      </c>
      <c r="D2885" s="7">
        <v>334</v>
      </c>
    </row>
    <row r="2886" spans="1:7">
      <c r="A2886" s="6" t="s">
        <v>4914</v>
      </c>
      <c r="B2886" s="3" t="s">
        <v>4915</v>
      </c>
      <c r="C2886" s="4" t="s">
        <v>156</v>
      </c>
      <c r="D2886" s="7">
        <v>403.7</v>
      </c>
    </row>
    <row r="2887" spans="1:7">
      <c r="A2887" s="6" t="s">
        <v>4916</v>
      </c>
      <c r="B2887" s="3" t="s">
        <v>4917</v>
      </c>
      <c r="C2887" s="4" t="s">
        <v>156</v>
      </c>
      <c r="D2887" s="7">
        <v>543.1</v>
      </c>
    </row>
    <row r="2888" spans="1:7">
      <c r="A2888" s="6" t="s">
        <v>4918</v>
      </c>
      <c r="B2888" s="3" t="s">
        <v>4919</v>
      </c>
      <c r="C2888" s="4" t="s">
        <v>156</v>
      </c>
      <c r="D2888" s="7">
        <v>782.1</v>
      </c>
    </row>
    <row r="2889" spans="1:7">
      <c r="A2889" s="6" t="s">
        <v>4920</v>
      </c>
      <c r="B2889" s="3" t="s">
        <v>4921</v>
      </c>
      <c r="C2889" s="4" t="s">
        <v>156</v>
      </c>
      <c r="D2889" s="7">
        <v>913</v>
      </c>
    </row>
    <row r="2890" spans="1:7">
      <c r="A2890" s="6" t="s">
        <v>4922</v>
      </c>
      <c r="B2890" s="3" t="s">
        <v>4923</v>
      </c>
      <c r="C2890" s="4" t="s">
        <v>156</v>
      </c>
      <c r="D2890" s="7">
        <v>1684.05</v>
      </c>
    </row>
    <row r="2891" spans="1:7">
      <c r="A2891" s="40"/>
      <c r="B2891" s="12" t="s">
        <v>4924</v>
      </c>
      <c r="C2891" s="4"/>
      <c r="D2891" s="14"/>
      <c r="E2891" s="31" t="s">
        <v>9</v>
      </c>
    </row>
    <row r="2892" ht="77.5" customHeight="1" spans="1:7">
      <c r="A2892" s="6" t="s">
        <v>4925</v>
      </c>
      <c r="B2892" s="12" t="s">
        <v>4926</v>
      </c>
      <c r="C2892" s="4"/>
      <c r="D2892" s="14"/>
      <c r="E2892" s="31" t="s">
        <v>9</v>
      </c>
    </row>
    <row r="2893" spans="1:7">
      <c r="A2893" s="40"/>
      <c r="B2893" s="12" t="s">
        <v>4927</v>
      </c>
      <c r="C2893" s="4"/>
      <c r="D2893" s="14"/>
      <c r="E2893" s="31" t="s">
        <v>9</v>
      </c>
    </row>
    <row r="2894" spans="1:7">
      <c r="A2894" s="6" t="s">
        <v>4928</v>
      </c>
      <c r="B2894" s="3" t="s">
        <v>4929</v>
      </c>
      <c r="C2894" s="4" t="s">
        <v>49</v>
      </c>
      <c r="D2894" s="7">
        <v>286.8</v>
      </c>
      <c r="E2894" s="31" t="s">
        <v>9</v>
      </c>
      <c r="F2894" s="32">
        <v>142.95</v>
      </c>
      <c r="G2894" s="33">
        <f t="shared" ref="G2894:G2899" si="48">(D2894-F2894)/F2894</f>
        <v>1.00629590766002</v>
      </c>
    </row>
    <row r="2895" spans="1:7">
      <c r="A2895" s="6" t="s">
        <v>4930</v>
      </c>
      <c r="B2895" s="3" t="s">
        <v>4931</v>
      </c>
      <c r="C2895" s="4" t="s">
        <v>49</v>
      </c>
      <c r="D2895" s="7">
        <v>335</v>
      </c>
      <c r="E2895" s="31" t="s">
        <v>9</v>
      </c>
      <c r="F2895" s="32">
        <v>179.95</v>
      </c>
      <c r="G2895" s="33">
        <f t="shared" si="48"/>
        <v>0.861628230063907</v>
      </c>
    </row>
    <row r="2896" spans="1:7">
      <c r="A2896" s="6" t="s">
        <v>4932</v>
      </c>
      <c r="B2896" s="3" t="s">
        <v>4933</v>
      </c>
      <c r="C2896" s="4" t="s">
        <v>49</v>
      </c>
      <c r="D2896" s="7">
        <v>401.55</v>
      </c>
      <c r="E2896" s="31" t="s">
        <v>9</v>
      </c>
      <c r="F2896" s="32">
        <v>216.2</v>
      </c>
      <c r="G2896" s="33">
        <f t="shared" si="48"/>
        <v>0.857308048103608</v>
      </c>
    </row>
    <row r="2897" spans="1:7">
      <c r="A2897" s="6" t="s">
        <v>4934</v>
      </c>
      <c r="B2897" s="3" t="s">
        <v>4935</v>
      </c>
      <c r="C2897" s="4" t="s">
        <v>49</v>
      </c>
      <c r="D2897" s="7">
        <v>518.75</v>
      </c>
      <c r="E2897" s="31" t="s">
        <v>9</v>
      </c>
      <c r="F2897" s="32">
        <v>289.05</v>
      </c>
      <c r="G2897" s="33">
        <f t="shared" si="48"/>
        <v>0.794672202041169</v>
      </c>
    </row>
    <row r="2898" spans="1:7">
      <c r="A2898" s="6" t="s">
        <v>4936</v>
      </c>
      <c r="B2898" s="3" t="s">
        <v>4937</v>
      </c>
      <c r="C2898" s="4" t="s">
        <v>49</v>
      </c>
      <c r="D2898" s="7">
        <v>702.95</v>
      </c>
      <c r="E2898" s="31" t="s">
        <v>9</v>
      </c>
      <c r="F2898" s="32">
        <v>385.5</v>
      </c>
      <c r="G2898" s="33">
        <f t="shared" si="48"/>
        <v>0.823476005188068</v>
      </c>
    </row>
    <row r="2899" spans="1:7">
      <c r="A2899" s="6" t="s">
        <v>4938</v>
      </c>
      <c r="B2899" s="3" t="s">
        <v>4939</v>
      </c>
      <c r="C2899" s="4" t="s">
        <v>49</v>
      </c>
      <c r="D2899" s="7">
        <v>934.15</v>
      </c>
      <c r="E2899" s="31" t="s">
        <v>9</v>
      </c>
      <c r="F2899" s="32">
        <v>548.55</v>
      </c>
      <c r="G2899" s="33">
        <f t="shared" si="48"/>
        <v>0.702944125421566</v>
      </c>
    </row>
    <row r="2900" ht="77.5" customHeight="1" spans="1:7">
      <c r="A2900" s="6" t="s">
        <v>4940</v>
      </c>
      <c r="B2900" s="12" t="s">
        <v>4941</v>
      </c>
      <c r="C2900" s="4"/>
      <c r="D2900" s="14"/>
      <c r="E2900" s="31" t="s">
        <v>9</v>
      </c>
    </row>
    <row r="2901" spans="1:7">
      <c r="A2901" s="40"/>
      <c r="B2901" s="12" t="s">
        <v>4942</v>
      </c>
      <c r="C2901" s="4"/>
      <c r="D2901" s="14"/>
      <c r="E2901" s="31" t="s">
        <v>9</v>
      </c>
    </row>
    <row r="2902" spans="1:7">
      <c r="A2902" s="6" t="s">
        <v>4943</v>
      </c>
      <c r="B2902" s="3" t="s">
        <v>4929</v>
      </c>
      <c r="C2902" s="4" t="s">
        <v>49</v>
      </c>
      <c r="D2902" s="7">
        <v>497.8</v>
      </c>
      <c r="E2902" s="31" t="s">
        <v>9</v>
      </c>
      <c r="F2902" s="32">
        <v>246.2</v>
      </c>
      <c r="G2902" s="33">
        <f>(D2902-F2902)/F2902</f>
        <v>1.02193338748985</v>
      </c>
    </row>
    <row r="2903" spans="1:7">
      <c r="A2903" s="6" t="s">
        <v>4944</v>
      </c>
      <c r="B2903" s="3" t="s">
        <v>4931</v>
      </c>
      <c r="C2903" s="4" t="s">
        <v>49</v>
      </c>
      <c r="D2903" s="7">
        <v>537.6</v>
      </c>
      <c r="E2903" s="31" t="s">
        <v>9</v>
      </c>
      <c r="F2903" s="32">
        <v>284.85</v>
      </c>
      <c r="G2903" s="33">
        <f>(D2903-F2903)/F2903</f>
        <v>0.887309110057925</v>
      </c>
    </row>
    <row r="2904" spans="1:7">
      <c r="A2904" s="6" t="s">
        <v>4945</v>
      </c>
      <c r="B2904" s="3" t="s">
        <v>4933</v>
      </c>
      <c r="C2904" s="4" t="s">
        <v>49</v>
      </c>
      <c r="D2904" s="7">
        <v>627.25</v>
      </c>
      <c r="E2904" s="31" t="s">
        <v>9</v>
      </c>
      <c r="F2904" s="32">
        <v>333.6</v>
      </c>
      <c r="G2904" s="33">
        <f>(D2904-F2904)/F2904</f>
        <v>0.880245803357314</v>
      </c>
    </row>
    <row r="2905" spans="1:7">
      <c r="A2905" s="6" t="s">
        <v>4946</v>
      </c>
      <c r="B2905" s="3" t="s">
        <v>4935</v>
      </c>
      <c r="C2905" s="4" t="s">
        <v>49</v>
      </c>
      <c r="D2905" s="7">
        <v>739.3</v>
      </c>
      <c r="E2905" s="31" t="s">
        <v>9</v>
      </c>
      <c r="F2905" s="32">
        <v>412.9</v>
      </c>
      <c r="G2905" s="33">
        <f>(D2905-F2905)/F2905</f>
        <v>0.790506175829499</v>
      </c>
    </row>
    <row r="2906" ht="62" customHeight="1" spans="1:7">
      <c r="A2906" s="6" t="s">
        <v>4947</v>
      </c>
      <c r="B2906" s="12" t="s">
        <v>4948</v>
      </c>
      <c r="C2906" s="4"/>
      <c r="D2906" s="14"/>
      <c r="E2906" s="31" t="s">
        <v>9</v>
      </c>
    </row>
    <row r="2907" spans="1:7">
      <c r="A2907" s="40"/>
      <c r="B2907" s="12" t="s">
        <v>4855</v>
      </c>
      <c r="C2907" s="4"/>
      <c r="D2907" s="14"/>
      <c r="E2907" s="31" t="s">
        <v>9</v>
      </c>
    </row>
    <row r="2908" spans="1:7">
      <c r="A2908" s="6" t="s">
        <v>4949</v>
      </c>
      <c r="B2908" s="3" t="s">
        <v>4929</v>
      </c>
      <c r="C2908" s="4" t="s">
        <v>49</v>
      </c>
      <c r="D2908" s="7">
        <v>244.7</v>
      </c>
      <c r="E2908" s="31" t="s">
        <v>9</v>
      </c>
      <c r="F2908" s="32">
        <v>120.65</v>
      </c>
      <c r="G2908" s="33">
        <f t="shared" ref="G2908:G2917" si="49">(D2908-F2908)/F2908</f>
        <v>1.02818068794032</v>
      </c>
    </row>
    <row r="2909" spans="1:7">
      <c r="A2909" s="6" t="s">
        <v>4950</v>
      </c>
      <c r="B2909" s="3" t="s">
        <v>4931</v>
      </c>
      <c r="C2909" s="4" t="s">
        <v>49</v>
      </c>
      <c r="D2909" s="7">
        <v>274.3</v>
      </c>
      <c r="E2909" s="31" t="s">
        <v>9</v>
      </c>
      <c r="F2909" s="32">
        <v>149.3</v>
      </c>
      <c r="G2909" s="33">
        <f t="shared" si="49"/>
        <v>0.837240455458808</v>
      </c>
    </row>
    <row r="2910" spans="1:7">
      <c r="A2910" s="6" t="s">
        <v>4951</v>
      </c>
      <c r="B2910" s="3" t="s">
        <v>4933</v>
      </c>
      <c r="C2910" s="4" t="s">
        <v>49</v>
      </c>
      <c r="D2910" s="7">
        <v>355.4</v>
      </c>
      <c r="E2910" s="31" t="s">
        <v>9</v>
      </c>
      <c r="F2910" s="32">
        <v>191.65</v>
      </c>
      <c r="G2910" s="33">
        <f t="shared" si="49"/>
        <v>0.854422123662927</v>
      </c>
    </row>
    <row r="2911" spans="1:7">
      <c r="A2911" s="6" t="s">
        <v>4952</v>
      </c>
      <c r="B2911" s="3" t="s">
        <v>4935</v>
      </c>
      <c r="C2911" s="4" t="s">
        <v>49</v>
      </c>
      <c r="D2911" s="7">
        <v>438.6</v>
      </c>
      <c r="E2911" s="31" t="s">
        <v>9</v>
      </c>
      <c r="F2911" s="32">
        <v>250.55</v>
      </c>
      <c r="G2911" s="33">
        <f t="shared" si="49"/>
        <v>0.750548792656156</v>
      </c>
    </row>
    <row r="2912" spans="1:7">
      <c r="A2912" s="6" t="s">
        <v>4953</v>
      </c>
      <c r="B2912" s="3" t="s">
        <v>4937</v>
      </c>
      <c r="C2912" s="4" t="s">
        <v>49</v>
      </c>
      <c r="D2912" s="7">
        <v>563.05</v>
      </c>
      <c r="E2912" s="31" t="s">
        <v>9</v>
      </c>
      <c r="F2912" s="32">
        <v>321.15</v>
      </c>
      <c r="G2912" s="33">
        <f t="shared" si="49"/>
        <v>0.753230577611708</v>
      </c>
    </row>
    <row r="2913" spans="1:7">
      <c r="A2913" s="6" t="s">
        <v>4954</v>
      </c>
      <c r="B2913" s="3" t="s">
        <v>4939</v>
      </c>
      <c r="C2913" s="4" t="s">
        <v>49</v>
      </c>
      <c r="D2913" s="7">
        <v>794.25</v>
      </c>
      <c r="E2913" s="31" t="s">
        <v>9</v>
      </c>
      <c r="F2913" s="32">
        <v>484.25</v>
      </c>
      <c r="G2913" s="33">
        <f t="shared" si="49"/>
        <v>0.640165203923593</v>
      </c>
    </row>
    <row r="2914" spans="1:7">
      <c r="A2914" s="6" t="s">
        <v>4955</v>
      </c>
      <c r="B2914" s="3" t="s">
        <v>4956</v>
      </c>
      <c r="C2914" s="4" t="s">
        <v>49</v>
      </c>
      <c r="D2914" s="7">
        <v>1674.4</v>
      </c>
      <c r="E2914" s="31" t="s">
        <v>9</v>
      </c>
      <c r="F2914" s="32">
        <v>1081.75</v>
      </c>
      <c r="G2914" s="33">
        <f t="shared" si="49"/>
        <v>0.547862260226485</v>
      </c>
    </row>
    <row r="2915" spans="1:7">
      <c r="A2915" s="6" t="s">
        <v>4957</v>
      </c>
      <c r="B2915" s="3" t="s">
        <v>4958</v>
      </c>
      <c r="C2915" s="4" t="s">
        <v>49</v>
      </c>
      <c r="D2915" s="7">
        <v>2166.35</v>
      </c>
      <c r="E2915" s="31" t="s">
        <v>9</v>
      </c>
      <c r="F2915" s="32">
        <v>1201.05</v>
      </c>
      <c r="G2915" s="33">
        <f t="shared" si="49"/>
        <v>0.803713417426419</v>
      </c>
    </row>
    <row r="2916" spans="1:7">
      <c r="A2916" s="6" t="s">
        <v>4959</v>
      </c>
      <c r="B2916" s="3" t="s">
        <v>4960</v>
      </c>
      <c r="C2916" s="4" t="s">
        <v>49</v>
      </c>
      <c r="D2916" s="7">
        <v>3271.7</v>
      </c>
      <c r="E2916" s="31" t="s">
        <v>9</v>
      </c>
      <c r="F2916" s="32">
        <v>1618.1</v>
      </c>
      <c r="G2916" s="33">
        <f t="shared" si="49"/>
        <v>1.02193931153822</v>
      </c>
    </row>
    <row r="2917" spans="1:7">
      <c r="A2917" s="6" t="s">
        <v>4961</v>
      </c>
      <c r="B2917" s="3" t="s">
        <v>4962</v>
      </c>
      <c r="C2917" s="4" t="s">
        <v>49</v>
      </c>
      <c r="D2917" s="7">
        <v>6822.7</v>
      </c>
      <c r="E2917" s="31" t="s">
        <v>9</v>
      </c>
      <c r="F2917" s="32">
        <v>2408.75</v>
      </c>
      <c r="G2917" s="33">
        <f t="shared" si="49"/>
        <v>1.83246497145823</v>
      </c>
    </row>
    <row r="2918" ht="31" customHeight="1" spans="1:7">
      <c r="A2918" s="6" t="s">
        <v>4963</v>
      </c>
      <c r="B2918" s="12" t="s">
        <v>4964</v>
      </c>
      <c r="C2918" s="4"/>
      <c r="D2918" s="14"/>
      <c r="E2918" s="31" t="s">
        <v>9</v>
      </c>
    </row>
    <row r="2919" spans="1:7">
      <c r="A2919" s="40"/>
      <c r="B2919" s="12" t="s">
        <v>4927</v>
      </c>
      <c r="C2919" s="4"/>
      <c r="D2919" s="14"/>
      <c r="E2919" s="31" t="s">
        <v>9</v>
      </c>
    </row>
    <row r="2920" spans="1:7">
      <c r="A2920" s="6" t="s">
        <v>4965</v>
      </c>
      <c r="B2920" s="3" t="s">
        <v>4966</v>
      </c>
      <c r="C2920" s="4" t="s">
        <v>49</v>
      </c>
      <c r="D2920" s="7">
        <v>366.4</v>
      </c>
      <c r="E2920" s="31" t="s">
        <v>9</v>
      </c>
      <c r="F2920" s="32">
        <v>186.4</v>
      </c>
      <c r="G2920" s="33">
        <f t="shared" ref="G2920:G2925" si="50">(D2920-F2920)/F2920</f>
        <v>0.965665236051502</v>
      </c>
    </row>
    <row r="2921" spans="1:7">
      <c r="A2921" s="6" t="s">
        <v>4967</v>
      </c>
      <c r="B2921" s="3" t="s">
        <v>4968</v>
      </c>
      <c r="C2921" s="4" t="s">
        <v>49</v>
      </c>
      <c r="D2921" s="7">
        <v>437.3</v>
      </c>
      <c r="E2921" s="31" t="s">
        <v>9</v>
      </c>
      <c r="F2921" s="32">
        <v>224.15</v>
      </c>
      <c r="G2921" s="33">
        <f t="shared" si="50"/>
        <v>0.950925719384341</v>
      </c>
    </row>
    <row r="2922" spans="1:7">
      <c r="A2922" s="6" t="s">
        <v>4969</v>
      </c>
      <c r="B2922" s="3" t="s">
        <v>4970</v>
      </c>
      <c r="C2922" s="4" t="s">
        <v>49</v>
      </c>
      <c r="D2922" s="7">
        <v>551.7</v>
      </c>
      <c r="E2922" s="31" t="s">
        <v>9</v>
      </c>
      <c r="F2922" s="32">
        <v>247.85</v>
      </c>
      <c r="G2922" s="33">
        <f t="shared" si="50"/>
        <v>1.22594311075247</v>
      </c>
    </row>
    <row r="2923" spans="1:7">
      <c r="A2923" s="6" t="s">
        <v>4971</v>
      </c>
      <c r="B2923" s="3" t="s">
        <v>4972</v>
      </c>
      <c r="C2923" s="4" t="s">
        <v>49</v>
      </c>
      <c r="D2923" s="7">
        <v>667</v>
      </c>
      <c r="E2923" s="31" t="s">
        <v>9</v>
      </c>
      <c r="F2923" s="32">
        <v>308.35</v>
      </c>
      <c r="G2923" s="33">
        <f t="shared" si="50"/>
        <v>1.16312631749635</v>
      </c>
    </row>
    <row r="2924" spans="1:7">
      <c r="A2924" s="6" t="s">
        <v>4973</v>
      </c>
      <c r="B2924" s="3" t="s">
        <v>4974</v>
      </c>
      <c r="C2924" s="4" t="s">
        <v>49</v>
      </c>
      <c r="D2924" s="7">
        <v>811.9</v>
      </c>
      <c r="E2924" s="31" t="s">
        <v>9</v>
      </c>
      <c r="F2924" s="32">
        <v>394.15</v>
      </c>
      <c r="G2924" s="33">
        <f t="shared" si="50"/>
        <v>1.05987568184701</v>
      </c>
    </row>
    <row r="2925" spans="1:7">
      <c r="A2925" s="6" t="s">
        <v>4975</v>
      </c>
      <c r="B2925" s="3" t="s">
        <v>4976</v>
      </c>
      <c r="C2925" s="4" t="s">
        <v>49</v>
      </c>
      <c r="D2925" s="7">
        <v>1048.35</v>
      </c>
      <c r="E2925" s="31" t="s">
        <v>9</v>
      </c>
      <c r="F2925" s="32">
        <v>472.4</v>
      </c>
      <c r="G2925" s="33">
        <f t="shared" si="50"/>
        <v>1.21919983065199</v>
      </c>
    </row>
    <row r="2926" ht="46.5" customHeight="1" spans="1:7">
      <c r="A2926" s="6" t="s">
        <v>4977</v>
      </c>
      <c r="B2926" s="12" t="s">
        <v>4978</v>
      </c>
      <c r="C2926" s="4"/>
      <c r="D2926" s="14"/>
      <c r="E2926" s="31" t="s">
        <v>9</v>
      </c>
    </row>
    <row r="2927" spans="1:7">
      <c r="A2927" s="6" t="s">
        <v>4979</v>
      </c>
      <c r="B2927" s="3" t="s">
        <v>4966</v>
      </c>
      <c r="C2927" s="4" t="s">
        <v>49</v>
      </c>
      <c r="D2927" s="7">
        <v>580.45</v>
      </c>
      <c r="E2927" s="31" t="s">
        <v>9</v>
      </c>
      <c r="F2927" s="32">
        <v>285.7</v>
      </c>
      <c r="G2927" s="33">
        <f>(D2927-F2927)/F2927</f>
        <v>1.03167658382919</v>
      </c>
    </row>
    <row r="2928" spans="1:7">
      <c r="A2928" s="6" t="s">
        <v>4980</v>
      </c>
      <c r="B2928" s="3" t="s">
        <v>4968</v>
      </c>
      <c r="C2928" s="4" t="s">
        <v>49</v>
      </c>
      <c r="D2928" s="7">
        <v>635.2</v>
      </c>
      <c r="E2928" s="31" t="s">
        <v>9</v>
      </c>
      <c r="F2928" s="32">
        <v>316.2</v>
      </c>
      <c r="G2928" s="33">
        <f>(D2928-F2928)/F2928</f>
        <v>1.00885515496521</v>
      </c>
    </row>
    <row r="2929" ht="31" customHeight="1" spans="1:7">
      <c r="A2929" s="6" t="s">
        <v>4981</v>
      </c>
      <c r="B2929" s="12" t="s">
        <v>4982</v>
      </c>
      <c r="C2929" s="4"/>
      <c r="D2929" s="14"/>
      <c r="E2929" s="31" t="s">
        <v>9</v>
      </c>
    </row>
    <row r="2930" spans="1:7">
      <c r="A2930" s="40"/>
      <c r="B2930" s="12" t="s">
        <v>4855</v>
      </c>
      <c r="C2930" s="4"/>
      <c r="D2930" s="14"/>
      <c r="E2930" s="31" t="s">
        <v>9</v>
      </c>
    </row>
    <row r="2931" spans="1:7">
      <c r="A2931" s="6" t="s">
        <v>4983</v>
      </c>
      <c r="B2931" s="3" t="s">
        <v>4966</v>
      </c>
      <c r="C2931" s="4" t="s">
        <v>49</v>
      </c>
      <c r="D2931" s="7">
        <v>322.15</v>
      </c>
      <c r="E2931" s="31" t="s">
        <v>9</v>
      </c>
      <c r="F2931" s="32">
        <v>160.2</v>
      </c>
      <c r="G2931" s="33">
        <f t="shared" ref="G2931:G2938" si="51">(D2931-F2931)/F2931</f>
        <v>1.01092384519351</v>
      </c>
    </row>
    <row r="2932" spans="1:7">
      <c r="A2932" s="6" t="s">
        <v>4984</v>
      </c>
      <c r="B2932" s="3" t="s">
        <v>4968</v>
      </c>
      <c r="C2932" s="4" t="s">
        <v>49</v>
      </c>
      <c r="D2932" s="7">
        <v>368.6</v>
      </c>
      <c r="E2932" s="31" t="s">
        <v>9</v>
      </c>
      <c r="F2932" s="32">
        <v>186.3</v>
      </c>
      <c r="G2932" s="33">
        <f t="shared" si="51"/>
        <v>0.978529253891573</v>
      </c>
    </row>
    <row r="2933" spans="1:7">
      <c r="A2933" s="6" t="s">
        <v>4985</v>
      </c>
      <c r="B2933" s="3" t="s">
        <v>4970</v>
      </c>
      <c r="C2933" s="4" t="s">
        <v>49</v>
      </c>
      <c r="D2933" s="7">
        <v>467.75</v>
      </c>
      <c r="E2933" s="31" t="s">
        <v>9</v>
      </c>
      <c r="F2933" s="32">
        <v>205.85</v>
      </c>
      <c r="G2933" s="33">
        <f t="shared" si="51"/>
        <v>1.27228564488705</v>
      </c>
    </row>
    <row r="2934" spans="1:7">
      <c r="A2934" s="6" t="s">
        <v>4986</v>
      </c>
      <c r="B2934" s="3" t="s">
        <v>4972</v>
      </c>
      <c r="C2934" s="4" t="s">
        <v>49</v>
      </c>
      <c r="D2934" s="7">
        <v>540.3</v>
      </c>
      <c r="E2934" s="31" t="s">
        <v>9</v>
      </c>
      <c r="F2934" s="32">
        <v>247.4</v>
      </c>
      <c r="G2934" s="33">
        <f t="shared" si="51"/>
        <v>1.18391269199677</v>
      </c>
    </row>
    <row r="2935" spans="1:7">
      <c r="A2935" s="6" t="s">
        <v>4987</v>
      </c>
      <c r="B2935" s="3" t="s">
        <v>4974</v>
      </c>
      <c r="C2935" s="4" t="s">
        <v>49</v>
      </c>
      <c r="D2935" s="7">
        <v>617.05</v>
      </c>
      <c r="E2935" s="31" t="s">
        <v>9</v>
      </c>
      <c r="F2935" s="32">
        <v>301.05</v>
      </c>
      <c r="G2935" s="33">
        <f t="shared" si="51"/>
        <v>1.04965952499585</v>
      </c>
    </row>
    <row r="2936" spans="1:7">
      <c r="A2936" s="6" t="s">
        <v>4988</v>
      </c>
      <c r="B2936" s="3" t="s">
        <v>4976</v>
      </c>
      <c r="C2936" s="4" t="s">
        <v>49</v>
      </c>
      <c r="D2936" s="7">
        <v>762.15</v>
      </c>
      <c r="E2936" s="31" t="s">
        <v>9</v>
      </c>
      <c r="F2936" s="32">
        <v>342.7</v>
      </c>
      <c r="G2936" s="33">
        <f t="shared" si="51"/>
        <v>1.22395681353954</v>
      </c>
    </row>
    <row r="2937" spans="1:7">
      <c r="A2937" s="6" t="s">
        <v>4989</v>
      </c>
      <c r="B2937" s="3" t="s">
        <v>4990</v>
      </c>
      <c r="C2937" s="4" t="s">
        <v>49</v>
      </c>
      <c r="D2937" s="7">
        <v>896.6</v>
      </c>
      <c r="E2937" s="31" t="s">
        <v>9</v>
      </c>
      <c r="F2937" s="32">
        <v>451.7</v>
      </c>
      <c r="G2937" s="33">
        <f t="shared" si="51"/>
        <v>0.984945760460483</v>
      </c>
    </row>
    <row r="2938" spans="1:7">
      <c r="A2938" s="6" t="s">
        <v>4991</v>
      </c>
      <c r="B2938" s="3" t="s">
        <v>4992</v>
      </c>
      <c r="C2938" s="4" t="s">
        <v>49</v>
      </c>
      <c r="D2938" s="7">
        <v>1041.7</v>
      </c>
      <c r="E2938" s="31" t="s">
        <v>9</v>
      </c>
      <c r="F2938" s="32">
        <v>576.3</v>
      </c>
      <c r="G2938" s="33">
        <f t="shared" si="51"/>
        <v>0.807565504077738</v>
      </c>
    </row>
    <row r="2939" ht="31" customHeight="1" spans="1:7">
      <c r="A2939" s="6" t="s">
        <v>4993</v>
      </c>
      <c r="B2939" s="12" t="s">
        <v>4994</v>
      </c>
      <c r="C2939" s="4"/>
      <c r="D2939" s="14"/>
      <c r="E2939" s="31" t="s">
        <v>9</v>
      </c>
    </row>
    <row r="2940" spans="1:7">
      <c r="A2940" s="6" t="s">
        <v>4995</v>
      </c>
      <c r="B2940" s="3" t="s">
        <v>4996</v>
      </c>
      <c r="C2940" s="4" t="s">
        <v>156</v>
      </c>
      <c r="D2940" s="7">
        <v>911.9</v>
      </c>
      <c r="E2940" s="31" t="s">
        <v>9</v>
      </c>
      <c r="F2940" s="32">
        <v>394.15</v>
      </c>
      <c r="G2940" s="33">
        <f>(D2940-F2940)/F2940</f>
        <v>1.31358619814791</v>
      </c>
    </row>
    <row r="2941" spans="1:7">
      <c r="A2941" s="6" t="s">
        <v>4997</v>
      </c>
      <c r="B2941" s="3" t="s">
        <v>4998</v>
      </c>
      <c r="C2941" s="4" t="s">
        <v>156</v>
      </c>
      <c r="D2941" s="7">
        <v>1785.35</v>
      </c>
      <c r="E2941" s="31" t="s">
        <v>9</v>
      </c>
      <c r="F2941" s="32">
        <v>771.2</v>
      </c>
      <c r="G2941" s="33">
        <f>(D2941-F2941)/F2941</f>
        <v>1.31502852697095</v>
      </c>
    </row>
    <row r="2942" ht="46.5" customHeight="1" spans="1:7">
      <c r="A2942" s="6" t="s">
        <v>4999</v>
      </c>
      <c r="B2942" s="12" t="s">
        <v>5000</v>
      </c>
      <c r="C2942" s="4" t="s">
        <v>156</v>
      </c>
      <c r="D2942" s="7">
        <v>812.3</v>
      </c>
      <c r="E2942" s="31" t="s">
        <v>9</v>
      </c>
      <c r="F2942" s="32">
        <v>347.7</v>
      </c>
      <c r="G2942" s="33">
        <f>(D2942-F2942)/F2942</f>
        <v>1.33620937589876</v>
      </c>
    </row>
    <row r="2943" spans="1:7">
      <c r="A2943" s="40"/>
      <c r="B2943" s="12" t="s">
        <v>1633</v>
      </c>
      <c r="C2943" s="4"/>
      <c r="D2943" s="14"/>
      <c r="E2943" s="31" t="s">
        <v>9</v>
      </c>
    </row>
    <row r="2944" spans="1:7">
      <c r="A2944" s="6" t="s">
        <v>5001</v>
      </c>
      <c r="B2944" s="12" t="s">
        <v>5002</v>
      </c>
      <c r="C2944" s="4"/>
      <c r="D2944" s="14"/>
      <c r="E2944" s="31" t="s">
        <v>9</v>
      </c>
    </row>
    <row r="2945" spans="1:7">
      <c r="A2945" s="6" t="s">
        <v>5003</v>
      </c>
      <c r="B2945" s="3" t="s">
        <v>5004</v>
      </c>
      <c r="C2945" s="4" t="s">
        <v>156</v>
      </c>
      <c r="D2945" s="7">
        <v>353.25</v>
      </c>
      <c r="E2945" s="31" t="s">
        <v>9</v>
      </c>
      <c r="F2945" s="32">
        <v>260.1</v>
      </c>
      <c r="G2945" s="33">
        <f>(D2945-F2945)/F2945</f>
        <v>0.358131487889273</v>
      </c>
    </row>
    <row r="2946" spans="1:7">
      <c r="A2946" s="6" t="s">
        <v>5005</v>
      </c>
      <c r="B2946" s="3" t="s">
        <v>5006</v>
      </c>
      <c r="C2946" s="4" t="s">
        <v>156</v>
      </c>
      <c r="D2946" s="7">
        <v>379.2</v>
      </c>
      <c r="E2946" s="31" t="s">
        <v>9</v>
      </c>
      <c r="F2946" s="32">
        <v>280.4</v>
      </c>
      <c r="G2946" s="33">
        <f>(D2946-F2946)/F2946</f>
        <v>0.352353780313837</v>
      </c>
    </row>
    <row r="2947" spans="1:7">
      <c r="A2947" s="6" t="s">
        <v>5007</v>
      </c>
      <c r="B2947" s="12" t="s">
        <v>5008</v>
      </c>
      <c r="C2947" s="4"/>
      <c r="D2947" s="14"/>
      <c r="E2947" s="31" t="s">
        <v>9</v>
      </c>
    </row>
    <row r="2948" spans="1:7">
      <c r="A2948" s="6" t="s">
        <v>5009</v>
      </c>
      <c r="B2948" s="3" t="s">
        <v>5004</v>
      </c>
      <c r="C2948" s="4" t="s">
        <v>156</v>
      </c>
      <c r="D2948" s="7">
        <v>353.25</v>
      </c>
      <c r="E2948" s="31" t="s">
        <v>9</v>
      </c>
      <c r="F2948" s="32">
        <v>260.1</v>
      </c>
      <c r="G2948" s="33">
        <f>(D2948-F2948)/F2948</f>
        <v>0.358131487889273</v>
      </c>
    </row>
    <row r="2949" spans="1:7">
      <c r="A2949" s="6" t="s">
        <v>5010</v>
      </c>
      <c r="B2949" s="3" t="s">
        <v>5006</v>
      </c>
      <c r="C2949" s="4" t="s">
        <v>156</v>
      </c>
      <c r="D2949" s="7">
        <v>379.2</v>
      </c>
      <c r="E2949" s="31" t="s">
        <v>9</v>
      </c>
      <c r="F2949" s="32">
        <v>280.4</v>
      </c>
      <c r="G2949" s="33">
        <f>(D2949-F2949)/F2949</f>
        <v>0.352353780313837</v>
      </c>
    </row>
    <row r="2950" ht="31" customHeight="1" spans="1:7">
      <c r="A2950" s="6" t="s">
        <v>5011</v>
      </c>
      <c r="B2950" s="12" t="s">
        <v>5012</v>
      </c>
      <c r="C2950" s="4"/>
      <c r="D2950" s="14"/>
      <c r="E2950" s="31" t="s">
        <v>9</v>
      </c>
    </row>
    <row r="2951" spans="1:7">
      <c r="A2951" s="6" t="s">
        <v>5013</v>
      </c>
      <c r="B2951" s="3" t="s">
        <v>5014</v>
      </c>
      <c r="C2951" s="4" t="s">
        <v>156</v>
      </c>
      <c r="D2951" s="7">
        <v>622.4</v>
      </c>
      <c r="E2951" s="31" t="s">
        <v>9</v>
      </c>
      <c r="F2951" s="32">
        <v>428.2</v>
      </c>
      <c r="G2951" s="33">
        <f t="shared" ref="G2951:G2957" si="52">(D2951-F2951)/F2951</f>
        <v>0.453526389537599</v>
      </c>
    </row>
    <row r="2952" spans="1:7">
      <c r="A2952" s="6" t="s">
        <v>5015</v>
      </c>
      <c r="B2952" s="3" t="s">
        <v>5006</v>
      </c>
      <c r="C2952" s="4" t="s">
        <v>156</v>
      </c>
      <c r="D2952" s="7">
        <v>539.95</v>
      </c>
      <c r="E2952" s="31" t="s">
        <v>9</v>
      </c>
      <c r="F2952" s="32">
        <v>396.55</v>
      </c>
      <c r="G2952" s="33">
        <f t="shared" si="52"/>
        <v>0.361618963560711</v>
      </c>
    </row>
    <row r="2953" spans="1:7">
      <c r="A2953" s="6" t="s">
        <v>5016</v>
      </c>
      <c r="B2953" s="3" t="s">
        <v>5017</v>
      </c>
      <c r="C2953" s="4" t="s">
        <v>156</v>
      </c>
      <c r="D2953" s="7">
        <v>689.6</v>
      </c>
      <c r="E2953" s="31" t="s">
        <v>9</v>
      </c>
      <c r="F2953" s="32">
        <v>500.75</v>
      </c>
      <c r="G2953" s="33">
        <f t="shared" si="52"/>
        <v>0.377134298552172</v>
      </c>
    </row>
    <row r="2954" spans="1:7">
      <c r="A2954" s="6" t="s">
        <v>5018</v>
      </c>
      <c r="B2954" s="3" t="s">
        <v>5019</v>
      </c>
      <c r="C2954" s="4" t="s">
        <v>156</v>
      </c>
      <c r="D2954" s="7">
        <v>826.1</v>
      </c>
      <c r="E2954" s="31" t="s">
        <v>9</v>
      </c>
      <c r="F2954" s="32">
        <v>584.7</v>
      </c>
      <c r="G2954" s="33">
        <f t="shared" si="52"/>
        <v>0.412861296391312</v>
      </c>
    </row>
    <row r="2955" spans="1:7">
      <c r="A2955" s="6" t="s">
        <v>5020</v>
      </c>
      <c r="B2955" s="3" t="s">
        <v>5021</v>
      </c>
      <c r="C2955" s="4" t="s">
        <v>156</v>
      </c>
      <c r="D2955" s="7">
        <v>1026.65</v>
      </c>
      <c r="E2955" s="31" t="s">
        <v>9</v>
      </c>
      <c r="F2955" s="32">
        <v>749.9</v>
      </c>
      <c r="G2955" s="33">
        <f t="shared" si="52"/>
        <v>0.369049206560875</v>
      </c>
    </row>
    <row r="2956" spans="1:7">
      <c r="A2956" s="6" t="s">
        <v>5022</v>
      </c>
      <c r="B2956" s="3" t="s">
        <v>5023</v>
      </c>
      <c r="C2956" s="4" t="s">
        <v>156</v>
      </c>
      <c r="D2956" s="7">
        <v>1742.15</v>
      </c>
      <c r="E2956" s="31" t="s">
        <v>9</v>
      </c>
      <c r="F2956" s="32">
        <v>1286.8</v>
      </c>
      <c r="G2956" s="33">
        <f t="shared" si="52"/>
        <v>0.353862294062792</v>
      </c>
    </row>
    <row r="2957" spans="1:7">
      <c r="A2957" s="6" t="s">
        <v>5024</v>
      </c>
      <c r="B2957" s="3" t="s">
        <v>5025</v>
      </c>
      <c r="C2957" s="4" t="s">
        <v>156</v>
      </c>
      <c r="D2957" s="7">
        <v>2604.55</v>
      </c>
      <c r="E2957" s="31" t="s">
        <v>9</v>
      </c>
      <c r="F2957" s="32">
        <v>1919.5</v>
      </c>
      <c r="G2957" s="33">
        <f t="shared" si="52"/>
        <v>0.356889815056004</v>
      </c>
    </row>
    <row r="2958" ht="31" customHeight="1" spans="1:7">
      <c r="A2958" s="6" t="s">
        <v>5026</v>
      </c>
      <c r="B2958" s="12" t="s">
        <v>5027</v>
      </c>
      <c r="C2958" s="4"/>
      <c r="D2958" s="14"/>
      <c r="E2958" s="31" t="s">
        <v>9</v>
      </c>
    </row>
    <row r="2959" spans="1:7">
      <c r="A2959" s="6" t="s">
        <v>5028</v>
      </c>
      <c r="B2959" s="3" t="s">
        <v>5004</v>
      </c>
      <c r="C2959" s="4" t="s">
        <v>156</v>
      </c>
      <c r="D2959" s="7">
        <v>406.85</v>
      </c>
      <c r="E2959" s="31" t="s">
        <v>9</v>
      </c>
      <c r="F2959" s="32">
        <v>287.25</v>
      </c>
      <c r="G2959" s="33">
        <f>(D2959-F2959)/F2959</f>
        <v>0.416362053959965</v>
      </c>
    </row>
    <row r="2960" spans="1:7">
      <c r="A2960" s="6" t="s">
        <v>5029</v>
      </c>
      <c r="B2960" s="3" t="s">
        <v>5006</v>
      </c>
      <c r="C2960" s="4" t="s">
        <v>156</v>
      </c>
      <c r="D2960" s="7">
        <v>462.5</v>
      </c>
      <c r="E2960" s="31" t="s">
        <v>9</v>
      </c>
      <c r="F2960" s="32">
        <v>327.05</v>
      </c>
      <c r="G2960" s="33">
        <f>(D2960-F2960)/F2960</f>
        <v>0.414156856749732</v>
      </c>
    </row>
    <row r="2961" spans="1:7">
      <c r="A2961" s="6" t="s">
        <v>5030</v>
      </c>
      <c r="B2961" s="3" t="s">
        <v>5014</v>
      </c>
      <c r="C2961" s="4" t="s">
        <v>156</v>
      </c>
      <c r="D2961" s="7">
        <v>464.05</v>
      </c>
      <c r="E2961" s="31" t="s">
        <v>9</v>
      </c>
      <c r="F2961" s="32">
        <v>331.95</v>
      </c>
      <c r="G2961" s="33">
        <f>(D2961-F2961)/F2961</f>
        <v>0.397951498719687</v>
      </c>
    </row>
    <row r="2962" spans="1:7">
      <c r="A2962" s="6" t="s">
        <v>5031</v>
      </c>
      <c r="B2962" s="12" t="s">
        <v>5032</v>
      </c>
      <c r="C2962" s="4"/>
      <c r="D2962" s="14"/>
      <c r="E2962" s="31" t="s">
        <v>9</v>
      </c>
    </row>
    <row r="2963" spans="1:7">
      <c r="A2963" s="6" t="s">
        <v>5033</v>
      </c>
      <c r="B2963" s="3" t="s">
        <v>5014</v>
      </c>
      <c r="C2963" s="4"/>
      <c r="D2963" s="14"/>
      <c r="E2963" s="31" t="s">
        <v>9</v>
      </c>
    </row>
    <row r="2964" spans="1:7">
      <c r="A2964" s="6" t="s">
        <v>5034</v>
      </c>
      <c r="B2964" s="3" t="s">
        <v>5035</v>
      </c>
      <c r="C2964" s="4" t="s">
        <v>156</v>
      </c>
      <c r="D2964" s="7">
        <v>591.4</v>
      </c>
      <c r="E2964" s="31" t="s">
        <v>9</v>
      </c>
      <c r="F2964" s="32">
        <v>410.45</v>
      </c>
      <c r="G2964" s="33">
        <f>(D2964-F2964)/F2964</f>
        <v>0.440857595322207</v>
      </c>
    </row>
    <row r="2965" spans="1:7">
      <c r="A2965" s="6" t="s">
        <v>5036</v>
      </c>
      <c r="B2965" s="3" t="s">
        <v>5037</v>
      </c>
      <c r="C2965" s="4" t="s">
        <v>156</v>
      </c>
      <c r="D2965" s="7">
        <v>624.1</v>
      </c>
      <c r="E2965" s="31" t="s">
        <v>9</v>
      </c>
      <c r="F2965" s="32">
        <v>433.7</v>
      </c>
      <c r="G2965" s="33">
        <f>(D2965-F2965)/F2965</f>
        <v>0.439013142725386</v>
      </c>
    </row>
    <row r="2966" spans="1:7">
      <c r="A2966" s="6" t="s">
        <v>5038</v>
      </c>
      <c r="B2966" s="3" t="s">
        <v>5039</v>
      </c>
      <c r="C2966" s="4"/>
      <c r="D2966" s="14"/>
      <c r="E2966" s="31" t="s">
        <v>9</v>
      </c>
    </row>
    <row r="2967" spans="1:7">
      <c r="A2967" s="6" t="s">
        <v>5040</v>
      </c>
      <c r="B2967" s="3" t="s">
        <v>5035</v>
      </c>
      <c r="C2967" s="4" t="s">
        <v>156</v>
      </c>
      <c r="D2967" s="7">
        <v>791.9</v>
      </c>
      <c r="E2967" s="31" t="s">
        <v>9</v>
      </c>
      <c r="F2967" s="32">
        <v>552.45</v>
      </c>
      <c r="G2967" s="33">
        <f>(D2967-F2967)/F2967</f>
        <v>0.433432889854285</v>
      </c>
    </row>
    <row r="2968" spans="1:7">
      <c r="A2968" s="6" t="s">
        <v>5041</v>
      </c>
      <c r="B2968" s="3" t="s">
        <v>5037</v>
      </c>
      <c r="C2968" s="4" t="s">
        <v>156</v>
      </c>
      <c r="D2968" s="7">
        <v>850.25</v>
      </c>
      <c r="E2968" s="31" t="s">
        <v>9</v>
      </c>
      <c r="F2968" s="32">
        <v>610.55</v>
      </c>
      <c r="G2968" s="33">
        <f>(D2968-F2968)/F2968</f>
        <v>0.392596838915732</v>
      </c>
    </row>
    <row r="2969" spans="1:7">
      <c r="A2969" s="6" t="s">
        <v>5042</v>
      </c>
      <c r="B2969" s="3" t="s">
        <v>5019</v>
      </c>
      <c r="C2969" s="4"/>
      <c r="D2969" s="14"/>
      <c r="E2969" s="31" t="s">
        <v>9</v>
      </c>
    </row>
    <row r="2970" spans="1:7">
      <c r="A2970" s="6" t="s">
        <v>5043</v>
      </c>
      <c r="B2970" s="3" t="s">
        <v>5035</v>
      </c>
      <c r="C2970" s="4" t="s">
        <v>156</v>
      </c>
      <c r="D2970" s="7">
        <v>952.6</v>
      </c>
      <c r="E2970" s="31" t="s">
        <v>9</v>
      </c>
      <c r="F2970" s="32">
        <v>682.85</v>
      </c>
      <c r="G2970" s="33">
        <f>(D2970-F2970)/F2970</f>
        <v>0.395035512923775</v>
      </c>
    </row>
    <row r="2971" spans="1:7">
      <c r="A2971" s="6" t="s">
        <v>5044</v>
      </c>
      <c r="B2971" s="3" t="s">
        <v>5037</v>
      </c>
      <c r="C2971" s="4" t="s">
        <v>156</v>
      </c>
      <c r="D2971" s="7">
        <v>1134.7</v>
      </c>
      <c r="E2971" s="31" t="s">
        <v>9</v>
      </c>
      <c r="F2971" s="32">
        <v>845.45</v>
      </c>
      <c r="G2971" s="33">
        <f>(D2971-F2971)/F2971</f>
        <v>0.342125495298362</v>
      </c>
    </row>
    <row r="2972" spans="1:7">
      <c r="A2972" s="6" t="s">
        <v>5045</v>
      </c>
      <c r="B2972" s="3" t="s">
        <v>5021</v>
      </c>
      <c r="C2972" s="4"/>
      <c r="D2972" s="14"/>
      <c r="E2972" s="31" t="s">
        <v>9</v>
      </c>
    </row>
    <row r="2973" spans="1:7">
      <c r="A2973" s="6" t="s">
        <v>5046</v>
      </c>
      <c r="B2973" s="3" t="s">
        <v>5035</v>
      </c>
      <c r="C2973" s="4" t="s">
        <v>156</v>
      </c>
      <c r="D2973" s="7">
        <v>1371.2</v>
      </c>
      <c r="E2973" s="31" t="s">
        <v>9</v>
      </c>
      <c r="F2973" s="32">
        <v>987.7</v>
      </c>
      <c r="G2973" s="33">
        <f>(D2973-F2973)/F2973</f>
        <v>0.388275792244609</v>
      </c>
    </row>
    <row r="2974" spans="1:7">
      <c r="A2974" s="6" t="s">
        <v>5047</v>
      </c>
      <c r="B2974" s="3" t="s">
        <v>5037</v>
      </c>
      <c r="C2974" s="4" t="s">
        <v>156</v>
      </c>
      <c r="D2974" s="7">
        <v>1445.15</v>
      </c>
      <c r="E2974" s="31" t="s">
        <v>9</v>
      </c>
      <c r="F2974" s="32">
        <v>1080.6</v>
      </c>
      <c r="G2974" s="33">
        <f>(D2974-F2974)/F2974</f>
        <v>0.337358874699241</v>
      </c>
    </row>
    <row r="2975" spans="1:7">
      <c r="A2975" s="6" t="s">
        <v>5048</v>
      </c>
      <c r="B2975" s="3" t="s">
        <v>5023</v>
      </c>
      <c r="C2975" s="4"/>
      <c r="D2975" s="14"/>
      <c r="E2975" s="31" t="s">
        <v>9</v>
      </c>
    </row>
    <row r="2976" spans="1:7">
      <c r="A2976" s="6" t="s">
        <v>5049</v>
      </c>
      <c r="B2976" s="3" t="s">
        <v>5035</v>
      </c>
      <c r="C2976" s="4" t="s">
        <v>156</v>
      </c>
      <c r="D2976" s="7">
        <v>2448.05</v>
      </c>
      <c r="E2976" s="31" t="s">
        <v>9</v>
      </c>
      <c r="F2976" s="32">
        <v>1768.5</v>
      </c>
      <c r="G2976" s="33">
        <f>(D2976-F2976)/F2976</f>
        <v>0.38425219112242</v>
      </c>
    </row>
    <row r="2977" spans="1:7">
      <c r="A2977" s="6" t="s">
        <v>5050</v>
      </c>
      <c r="B2977" s="3" t="s">
        <v>5037</v>
      </c>
      <c r="C2977" s="4" t="s">
        <v>156</v>
      </c>
      <c r="D2977" s="7">
        <v>2291.55</v>
      </c>
      <c r="E2977" s="31" t="s">
        <v>9</v>
      </c>
      <c r="F2977" s="32">
        <v>1780.15</v>
      </c>
      <c r="G2977" s="33">
        <f>(D2977-F2977)/F2977</f>
        <v>0.287279161868382</v>
      </c>
    </row>
    <row r="2978" spans="1:7">
      <c r="A2978" s="6" t="s">
        <v>5051</v>
      </c>
      <c r="B2978" s="3" t="s">
        <v>5025</v>
      </c>
      <c r="C2978" s="4"/>
      <c r="D2978" s="14"/>
      <c r="E2978" s="31" t="s">
        <v>9</v>
      </c>
    </row>
    <row r="2979" spans="1:7">
      <c r="A2979" s="6" t="s">
        <v>5052</v>
      </c>
      <c r="B2979" s="3" t="s">
        <v>5035</v>
      </c>
      <c r="C2979" s="4" t="s">
        <v>156</v>
      </c>
      <c r="D2979" s="7">
        <v>3664.75</v>
      </c>
      <c r="E2979" s="31" t="s">
        <v>9</v>
      </c>
      <c r="F2979" s="32">
        <v>2503.1</v>
      </c>
      <c r="G2979" s="33">
        <f>(D2979-F2979)/F2979</f>
        <v>0.464084535176381</v>
      </c>
    </row>
    <row r="2980" spans="1:7">
      <c r="A2980" s="6" t="s">
        <v>5053</v>
      </c>
      <c r="B2980" s="3" t="s">
        <v>5037</v>
      </c>
      <c r="C2980" s="4" t="s">
        <v>156</v>
      </c>
      <c r="D2980" s="7">
        <v>3855.4</v>
      </c>
      <c r="E2980" s="31" t="s">
        <v>9</v>
      </c>
      <c r="F2980" s="32">
        <v>2944.5</v>
      </c>
      <c r="G2980" s="33">
        <f>(D2980-F2980)/F2980</f>
        <v>0.309356427237222</v>
      </c>
    </row>
    <row r="2981" ht="31" customHeight="1" spans="1:7">
      <c r="A2981" s="6" t="s">
        <v>5054</v>
      </c>
      <c r="B2981" s="12" t="s">
        <v>5055</v>
      </c>
      <c r="C2981" s="4"/>
      <c r="D2981" s="14"/>
      <c r="E2981" s="31" t="s">
        <v>9</v>
      </c>
    </row>
    <row r="2982" spans="1:7">
      <c r="A2982" s="6" t="s">
        <v>5056</v>
      </c>
      <c r="B2982" s="3" t="s">
        <v>5004</v>
      </c>
      <c r="C2982" s="4" t="s">
        <v>156</v>
      </c>
      <c r="D2982" s="7">
        <v>329.3</v>
      </c>
      <c r="E2982" s="31" t="s">
        <v>9</v>
      </c>
      <c r="F2982" s="32">
        <v>243.6</v>
      </c>
      <c r="G2982" s="33">
        <f>(D2982-F2982)/F2982</f>
        <v>0.351806239737274</v>
      </c>
    </row>
    <row r="2983" spans="1:7">
      <c r="A2983" s="6" t="s">
        <v>5057</v>
      </c>
      <c r="B2983" s="3" t="s">
        <v>5006</v>
      </c>
      <c r="C2983" s="4" t="s">
        <v>156</v>
      </c>
      <c r="D2983" s="7">
        <v>380</v>
      </c>
      <c r="E2983" s="31" t="s">
        <v>9</v>
      </c>
      <c r="F2983" s="32">
        <v>280.65</v>
      </c>
      <c r="G2983" s="33">
        <f>(D2983-F2983)/F2983</f>
        <v>0.353999643684304</v>
      </c>
    </row>
    <row r="2984" spans="1:7">
      <c r="A2984" s="6" t="s">
        <v>5058</v>
      </c>
      <c r="B2984" s="3" t="s">
        <v>5014</v>
      </c>
      <c r="C2984" s="4" t="s">
        <v>156</v>
      </c>
      <c r="D2984" s="7">
        <v>486.8</v>
      </c>
      <c r="E2984" s="31" t="s">
        <v>9</v>
      </c>
      <c r="F2984" s="32">
        <v>363.7</v>
      </c>
      <c r="G2984" s="33">
        <f>(D2984-F2984)/F2984</f>
        <v>0.338465768490514</v>
      </c>
    </row>
    <row r="2985" spans="1:7">
      <c r="A2985" s="6" t="s">
        <v>5059</v>
      </c>
      <c r="B2985" s="12" t="s">
        <v>5060</v>
      </c>
      <c r="C2985" s="4"/>
      <c r="D2985" s="14"/>
      <c r="E2985" s="31" t="s">
        <v>9</v>
      </c>
    </row>
    <row r="2986" spans="1:7">
      <c r="A2986" s="6" t="s">
        <v>5061</v>
      </c>
      <c r="B2986" s="3" t="s">
        <v>5062</v>
      </c>
      <c r="C2986" s="4"/>
      <c r="D2986" s="14"/>
      <c r="E2986" s="31" t="s">
        <v>9</v>
      </c>
    </row>
    <row r="2987" spans="1:7">
      <c r="A2987" s="6" t="s">
        <v>5063</v>
      </c>
      <c r="B2987" s="3" t="s">
        <v>5004</v>
      </c>
      <c r="C2987" s="4" t="s">
        <v>156</v>
      </c>
      <c r="D2987" s="7">
        <v>85</v>
      </c>
      <c r="E2987" s="31" t="s">
        <v>9</v>
      </c>
      <c r="F2987" s="32">
        <v>59.4</v>
      </c>
      <c r="G2987" s="33">
        <f>(D2987-F2987)/F2987</f>
        <v>0.430976430976431</v>
      </c>
    </row>
    <row r="2988" spans="1:7">
      <c r="A2988" s="6" t="s">
        <v>5064</v>
      </c>
      <c r="B2988" s="3" t="s">
        <v>5006</v>
      </c>
      <c r="C2988" s="4" t="s">
        <v>156</v>
      </c>
      <c r="D2988" s="7">
        <v>93.55</v>
      </c>
      <c r="E2988" s="31" t="s">
        <v>9</v>
      </c>
      <c r="F2988" s="32">
        <v>65.2</v>
      </c>
      <c r="G2988" s="33">
        <f>(D2988-F2988)/F2988</f>
        <v>0.434815950920245</v>
      </c>
    </row>
    <row r="2989" spans="1:7">
      <c r="A2989" s="6" t="s">
        <v>5065</v>
      </c>
      <c r="B2989" s="3" t="s">
        <v>5066</v>
      </c>
      <c r="C2989" s="4"/>
      <c r="D2989" s="14"/>
      <c r="E2989" s="31" t="s">
        <v>9</v>
      </c>
    </row>
    <row r="2990" spans="1:7">
      <c r="A2990" s="6" t="s">
        <v>5067</v>
      </c>
      <c r="B2990" s="3" t="s">
        <v>5004</v>
      </c>
      <c r="C2990" s="4" t="s">
        <v>156</v>
      </c>
      <c r="D2990" s="7">
        <v>97.75</v>
      </c>
      <c r="E2990" s="31" t="s">
        <v>9</v>
      </c>
      <c r="F2990" s="32">
        <v>67.8</v>
      </c>
      <c r="G2990" s="33">
        <f>(D2990-F2990)/F2990</f>
        <v>0.441740412979351</v>
      </c>
    </row>
    <row r="2991" spans="1:7">
      <c r="A2991" s="6" t="s">
        <v>5068</v>
      </c>
      <c r="B2991" s="3" t="s">
        <v>5006</v>
      </c>
      <c r="C2991" s="4" t="s">
        <v>156</v>
      </c>
      <c r="D2991" s="7">
        <v>119.05</v>
      </c>
      <c r="E2991" s="31" t="s">
        <v>9</v>
      </c>
      <c r="F2991" s="32">
        <v>82.9</v>
      </c>
      <c r="G2991" s="33">
        <f>(D2991-F2991)/F2991</f>
        <v>0.436067551266586</v>
      </c>
    </row>
    <row r="2992" spans="1:7">
      <c r="A2992" s="6" t="s">
        <v>5069</v>
      </c>
      <c r="B2992" s="12" t="s">
        <v>5070</v>
      </c>
      <c r="C2992" s="4"/>
      <c r="D2992" s="14"/>
      <c r="E2992" s="31" t="s">
        <v>9</v>
      </c>
    </row>
    <row r="2993" spans="1:7">
      <c r="A2993" s="6" t="s">
        <v>5071</v>
      </c>
      <c r="B2993" s="3" t="s">
        <v>2847</v>
      </c>
      <c r="C2993" s="4" t="s">
        <v>156</v>
      </c>
      <c r="D2993" s="7">
        <v>193.95</v>
      </c>
      <c r="E2993" s="31" t="s">
        <v>9</v>
      </c>
      <c r="F2993" s="32">
        <v>71.65</v>
      </c>
      <c r="G2993" s="33">
        <f>(D2993-F2993)/F2993</f>
        <v>1.70690858339149</v>
      </c>
    </row>
    <row r="2994" spans="1:7">
      <c r="A2994" s="6" t="s">
        <v>5072</v>
      </c>
      <c r="B2994" s="3" t="s">
        <v>2849</v>
      </c>
      <c r="C2994" s="4" t="s">
        <v>156</v>
      </c>
      <c r="D2994" s="7">
        <v>222.35</v>
      </c>
      <c r="E2994" s="31" t="s">
        <v>9</v>
      </c>
      <c r="F2994" s="32">
        <v>85.9</v>
      </c>
      <c r="G2994" s="33">
        <f>(D2994-F2994)/F2994</f>
        <v>1.58847497089639</v>
      </c>
    </row>
    <row r="2995" spans="1:7">
      <c r="A2995" s="40"/>
      <c r="B2995" s="12" t="s">
        <v>5073</v>
      </c>
      <c r="C2995" s="4"/>
      <c r="D2995" s="14"/>
      <c r="E2995" s="31" t="s">
        <v>9</v>
      </c>
    </row>
    <row r="2996" ht="31" customHeight="1" spans="1:7">
      <c r="A2996" s="6" t="s">
        <v>5074</v>
      </c>
      <c r="B2996" s="12" t="s">
        <v>5075</v>
      </c>
      <c r="C2996" s="4" t="s">
        <v>675</v>
      </c>
      <c r="D2996" s="7">
        <v>361.65</v>
      </c>
      <c r="E2996" s="31" t="s">
        <v>9</v>
      </c>
      <c r="F2996" s="32">
        <v>152.8</v>
      </c>
      <c r="G2996" s="33">
        <f>(D2996-F2996)/F2996</f>
        <v>1.36681937172775</v>
      </c>
    </row>
    <row r="2997" ht="31" customHeight="1" spans="1:7">
      <c r="A2997" s="6" t="s">
        <v>5076</v>
      </c>
      <c r="B2997" s="12" t="s">
        <v>5077</v>
      </c>
      <c r="C2997" s="4" t="s">
        <v>675</v>
      </c>
      <c r="D2997" s="7">
        <v>661.85</v>
      </c>
      <c r="E2997" s="31" t="s">
        <v>9</v>
      </c>
      <c r="F2997" s="32">
        <v>284.2</v>
      </c>
      <c r="G2997" s="33">
        <f>(D2997-F2997)/F2997</f>
        <v>1.32881773399015</v>
      </c>
    </row>
    <row r="2998" ht="31" customHeight="1" spans="1:7">
      <c r="A2998" s="6" t="s">
        <v>5078</v>
      </c>
      <c r="B2998" s="12" t="s">
        <v>5079</v>
      </c>
      <c r="C2998" s="4"/>
      <c r="D2998" s="14"/>
      <c r="E2998" s="31" t="s">
        <v>9</v>
      </c>
    </row>
    <row r="2999" spans="1:7">
      <c r="A2999" s="6" t="s">
        <v>5080</v>
      </c>
      <c r="B2999" s="3" t="s">
        <v>5081</v>
      </c>
      <c r="C2999" s="4" t="s">
        <v>675</v>
      </c>
      <c r="D2999" s="7">
        <v>6352.4</v>
      </c>
      <c r="E2999" s="31" t="s">
        <v>9</v>
      </c>
      <c r="F2999" s="32">
        <v>4476.3</v>
      </c>
      <c r="G2999" s="33">
        <f>(D2999-F2999)/F2999</f>
        <v>0.419118468377901</v>
      </c>
    </row>
    <row r="3000" spans="1:7">
      <c r="A3000" s="6" t="s">
        <v>5082</v>
      </c>
      <c r="B3000" s="3" t="s">
        <v>5083</v>
      </c>
      <c r="C3000" s="4" t="s">
        <v>675</v>
      </c>
      <c r="D3000" s="7">
        <v>6352.4</v>
      </c>
      <c r="E3000" s="31" t="s">
        <v>9</v>
      </c>
      <c r="F3000" s="32">
        <v>4592.45</v>
      </c>
      <c r="G3000" s="33">
        <f>(D3000-F3000)/F3000</f>
        <v>0.383226817929428</v>
      </c>
    </row>
    <row r="3001" ht="31" customHeight="1" spans="1:7">
      <c r="A3001" s="6" t="s">
        <v>5084</v>
      </c>
      <c r="B3001" s="12" t="s">
        <v>5085</v>
      </c>
      <c r="C3001" s="4"/>
      <c r="D3001" s="14"/>
      <c r="E3001" s="31" t="s">
        <v>9</v>
      </c>
    </row>
    <row r="3002" spans="1:7">
      <c r="A3002" s="6" t="s">
        <v>5086</v>
      </c>
      <c r="B3002" s="3" t="s">
        <v>5081</v>
      </c>
      <c r="C3002" s="4" t="s">
        <v>675</v>
      </c>
      <c r="D3002" s="7">
        <v>8913.15</v>
      </c>
      <c r="E3002" s="31" t="s">
        <v>9</v>
      </c>
      <c r="F3002" s="32">
        <v>6683.15</v>
      </c>
      <c r="G3002" s="33">
        <f>(D3002-F3002)/F3002</f>
        <v>0.333674988590709</v>
      </c>
    </row>
    <row r="3003" spans="1:7">
      <c r="A3003" s="6" t="s">
        <v>5087</v>
      </c>
      <c r="B3003" s="3" t="s">
        <v>5083</v>
      </c>
      <c r="C3003" s="4" t="s">
        <v>675</v>
      </c>
      <c r="D3003" s="7">
        <v>8486.35</v>
      </c>
      <c r="E3003" s="31" t="s">
        <v>9</v>
      </c>
      <c r="F3003" s="32">
        <v>6683.15</v>
      </c>
      <c r="G3003" s="33">
        <f>(D3003-F3003)/F3003</f>
        <v>0.269812887635322</v>
      </c>
    </row>
    <row r="3004" ht="31" customHeight="1" spans="1:7">
      <c r="A3004" s="6" t="s">
        <v>5088</v>
      </c>
      <c r="B3004" s="12" t="s">
        <v>5089</v>
      </c>
      <c r="C3004" s="4"/>
      <c r="D3004" s="14"/>
      <c r="E3004" s="31" t="s">
        <v>9</v>
      </c>
    </row>
    <row r="3005" spans="1:7">
      <c r="A3005" s="6" t="s">
        <v>5090</v>
      </c>
      <c r="B3005" s="3" t="s">
        <v>3851</v>
      </c>
      <c r="C3005" s="4" t="s">
        <v>49</v>
      </c>
      <c r="D3005" s="7">
        <v>1423.1</v>
      </c>
      <c r="E3005" s="31" t="s">
        <v>9</v>
      </c>
      <c r="F3005" s="32">
        <v>1078.25</v>
      </c>
      <c r="G3005" s="33">
        <f t="shared" ref="G3005:G3015" si="53">(D3005-F3005)/F3005</f>
        <v>0.319823788546255</v>
      </c>
    </row>
    <row r="3006" spans="1:7">
      <c r="A3006" s="6" t="s">
        <v>5091</v>
      </c>
      <c r="B3006" s="3" t="s">
        <v>5092</v>
      </c>
      <c r="C3006" s="4" t="s">
        <v>49</v>
      </c>
      <c r="D3006" s="7">
        <v>1729.35</v>
      </c>
      <c r="E3006" s="31" t="s">
        <v>9</v>
      </c>
      <c r="F3006" s="32">
        <v>1343.8</v>
      </c>
      <c r="G3006" s="33">
        <f t="shared" si="53"/>
        <v>0.286910254502158</v>
      </c>
    </row>
    <row r="3007" spans="1:7">
      <c r="A3007" s="6" t="s">
        <v>5093</v>
      </c>
      <c r="B3007" s="3" t="s">
        <v>3853</v>
      </c>
      <c r="C3007" s="4" t="s">
        <v>49</v>
      </c>
      <c r="D3007" s="7">
        <v>2037</v>
      </c>
      <c r="E3007" s="31" t="s">
        <v>9</v>
      </c>
      <c r="F3007" s="32">
        <v>1621.6</v>
      </c>
      <c r="G3007" s="33">
        <f t="shared" si="53"/>
        <v>0.256166748889985</v>
      </c>
    </row>
    <row r="3008" spans="1:7">
      <c r="A3008" s="6" t="s">
        <v>5094</v>
      </c>
      <c r="B3008" s="3" t="s">
        <v>5095</v>
      </c>
      <c r="C3008" s="4" t="s">
        <v>49</v>
      </c>
      <c r="D3008" s="7">
        <v>3406.85</v>
      </c>
      <c r="E3008" s="31" t="s">
        <v>9</v>
      </c>
      <c r="F3008" s="32">
        <v>2750.55</v>
      </c>
      <c r="G3008" s="33">
        <f t="shared" si="53"/>
        <v>0.238606824089727</v>
      </c>
    </row>
    <row r="3009" spans="1:7">
      <c r="A3009" s="6" t="s">
        <v>5096</v>
      </c>
      <c r="B3009" s="3" t="s">
        <v>5097</v>
      </c>
      <c r="C3009" s="4" t="s">
        <v>49</v>
      </c>
      <c r="D3009" s="7">
        <v>4639.8</v>
      </c>
      <c r="E3009" s="31" t="s">
        <v>9</v>
      </c>
      <c r="F3009" s="32">
        <v>3591.65</v>
      </c>
      <c r="G3009" s="33">
        <f t="shared" si="53"/>
        <v>0.291829660462462</v>
      </c>
    </row>
    <row r="3010" spans="1:7">
      <c r="A3010" s="6" t="s">
        <v>5098</v>
      </c>
      <c r="B3010" s="3" t="s">
        <v>5099</v>
      </c>
      <c r="C3010" s="4" t="s">
        <v>49</v>
      </c>
      <c r="D3010" s="7">
        <v>6128.65</v>
      </c>
      <c r="E3010" s="31" t="s">
        <v>9</v>
      </c>
      <c r="F3010" s="32">
        <v>4841.35</v>
      </c>
      <c r="G3010" s="33">
        <f t="shared" si="53"/>
        <v>0.265896908920032</v>
      </c>
    </row>
    <row r="3011" spans="1:7">
      <c r="A3011" s="6" t="s">
        <v>5100</v>
      </c>
      <c r="B3011" s="3" t="s">
        <v>5101</v>
      </c>
      <c r="C3011" s="4" t="s">
        <v>49</v>
      </c>
      <c r="D3011" s="7">
        <v>7343.8</v>
      </c>
      <c r="E3011" s="31" t="s">
        <v>9</v>
      </c>
      <c r="F3011" s="32">
        <v>5808.35</v>
      </c>
      <c r="G3011" s="33">
        <f t="shared" si="53"/>
        <v>0.264352182633622</v>
      </c>
    </row>
    <row r="3012" spans="1:7">
      <c r="A3012" s="6" t="s">
        <v>5102</v>
      </c>
      <c r="B3012" s="3" t="s">
        <v>5103</v>
      </c>
      <c r="C3012" s="4" t="s">
        <v>49</v>
      </c>
      <c r="D3012" s="7">
        <v>9701</v>
      </c>
      <c r="E3012" s="31" t="s">
        <v>9</v>
      </c>
      <c r="F3012" s="32">
        <v>7649.3</v>
      </c>
      <c r="G3012" s="33">
        <f t="shared" si="53"/>
        <v>0.268220621494777</v>
      </c>
    </row>
    <row r="3013" spans="1:7">
      <c r="A3013" s="6" t="s">
        <v>5104</v>
      </c>
      <c r="B3013" s="3" t="s">
        <v>5105</v>
      </c>
      <c r="C3013" s="4" t="s">
        <v>49</v>
      </c>
      <c r="D3013" s="7">
        <v>11714.85</v>
      </c>
      <c r="E3013" s="31" t="s">
        <v>9</v>
      </c>
      <c r="F3013" s="32">
        <v>9262.1</v>
      </c>
      <c r="G3013" s="33">
        <f t="shared" si="53"/>
        <v>0.264815754526511</v>
      </c>
    </row>
    <row r="3014" spans="1:7">
      <c r="A3014" s="6" t="s">
        <v>5106</v>
      </c>
      <c r="B3014" s="3" t="s">
        <v>5107</v>
      </c>
      <c r="C3014" s="4" t="s">
        <v>49</v>
      </c>
      <c r="D3014" s="7">
        <v>13728.75</v>
      </c>
      <c r="E3014" s="31" t="s">
        <v>9</v>
      </c>
      <c r="F3014" s="32">
        <v>10753.4</v>
      </c>
      <c r="G3014" s="33">
        <f t="shared" si="53"/>
        <v>0.276689233172764</v>
      </c>
    </row>
    <row r="3015" spans="1:7">
      <c r="A3015" s="6" t="s">
        <v>5108</v>
      </c>
      <c r="B3015" s="3" t="s">
        <v>5109</v>
      </c>
      <c r="C3015" s="4" t="s">
        <v>49</v>
      </c>
      <c r="D3015" s="7">
        <v>18636.45</v>
      </c>
      <c r="E3015" s="31" t="s">
        <v>9</v>
      </c>
      <c r="F3015" s="32">
        <v>15033.6</v>
      </c>
      <c r="G3015" s="33">
        <f t="shared" si="53"/>
        <v>0.23965317688378</v>
      </c>
    </row>
    <row r="3016" ht="31" customHeight="1" spans="1:7">
      <c r="A3016" s="6" t="s">
        <v>5110</v>
      </c>
      <c r="B3016" s="12" t="s">
        <v>5111</v>
      </c>
      <c r="C3016" s="4"/>
      <c r="D3016" s="14"/>
      <c r="E3016" s="31" t="s">
        <v>9</v>
      </c>
    </row>
    <row r="3017" spans="1:7">
      <c r="A3017" s="6" t="s">
        <v>5112</v>
      </c>
      <c r="B3017" s="3" t="s">
        <v>4770</v>
      </c>
      <c r="C3017" s="4" t="s">
        <v>156</v>
      </c>
      <c r="D3017" s="7">
        <v>496.4</v>
      </c>
      <c r="E3017" s="31" t="s">
        <v>9</v>
      </c>
      <c r="F3017" s="32">
        <v>224.65</v>
      </c>
      <c r="G3017" s="33">
        <f t="shared" ref="G3017:G3028" si="54">(D3017-F3017)/F3017</f>
        <v>1.20965947028711</v>
      </c>
    </row>
    <row r="3018" spans="1:7">
      <c r="A3018" s="6" t="s">
        <v>5113</v>
      </c>
      <c r="B3018" s="3" t="s">
        <v>5114</v>
      </c>
      <c r="C3018" s="4" t="s">
        <v>156</v>
      </c>
      <c r="D3018" s="7">
        <v>737.5</v>
      </c>
      <c r="E3018" s="31" t="s">
        <v>9</v>
      </c>
      <c r="F3018" s="32">
        <v>332</v>
      </c>
      <c r="G3018" s="33">
        <f t="shared" si="54"/>
        <v>1.22138554216867</v>
      </c>
    </row>
    <row r="3019" spans="1:7">
      <c r="A3019" s="6" t="s">
        <v>5115</v>
      </c>
      <c r="B3019" s="3" t="s">
        <v>5116</v>
      </c>
      <c r="C3019" s="4" t="s">
        <v>156</v>
      </c>
      <c r="D3019" s="7">
        <v>744.85</v>
      </c>
      <c r="E3019" s="31" t="s">
        <v>9</v>
      </c>
      <c r="F3019" s="32">
        <v>337.2</v>
      </c>
      <c r="G3019" s="33">
        <f t="shared" si="54"/>
        <v>1.20892645314354</v>
      </c>
    </row>
    <row r="3020" spans="1:7">
      <c r="A3020" s="6" t="s">
        <v>5117</v>
      </c>
      <c r="B3020" s="3" t="s">
        <v>5118</v>
      </c>
      <c r="C3020" s="4" t="s">
        <v>156</v>
      </c>
      <c r="D3020" s="7">
        <v>990.2</v>
      </c>
      <c r="E3020" s="31" t="s">
        <v>9</v>
      </c>
      <c r="F3020" s="32">
        <v>447.5</v>
      </c>
      <c r="G3020" s="33">
        <f t="shared" si="54"/>
        <v>1.2127374301676</v>
      </c>
    </row>
    <row r="3021" spans="1:7">
      <c r="A3021" s="6" t="s">
        <v>5119</v>
      </c>
      <c r="B3021" s="3" t="s">
        <v>5120</v>
      </c>
      <c r="C3021" s="4" t="s">
        <v>156</v>
      </c>
      <c r="D3021" s="7">
        <v>1237.8</v>
      </c>
      <c r="E3021" s="31" t="s">
        <v>9</v>
      </c>
      <c r="F3021" s="32">
        <v>559.2</v>
      </c>
      <c r="G3021" s="33">
        <f t="shared" si="54"/>
        <v>1.21351931330472</v>
      </c>
    </row>
    <row r="3022" spans="1:7">
      <c r="A3022" s="6" t="s">
        <v>5121</v>
      </c>
      <c r="B3022" s="3" t="s">
        <v>5122</v>
      </c>
      <c r="C3022" s="4" t="s">
        <v>156</v>
      </c>
      <c r="D3022" s="7">
        <v>1488.8</v>
      </c>
      <c r="E3022" s="31" t="s">
        <v>9</v>
      </c>
      <c r="F3022" s="32">
        <v>673.25</v>
      </c>
      <c r="G3022" s="33">
        <f t="shared" si="54"/>
        <v>1.2113627924248</v>
      </c>
    </row>
    <row r="3023" spans="1:7">
      <c r="A3023" s="6" t="s">
        <v>5123</v>
      </c>
      <c r="B3023" s="3" t="s">
        <v>5124</v>
      </c>
      <c r="C3023" s="4" t="s">
        <v>156</v>
      </c>
      <c r="D3023" s="7">
        <v>1513.6</v>
      </c>
      <c r="E3023" s="31" t="s">
        <v>9</v>
      </c>
      <c r="F3023" s="32">
        <v>690.85</v>
      </c>
      <c r="G3023" s="33">
        <f t="shared" si="54"/>
        <v>1.1909242237823</v>
      </c>
    </row>
    <row r="3024" spans="1:7">
      <c r="A3024" s="6" t="s">
        <v>5125</v>
      </c>
      <c r="B3024" s="3" t="s">
        <v>5126</v>
      </c>
      <c r="C3024" s="4" t="s">
        <v>156</v>
      </c>
      <c r="D3024" s="7">
        <v>1993.75</v>
      </c>
      <c r="E3024" s="31" t="s">
        <v>9</v>
      </c>
      <c r="F3024" s="32">
        <v>904.05</v>
      </c>
      <c r="G3024" s="33">
        <f t="shared" si="54"/>
        <v>1.20535368618992</v>
      </c>
    </row>
    <row r="3025" spans="1:7">
      <c r="A3025" s="6" t="s">
        <v>5127</v>
      </c>
      <c r="B3025" s="3" t="s">
        <v>5128</v>
      </c>
      <c r="C3025" s="4" t="s">
        <v>156</v>
      </c>
      <c r="D3025" s="7">
        <v>2238.45</v>
      </c>
      <c r="E3025" s="31" t="s">
        <v>9</v>
      </c>
      <c r="F3025" s="32">
        <v>1013.9</v>
      </c>
      <c r="G3025" s="33">
        <f t="shared" si="54"/>
        <v>1.20776210671664</v>
      </c>
    </row>
    <row r="3026" spans="1:7">
      <c r="A3026" s="6" t="s">
        <v>5129</v>
      </c>
      <c r="B3026" s="3" t="s">
        <v>5130</v>
      </c>
      <c r="C3026" s="4" t="s">
        <v>156</v>
      </c>
      <c r="D3026" s="7">
        <v>2366.45</v>
      </c>
      <c r="E3026" s="31" t="s">
        <v>9</v>
      </c>
      <c r="F3026" s="32">
        <v>1072.75</v>
      </c>
      <c r="G3026" s="33">
        <f t="shared" si="54"/>
        <v>1.20596597529713</v>
      </c>
    </row>
    <row r="3027" spans="1:7">
      <c r="A3027" s="6" t="s">
        <v>5131</v>
      </c>
      <c r="B3027" s="3" t="s">
        <v>5132</v>
      </c>
      <c r="C3027" s="4" t="s">
        <v>156</v>
      </c>
      <c r="D3027" s="7">
        <v>3211.4</v>
      </c>
      <c r="E3027" s="31" t="s">
        <v>9</v>
      </c>
      <c r="F3027" s="32">
        <v>1449.4</v>
      </c>
      <c r="G3027" s="33">
        <f t="shared" si="54"/>
        <v>1.21567545191114</v>
      </c>
    </row>
    <row r="3028" spans="1:7">
      <c r="A3028" s="6" t="s">
        <v>5133</v>
      </c>
      <c r="B3028" s="12" t="s">
        <v>5134</v>
      </c>
      <c r="C3028" s="4" t="s">
        <v>675</v>
      </c>
      <c r="D3028" s="7">
        <v>29875.4</v>
      </c>
      <c r="E3028" s="31" t="s">
        <v>9</v>
      </c>
      <c r="F3028" s="32">
        <v>16039.4</v>
      </c>
      <c r="G3028" s="33">
        <f t="shared" si="54"/>
        <v>0.862625784006883</v>
      </c>
    </row>
    <row r="3029" ht="31" customHeight="1" spans="1:7">
      <c r="A3029" s="6" t="s">
        <v>5135</v>
      </c>
      <c r="B3029" s="12" t="s">
        <v>5136</v>
      </c>
      <c r="C3029" s="4"/>
      <c r="D3029" s="14"/>
      <c r="E3029" s="31" t="s">
        <v>9</v>
      </c>
    </row>
    <row r="3030" spans="1:7">
      <c r="A3030" s="6" t="s">
        <v>5137</v>
      </c>
      <c r="B3030" s="3" t="s">
        <v>5138</v>
      </c>
      <c r="C3030" s="4" t="s">
        <v>156</v>
      </c>
      <c r="D3030" s="7">
        <v>215.1</v>
      </c>
      <c r="E3030" s="31" t="s">
        <v>9</v>
      </c>
      <c r="F3030" s="32">
        <v>119.55</v>
      </c>
      <c r="G3030" s="33">
        <f t="shared" ref="G3030:G3041" si="55">(D3030-F3030)/F3030</f>
        <v>0.799247176913425</v>
      </c>
    </row>
    <row r="3031" spans="1:7">
      <c r="A3031" s="6" t="s">
        <v>5139</v>
      </c>
      <c r="B3031" s="3" t="s">
        <v>4770</v>
      </c>
      <c r="C3031" s="4" t="s">
        <v>156</v>
      </c>
      <c r="D3031" s="7">
        <v>332</v>
      </c>
      <c r="E3031" s="31" t="s">
        <v>9</v>
      </c>
      <c r="F3031" s="32">
        <v>193.85</v>
      </c>
      <c r="G3031" s="33">
        <f t="shared" si="55"/>
        <v>0.712664431261285</v>
      </c>
    </row>
    <row r="3032" spans="1:7">
      <c r="A3032" s="6" t="s">
        <v>5140</v>
      </c>
      <c r="B3032" s="3" t="s">
        <v>5114</v>
      </c>
      <c r="C3032" s="4" t="s">
        <v>156</v>
      </c>
      <c r="D3032" s="7">
        <v>351.9</v>
      </c>
      <c r="E3032" s="31" t="s">
        <v>9</v>
      </c>
      <c r="F3032" s="32">
        <v>205.45</v>
      </c>
      <c r="G3032" s="33">
        <f t="shared" si="55"/>
        <v>0.712825504989048</v>
      </c>
    </row>
    <row r="3033" spans="1:7">
      <c r="A3033" s="6" t="s">
        <v>5141</v>
      </c>
      <c r="B3033" s="3" t="s">
        <v>5116</v>
      </c>
      <c r="C3033" s="4" t="s">
        <v>156</v>
      </c>
      <c r="D3033" s="7">
        <v>387.4</v>
      </c>
      <c r="E3033" s="31" t="s">
        <v>9</v>
      </c>
      <c r="F3033" s="32">
        <v>243.05</v>
      </c>
      <c r="G3033" s="33">
        <f t="shared" si="55"/>
        <v>0.593910717959267</v>
      </c>
    </row>
    <row r="3034" spans="1:7">
      <c r="A3034" s="6" t="s">
        <v>5142</v>
      </c>
      <c r="B3034" s="3" t="s">
        <v>5118</v>
      </c>
      <c r="C3034" s="4" t="s">
        <v>156</v>
      </c>
      <c r="D3034" s="7">
        <v>428.65</v>
      </c>
      <c r="E3034" s="31" t="s">
        <v>9</v>
      </c>
      <c r="F3034" s="32">
        <v>267.45</v>
      </c>
      <c r="G3034" s="33">
        <f t="shared" si="55"/>
        <v>0.602729482146195</v>
      </c>
    </row>
    <row r="3035" spans="1:7">
      <c r="A3035" s="6" t="s">
        <v>5143</v>
      </c>
      <c r="B3035" s="3" t="s">
        <v>5120</v>
      </c>
      <c r="C3035" s="4" t="s">
        <v>156</v>
      </c>
      <c r="D3035" s="7">
        <v>596.65</v>
      </c>
      <c r="E3035" s="31" t="s">
        <v>9</v>
      </c>
      <c r="F3035" s="32">
        <v>369.55</v>
      </c>
      <c r="G3035" s="33">
        <f t="shared" si="55"/>
        <v>0.614531186578271</v>
      </c>
    </row>
    <row r="3036" spans="1:7">
      <c r="A3036" s="6" t="s">
        <v>5144</v>
      </c>
      <c r="B3036" s="3" t="s">
        <v>5122</v>
      </c>
      <c r="C3036" s="4" t="s">
        <v>156</v>
      </c>
      <c r="D3036" s="7">
        <v>599.5</v>
      </c>
      <c r="E3036" s="31" t="s">
        <v>9</v>
      </c>
      <c r="F3036" s="32">
        <v>375.35</v>
      </c>
      <c r="G3036" s="33">
        <f t="shared" si="55"/>
        <v>0.597175969095511</v>
      </c>
    </row>
    <row r="3037" spans="1:7">
      <c r="A3037" s="6" t="s">
        <v>5145</v>
      </c>
      <c r="B3037" s="3" t="s">
        <v>5124</v>
      </c>
      <c r="C3037" s="4" t="s">
        <v>156</v>
      </c>
      <c r="D3037" s="7">
        <v>762.9</v>
      </c>
      <c r="E3037" s="31" t="s">
        <v>9</v>
      </c>
      <c r="F3037" s="32">
        <v>512.05</v>
      </c>
      <c r="G3037" s="33">
        <f t="shared" si="55"/>
        <v>0.489893565081535</v>
      </c>
    </row>
    <row r="3038" spans="1:7">
      <c r="A3038" s="6" t="s">
        <v>5146</v>
      </c>
      <c r="B3038" s="3" t="s">
        <v>5126</v>
      </c>
      <c r="C3038" s="4" t="s">
        <v>156</v>
      </c>
      <c r="D3038" s="7">
        <v>1066.8</v>
      </c>
      <c r="E3038" s="31" t="s">
        <v>9</v>
      </c>
      <c r="F3038" s="32">
        <v>725.15</v>
      </c>
      <c r="G3038" s="33">
        <f t="shared" si="55"/>
        <v>0.471143901261808</v>
      </c>
    </row>
    <row r="3039" spans="1:7">
      <c r="A3039" s="6" t="s">
        <v>5147</v>
      </c>
      <c r="B3039" s="3" t="s">
        <v>5128</v>
      </c>
      <c r="C3039" s="4" t="s">
        <v>156</v>
      </c>
      <c r="D3039" s="7">
        <v>1305.6</v>
      </c>
      <c r="E3039" s="31" t="s">
        <v>9</v>
      </c>
      <c r="F3039" s="32">
        <v>896.75</v>
      </c>
      <c r="G3039" s="33">
        <f t="shared" si="55"/>
        <v>0.455924170616114</v>
      </c>
    </row>
    <row r="3040" spans="1:7">
      <c r="A3040" s="6" t="s">
        <v>5148</v>
      </c>
      <c r="B3040" s="3" t="s">
        <v>5130</v>
      </c>
      <c r="C3040" s="4" t="s">
        <v>156</v>
      </c>
      <c r="D3040" s="7">
        <v>1437.8</v>
      </c>
      <c r="E3040" s="31" t="s">
        <v>9</v>
      </c>
      <c r="F3040" s="32">
        <v>1020.25</v>
      </c>
      <c r="G3040" s="33">
        <f t="shared" si="55"/>
        <v>0.40926243567753</v>
      </c>
    </row>
    <row r="3041" spans="1:7">
      <c r="A3041" s="6" t="s">
        <v>5149</v>
      </c>
      <c r="B3041" s="3" t="s">
        <v>5132</v>
      </c>
      <c r="C3041" s="4" t="s">
        <v>156</v>
      </c>
      <c r="D3041" s="7">
        <v>1704.1</v>
      </c>
      <c r="E3041" s="31" t="s">
        <v>9</v>
      </c>
      <c r="F3041" s="32">
        <v>1196.75</v>
      </c>
      <c r="G3041" s="33">
        <f t="shared" si="55"/>
        <v>0.423939837058701</v>
      </c>
    </row>
    <row r="3042" spans="1:7">
      <c r="A3042" s="40"/>
      <c r="B3042" s="12" t="s">
        <v>5150</v>
      </c>
      <c r="C3042" s="4"/>
      <c r="D3042" s="14"/>
      <c r="E3042" s="31" t="s">
        <v>9</v>
      </c>
    </row>
    <row r="3043" ht="31" customHeight="1" spans="1:7">
      <c r="A3043" s="6" t="s">
        <v>5151</v>
      </c>
      <c r="B3043" s="12" t="s">
        <v>5152</v>
      </c>
      <c r="C3043" s="4"/>
      <c r="D3043" s="14"/>
      <c r="E3043" s="31" t="s">
        <v>9</v>
      </c>
    </row>
    <row r="3044" spans="1:7">
      <c r="A3044" s="6" t="s">
        <v>5153</v>
      </c>
      <c r="B3044" s="3" t="s">
        <v>2847</v>
      </c>
      <c r="C3044" s="4"/>
      <c r="D3044" s="14"/>
      <c r="E3044" s="31" t="s">
        <v>9</v>
      </c>
    </row>
    <row r="3045" spans="1:7">
      <c r="A3045" s="6" t="s">
        <v>5154</v>
      </c>
      <c r="B3045" s="3" t="s">
        <v>5155</v>
      </c>
      <c r="C3045" s="4" t="s">
        <v>156</v>
      </c>
      <c r="D3045" s="7">
        <v>4791.2</v>
      </c>
      <c r="E3045" s="31" t="s">
        <v>9</v>
      </c>
      <c r="F3045" s="32">
        <v>3317.55</v>
      </c>
      <c r="G3045" s="33">
        <f>(D3045-F3045)/F3045</f>
        <v>0.444198278850356</v>
      </c>
    </row>
    <row r="3046" spans="1:7">
      <c r="A3046" s="6" t="s">
        <v>5156</v>
      </c>
      <c r="B3046" s="3" t="s">
        <v>5157</v>
      </c>
      <c r="C3046" s="4" t="s">
        <v>156</v>
      </c>
      <c r="D3046" s="7">
        <v>4985.85</v>
      </c>
      <c r="E3046" s="31" t="s">
        <v>9</v>
      </c>
      <c r="F3046" s="32">
        <v>3689.75</v>
      </c>
      <c r="G3046" s="33">
        <f>(D3046-F3046)/F3046</f>
        <v>0.351270411274477</v>
      </c>
    </row>
    <row r="3047" spans="1:7">
      <c r="A3047" s="6" t="s">
        <v>5158</v>
      </c>
      <c r="B3047" s="3" t="s">
        <v>5159</v>
      </c>
      <c r="C3047" s="4"/>
      <c r="D3047" s="14"/>
      <c r="E3047" s="31" t="s">
        <v>9</v>
      </c>
    </row>
    <row r="3048" spans="1:7">
      <c r="A3048" s="6" t="s">
        <v>5160</v>
      </c>
      <c r="B3048" s="3" t="s">
        <v>5155</v>
      </c>
      <c r="C3048" s="4" t="s">
        <v>156</v>
      </c>
      <c r="D3048" s="7">
        <v>5160.8</v>
      </c>
      <c r="E3048" s="31" t="s">
        <v>9</v>
      </c>
      <c r="F3048" s="32">
        <v>3596.8</v>
      </c>
      <c r="G3048" s="33">
        <f>(D3048-F3048)/F3048</f>
        <v>0.434830960854093</v>
      </c>
    </row>
    <row r="3049" spans="1:7">
      <c r="A3049" s="6" t="s">
        <v>5161</v>
      </c>
      <c r="B3049" s="3" t="s">
        <v>5157</v>
      </c>
      <c r="C3049" s="4" t="s">
        <v>156</v>
      </c>
      <c r="D3049" s="7">
        <v>5943</v>
      </c>
      <c r="E3049" s="31" t="s">
        <v>9</v>
      </c>
      <c r="F3049" s="32">
        <v>4329.1</v>
      </c>
      <c r="G3049" s="33">
        <f>(D3049-F3049)/F3049</f>
        <v>0.37280266106119</v>
      </c>
    </row>
    <row r="3050" spans="1:7">
      <c r="A3050" s="6" t="s">
        <v>5162</v>
      </c>
      <c r="B3050" s="3" t="s">
        <v>2849</v>
      </c>
      <c r="C3050" s="4"/>
      <c r="D3050" s="14"/>
      <c r="E3050" s="31" t="s">
        <v>9</v>
      </c>
    </row>
    <row r="3051" spans="1:7">
      <c r="A3051" s="6" t="s">
        <v>5163</v>
      </c>
      <c r="B3051" s="3" t="s">
        <v>5155</v>
      </c>
      <c r="C3051" s="4" t="s">
        <v>156</v>
      </c>
      <c r="D3051" s="7">
        <v>6966.55</v>
      </c>
      <c r="E3051" s="31" t="s">
        <v>9</v>
      </c>
      <c r="F3051" s="32">
        <v>4881.25</v>
      </c>
      <c r="G3051" s="33">
        <f>(D3051-F3051)/F3051</f>
        <v>0.427206145966709</v>
      </c>
    </row>
    <row r="3052" spans="1:7">
      <c r="A3052" s="6" t="s">
        <v>5164</v>
      </c>
      <c r="B3052" s="3" t="s">
        <v>5157</v>
      </c>
      <c r="C3052" s="4" t="s">
        <v>156</v>
      </c>
      <c r="D3052" s="7">
        <v>7312.4</v>
      </c>
      <c r="E3052" s="31" t="s">
        <v>9</v>
      </c>
      <c r="F3052" s="32">
        <v>5387.2</v>
      </c>
      <c r="G3052" s="33">
        <f>(D3052-F3052)/F3052</f>
        <v>0.357365607365607</v>
      </c>
    </row>
    <row r="3053" spans="1:7">
      <c r="A3053" s="6" t="s">
        <v>5165</v>
      </c>
      <c r="B3053" s="3" t="s">
        <v>5166</v>
      </c>
      <c r="C3053" s="4"/>
      <c r="D3053" s="14"/>
      <c r="E3053" s="31" t="s">
        <v>9</v>
      </c>
    </row>
    <row r="3054" spans="1:7">
      <c r="A3054" s="6" t="s">
        <v>5167</v>
      </c>
      <c r="B3054" s="3" t="s">
        <v>5155</v>
      </c>
      <c r="C3054" s="4" t="s">
        <v>156</v>
      </c>
      <c r="D3054" s="7">
        <v>13554.7</v>
      </c>
      <c r="E3054" s="31" t="s">
        <v>9</v>
      </c>
      <c r="F3054" s="32">
        <v>9604.5</v>
      </c>
      <c r="G3054" s="33">
        <f>(D3054-F3054)/F3054</f>
        <v>0.411286376177833</v>
      </c>
    </row>
    <row r="3055" spans="1:7">
      <c r="A3055" s="6" t="s">
        <v>5168</v>
      </c>
      <c r="B3055" s="3" t="s">
        <v>5157</v>
      </c>
      <c r="C3055" s="4" t="s">
        <v>156</v>
      </c>
      <c r="D3055" s="7">
        <v>14622.95</v>
      </c>
      <c r="E3055" s="31" t="s">
        <v>9</v>
      </c>
      <c r="F3055" s="32">
        <v>11316.05</v>
      </c>
      <c r="G3055" s="33">
        <f>(D3055-F3055)/F3055</f>
        <v>0.292230946310771</v>
      </c>
    </row>
    <row r="3056" spans="1:7">
      <c r="A3056" s="6" t="s">
        <v>5169</v>
      </c>
      <c r="B3056" s="3" t="s">
        <v>5170</v>
      </c>
      <c r="C3056" s="4"/>
      <c r="D3056" s="14"/>
      <c r="E3056" s="31" t="s">
        <v>9</v>
      </c>
    </row>
    <row r="3057" spans="1:7">
      <c r="A3057" s="6" t="s">
        <v>5171</v>
      </c>
      <c r="B3057" s="3" t="s">
        <v>5155</v>
      </c>
      <c r="C3057" s="4" t="s">
        <v>156</v>
      </c>
      <c r="D3057" s="7">
        <v>19566.55</v>
      </c>
      <c r="E3057" s="31" t="s">
        <v>9</v>
      </c>
      <c r="F3057" s="32">
        <v>14022.95</v>
      </c>
      <c r="G3057" s="33">
        <f>(D3057-F3057)/F3057</f>
        <v>0.395323380601086</v>
      </c>
    </row>
    <row r="3058" spans="1:7">
      <c r="A3058" s="6" t="s">
        <v>5172</v>
      </c>
      <c r="B3058" s="3" t="s">
        <v>5157</v>
      </c>
      <c r="C3058" s="4" t="s">
        <v>156</v>
      </c>
      <c r="D3058" s="7">
        <v>24623.5</v>
      </c>
      <c r="E3058" s="31" t="s">
        <v>9</v>
      </c>
      <c r="F3058" s="32">
        <v>18258.85</v>
      </c>
      <c r="G3058" s="33">
        <f>(D3058-F3058)/F3058</f>
        <v>0.348578908310217</v>
      </c>
    </row>
    <row r="3059" spans="1:7">
      <c r="A3059" s="6" t="s">
        <v>5173</v>
      </c>
      <c r="B3059" s="3" t="s">
        <v>5174</v>
      </c>
      <c r="C3059" s="4"/>
      <c r="D3059" s="14"/>
      <c r="E3059" s="31" t="s">
        <v>9</v>
      </c>
    </row>
    <row r="3060" spans="1:7">
      <c r="A3060" s="6" t="s">
        <v>5175</v>
      </c>
      <c r="B3060" s="3" t="s">
        <v>5155</v>
      </c>
      <c r="C3060" s="4" t="s">
        <v>156</v>
      </c>
      <c r="D3060" s="7">
        <v>27059.3</v>
      </c>
      <c r="E3060" s="31" t="s">
        <v>9</v>
      </c>
      <c r="F3060" s="32">
        <v>19468.75</v>
      </c>
      <c r="G3060" s="33">
        <f>(D3060-F3060)/F3060</f>
        <v>0.38988378812199</v>
      </c>
    </row>
    <row r="3061" spans="1:7">
      <c r="A3061" s="6" t="s">
        <v>5176</v>
      </c>
      <c r="B3061" s="3" t="s">
        <v>5157</v>
      </c>
      <c r="C3061" s="4" t="s">
        <v>156</v>
      </c>
      <c r="D3061" s="7">
        <v>30203</v>
      </c>
      <c r="E3061" s="31" t="s">
        <v>9</v>
      </c>
      <c r="F3061" s="32">
        <v>22784.75</v>
      </c>
      <c r="G3061" s="33">
        <f>(D3061-F3061)/F3061</f>
        <v>0.325579609168413</v>
      </c>
    </row>
    <row r="3062" ht="108.5" customHeight="1" spans="1:7">
      <c r="A3062" s="6" t="s">
        <v>5177</v>
      </c>
      <c r="B3062" s="12" t="s">
        <v>5178</v>
      </c>
      <c r="C3062" s="4"/>
      <c r="D3062" s="14"/>
      <c r="E3062" s="31" t="s">
        <v>9</v>
      </c>
    </row>
    <row r="3063" spans="1:7">
      <c r="A3063" s="6" t="s">
        <v>5179</v>
      </c>
      <c r="B3063" s="3" t="s">
        <v>993</v>
      </c>
      <c r="C3063" s="4" t="s">
        <v>156</v>
      </c>
      <c r="D3063" s="7">
        <v>1992.6</v>
      </c>
      <c r="E3063" s="31" t="s">
        <v>9</v>
      </c>
      <c r="F3063" s="32">
        <v>1195.35</v>
      </c>
      <c r="G3063" s="33">
        <f>(D3063-F3063)/F3063</f>
        <v>0.666959467938261</v>
      </c>
    </row>
    <row r="3064" ht="124" customHeight="1" spans="1:7">
      <c r="A3064" s="6" t="s">
        <v>5180</v>
      </c>
      <c r="B3064" s="12" t="s">
        <v>5181</v>
      </c>
      <c r="C3064" s="4"/>
      <c r="D3064" s="14"/>
      <c r="E3064" s="31" t="s">
        <v>9</v>
      </c>
    </row>
    <row r="3065" spans="1:7">
      <c r="A3065" s="6" t="s">
        <v>5182</v>
      </c>
      <c r="B3065" s="3" t="s">
        <v>993</v>
      </c>
      <c r="C3065" s="4" t="s">
        <v>156</v>
      </c>
      <c r="D3065" s="7">
        <v>10862.4</v>
      </c>
      <c r="E3065" s="31" t="s">
        <v>9</v>
      </c>
      <c r="F3065" s="32">
        <v>6849.6</v>
      </c>
      <c r="G3065" s="33">
        <f>(D3065-F3065)/F3065</f>
        <v>0.585844428871759</v>
      </c>
    </row>
    <row r="3066" ht="124" customHeight="1" spans="1:7">
      <c r="A3066" s="6" t="s">
        <v>5183</v>
      </c>
      <c r="B3066" s="12" t="s">
        <v>5184</v>
      </c>
      <c r="C3066" s="4"/>
      <c r="D3066" s="14"/>
      <c r="E3066" s="31" t="s">
        <v>9</v>
      </c>
    </row>
    <row r="3067" spans="1:7">
      <c r="A3067" s="6" t="s">
        <v>5185</v>
      </c>
      <c r="B3067" s="3" t="s">
        <v>993</v>
      </c>
      <c r="C3067" s="4" t="s">
        <v>156</v>
      </c>
      <c r="D3067" s="7">
        <v>18896.7</v>
      </c>
      <c r="E3067" s="31" t="s">
        <v>9</v>
      </c>
      <c r="F3067" s="32">
        <v>11842.75</v>
      </c>
      <c r="G3067" s="33">
        <f>(D3067-F3067)/F3067</f>
        <v>0.595634459901628</v>
      </c>
    </row>
    <row r="3068" ht="124" customHeight="1" spans="1:7">
      <c r="A3068" s="6" t="s">
        <v>5186</v>
      </c>
      <c r="B3068" s="12" t="s">
        <v>5187</v>
      </c>
      <c r="C3068" s="4"/>
      <c r="D3068" s="14"/>
      <c r="E3068" s="31" t="s">
        <v>9</v>
      </c>
    </row>
    <row r="3069" spans="1:7">
      <c r="A3069" s="6" t="s">
        <v>5188</v>
      </c>
      <c r="B3069" s="3" t="s">
        <v>993</v>
      </c>
      <c r="C3069" s="4" t="s">
        <v>156</v>
      </c>
      <c r="D3069" s="7">
        <v>26163.4</v>
      </c>
      <c r="E3069" s="31" t="s">
        <v>9</v>
      </c>
      <c r="F3069" s="32">
        <v>16334.65</v>
      </c>
      <c r="G3069" s="33">
        <f>(D3069-F3069)/F3069</f>
        <v>0.601711698750815</v>
      </c>
    </row>
    <row r="3070" ht="108.5" customHeight="1" spans="1:7">
      <c r="A3070" s="6" t="s">
        <v>5189</v>
      </c>
      <c r="B3070" s="12" t="s">
        <v>5190</v>
      </c>
      <c r="C3070" s="4"/>
      <c r="D3070" s="14"/>
      <c r="E3070" s="31" t="s">
        <v>9</v>
      </c>
    </row>
    <row r="3071" spans="1:7">
      <c r="A3071" s="6" t="s">
        <v>5191</v>
      </c>
      <c r="B3071" s="3" t="s">
        <v>993</v>
      </c>
      <c r="C3071" s="4" t="s">
        <v>156</v>
      </c>
      <c r="D3071" s="7">
        <v>10354.95</v>
      </c>
      <c r="E3071" s="31" t="s">
        <v>9</v>
      </c>
      <c r="F3071" s="32">
        <v>6529.7</v>
      </c>
      <c r="G3071" s="33">
        <f>(D3071-F3071)/F3071</f>
        <v>0.585823238433619</v>
      </c>
    </row>
    <row r="3072" ht="124" customHeight="1" spans="1:7">
      <c r="A3072" s="6" t="s">
        <v>5192</v>
      </c>
      <c r="B3072" s="12" t="s">
        <v>5193</v>
      </c>
      <c r="C3072" s="4"/>
      <c r="D3072" s="14"/>
      <c r="E3072" s="31" t="s">
        <v>9</v>
      </c>
    </row>
    <row r="3073" spans="1:7">
      <c r="A3073" s="6" t="s">
        <v>5194</v>
      </c>
      <c r="B3073" s="3" t="s">
        <v>993</v>
      </c>
      <c r="C3073" s="4" t="s">
        <v>156</v>
      </c>
      <c r="D3073" s="7">
        <v>9698.55</v>
      </c>
      <c r="E3073" s="31" t="s">
        <v>9</v>
      </c>
      <c r="F3073" s="32">
        <v>6088.6</v>
      </c>
      <c r="G3073" s="33">
        <f>(D3073-F3073)/F3073</f>
        <v>0.592903130440495</v>
      </c>
    </row>
    <row r="3074" ht="31" customHeight="1" spans="1:7">
      <c r="A3074" s="6" t="s">
        <v>5195</v>
      </c>
      <c r="B3074" s="12" t="s">
        <v>5196</v>
      </c>
      <c r="C3074" s="4"/>
      <c r="D3074" s="14"/>
      <c r="E3074" s="31" t="s">
        <v>9</v>
      </c>
    </row>
    <row r="3075" spans="1:7">
      <c r="A3075" s="6" t="s">
        <v>5197</v>
      </c>
      <c r="B3075" s="3" t="s">
        <v>5198</v>
      </c>
      <c r="C3075" s="4" t="s">
        <v>49</v>
      </c>
      <c r="D3075" s="7">
        <v>19.4</v>
      </c>
      <c r="E3075" s="31" t="s">
        <v>9</v>
      </c>
      <c r="F3075" s="32">
        <v>9.95</v>
      </c>
      <c r="G3075" s="33">
        <f t="shared" ref="G3075:G3080" si="56">(D3075-F3075)/F3075</f>
        <v>0.949748743718593</v>
      </c>
    </row>
    <row r="3076" spans="1:7">
      <c r="A3076" s="6" t="s">
        <v>5199</v>
      </c>
      <c r="B3076" s="3" t="s">
        <v>5200</v>
      </c>
      <c r="C3076" s="4" t="s">
        <v>49</v>
      </c>
      <c r="D3076" s="7">
        <v>23.25</v>
      </c>
      <c r="E3076" s="31" t="s">
        <v>9</v>
      </c>
      <c r="F3076" s="32">
        <v>11.8</v>
      </c>
      <c r="G3076" s="33">
        <f t="shared" si="56"/>
        <v>0.970338983050847</v>
      </c>
    </row>
    <row r="3077" spans="1:7">
      <c r="A3077" s="6" t="s">
        <v>5201</v>
      </c>
      <c r="B3077" s="3" t="s">
        <v>5202</v>
      </c>
      <c r="C3077" s="4" t="s">
        <v>49</v>
      </c>
      <c r="D3077" s="7">
        <v>30.25</v>
      </c>
      <c r="E3077" s="31" t="s">
        <v>9</v>
      </c>
      <c r="F3077" s="32">
        <v>15.5</v>
      </c>
      <c r="G3077" s="33">
        <f t="shared" si="56"/>
        <v>0.951612903225806</v>
      </c>
    </row>
    <row r="3078" spans="1:7">
      <c r="A3078" s="6" t="s">
        <v>5203</v>
      </c>
      <c r="B3078" s="3" t="s">
        <v>5204</v>
      </c>
      <c r="C3078" s="4" t="s">
        <v>49</v>
      </c>
      <c r="D3078" s="7">
        <v>36.35</v>
      </c>
      <c r="E3078" s="31" t="s">
        <v>9</v>
      </c>
      <c r="F3078" s="32">
        <v>18.4</v>
      </c>
      <c r="G3078" s="33">
        <f t="shared" si="56"/>
        <v>0.97554347826087</v>
      </c>
    </row>
    <row r="3079" spans="1:7">
      <c r="A3079" s="6" t="s">
        <v>5205</v>
      </c>
      <c r="B3079" s="3" t="s">
        <v>5206</v>
      </c>
      <c r="C3079" s="4" t="s">
        <v>49</v>
      </c>
      <c r="D3079" s="7">
        <v>42.65</v>
      </c>
      <c r="E3079" s="31" t="s">
        <v>9</v>
      </c>
      <c r="F3079" s="32">
        <v>21.75</v>
      </c>
      <c r="G3079" s="33">
        <f t="shared" si="56"/>
        <v>0.960919540229885</v>
      </c>
    </row>
    <row r="3080" spans="1:7">
      <c r="A3080" s="6" t="s">
        <v>5207</v>
      </c>
      <c r="B3080" s="3" t="s">
        <v>5208</v>
      </c>
      <c r="C3080" s="4" t="s">
        <v>49</v>
      </c>
      <c r="D3080" s="7">
        <v>51</v>
      </c>
      <c r="E3080" s="31" t="s">
        <v>9</v>
      </c>
      <c r="F3080" s="32">
        <v>25.75</v>
      </c>
      <c r="G3080" s="33">
        <f t="shared" si="56"/>
        <v>0.980582524271845</v>
      </c>
    </row>
    <row r="3081" ht="31" customHeight="1" spans="1:7">
      <c r="A3081" s="6" t="s">
        <v>5209</v>
      </c>
      <c r="B3081" s="12" t="s">
        <v>5210</v>
      </c>
      <c r="C3081" s="4"/>
      <c r="D3081" s="14"/>
      <c r="E3081" s="31" t="s">
        <v>9</v>
      </c>
    </row>
    <row r="3082" spans="1:7">
      <c r="A3082" s="6" t="s">
        <v>5211</v>
      </c>
      <c r="B3082" s="3" t="s">
        <v>5198</v>
      </c>
      <c r="C3082" s="4" t="s">
        <v>49</v>
      </c>
      <c r="D3082" s="7">
        <v>9.5</v>
      </c>
      <c r="E3082" s="31" t="s">
        <v>9</v>
      </c>
      <c r="F3082" s="32">
        <v>5.05</v>
      </c>
      <c r="G3082" s="33">
        <f t="shared" ref="G3082:G3087" si="57">(D3082-F3082)/F3082</f>
        <v>0.881188118811881</v>
      </c>
    </row>
    <row r="3083" spans="1:7">
      <c r="A3083" s="6" t="s">
        <v>5212</v>
      </c>
      <c r="B3083" s="3" t="s">
        <v>5200</v>
      </c>
      <c r="C3083" s="4" t="s">
        <v>49</v>
      </c>
      <c r="D3083" s="7">
        <v>11.3</v>
      </c>
      <c r="E3083" s="31" t="s">
        <v>9</v>
      </c>
      <c r="F3083" s="32">
        <v>5.95</v>
      </c>
      <c r="G3083" s="33">
        <f t="shared" si="57"/>
        <v>0.899159663865546</v>
      </c>
    </row>
    <row r="3084" spans="1:7">
      <c r="A3084" s="6" t="s">
        <v>5213</v>
      </c>
      <c r="B3084" s="3" t="s">
        <v>5202</v>
      </c>
      <c r="C3084" s="4" t="s">
        <v>49</v>
      </c>
      <c r="D3084" s="7">
        <v>14.4</v>
      </c>
      <c r="E3084" s="31" t="s">
        <v>9</v>
      </c>
      <c r="F3084" s="32">
        <v>7.6</v>
      </c>
      <c r="G3084" s="33">
        <f t="shared" si="57"/>
        <v>0.894736842105263</v>
      </c>
    </row>
    <row r="3085" spans="1:7">
      <c r="A3085" s="6" t="s">
        <v>5214</v>
      </c>
      <c r="B3085" s="3" t="s">
        <v>5204</v>
      </c>
      <c r="C3085" s="4" t="s">
        <v>49</v>
      </c>
      <c r="D3085" s="7">
        <v>17.25</v>
      </c>
      <c r="E3085" s="31" t="s">
        <v>9</v>
      </c>
      <c r="F3085" s="32">
        <v>9.05</v>
      </c>
      <c r="G3085" s="33">
        <f t="shared" si="57"/>
        <v>0.906077348066298</v>
      </c>
    </row>
    <row r="3086" spans="1:7">
      <c r="A3086" s="6" t="s">
        <v>5215</v>
      </c>
      <c r="B3086" s="3" t="s">
        <v>5206</v>
      </c>
      <c r="C3086" s="4" t="s">
        <v>49</v>
      </c>
      <c r="D3086" s="7">
        <v>20</v>
      </c>
      <c r="E3086" s="31" t="s">
        <v>9</v>
      </c>
      <c r="F3086" s="32">
        <v>10.5</v>
      </c>
      <c r="G3086" s="33">
        <f t="shared" si="57"/>
        <v>0.904761904761905</v>
      </c>
    </row>
    <row r="3087" spans="1:7">
      <c r="A3087" s="6" t="s">
        <v>5216</v>
      </c>
      <c r="B3087" s="3" t="s">
        <v>5208</v>
      </c>
      <c r="C3087" s="4" t="s">
        <v>49</v>
      </c>
      <c r="D3087" s="7">
        <v>23.85</v>
      </c>
      <c r="E3087" s="31" t="s">
        <v>9</v>
      </c>
      <c r="F3087" s="32">
        <v>12.45</v>
      </c>
      <c r="G3087" s="33">
        <f t="shared" si="57"/>
        <v>0.91566265060241</v>
      </c>
    </row>
    <row r="3088" ht="31" customHeight="1" spans="1:7">
      <c r="A3088" s="6" t="s">
        <v>5217</v>
      </c>
      <c r="B3088" s="12" t="s">
        <v>5218</v>
      </c>
      <c r="C3088" s="4"/>
      <c r="D3088" s="14"/>
      <c r="E3088" s="31" t="s">
        <v>9</v>
      </c>
    </row>
    <row r="3089" spans="1:7">
      <c r="A3089" s="6" t="s">
        <v>5219</v>
      </c>
      <c r="B3089" s="3" t="s">
        <v>5198</v>
      </c>
      <c r="C3089" s="4" t="s">
        <v>49</v>
      </c>
      <c r="D3089" s="7">
        <v>12.05</v>
      </c>
      <c r="E3089" s="31" t="s">
        <v>9</v>
      </c>
      <c r="F3089" s="32">
        <v>6</v>
      </c>
      <c r="G3089" s="33">
        <f t="shared" ref="G3089:G3096" si="58">(D3089-F3089)/F3089</f>
        <v>1.00833333333333</v>
      </c>
    </row>
    <row r="3090" spans="1:7">
      <c r="A3090" s="6" t="s">
        <v>5220</v>
      </c>
      <c r="B3090" s="3" t="s">
        <v>5200</v>
      </c>
      <c r="C3090" s="4" t="s">
        <v>49</v>
      </c>
      <c r="D3090" s="7">
        <v>14.45</v>
      </c>
      <c r="E3090" s="31" t="s">
        <v>9</v>
      </c>
      <c r="F3090" s="32">
        <v>7.1</v>
      </c>
      <c r="G3090" s="33">
        <f t="shared" si="58"/>
        <v>1.03521126760563</v>
      </c>
    </row>
    <row r="3091" spans="1:7">
      <c r="A3091" s="6" t="s">
        <v>5221</v>
      </c>
      <c r="B3091" s="3" t="s">
        <v>5202</v>
      </c>
      <c r="C3091" s="4" t="s">
        <v>49</v>
      </c>
      <c r="D3091" s="7">
        <v>18.35</v>
      </c>
      <c r="E3091" s="31" t="s">
        <v>9</v>
      </c>
      <c r="F3091" s="32">
        <v>9.1</v>
      </c>
      <c r="G3091" s="33">
        <f t="shared" si="58"/>
        <v>1.01648351648352</v>
      </c>
    </row>
    <row r="3092" spans="1:7">
      <c r="A3092" s="6" t="s">
        <v>5222</v>
      </c>
      <c r="B3092" s="3" t="s">
        <v>5204</v>
      </c>
      <c r="C3092" s="4" t="s">
        <v>49</v>
      </c>
      <c r="D3092" s="7">
        <v>22.2</v>
      </c>
      <c r="E3092" s="31" t="s">
        <v>9</v>
      </c>
      <c r="F3092" s="32">
        <v>10.85</v>
      </c>
      <c r="G3092" s="33">
        <f t="shared" si="58"/>
        <v>1.04608294930876</v>
      </c>
    </row>
    <row r="3093" spans="1:7">
      <c r="A3093" s="6" t="s">
        <v>5223</v>
      </c>
      <c r="B3093" s="3" t="s">
        <v>5206</v>
      </c>
      <c r="C3093" s="4" t="s">
        <v>49</v>
      </c>
      <c r="D3093" s="7">
        <v>25.25</v>
      </c>
      <c r="E3093" s="31" t="s">
        <v>9</v>
      </c>
      <c r="F3093" s="32">
        <v>12.35</v>
      </c>
      <c r="G3093" s="33">
        <f t="shared" si="58"/>
        <v>1.04453441295547</v>
      </c>
    </row>
    <row r="3094" spans="1:7">
      <c r="A3094" s="6" t="s">
        <v>5224</v>
      </c>
      <c r="B3094" s="3" t="s">
        <v>5208</v>
      </c>
      <c r="C3094" s="4" t="s">
        <v>49</v>
      </c>
      <c r="D3094" s="7">
        <v>30.5</v>
      </c>
      <c r="E3094" s="31" t="s">
        <v>9</v>
      </c>
      <c r="F3094" s="32">
        <v>14.8</v>
      </c>
      <c r="G3094" s="33">
        <f t="shared" si="58"/>
        <v>1.06081081081081</v>
      </c>
    </row>
    <row r="3095" spans="1:7">
      <c r="A3095" s="6" t="s">
        <v>5225</v>
      </c>
      <c r="B3095" s="3" t="s">
        <v>5226</v>
      </c>
      <c r="C3095" s="4" t="s">
        <v>49</v>
      </c>
      <c r="D3095" s="7">
        <v>37.85</v>
      </c>
      <c r="E3095" s="31" t="s">
        <v>9</v>
      </c>
      <c r="F3095" s="32">
        <v>18.25</v>
      </c>
      <c r="G3095" s="33">
        <f t="shared" si="58"/>
        <v>1.07397260273973</v>
      </c>
    </row>
    <row r="3096" spans="1:7">
      <c r="A3096" s="6" t="s">
        <v>5227</v>
      </c>
      <c r="B3096" s="3" t="s">
        <v>5138</v>
      </c>
      <c r="C3096" s="4" t="s">
        <v>49</v>
      </c>
      <c r="D3096" s="7">
        <v>44</v>
      </c>
      <c r="E3096" s="31" t="s">
        <v>9</v>
      </c>
      <c r="F3096" s="32">
        <v>21.2</v>
      </c>
      <c r="G3096" s="33">
        <f t="shared" si="58"/>
        <v>1.07547169811321</v>
      </c>
    </row>
    <row r="3097" ht="31" customHeight="1" spans="1:7">
      <c r="A3097" s="6" t="s">
        <v>5228</v>
      </c>
      <c r="B3097" s="12" t="s">
        <v>5229</v>
      </c>
      <c r="C3097" s="4"/>
      <c r="D3097" s="14"/>
      <c r="E3097" s="31" t="s">
        <v>9</v>
      </c>
    </row>
    <row r="3098" spans="1:7">
      <c r="A3098" s="6" t="s">
        <v>5230</v>
      </c>
      <c r="B3098" s="3" t="s">
        <v>5198</v>
      </c>
      <c r="C3098" s="4" t="s">
        <v>49</v>
      </c>
      <c r="D3098" s="7">
        <v>154.45</v>
      </c>
      <c r="E3098" s="31" t="s">
        <v>9</v>
      </c>
      <c r="F3098" s="32">
        <v>66.8</v>
      </c>
      <c r="G3098" s="33">
        <f t="shared" ref="G3098:G3107" si="59">(D3098-F3098)/F3098</f>
        <v>1.31212574850299</v>
      </c>
    </row>
    <row r="3099" spans="1:7">
      <c r="A3099" s="6" t="s">
        <v>5231</v>
      </c>
      <c r="B3099" s="3" t="s">
        <v>5200</v>
      </c>
      <c r="C3099" s="4" t="s">
        <v>49</v>
      </c>
      <c r="D3099" s="7">
        <v>156.55</v>
      </c>
      <c r="E3099" s="31" t="s">
        <v>9</v>
      </c>
      <c r="F3099" s="32">
        <v>67.7</v>
      </c>
      <c r="G3099" s="33">
        <f t="shared" si="59"/>
        <v>1.31240768094535</v>
      </c>
    </row>
    <row r="3100" spans="1:7">
      <c r="A3100" s="6" t="s">
        <v>5232</v>
      </c>
      <c r="B3100" s="3" t="s">
        <v>5202</v>
      </c>
      <c r="C3100" s="4" t="s">
        <v>49</v>
      </c>
      <c r="D3100" s="7">
        <v>160.7</v>
      </c>
      <c r="E3100" s="31" t="s">
        <v>9</v>
      </c>
      <c r="F3100" s="32">
        <v>69.5</v>
      </c>
      <c r="G3100" s="33">
        <f t="shared" si="59"/>
        <v>1.31223021582734</v>
      </c>
    </row>
    <row r="3101" spans="1:7">
      <c r="A3101" s="6" t="s">
        <v>5233</v>
      </c>
      <c r="B3101" s="3" t="s">
        <v>5204</v>
      </c>
      <c r="C3101" s="4" t="s">
        <v>49</v>
      </c>
      <c r="D3101" s="7">
        <v>164.9</v>
      </c>
      <c r="E3101" s="31" t="s">
        <v>9</v>
      </c>
      <c r="F3101" s="32">
        <v>71.3</v>
      </c>
      <c r="G3101" s="33">
        <f t="shared" si="59"/>
        <v>1.31276297335203</v>
      </c>
    </row>
    <row r="3102" spans="1:7">
      <c r="A3102" s="6" t="s">
        <v>5234</v>
      </c>
      <c r="B3102" s="3" t="s">
        <v>5206</v>
      </c>
      <c r="C3102" s="4" t="s">
        <v>49</v>
      </c>
      <c r="D3102" s="7">
        <v>167</v>
      </c>
      <c r="E3102" s="31" t="s">
        <v>9</v>
      </c>
      <c r="F3102" s="32">
        <v>72.25</v>
      </c>
      <c r="G3102" s="33">
        <f t="shared" si="59"/>
        <v>1.31141868512111</v>
      </c>
    </row>
    <row r="3103" spans="1:7">
      <c r="A3103" s="6" t="s">
        <v>5235</v>
      </c>
      <c r="B3103" s="3" t="s">
        <v>5208</v>
      </c>
      <c r="C3103" s="4" t="s">
        <v>49</v>
      </c>
      <c r="D3103" s="7">
        <v>173.25</v>
      </c>
      <c r="E3103" s="31" t="s">
        <v>9</v>
      </c>
      <c r="F3103" s="32">
        <v>74.95</v>
      </c>
      <c r="G3103" s="33">
        <f t="shared" si="59"/>
        <v>1.31154102735157</v>
      </c>
    </row>
    <row r="3104" spans="1:7">
      <c r="A3104" s="6" t="s">
        <v>5236</v>
      </c>
      <c r="B3104" s="3" t="s">
        <v>5226</v>
      </c>
      <c r="C3104" s="4" t="s">
        <v>49</v>
      </c>
      <c r="D3104" s="7">
        <v>273.45</v>
      </c>
      <c r="E3104" s="31" t="s">
        <v>9</v>
      </c>
      <c r="F3104" s="32">
        <v>118.3</v>
      </c>
      <c r="G3104" s="33">
        <f t="shared" si="59"/>
        <v>1.31149619611158</v>
      </c>
    </row>
    <row r="3105" spans="1:7">
      <c r="A3105" s="6" t="s">
        <v>5237</v>
      </c>
      <c r="B3105" s="3" t="s">
        <v>5138</v>
      </c>
      <c r="C3105" s="4" t="s">
        <v>49</v>
      </c>
      <c r="D3105" s="7">
        <v>281.8</v>
      </c>
      <c r="E3105" s="31" t="s">
        <v>9</v>
      </c>
      <c r="F3105" s="32">
        <v>121.9</v>
      </c>
      <c r="G3105" s="33">
        <f t="shared" si="59"/>
        <v>1.31173092698934</v>
      </c>
    </row>
    <row r="3106" spans="1:7">
      <c r="A3106" s="6" t="s">
        <v>5238</v>
      </c>
      <c r="B3106" s="3" t="s">
        <v>4770</v>
      </c>
      <c r="C3106" s="4" t="s">
        <v>49</v>
      </c>
      <c r="D3106" s="7">
        <v>298.5</v>
      </c>
      <c r="E3106" s="31" t="s">
        <v>9</v>
      </c>
      <c r="F3106" s="32">
        <v>129.1</v>
      </c>
      <c r="G3106" s="33">
        <f t="shared" si="59"/>
        <v>1.31216111541441</v>
      </c>
    </row>
    <row r="3107" spans="1:7">
      <c r="A3107" s="6" t="s">
        <v>5239</v>
      </c>
      <c r="B3107" s="3" t="s">
        <v>5116</v>
      </c>
      <c r="C3107" s="4" t="s">
        <v>49</v>
      </c>
      <c r="D3107" s="7">
        <v>444.6</v>
      </c>
      <c r="E3107" s="31" t="s">
        <v>9</v>
      </c>
      <c r="F3107" s="32">
        <v>192.3</v>
      </c>
      <c r="G3107" s="33">
        <f t="shared" si="59"/>
        <v>1.31201248049922</v>
      </c>
    </row>
    <row r="3108" ht="46.5" customHeight="1" spans="1:7">
      <c r="A3108" s="6" t="s">
        <v>5240</v>
      </c>
      <c r="B3108" s="12" t="s">
        <v>5241</v>
      </c>
      <c r="C3108" s="4"/>
      <c r="D3108" s="14"/>
      <c r="E3108" s="31" t="s">
        <v>9</v>
      </c>
    </row>
    <row r="3109" spans="1:7">
      <c r="A3109" s="6" t="s">
        <v>5242</v>
      </c>
      <c r="B3109" s="3" t="s">
        <v>5243</v>
      </c>
      <c r="C3109" s="4" t="s">
        <v>49</v>
      </c>
      <c r="D3109" s="7">
        <v>747.9</v>
      </c>
      <c r="E3109" s="31" t="s">
        <v>9</v>
      </c>
      <c r="F3109" s="32">
        <v>350.6</v>
      </c>
      <c r="G3109" s="33">
        <f t="shared" ref="G3109:G3114" si="60">(D3109-F3109)/F3109</f>
        <v>1.13320022818026</v>
      </c>
    </row>
    <row r="3110" spans="1:7">
      <c r="A3110" s="6" t="s">
        <v>5244</v>
      </c>
      <c r="B3110" s="3" t="s">
        <v>5245</v>
      </c>
      <c r="C3110" s="4" t="s">
        <v>49</v>
      </c>
      <c r="D3110" s="7">
        <v>884.85</v>
      </c>
      <c r="E3110" s="31" t="s">
        <v>9</v>
      </c>
      <c r="F3110" s="32">
        <v>416.1</v>
      </c>
      <c r="G3110" s="33">
        <f t="shared" si="60"/>
        <v>1.12653208363374</v>
      </c>
    </row>
    <row r="3111" spans="1:7">
      <c r="A3111" s="6" t="s">
        <v>5246</v>
      </c>
      <c r="B3111" s="3" t="s">
        <v>5247</v>
      </c>
      <c r="C3111" s="4" t="s">
        <v>49</v>
      </c>
      <c r="D3111" s="7">
        <v>1025.95</v>
      </c>
      <c r="E3111" s="31" t="s">
        <v>9</v>
      </c>
      <c r="F3111" s="32">
        <v>484.1</v>
      </c>
      <c r="G3111" s="33">
        <f t="shared" si="60"/>
        <v>1.11929353439372</v>
      </c>
    </row>
    <row r="3112" ht="31" customHeight="1" spans="1:7">
      <c r="A3112" s="6" t="s">
        <v>5248</v>
      </c>
      <c r="B3112" s="12" t="s">
        <v>5249</v>
      </c>
      <c r="C3112" s="4" t="s">
        <v>49</v>
      </c>
      <c r="D3112" s="7">
        <v>960.3</v>
      </c>
      <c r="E3112" s="31" t="s">
        <v>9</v>
      </c>
      <c r="F3112" s="32">
        <v>604.85</v>
      </c>
      <c r="G3112" s="33">
        <f t="shared" si="60"/>
        <v>0.587666363561213</v>
      </c>
    </row>
    <row r="3113" ht="31" customHeight="1" spans="1:7">
      <c r="A3113" s="6" t="s">
        <v>5250</v>
      </c>
      <c r="B3113" s="12" t="s">
        <v>5251</v>
      </c>
      <c r="C3113" s="4" t="s">
        <v>49</v>
      </c>
      <c r="D3113" s="7">
        <v>546</v>
      </c>
      <c r="E3113" s="31" t="s">
        <v>9</v>
      </c>
      <c r="F3113" s="32">
        <v>273.1</v>
      </c>
      <c r="G3113" s="33">
        <f t="shared" si="60"/>
        <v>0.999267667521054</v>
      </c>
    </row>
    <row r="3114" ht="31" customHeight="1" spans="1:7">
      <c r="A3114" s="6" t="s">
        <v>5252</v>
      </c>
      <c r="B3114" s="12" t="s">
        <v>5253</v>
      </c>
      <c r="C3114" s="4" t="s">
        <v>156</v>
      </c>
      <c r="D3114" s="7">
        <v>1321.65</v>
      </c>
      <c r="E3114" s="31" t="s">
        <v>9</v>
      </c>
      <c r="F3114" s="32">
        <v>913.55</v>
      </c>
      <c r="G3114" s="33">
        <f t="shared" si="60"/>
        <v>0.446718844069838</v>
      </c>
    </row>
    <row r="3115" ht="31" customHeight="1" spans="1:7">
      <c r="A3115" s="6" t="s">
        <v>5254</v>
      </c>
      <c r="B3115" s="12" t="s">
        <v>5255</v>
      </c>
      <c r="C3115" s="4"/>
      <c r="D3115" s="14"/>
      <c r="E3115" s="31" t="s">
        <v>9</v>
      </c>
    </row>
    <row r="3116" spans="1:7">
      <c r="A3116" s="6" t="s">
        <v>5256</v>
      </c>
      <c r="B3116" s="3" t="s">
        <v>5004</v>
      </c>
      <c r="C3116" s="4" t="s">
        <v>156</v>
      </c>
      <c r="D3116" s="7">
        <v>318.35</v>
      </c>
      <c r="E3116" s="31" t="s">
        <v>9</v>
      </c>
      <c r="F3116" s="32">
        <v>147.75</v>
      </c>
      <c r="G3116" s="33">
        <f t="shared" ref="G3116:G3123" si="61">(D3116-F3116)/F3116</f>
        <v>1.15465313028765</v>
      </c>
    </row>
    <row r="3117" spans="1:7">
      <c r="A3117" s="6" t="s">
        <v>5257</v>
      </c>
      <c r="B3117" s="3" t="s">
        <v>5006</v>
      </c>
      <c r="C3117" s="4" t="s">
        <v>156</v>
      </c>
      <c r="D3117" s="7">
        <v>346.8</v>
      </c>
      <c r="E3117" s="31" t="s">
        <v>9</v>
      </c>
      <c r="F3117" s="32">
        <v>170.95</v>
      </c>
      <c r="G3117" s="33">
        <f t="shared" si="61"/>
        <v>1.02866335185727</v>
      </c>
    </row>
    <row r="3118" spans="1:7">
      <c r="A3118" s="6" t="s">
        <v>5258</v>
      </c>
      <c r="B3118" s="3" t="s">
        <v>5014</v>
      </c>
      <c r="C3118" s="4" t="s">
        <v>156</v>
      </c>
      <c r="D3118" s="7">
        <v>439.25</v>
      </c>
      <c r="E3118" s="31" t="s">
        <v>9</v>
      </c>
      <c r="F3118" s="32">
        <v>205.8</v>
      </c>
      <c r="G3118" s="33">
        <f t="shared" si="61"/>
        <v>1.1343537414966</v>
      </c>
    </row>
    <row r="3119" spans="1:7">
      <c r="A3119" s="6" t="s">
        <v>5259</v>
      </c>
      <c r="B3119" s="3" t="s">
        <v>5039</v>
      </c>
      <c r="C3119" s="4" t="s">
        <v>156</v>
      </c>
      <c r="D3119" s="7">
        <v>489.05</v>
      </c>
      <c r="E3119" s="31" t="s">
        <v>9</v>
      </c>
      <c r="F3119" s="32">
        <v>240.65</v>
      </c>
      <c r="G3119" s="33">
        <f t="shared" si="61"/>
        <v>1.03220444629129</v>
      </c>
    </row>
    <row r="3120" spans="1:7">
      <c r="A3120" s="6" t="s">
        <v>5260</v>
      </c>
      <c r="B3120" s="3" t="s">
        <v>5019</v>
      </c>
      <c r="C3120" s="4" t="s">
        <v>156</v>
      </c>
      <c r="D3120" s="7">
        <v>631.3</v>
      </c>
      <c r="E3120" s="31" t="s">
        <v>9</v>
      </c>
      <c r="F3120" s="32">
        <v>298.75</v>
      </c>
      <c r="G3120" s="33">
        <f t="shared" si="61"/>
        <v>1.11313807531381</v>
      </c>
    </row>
    <row r="3121" spans="1:7">
      <c r="A3121" s="6" t="s">
        <v>5261</v>
      </c>
      <c r="B3121" s="3" t="s">
        <v>5021</v>
      </c>
      <c r="C3121" s="4" t="s">
        <v>156</v>
      </c>
      <c r="D3121" s="7">
        <v>823.8</v>
      </c>
      <c r="E3121" s="31" t="s">
        <v>9</v>
      </c>
      <c r="F3121" s="32">
        <v>384.9</v>
      </c>
      <c r="G3121" s="33">
        <f t="shared" si="61"/>
        <v>1.14029618082619</v>
      </c>
    </row>
    <row r="3122" spans="1:7">
      <c r="A3122" s="6" t="s">
        <v>5262</v>
      </c>
      <c r="B3122" s="3" t="s">
        <v>5023</v>
      </c>
      <c r="C3122" s="4" t="s">
        <v>156</v>
      </c>
      <c r="D3122" s="7">
        <v>1136.8</v>
      </c>
      <c r="E3122" s="31" t="s">
        <v>9</v>
      </c>
      <c r="F3122" s="32">
        <v>617.2</v>
      </c>
      <c r="G3122" s="33">
        <f t="shared" si="61"/>
        <v>0.841866493843162</v>
      </c>
    </row>
    <row r="3123" spans="1:7">
      <c r="A3123" s="6" t="s">
        <v>5263</v>
      </c>
      <c r="B3123" s="3" t="s">
        <v>5025</v>
      </c>
      <c r="C3123" s="4" t="s">
        <v>156</v>
      </c>
      <c r="D3123" s="7">
        <v>1207.95</v>
      </c>
      <c r="E3123" s="31" t="s">
        <v>9</v>
      </c>
      <c r="F3123" s="32">
        <v>698.5</v>
      </c>
      <c r="G3123" s="33">
        <f t="shared" si="61"/>
        <v>0.729348604151754</v>
      </c>
    </row>
    <row r="3124" ht="46.5" customHeight="1" spans="1:7">
      <c r="A3124" s="6" t="s">
        <v>5264</v>
      </c>
      <c r="B3124" s="12" t="s">
        <v>5265</v>
      </c>
      <c r="C3124" s="4"/>
      <c r="D3124" s="14"/>
      <c r="E3124" s="31" t="s">
        <v>9</v>
      </c>
    </row>
    <row r="3125" spans="1:7">
      <c r="A3125" s="6" t="s">
        <v>5266</v>
      </c>
      <c r="B3125" s="3" t="s">
        <v>5004</v>
      </c>
      <c r="C3125" s="4" t="s">
        <v>156</v>
      </c>
      <c r="D3125" s="7">
        <v>829.45</v>
      </c>
      <c r="E3125" s="31" t="s">
        <v>9</v>
      </c>
      <c r="F3125" s="32">
        <v>366.2</v>
      </c>
      <c r="G3125" s="33">
        <f t="shared" ref="G3125:G3134" si="62">(D3125-F3125)/F3125</f>
        <v>1.26501911523758</v>
      </c>
    </row>
    <row r="3126" spans="1:7">
      <c r="A3126" s="6" t="s">
        <v>5267</v>
      </c>
      <c r="B3126" s="3" t="s">
        <v>5006</v>
      </c>
      <c r="C3126" s="4" t="s">
        <v>156</v>
      </c>
      <c r="D3126" s="7">
        <v>857.85</v>
      </c>
      <c r="E3126" s="31" t="s">
        <v>9</v>
      </c>
      <c r="F3126" s="32">
        <v>389.45</v>
      </c>
      <c r="G3126" s="33">
        <f t="shared" si="62"/>
        <v>1.2027217871357</v>
      </c>
    </row>
    <row r="3127" spans="1:7">
      <c r="A3127" s="6" t="s">
        <v>5268</v>
      </c>
      <c r="B3127" s="3" t="s">
        <v>5014</v>
      </c>
      <c r="C3127" s="4" t="s">
        <v>156</v>
      </c>
      <c r="D3127" s="7">
        <v>950.35</v>
      </c>
      <c r="E3127" s="31" t="s">
        <v>9</v>
      </c>
      <c r="F3127" s="32">
        <v>424.3</v>
      </c>
      <c r="G3127" s="33">
        <f t="shared" si="62"/>
        <v>1.23980674051379</v>
      </c>
    </row>
    <row r="3128" spans="1:7">
      <c r="A3128" s="6" t="s">
        <v>5269</v>
      </c>
      <c r="B3128" s="3" t="s">
        <v>5039</v>
      </c>
      <c r="C3128" s="4" t="s">
        <v>156</v>
      </c>
      <c r="D3128" s="7">
        <v>1000.15</v>
      </c>
      <c r="E3128" s="31" t="s">
        <v>9</v>
      </c>
      <c r="F3128" s="32">
        <v>459.15</v>
      </c>
      <c r="G3128" s="33">
        <f t="shared" si="62"/>
        <v>1.17826418381792</v>
      </c>
    </row>
    <row r="3129" spans="1:7">
      <c r="A3129" s="6" t="s">
        <v>5270</v>
      </c>
      <c r="B3129" s="3" t="s">
        <v>5019</v>
      </c>
      <c r="C3129" s="4" t="s">
        <v>156</v>
      </c>
      <c r="D3129" s="7">
        <v>1142.4</v>
      </c>
      <c r="E3129" s="31" t="s">
        <v>9</v>
      </c>
      <c r="F3129" s="32">
        <v>517.2</v>
      </c>
      <c r="G3129" s="33">
        <f t="shared" si="62"/>
        <v>1.20881670533643</v>
      </c>
    </row>
    <row r="3130" spans="1:7">
      <c r="A3130" s="6" t="s">
        <v>5271</v>
      </c>
      <c r="B3130" s="3" t="s">
        <v>5021</v>
      </c>
      <c r="C3130" s="4" t="s">
        <v>156</v>
      </c>
      <c r="D3130" s="7">
        <v>1520.8</v>
      </c>
      <c r="E3130" s="31" t="s">
        <v>9</v>
      </c>
      <c r="F3130" s="32">
        <v>682.85</v>
      </c>
      <c r="G3130" s="33">
        <f t="shared" si="62"/>
        <v>1.22713626711576</v>
      </c>
    </row>
    <row r="3131" spans="1:7">
      <c r="A3131" s="6" t="s">
        <v>5272</v>
      </c>
      <c r="B3131" s="3" t="s">
        <v>5023</v>
      </c>
      <c r="C3131" s="4" t="s">
        <v>156</v>
      </c>
      <c r="D3131" s="7">
        <v>1833.75</v>
      </c>
      <c r="E3131" s="31" t="s">
        <v>9</v>
      </c>
      <c r="F3131" s="32">
        <v>915.15</v>
      </c>
      <c r="G3131" s="33">
        <f t="shared" si="62"/>
        <v>1.00376987379118</v>
      </c>
    </row>
    <row r="3132" spans="1:7">
      <c r="A3132" s="6" t="s">
        <v>5273</v>
      </c>
      <c r="B3132" s="3" t="s">
        <v>5025</v>
      </c>
      <c r="C3132" s="4" t="s">
        <v>156</v>
      </c>
      <c r="D3132" s="7">
        <v>1904.9</v>
      </c>
      <c r="E3132" s="31" t="s">
        <v>9</v>
      </c>
      <c r="F3132" s="32">
        <v>996.45</v>
      </c>
      <c r="G3132" s="33">
        <f t="shared" si="62"/>
        <v>0.911686487028953</v>
      </c>
    </row>
    <row r="3133" ht="46.5" customHeight="1" spans="1:7">
      <c r="A3133" s="6" t="s">
        <v>5274</v>
      </c>
      <c r="B3133" s="12" t="s">
        <v>5275</v>
      </c>
      <c r="C3133" s="4" t="s">
        <v>5276</v>
      </c>
      <c r="D3133" s="7">
        <v>11</v>
      </c>
      <c r="E3133" s="31" t="s">
        <v>9</v>
      </c>
      <c r="F3133" s="32">
        <v>7.25</v>
      </c>
      <c r="G3133" s="33">
        <f t="shared" si="62"/>
        <v>0.517241379310345</v>
      </c>
    </row>
    <row r="3134" ht="62" customHeight="1" spans="1:7">
      <c r="A3134" s="6" t="s">
        <v>5277</v>
      </c>
      <c r="B3134" s="12" t="s">
        <v>5278</v>
      </c>
      <c r="C3134" s="4" t="s">
        <v>5276</v>
      </c>
      <c r="D3134" s="7">
        <v>11</v>
      </c>
      <c r="E3134" s="31" t="s">
        <v>9</v>
      </c>
      <c r="F3134" s="32">
        <v>7.25</v>
      </c>
      <c r="G3134" s="33">
        <f t="shared" si="62"/>
        <v>0.517241379310345</v>
      </c>
    </row>
    <row r="3135" spans="1:7">
      <c r="A3135" s="40"/>
      <c r="B3135" s="12" t="s">
        <v>5279</v>
      </c>
      <c r="C3135" s="4"/>
      <c r="D3135" s="14"/>
      <c r="E3135" s="31" t="s">
        <v>9</v>
      </c>
    </row>
    <row r="3136" spans="1:7">
      <c r="A3136" s="6" t="s">
        <v>5280</v>
      </c>
      <c r="B3136" s="12" t="s">
        <v>5281</v>
      </c>
      <c r="C3136" s="4"/>
      <c r="D3136" s="14"/>
      <c r="E3136" s="31" t="s">
        <v>9</v>
      </c>
    </row>
    <row r="3137" spans="1:7">
      <c r="A3137" s="6" t="s">
        <v>5282</v>
      </c>
      <c r="B3137" s="3" t="s">
        <v>5004</v>
      </c>
      <c r="C3137" s="4" t="s">
        <v>156</v>
      </c>
      <c r="D3137" s="7">
        <v>506.8</v>
      </c>
      <c r="E3137" s="31" t="s">
        <v>9</v>
      </c>
      <c r="F3137" s="32">
        <v>371.7</v>
      </c>
      <c r="G3137" s="33">
        <f>(D3137-F3137)/F3137</f>
        <v>0.36346516007533</v>
      </c>
    </row>
    <row r="3138" ht="31" customHeight="1" spans="1:7">
      <c r="A3138" s="6" t="s">
        <v>5283</v>
      </c>
      <c r="B3138" s="12" t="s">
        <v>5284</v>
      </c>
      <c r="C3138" s="4"/>
      <c r="D3138" s="14"/>
      <c r="E3138" s="31" t="s">
        <v>9</v>
      </c>
    </row>
    <row r="3139" spans="1:7">
      <c r="A3139" s="6" t="s">
        <v>5285</v>
      </c>
      <c r="B3139" s="3" t="s">
        <v>5004</v>
      </c>
      <c r="C3139" s="4" t="s">
        <v>156</v>
      </c>
      <c r="D3139" s="7">
        <v>820.7</v>
      </c>
      <c r="E3139" s="31" t="s">
        <v>9</v>
      </c>
      <c r="F3139" s="32">
        <v>555.3</v>
      </c>
      <c r="G3139" s="33">
        <f>(D3139-F3139)/F3139</f>
        <v>0.477939852332073</v>
      </c>
    </row>
    <row r="3140" ht="31" customHeight="1" spans="1:7">
      <c r="A3140" s="6" t="s">
        <v>5286</v>
      </c>
      <c r="B3140" s="12" t="s">
        <v>5287</v>
      </c>
      <c r="C3140" s="4"/>
      <c r="D3140" s="14"/>
      <c r="E3140" s="31" t="s">
        <v>9</v>
      </c>
    </row>
    <row r="3141" spans="1:7">
      <c r="A3141" s="6" t="s">
        <v>5288</v>
      </c>
      <c r="B3141" s="3" t="s">
        <v>5004</v>
      </c>
      <c r="C3141" s="4" t="s">
        <v>156</v>
      </c>
      <c r="D3141" s="7">
        <v>798.95</v>
      </c>
      <c r="E3141" s="31" t="s">
        <v>9</v>
      </c>
      <c r="F3141" s="32">
        <v>492.55</v>
      </c>
      <c r="G3141" s="33">
        <f>(D3141-F3141)/F3141</f>
        <v>0.622068825499949</v>
      </c>
    </row>
    <row r="3142" ht="31" customHeight="1" spans="1:7">
      <c r="A3142" s="6" t="s">
        <v>5289</v>
      </c>
      <c r="B3142" s="12" t="s">
        <v>5290</v>
      </c>
      <c r="C3142" s="4"/>
      <c r="D3142" s="14"/>
      <c r="E3142" s="31" t="s">
        <v>9</v>
      </c>
    </row>
    <row r="3143" spans="1:7">
      <c r="A3143" s="6" t="s">
        <v>5291</v>
      </c>
      <c r="B3143" s="3" t="s">
        <v>5004</v>
      </c>
      <c r="C3143" s="4" t="s">
        <v>156</v>
      </c>
      <c r="D3143" s="7">
        <v>670.45</v>
      </c>
      <c r="E3143" s="31" t="s">
        <v>9</v>
      </c>
      <c r="F3143" s="32">
        <v>545.95</v>
      </c>
      <c r="G3143" s="33">
        <f>(D3143-F3143)/F3143</f>
        <v>0.228042861067863</v>
      </c>
    </row>
    <row r="3144" ht="31" customHeight="1" spans="1:7">
      <c r="A3144" s="6" t="s">
        <v>5292</v>
      </c>
      <c r="B3144" s="12" t="s">
        <v>5293</v>
      </c>
      <c r="C3144" s="4"/>
      <c r="D3144" s="14"/>
      <c r="E3144" s="31" t="s">
        <v>9</v>
      </c>
    </row>
    <row r="3145" spans="1:7">
      <c r="A3145" s="6" t="s">
        <v>5294</v>
      </c>
      <c r="B3145" s="3" t="s">
        <v>5295</v>
      </c>
      <c r="C3145" s="4" t="s">
        <v>156</v>
      </c>
      <c r="D3145" s="7">
        <v>574.3</v>
      </c>
      <c r="E3145" s="31" t="s">
        <v>9</v>
      </c>
      <c r="F3145" s="32">
        <v>475.7</v>
      </c>
      <c r="G3145" s="33">
        <f>(D3145-F3145)/F3145</f>
        <v>0.207273491696447</v>
      </c>
    </row>
    <row r="3146" ht="31" customHeight="1" spans="1:7">
      <c r="A3146" s="6" t="s">
        <v>5296</v>
      </c>
      <c r="B3146" s="12" t="s">
        <v>5297</v>
      </c>
      <c r="C3146" s="4" t="s">
        <v>156</v>
      </c>
      <c r="D3146" s="7">
        <v>74.8</v>
      </c>
      <c r="E3146" s="31" t="s">
        <v>9</v>
      </c>
      <c r="F3146" s="32">
        <v>58.1</v>
      </c>
      <c r="G3146" s="33">
        <f>(D3146-F3146)/F3146</f>
        <v>0.287435456110155</v>
      </c>
    </row>
    <row r="3147" spans="1:7">
      <c r="A3147" s="40"/>
      <c r="B3147" s="12" t="s">
        <v>5298</v>
      </c>
      <c r="C3147" s="4"/>
      <c r="D3147" s="7"/>
      <c r="E3147" s="31" t="s">
        <v>9</v>
      </c>
    </row>
    <row r="3148" spans="1:7">
      <c r="A3148" s="6" t="s">
        <v>5299</v>
      </c>
      <c r="B3148" s="12" t="s">
        <v>5300</v>
      </c>
      <c r="C3148" s="4"/>
      <c r="D3148" s="14"/>
      <c r="E3148" s="31" t="s">
        <v>9</v>
      </c>
    </row>
    <row r="3149" spans="1:7">
      <c r="A3149" s="6" t="s">
        <v>5301</v>
      </c>
      <c r="B3149" s="3" t="s">
        <v>5302</v>
      </c>
      <c r="C3149" s="4" t="s">
        <v>156</v>
      </c>
      <c r="D3149" s="7">
        <v>125.6</v>
      </c>
      <c r="E3149" s="31" t="s">
        <v>9</v>
      </c>
      <c r="F3149" s="32">
        <v>103.3</v>
      </c>
      <c r="G3149" s="33">
        <f>(D3149-F3149)/F3149</f>
        <v>0.215876089060987</v>
      </c>
    </row>
    <row r="3150" spans="1:7">
      <c r="A3150" s="6" t="s">
        <v>5303</v>
      </c>
      <c r="B3150" s="3" t="s">
        <v>5304</v>
      </c>
      <c r="C3150" s="4" t="s">
        <v>156</v>
      </c>
      <c r="D3150" s="7">
        <v>161.2</v>
      </c>
      <c r="E3150" s="31" t="s">
        <v>9</v>
      </c>
      <c r="F3150" s="32">
        <v>143.95</v>
      </c>
      <c r="G3150" s="33">
        <f>(D3150-F3150)/F3150</f>
        <v>0.119833275442862</v>
      </c>
    </row>
    <row r="3151" spans="1:7">
      <c r="A3151" s="6" t="s">
        <v>5305</v>
      </c>
      <c r="B3151" s="3" t="s">
        <v>5306</v>
      </c>
      <c r="C3151" s="4" t="s">
        <v>156</v>
      </c>
      <c r="D3151" s="7">
        <v>176.85</v>
      </c>
      <c r="E3151" s="31" t="s">
        <v>9</v>
      </c>
      <c r="F3151" s="32">
        <v>157.9</v>
      </c>
      <c r="G3151" s="33">
        <f>(D3151-F3151)/F3151</f>
        <v>0.120012666244458</v>
      </c>
    </row>
    <row r="3152" spans="1:7">
      <c r="A3152" s="6" t="s">
        <v>5307</v>
      </c>
      <c r="B3152" s="3" t="s">
        <v>5308</v>
      </c>
      <c r="C3152" s="4" t="s">
        <v>156</v>
      </c>
      <c r="D3152" s="7">
        <v>196.75</v>
      </c>
      <c r="E3152" s="31" t="s">
        <v>9</v>
      </c>
      <c r="F3152" s="32">
        <v>113.75</v>
      </c>
      <c r="G3152" s="33">
        <f>(D3152-F3152)/F3152</f>
        <v>0.72967032967033</v>
      </c>
    </row>
    <row r="3153" spans="1:7">
      <c r="A3153" s="6" t="s">
        <v>5309</v>
      </c>
      <c r="B3153" s="12" t="s">
        <v>5310</v>
      </c>
      <c r="C3153" s="4"/>
      <c r="D3153" s="14"/>
      <c r="E3153" s="31" t="s">
        <v>9</v>
      </c>
    </row>
    <row r="3154" spans="1:7">
      <c r="A3154" s="6" t="s">
        <v>5311</v>
      </c>
      <c r="B3154" s="3" t="s">
        <v>5312</v>
      </c>
      <c r="C3154" s="4" t="s">
        <v>156</v>
      </c>
      <c r="D3154" s="7">
        <v>118.5</v>
      </c>
      <c r="E3154" s="31" t="s">
        <v>9</v>
      </c>
      <c r="F3154" s="32">
        <v>103.3</v>
      </c>
      <c r="G3154" s="33">
        <f>(D3154-F3154)/F3154</f>
        <v>0.147144240077444</v>
      </c>
    </row>
    <row r="3155" spans="1:7">
      <c r="A3155" s="6" t="s">
        <v>5313</v>
      </c>
      <c r="B3155" s="3" t="s">
        <v>5314</v>
      </c>
      <c r="C3155" s="4" t="s">
        <v>156</v>
      </c>
      <c r="D3155" s="7">
        <v>129.9</v>
      </c>
      <c r="E3155" s="31" t="s">
        <v>9</v>
      </c>
      <c r="F3155" s="32">
        <v>134.65</v>
      </c>
      <c r="G3155" s="33">
        <f>(D3155-F3155)/F3155</f>
        <v>-0.0352766431489046</v>
      </c>
    </row>
    <row r="3156" spans="1:7">
      <c r="A3156" s="6" t="s">
        <v>5315</v>
      </c>
      <c r="B3156" s="3" t="s">
        <v>5316</v>
      </c>
      <c r="C3156" s="4" t="s">
        <v>156</v>
      </c>
      <c r="D3156" s="7">
        <v>218.1</v>
      </c>
      <c r="E3156" s="31" t="s">
        <v>9</v>
      </c>
      <c r="F3156" s="32">
        <v>161.4</v>
      </c>
      <c r="G3156" s="33">
        <f>(D3156-F3156)/F3156</f>
        <v>0.351301115241636</v>
      </c>
    </row>
    <row r="3157" spans="1:7">
      <c r="A3157" s="6" t="s">
        <v>5317</v>
      </c>
      <c r="B3157" s="12" t="s">
        <v>5318</v>
      </c>
      <c r="C3157" s="4"/>
      <c r="D3157" s="14"/>
      <c r="E3157" s="31" t="s">
        <v>9</v>
      </c>
    </row>
    <row r="3158" spans="1:7">
      <c r="A3158" s="6" t="s">
        <v>5319</v>
      </c>
      <c r="B3158" s="3" t="s">
        <v>5320</v>
      </c>
      <c r="C3158" s="4" t="s">
        <v>156</v>
      </c>
      <c r="D3158" s="7">
        <v>208.45</v>
      </c>
      <c r="E3158" s="31" t="s">
        <v>9</v>
      </c>
      <c r="F3158" s="32">
        <v>168.9</v>
      </c>
      <c r="G3158" s="33">
        <f>(D3158-F3158)/F3158</f>
        <v>0.234162226169331</v>
      </c>
    </row>
    <row r="3159" spans="1:7">
      <c r="A3159" s="6" t="s">
        <v>5321</v>
      </c>
      <c r="B3159" s="3" t="s">
        <v>5322</v>
      </c>
      <c r="C3159" s="4" t="s">
        <v>156</v>
      </c>
      <c r="D3159" s="7">
        <v>224.1</v>
      </c>
      <c r="E3159" s="31" t="s">
        <v>9</v>
      </c>
      <c r="F3159" s="32">
        <v>186.3</v>
      </c>
      <c r="G3159" s="33">
        <f>(D3159-F3159)/F3159</f>
        <v>0.202898550724638</v>
      </c>
    </row>
    <row r="3160" spans="1:7">
      <c r="A3160" s="6" t="s">
        <v>5323</v>
      </c>
      <c r="B3160" s="12" t="s">
        <v>5324</v>
      </c>
      <c r="C3160" s="4"/>
      <c r="D3160" s="14"/>
      <c r="E3160" s="31" t="s">
        <v>9</v>
      </c>
    </row>
    <row r="3161" spans="1:7">
      <c r="A3161" s="6" t="s">
        <v>5325</v>
      </c>
      <c r="B3161" s="3" t="s">
        <v>5326</v>
      </c>
      <c r="C3161" s="4" t="s">
        <v>156</v>
      </c>
      <c r="D3161" s="7">
        <v>112.8</v>
      </c>
      <c r="E3161" s="31" t="s">
        <v>9</v>
      </c>
      <c r="F3161" s="32">
        <v>91.7</v>
      </c>
      <c r="G3161" s="33">
        <f>(D3161-F3161)/F3161</f>
        <v>0.23009814612868</v>
      </c>
    </row>
    <row r="3162" spans="1:7">
      <c r="A3162" s="6" t="s">
        <v>5327</v>
      </c>
      <c r="B3162" s="3" t="s">
        <v>5328</v>
      </c>
      <c r="C3162" s="4" t="s">
        <v>156</v>
      </c>
      <c r="D3162" s="7">
        <v>95.75</v>
      </c>
      <c r="E3162" s="31" t="s">
        <v>9</v>
      </c>
      <c r="F3162" s="32">
        <v>85.9</v>
      </c>
      <c r="G3162" s="33">
        <f>(D3162-F3162)/F3162</f>
        <v>0.114668218859138</v>
      </c>
    </row>
    <row r="3163" spans="1:7">
      <c r="A3163" s="6" t="s">
        <v>5329</v>
      </c>
      <c r="B3163" s="12" t="s">
        <v>5330</v>
      </c>
      <c r="C3163" s="4"/>
      <c r="D3163" s="14"/>
      <c r="E3163" s="31" t="s">
        <v>9</v>
      </c>
    </row>
    <row r="3164" spans="1:7">
      <c r="A3164" s="6" t="s">
        <v>5331</v>
      </c>
      <c r="B3164" s="3" t="s">
        <v>5332</v>
      </c>
      <c r="C3164" s="4"/>
      <c r="D3164" s="14"/>
      <c r="E3164" s="31" t="s">
        <v>9</v>
      </c>
    </row>
    <row r="3165" spans="1:7">
      <c r="A3165" s="6" t="s">
        <v>5333</v>
      </c>
      <c r="B3165" s="3" t="s">
        <v>5334</v>
      </c>
      <c r="C3165" s="4" t="s">
        <v>156</v>
      </c>
      <c r="D3165" s="7">
        <v>37.6</v>
      </c>
      <c r="E3165" s="31" t="s">
        <v>9</v>
      </c>
      <c r="F3165" s="32">
        <v>32.75</v>
      </c>
      <c r="G3165" s="33">
        <f>(D3165-F3165)/F3165</f>
        <v>0.148091603053435</v>
      </c>
    </row>
    <row r="3166" spans="1:7">
      <c r="A3166" s="6" t="s">
        <v>5335</v>
      </c>
      <c r="B3166" s="3" t="s">
        <v>5336</v>
      </c>
      <c r="C3166" s="4" t="s">
        <v>156</v>
      </c>
      <c r="D3166" s="7">
        <v>51.85</v>
      </c>
      <c r="E3166" s="31" t="s">
        <v>9</v>
      </c>
      <c r="F3166" s="32">
        <v>45.55</v>
      </c>
      <c r="G3166" s="33">
        <f>(D3166-F3166)/F3166</f>
        <v>0.138309549945115</v>
      </c>
    </row>
    <row r="3167" spans="1:7">
      <c r="A3167" s="6" t="s">
        <v>5337</v>
      </c>
      <c r="B3167" s="3" t="s">
        <v>5338</v>
      </c>
      <c r="C3167" s="4"/>
      <c r="D3167" s="14"/>
      <c r="E3167" s="31" t="s">
        <v>9</v>
      </c>
    </row>
    <row r="3168" spans="1:7">
      <c r="A3168" s="6" t="s">
        <v>5339</v>
      </c>
      <c r="B3168" s="3" t="s">
        <v>5340</v>
      </c>
      <c r="C3168" s="4" t="s">
        <v>156</v>
      </c>
      <c r="D3168" s="7">
        <v>196.95</v>
      </c>
      <c r="E3168" s="31" t="s">
        <v>9</v>
      </c>
      <c r="F3168" s="32">
        <v>150.05</v>
      </c>
      <c r="G3168" s="33">
        <f>(D3168-F3168)/F3168</f>
        <v>0.312562479173609</v>
      </c>
    </row>
    <row r="3169" spans="1:7">
      <c r="A3169" s="40"/>
      <c r="B3169" s="12" t="s">
        <v>5341</v>
      </c>
      <c r="C3169" s="4"/>
      <c r="D3169" s="14"/>
      <c r="E3169" s="31" t="s">
        <v>9</v>
      </c>
    </row>
    <row r="3170" ht="31" customHeight="1" spans="1:7">
      <c r="A3170" s="6" t="s">
        <v>5342</v>
      </c>
      <c r="B3170" s="12" t="s">
        <v>5343</v>
      </c>
      <c r="C3170" s="4"/>
      <c r="D3170" s="14"/>
      <c r="E3170" s="31" t="s">
        <v>9</v>
      </c>
    </row>
    <row r="3171" spans="1:7">
      <c r="A3171" s="6" t="s">
        <v>5344</v>
      </c>
      <c r="B3171" s="3" t="s">
        <v>4760</v>
      </c>
      <c r="C3171" s="4" t="s">
        <v>156</v>
      </c>
      <c r="D3171" s="7">
        <v>5748.8</v>
      </c>
      <c r="E3171" s="31" t="s">
        <v>9</v>
      </c>
      <c r="F3171" s="32">
        <v>4662.45</v>
      </c>
      <c r="G3171" s="33">
        <f>(D3171-F3171)/F3171</f>
        <v>0.232999817692415</v>
      </c>
    </row>
    <row r="3172" spans="1:7">
      <c r="A3172" s="6" t="s">
        <v>5345</v>
      </c>
      <c r="B3172" s="3" t="s">
        <v>5346</v>
      </c>
      <c r="C3172" s="4" t="s">
        <v>156</v>
      </c>
      <c r="D3172" s="7">
        <v>6993.6</v>
      </c>
      <c r="E3172" s="31" t="s">
        <v>9</v>
      </c>
      <c r="F3172" s="32">
        <v>5649.75</v>
      </c>
      <c r="G3172" s="33">
        <f>(D3172-F3172)/F3172</f>
        <v>0.237860082304527</v>
      </c>
    </row>
    <row r="3173" spans="1:7">
      <c r="A3173" s="6" t="s">
        <v>5347</v>
      </c>
      <c r="B3173" s="3" t="s">
        <v>4504</v>
      </c>
      <c r="C3173" s="4" t="s">
        <v>156</v>
      </c>
      <c r="D3173" s="7">
        <v>8893</v>
      </c>
      <c r="E3173" s="31" t="s">
        <v>9</v>
      </c>
      <c r="F3173" s="32">
        <v>7410.8</v>
      </c>
      <c r="G3173" s="33">
        <f>(D3173-F3173)/F3173</f>
        <v>0.200005397527932</v>
      </c>
    </row>
    <row r="3174" ht="46.5" customHeight="1" spans="1:7">
      <c r="A3174" s="6" t="s">
        <v>5348</v>
      </c>
      <c r="B3174" s="12" t="s">
        <v>5349</v>
      </c>
      <c r="C3174" s="4"/>
      <c r="D3174" s="14"/>
      <c r="E3174" s="31" t="s">
        <v>9</v>
      </c>
    </row>
    <row r="3175" spans="1:7">
      <c r="A3175" s="6" t="s">
        <v>5350</v>
      </c>
      <c r="B3175" s="3" t="s">
        <v>4992</v>
      </c>
      <c r="C3175" s="4" t="s">
        <v>156</v>
      </c>
      <c r="D3175" s="7">
        <v>3627.65</v>
      </c>
      <c r="E3175" s="31" t="s">
        <v>9</v>
      </c>
      <c r="F3175" s="32">
        <v>3104.9</v>
      </c>
      <c r="G3175" s="33">
        <f>(D3175-F3175)/F3175</f>
        <v>0.168362910238655</v>
      </c>
    </row>
    <row r="3176" spans="1:7">
      <c r="A3176" s="6" t="s">
        <v>5351</v>
      </c>
      <c r="B3176" s="3" t="s">
        <v>5352</v>
      </c>
      <c r="C3176" s="4" t="s">
        <v>156</v>
      </c>
      <c r="D3176" s="7">
        <v>5468.35</v>
      </c>
      <c r="E3176" s="31" t="s">
        <v>9</v>
      </c>
      <c r="F3176" s="32">
        <v>4638.6</v>
      </c>
      <c r="G3176" s="33">
        <f>(D3176-F3176)/F3176</f>
        <v>0.178879403268227</v>
      </c>
    </row>
    <row r="3177" spans="1:7">
      <c r="A3177" s="6" t="s">
        <v>5353</v>
      </c>
      <c r="B3177" s="3" t="s">
        <v>5354</v>
      </c>
      <c r="C3177" s="4" t="s">
        <v>156</v>
      </c>
      <c r="D3177" s="7">
        <v>8408.8</v>
      </c>
      <c r="E3177" s="31" t="s">
        <v>9</v>
      </c>
      <c r="F3177" s="32">
        <v>6816.05</v>
      </c>
      <c r="G3177" s="33">
        <f>(D3177-F3177)/F3177</f>
        <v>0.233676396153197</v>
      </c>
    </row>
    <row r="3178" spans="1:7">
      <c r="A3178" s="6" t="s">
        <v>5355</v>
      </c>
      <c r="B3178" s="3" t="s">
        <v>5356</v>
      </c>
      <c r="C3178" s="4" t="s">
        <v>156</v>
      </c>
      <c r="D3178" s="7">
        <v>9043.3</v>
      </c>
      <c r="E3178" s="31" t="s">
        <v>9</v>
      </c>
      <c r="F3178" s="32">
        <v>7433.95</v>
      </c>
      <c r="G3178" s="33">
        <f>(D3178-F3178)/F3178</f>
        <v>0.21648652466051</v>
      </c>
    </row>
    <row r="3179" ht="31" customHeight="1" spans="1:7">
      <c r="A3179" s="6" t="s">
        <v>5357</v>
      </c>
      <c r="B3179" s="12" t="s">
        <v>5358</v>
      </c>
      <c r="C3179" s="4"/>
      <c r="D3179" s="14"/>
      <c r="E3179" s="31" t="s">
        <v>9</v>
      </c>
    </row>
    <row r="3180" spans="1:7">
      <c r="A3180" s="6" t="s">
        <v>5359</v>
      </c>
      <c r="B3180" s="3" t="s">
        <v>5346</v>
      </c>
      <c r="C3180" s="4" t="s">
        <v>156</v>
      </c>
      <c r="D3180" s="7">
        <v>4623.5</v>
      </c>
      <c r="E3180" s="31" t="s">
        <v>9</v>
      </c>
      <c r="F3180" s="32">
        <v>3633.5</v>
      </c>
      <c r="G3180" s="33">
        <f>(D3180-F3180)/F3180</f>
        <v>0.272464565845603</v>
      </c>
    </row>
    <row r="3181" spans="1:7">
      <c r="A3181" s="6" t="s">
        <v>5360</v>
      </c>
      <c r="B3181" s="3" t="s">
        <v>4504</v>
      </c>
      <c r="C3181" s="4" t="s">
        <v>156</v>
      </c>
      <c r="D3181" s="7">
        <v>7460</v>
      </c>
      <c r="E3181" s="31" t="s">
        <v>9</v>
      </c>
      <c r="F3181" s="32">
        <v>5864.1</v>
      </c>
      <c r="G3181" s="33">
        <f>(D3181-F3181)/F3181</f>
        <v>0.272147473610614</v>
      </c>
    </row>
    <row r="3182" spans="1:7">
      <c r="A3182" s="6" t="s">
        <v>5361</v>
      </c>
      <c r="B3182" s="3" t="s">
        <v>5362</v>
      </c>
      <c r="C3182" s="4" t="s">
        <v>156</v>
      </c>
      <c r="D3182" s="7">
        <v>9433.1</v>
      </c>
      <c r="E3182" s="31" t="s">
        <v>9</v>
      </c>
      <c r="F3182" s="32">
        <v>7443.4</v>
      </c>
      <c r="G3182" s="33">
        <f>(D3182-F3182)/F3182</f>
        <v>0.267310637611844</v>
      </c>
    </row>
    <row r="3183" spans="1:7">
      <c r="A3183" s="6" t="s">
        <v>5363</v>
      </c>
      <c r="B3183" s="3" t="s">
        <v>5364</v>
      </c>
      <c r="C3183" s="4" t="s">
        <v>156</v>
      </c>
      <c r="D3183" s="7">
        <v>12927.1</v>
      </c>
      <c r="E3183" s="31" t="s">
        <v>9</v>
      </c>
      <c r="F3183" s="32">
        <v>10430.75</v>
      </c>
      <c r="G3183" s="33">
        <f>(D3183-F3183)/F3183</f>
        <v>0.23932603120581</v>
      </c>
    </row>
    <row r="3184" ht="31" customHeight="1" spans="1:7">
      <c r="A3184" s="6" t="s">
        <v>5365</v>
      </c>
      <c r="B3184" s="12" t="s">
        <v>5366</v>
      </c>
      <c r="C3184" s="4"/>
      <c r="D3184" s="14"/>
      <c r="E3184" s="31" t="s">
        <v>9</v>
      </c>
    </row>
    <row r="3185" spans="1:7">
      <c r="A3185" s="6" t="s">
        <v>5367</v>
      </c>
      <c r="B3185" s="3" t="s">
        <v>5368</v>
      </c>
      <c r="C3185" s="4" t="s">
        <v>156</v>
      </c>
      <c r="D3185" s="7">
        <v>182.1</v>
      </c>
      <c r="E3185" s="31" t="s">
        <v>9</v>
      </c>
      <c r="F3185" s="32">
        <v>165.3</v>
      </c>
      <c r="G3185" s="33">
        <f t="shared" ref="G3185:G3192" si="63">(D3185-F3185)/F3185</f>
        <v>0.101633393829401</v>
      </c>
    </row>
    <row r="3186" spans="1:7">
      <c r="A3186" s="6" t="s">
        <v>5369</v>
      </c>
      <c r="B3186" s="3" t="s">
        <v>5370</v>
      </c>
      <c r="C3186" s="4" t="s">
        <v>156</v>
      </c>
      <c r="D3186" s="7">
        <v>257.6</v>
      </c>
      <c r="E3186" s="31" t="s">
        <v>9</v>
      </c>
      <c r="F3186" s="32">
        <v>216.7</v>
      </c>
      <c r="G3186" s="33">
        <f t="shared" si="63"/>
        <v>0.188740193816336</v>
      </c>
    </row>
    <row r="3187" spans="1:7">
      <c r="A3187" s="6" t="s">
        <v>5371</v>
      </c>
      <c r="B3187" s="3" t="s">
        <v>5372</v>
      </c>
      <c r="C3187" s="4" t="s">
        <v>156</v>
      </c>
      <c r="D3187" s="7">
        <v>523.8</v>
      </c>
      <c r="E3187" s="31" t="s">
        <v>9</v>
      </c>
      <c r="F3187" s="32">
        <v>413.25</v>
      </c>
      <c r="G3187" s="33">
        <f t="shared" si="63"/>
        <v>0.267513611615245</v>
      </c>
    </row>
    <row r="3188" spans="1:7">
      <c r="A3188" s="6" t="s">
        <v>5373</v>
      </c>
      <c r="B3188" s="3" t="s">
        <v>5374</v>
      </c>
      <c r="C3188" s="4" t="s">
        <v>156</v>
      </c>
      <c r="D3188" s="7">
        <v>737.2</v>
      </c>
      <c r="E3188" s="31" t="s">
        <v>9</v>
      </c>
      <c r="F3188" s="32">
        <v>646.7</v>
      </c>
      <c r="G3188" s="33">
        <f t="shared" si="63"/>
        <v>0.139941240142261</v>
      </c>
    </row>
    <row r="3189" spans="1:7">
      <c r="A3189" s="6" t="s">
        <v>5375</v>
      </c>
      <c r="B3189" s="3" t="s">
        <v>5376</v>
      </c>
      <c r="C3189" s="4" t="s">
        <v>156</v>
      </c>
      <c r="D3189" s="7">
        <v>1375.95</v>
      </c>
      <c r="E3189" s="31" t="s">
        <v>9</v>
      </c>
      <c r="F3189" s="32">
        <v>1125.25</v>
      </c>
      <c r="G3189" s="33">
        <f t="shared" si="63"/>
        <v>0.222794934459009</v>
      </c>
    </row>
    <row r="3190" ht="31" customHeight="1" spans="1:7">
      <c r="A3190" s="6" t="s">
        <v>5377</v>
      </c>
      <c r="B3190" s="12" t="s">
        <v>5378</v>
      </c>
      <c r="C3190" s="4" t="s">
        <v>156</v>
      </c>
      <c r="D3190" s="7">
        <v>156.9</v>
      </c>
      <c r="E3190" s="31" t="s">
        <v>9</v>
      </c>
      <c r="F3190" s="32">
        <v>134.65</v>
      </c>
      <c r="G3190" s="33">
        <f t="shared" si="63"/>
        <v>0.165243223171185</v>
      </c>
    </row>
    <row r="3191" ht="31" customHeight="1" spans="1:7">
      <c r="A3191" s="6" t="s">
        <v>5379</v>
      </c>
      <c r="B3191" s="12" t="s">
        <v>5380</v>
      </c>
      <c r="C3191" s="4" t="s">
        <v>156</v>
      </c>
      <c r="D3191" s="7">
        <v>121.4</v>
      </c>
      <c r="E3191" s="31" t="s">
        <v>9</v>
      </c>
      <c r="F3191" s="32">
        <v>100.7</v>
      </c>
      <c r="G3191" s="33">
        <f t="shared" si="63"/>
        <v>0.205561072492552</v>
      </c>
    </row>
    <row r="3192" ht="31" customHeight="1" spans="1:7">
      <c r="A3192" s="6" t="s">
        <v>5381</v>
      </c>
      <c r="B3192" s="12" t="s">
        <v>5382</v>
      </c>
      <c r="C3192" s="4" t="s">
        <v>156</v>
      </c>
      <c r="D3192" s="7">
        <v>111.45</v>
      </c>
      <c r="E3192" s="31" t="s">
        <v>9</v>
      </c>
      <c r="F3192" s="32">
        <v>112.3</v>
      </c>
      <c r="G3192" s="33">
        <f t="shared" si="63"/>
        <v>-0.0075690115761353</v>
      </c>
    </row>
    <row r="3193" ht="31" customHeight="1" spans="1:7">
      <c r="A3193" s="6" t="s">
        <v>5383</v>
      </c>
      <c r="B3193" s="12" t="s">
        <v>5384</v>
      </c>
      <c r="C3193" s="4"/>
      <c r="D3193" s="14"/>
      <c r="E3193" s="31" t="s">
        <v>9</v>
      </c>
    </row>
    <row r="3194" spans="1:7">
      <c r="A3194" s="6" t="s">
        <v>5385</v>
      </c>
      <c r="B3194" s="3" t="s">
        <v>5081</v>
      </c>
      <c r="C3194" s="4" t="s">
        <v>675</v>
      </c>
      <c r="D3194" s="7">
        <v>8628.6</v>
      </c>
      <c r="E3194" s="31" t="s">
        <v>9</v>
      </c>
      <c r="F3194" s="32">
        <v>6625.1</v>
      </c>
      <c r="G3194" s="33">
        <f>(D3194-F3194)/F3194</f>
        <v>0.302410529652383</v>
      </c>
    </row>
    <row r="3195" spans="1:7">
      <c r="A3195" s="6" t="s">
        <v>5386</v>
      </c>
      <c r="B3195" s="3" t="s">
        <v>5387</v>
      </c>
      <c r="C3195" s="4" t="s">
        <v>675</v>
      </c>
      <c r="D3195" s="7">
        <v>10157.95</v>
      </c>
      <c r="E3195" s="31" t="s">
        <v>9</v>
      </c>
      <c r="F3195" s="32">
        <v>7856.25</v>
      </c>
      <c r="G3195" s="33">
        <f>(D3195-F3195)/F3195</f>
        <v>0.2929769291965</v>
      </c>
    </row>
    <row r="3196" ht="31" customHeight="1" spans="1:7">
      <c r="A3196" s="6" t="s">
        <v>5388</v>
      </c>
      <c r="B3196" s="12" t="s">
        <v>5389</v>
      </c>
      <c r="C3196" s="4"/>
      <c r="D3196" s="14"/>
      <c r="E3196" s="31" t="s">
        <v>9</v>
      </c>
    </row>
    <row r="3197" spans="1:7">
      <c r="A3197" s="6" t="s">
        <v>5390</v>
      </c>
      <c r="B3197" s="3" t="s">
        <v>5081</v>
      </c>
      <c r="C3197" s="4" t="s">
        <v>675</v>
      </c>
      <c r="D3197" s="7">
        <v>13764.35</v>
      </c>
      <c r="E3197" s="31" t="s">
        <v>9</v>
      </c>
      <c r="F3197" s="32">
        <v>10748.4</v>
      </c>
      <c r="G3197" s="33">
        <f>(D3197-F3197)/F3197</f>
        <v>0.280595251386253</v>
      </c>
    </row>
    <row r="3198" spans="1:7">
      <c r="A3198" s="6" t="s">
        <v>5391</v>
      </c>
      <c r="B3198" s="3" t="s">
        <v>5387</v>
      </c>
      <c r="C3198" s="4" t="s">
        <v>675</v>
      </c>
      <c r="D3198" s="7">
        <v>14532.55</v>
      </c>
      <c r="E3198" s="31" t="s">
        <v>9</v>
      </c>
      <c r="F3198" s="32">
        <v>11329.15</v>
      </c>
      <c r="G3198" s="33">
        <f>(D3198-F3198)/F3198</f>
        <v>0.282757311890124</v>
      </c>
    </row>
    <row r="3199" ht="31" customHeight="1" spans="1:7">
      <c r="A3199" s="6" t="s">
        <v>5392</v>
      </c>
      <c r="B3199" s="12" t="s">
        <v>5393</v>
      </c>
      <c r="C3199" s="4"/>
      <c r="D3199" s="14"/>
      <c r="E3199" s="31" t="s">
        <v>9</v>
      </c>
    </row>
    <row r="3200" spans="1:7">
      <c r="A3200" s="6" t="s">
        <v>5394</v>
      </c>
      <c r="B3200" s="3" t="s">
        <v>5395</v>
      </c>
      <c r="C3200" s="4" t="s">
        <v>675</v>
      </c>
      <c r="D3200" s="7">
        <v>20009.7</v>
      </c>
      <c r="E3200" s="31" t="s">
        <v>9</v>
      </c>
      <c r="F3200" s="32">
        <v>15394.4</v>
      </c>
      <c r="G3200" s="33">
        <f>(D3200-F3200)/F3200</f>
        <v>0.299803824767448</v>
      </c>
    </row>
    <row r="3201" spans="1:7">
      <c r="A3201" s="6" t="s">
        <v>5396</v>
      </c>
      <c r="B3201" s="3" t="s">
        <v>5397</v>
      </c>
      <c r="C3201" s="4" t="s">
        <v>675</v>
      </c>
      <c r="D3201" s="7">
        <v>26696.1</v>
      </c>
      <c r="E3201" s="31" t="s">
        <v>9</v>
      </c>
      <c r="F3201" s="32">
        <v>21201.9</v>
      </c>
      <c r="G3201" s="33">
        <f>(D3201-F3201)/F3201</f>
        <v>0.259137152802343</v>
      </c>
    </row>
    <row r="3202" ht="46.5" customHeight="1" spans="1:7">
      <c r="A3202" s="6" t="s">
        <v>5398</v>
      </c>
      <c r="B3202" s="12" t="s">
        <v>5399</v>
      </c>
      <c r="C3202" s="4"/>
      <c r="D3202" s="7"/>
    </row>
    <row r="3203" spans="1:7">
      <c r="A3203" s="6" t="s">
        <v>5400</v>
      </c>
      <c r="B3203" s="3" t="s">
        <v>5401</v>
      </c>
      <c r="C3203" s="4" t="s">
        <v>675</v>
      </c>
      <c r="D3203" s="7">
        <v>30394.95</v>
      </c>
    </row>
    <row r="3204" spans="1:7">
      <c r="A3204" s="6" t="s">
        <v>5402</v>
      </c>
      <c r="B3204" s="3" t="s">
        <v>5403</v>
      </c>
      <c r="C3204" s="4" t="s">
        <v>675</v>
      </c>
      <c r="D3204" s="7">
        <v>39073.05</v>
      </c>
    </row>
    <row r="3205" ht="31" customHeight="1" spans="1:7">
      <c r="A3205" s="6" t="s">
        <v>5404</v>
      </c>
      <c r="B3205" s="12" t="s">
        <v>5405</v>
      </c>
      <c r="C3205" s="4"/>
      <c r="D3205" s="14"/>
      <c r="E3205" s="31" t="s">
        <v>9</v>
      </c>
    </row>
    <row r="3206" spans="1:7">
      <c r="A3206" s="6" t="s">
        <v>5406</v>
      </c>
      <c r="B3206" s="3" t="s">
        <v>5395</v>
      </c>
      <c r="C3206" s="4" t="s">
        <v>675</v>
      </c>
      <c r="D3206" s="7">
        <v>21290.1</v>
      </c>
      <c r="E3206" s="31" t="s">
        <v>9</v>
      </c>
      <c r="F3206" s="32">
        <v>16207.45</v>
      </c>
      <c r="G3206" s="33">
        <f>(D3206-F3206)/F3206</f>
        <v>0.313599610055869</v>
      </c>
    </row>
    <row r="3207" spans="1:7">
      <c r="A3207" s="6" t="s">
        <v>5407</v>
      </c>
      <c r="B3207" s="3" t="s">
        <v>5397</v>
      </c>
      <c r="C3207" s="4" t="s">
        <v>675</v>
      </c>
      <c r="D3207" s="7">
        <v>28403.25</v>
      </c>
      <c r="E3207" s="31" t="s">
        <v>9</v>
      </c>
      <c r="F3207" s="32">
        <v>23118.4</v>
      </c>
      <c r="G3207" s="33">
        <f>(D3207-F3207)/F3207</f>
        <v>0.228599297529241</v>
      </c>
    </row>
    <row r="3208" ht="31" customHeight="1" spans="1:7">
      <c r="A3208" s="6" t="s">
        <v>5408</v>
      </c>
      <c r="B3208" s="12" t="s">
        <v>5409</v>
      </c>
      <c r="C3208" s="4"/>
      <c r="D3208" s="14"/>
      <c r="E3208" s="31" t="s">
        <v>9</v>
      </c>
    </row>
    <row r="3209" spans="1:7">
      <c r="A3209" s="6" t="s">
        <v>5410</v>
      </c>
      <c r="B3209" s="3" t="s">
        <v>5411</v>
      </c>
      <c r="C3209" s="4" t="s">
        <v>5412</v>
      </c>
      <c r="D3209" s="7">
        <v>119.45</v>
      </c>
      <c r="E3209" s="31" t="s">
        <v>9</v>
      </c>
      <c r="F3209" s="32">
        <v>65.1</v>
      </c>
      <c r="G3209" s="33">
        <f t="shared" ref="G3209:G3223" si="64">(D3209-F3209)/F3209</f>
        <v>0.834869431643625</v>
      </c>
    </row>
    <row r="3210" spans="1:7">
      <c r="A3210" s="6" t="s">
        <v>5413</v>
      </c>
      <c r="B3210" s="3" t="s">
        <v>5414</v>
      </c>
      <c r="C3210" s="4" t="s">
        <v>5412</v>
      </c>
      <c r="D3210" s="7">
        <v>192.85</v>
      </c>
      <c r="E3210" s="31" t="s">
        <v>9</v>
      </c>
      <c r="F3210" s="32">
        <v>102.35</v>
      </c>
      <c r="G3210" s="33">
        <f t="shared" si="64"/>
        <v>0.884220810942843</v>
      </c>
    </row>
    <row r="3211" spans="1:7">
      <c r="A3211" s="6" t="s">
        <v>5415</v>
      </c>
      <c r="B3211" s="3" t="s">
        <v>5416</v>
      </c>
      <c r="C3211" s="4" t="s">
        <v>5412</v>
      </c>
      <c r="D3211" s="7">
        <v>280.85</v>
      </c>
      <c r="E3211" s="31" t="s">
        <v>9</v>
      </c>
      <c r="F3211" s="32">
        <v>154.3</v>
      </c>
      <c r="G3211" s="33">
        <f t="shared" si="64"/>
        <v>0.820155541153597</v>
      </c>
    </row>
    <row r="3212" spans="1:7">
      <c r="A3212" s="6" t="s">
        <v>5417</v>
      </c>
      <c r="B3212" s="3" t="s">
        <v>5418</v>
      </c>
      <c r="C3212" s="4" t="s">
        <v>5412</v>
      </c>
      <c r="D3212" s="7">
        <v>340.35</v>
      </c>
      <c r="E3212" s="31" t="s">
        <v>9</v>
      </c>
      <c r="F3212" s="32">
        <v>187.65</v>
      </c>
      <c r="G3212" s="33">
        <f t="shared" si="64"/>
        <v>0.813749000799361</v>
      </c>
    </row>
    <row r="3213" spans="1:7">
      <c r="A3213" s="6" t="s">
        <v>5419</v>
      </c>
      <c r="B3213" s="3" t="s">
        <v>5420</v>
      </c>
      <c r="C3213" s="4" t="s">
        <v>5412</v>
      </c>
      <c r="D3213" s="7">
        <v>435.45</v>
      </c>
      <c r="E3213" s="31" t="s">
        <v>9</v>
      </c>
      <c r="F3213" s="32">
        <v>250</v>
      </c>
      <c r="G3213" s="33">
        <f t="shared" si="64"/>
        <v>0.7418</v>
      </c>
    </row>
    <row r="3214" spans="1:7">
      <c r="A3214" s="6" t="s">
        <v>5421</v>
      </c>
      <c r="B3214" s="3" t="s">
        <v>5422</v>
      </c>
      <c r="C3214" s="4" t="s">
        <v>5412</v>
      </c>
      <c r="D3214" s="7">
        <v>495</v>
      </c>
      <c r="E3214" s="31" t="s">
        <v>9</v>
      </c>
      <c r="F3214" s="32">
        <v>269.75</v>
      </c>
      <c r="G3214" s="33">
        <f t="shared" si="64"/>
        <v>0.835032437442076</v>
      </c>
    </row>
    <row r="3215" spans="1:7">
      <c r="A3215" s="6" t="s">
        <v>5423</v>
      </c>
      <c r="B3215" s="3" t="s">
        <v>5424</v>
      </c>
      <c r="C3215" s="4" t="s">
        <v>5412</v>
      </c>
      <c r="D3215" s="7">
        <v>696.8</v>
      </c>
      <c r="E3215" s="31" t="s">
        <v>9</v>
      </c>
      <c r="F3215" s="32">
        <v>434</v>
      </c>
      <c r="G3215" s="33">
        <f t="shared" si="64"/>
        <v>0.605529953917051</v>
      </c>
    </row>
    <row r="3216" spans="1:7">
      <c r="A3216" s="6" t="s">
        <v>5425</v>
      </c>
      <c r="B3216" s="3" t="s">
        <v>5426</v>
      </c>
      <c r="C3216" s="4" t="s">
        <v>5412</v>
      </c>
      <c r="D3216" s="7">
        <v>820.35</v>
      </c>
      <c r="E3216" s="31" t="s">
        <v>9</v>
      </c>
      <c r="F3216" s="32">
        <v>499.9</v>
      </c>
      <c r="G3216" s="33">
        <f t="shared" si="64"/>
        <v>0.641028205641128</v>
      </c>
    </row>
    <row r="3217" spans="1:7">
      <c r="A3217" s="6" t="s">
        <v>5427</v>
      </c>
      <c r="B3217" s="3" t="s">
        <v>5428</v>
      </c>
      <c r="C3217" s="4" t="s">
        <v>5412</v>
      </c>
      <c r="D3217" s="7">
        <v>871.45</v>
      </c>
      <c r="E3217" s="31" t="s">
        <v>9</v>
      </c>
      <c r="F3217" s="32">
        <v>538.65</v>
      </c>
      <c r="G3217" s="33">
        <f t="shared" si="64"/>
        <v>0.617840898542653</v>
      </c>
    </row>
    <row r="3218" spans="1:7">
      <c r="A3218" s="6" t="s">
        <v>5429</v>
      </c>
      <c r="B3218" s="3" t="s">
        <v>5430</v>
      </c>
      <c r="C3218" s="4" t="s">
        <v>5412</v>
      </c>
      <c r="D3218" s="7">
        <v>1207.9</v>
      </c>
      <c r="E3218" s="31" t="s">
        <v>9</v>
      </c>
      <c r="F3218" s="32">
        <v>693.7</v>
      </c>
      <c r="G3218" s="33">
        <f t="shared" si="64"/>
        <v>0.74124261208015</v>
      </c>
    </row>
    <row r="3219" spans="1:7">
      <c r="A3219" s="6" t="s">
        <v>5431</v>
      </c>
      <c r="B3219" s="3" t="s">
        <v>5432</v>
      </c>
      <c r="C3219" s="4" t="s">
        <v>5412</v>
      </c>
      <c r="D3219" s="7">
        <v>1572.7</v>
      </c>
      <c r="E3219" s="31" t="s">
        <v>9</v>
      </c>
      <c r="F3219" s="32">
        <v>966.75</v>
      </c>
      <c r="G3219" s="33">
        <f t="shared" si="64"/>
        <v>0.626790793897078</v>
      </c>
    </row>
    <row r="3220" spans="1:7">
      <c r="A3220" s="6" t="s">
        <v>5433</v>
      </c>
      <c r="B3220" s="3" t="s">
        <v>5434</v>
      </c>
      <c r="C3220" s="4" t="s">
        <v>5412</v>
      </c>
      <c r="D3220" s="7">
        <v>1693.65</v>
      </c>
      <c r="E3220" s="31" t="s">
        <v>9</v>
      </c>
      <c r="F3220" s="32">
        <v>1100.3</v>
      </c>
      <c r="G3220" s="33">
        <f t="shared" si="64"/>
        <v>0.539262019449241</v>
      </c>
    </row>
    <row r="3221" spans="1:7">
      <c r="A3221" s="6" t="s">
        <v>5435</v>
      </c>
      <c r="B3221" s="3" t="s">
        <v>5436</v>
      </c>
      <c r="C3221" s="4" t="s">
        <v>5412</v>
      </c>
      <c r="D3221" s="7">
        <v>1844.4</v>
      </c>
      <c r="E3221" s="31" t="s">
        <v>9</v>
      </c>
      <c r="F3221" s="32">
        <v>1212.7</v>
      </c>
      <c r="G3221" s="33">
        <f t="shared" si="64"/>
        <v>0.520903768450565</v>
      </c>
    </row>
    <row r="3222" spans="1:7">
      <c r="A3222" s="6" t="s">
        <v>5437</v>
      </c>
      <c r="B3222" s="3" t="s">
        <v>5438</v>
      </c>
      <c r="C3222" s="4" t="s">
        <v>5412</v>
      </c>
      <c r="D3222" s="7">
        <v>2314.65</v>
      </c>
      <c r="E3222" s="31" t="s">
        <v>9</v>
      </c>
      <c r="F3222" s="32">
        <v>1549.65</v>
      </c>
      <c r="G3222" s="33">
        <f t="shared" si="64"/>
        <v>0.493659858677766</v>
      </c>
    </row>
    <row r="3223" spans="1:7">
      <c r="A3223" s="6" t="s">
        <v>5439</v>
      </c>
      <c r="B3223" s="3" t="s">
        <v>5440</v>
      </c>
      <c r="C3223" s="4" t="s">
        <v>5412</v>
      </c>
      <c r="D3223" s="7">
        <v>2604.4</v>
      </c>
      <c r="E3223" s="31" t="s">
        <v>9</v>
      </c>
      <c r="F3223" s="32">
        <v>1820.8</v>
      </c>
      <c r="G3223" s="33">
        <f t="shared" si="64"/>
        <v>0.430360281195079</v>
      </c>
    </row>
    <row r="3224" ht="31" customHeight="1" spans="1:7">
      <c r="A3224" s="6" t="s">
        <v>5441</v>
      </c>
      <c r="B3224" s="12" t="s">
        <v>5442</v>
      </c>
      <c r="C3224" s="4"/>
      <c r="D3224" s="14"/>
      <c r="E3224" s="31" t="s">
        <v>9</v>
      </c>
    </row>
    <row r="3225" spans="1:7">
      <c r="A3225" s="6" t="s">
        <v>5443</v>
      </c>
      <c r="B3225" s="3" t="s">
        <v>5444</v>
      </c>
      <c r="C3225" s="4" t="s">
        <v>49</v>
      </c>
      <c r="D3225" s="7">
        <v>2089.35</v>
      </c>
      <c r="E3225" s="31" t="s">
        <v>9</v>
      </c>
      <c r="F3225" s="32">
        <v>1640.95</v>
      </c>
      <c r="G3225" s="33">
        <f t="shared" ref="G3225:G3234" si="65">(D3225-F3225)/F3225</f>
        <v>0.273256345409671</v>
      </c>
    </row>
    <row r="3226" spans="1:7">
      <c r="A3226" s="6" t="s">
        <v>5445</v>
      </c>
      <c r="B3226" s="3" t="s">
        <v>5446</v>
      </c>
      <c r="C3226" s="4" t="s">
        <v>49</v>
      </c>
      <c r="D3226" s="7">
        <v>3218.5</v>
      </c>
      <c r="E3226" s="31" t="s">
        <v>9</v>
      </c>
      <c r="F3226" s="32">
        <v>2569.15</v>
      </c>
      <c r="G3226" s="33">
        <f t="shared" si="65"/>
        <v>0.252748963665025</v>
      </c>
    </row>
    <row r="3227" spans="1:7">
      <c r="A3227" s="6" t="s">
        <v>5447</v>
      </c>
      <c r="B3227" s="3" t="s">
        <v>5448</v>
      </c>
      <c r="C3227" s="4" t="s">
        <v>49</v>
      </c>
      <c r="D3227" s="7">
        <v>4995.85</v>
      </c>
      <c r="E3227" s="31" t="s">
        <v>9</v>
      </c>
      <c r="F3227" s="32">
        <v>4053.4</v>
      </c>
      <c r="G3227" s="33">
        <f t="shared" si="65"/>
        <v>0.232508511373168</v>
      </c>
    </row>
    <row r="3228" spans="1:7">
      <c r="A3228" s="6" t="s">
        <v>5449</v>
      </c>
      <c r="B3228" s="3" t="s">
        <v>5450</v>
      </c>
      <c r="C3228" s="4" t="s">
        <v>49</v>
      </c>
      <c r="D3228" s="7">
        <v>6227</v>
      </c>
      <c r="E3228" s="31" t="s">
        <v>9</v>
      </c>
      <c r="F3228" s="32">
        <v>4902.8</v>
      </c>
      <c r="G3228" s="33">
        <f t="shared" si="65"/>
        <v>0.270090560496043</v>
      </c>
    </row>
    <row r="3229" spans="1:7">
      <c r="A3229" s="6" t="s">
        <v>5451</v>
      </c>
      <c r="B3229" s="3" t="s">
        <v>5452</v>
      </c>
      <c r="C3229" s="4" t="s">
        <v>49</v>
      </c>
      <c r="D3229" s="7">
        <v>8094.3</v>
      </c>
      <c r="E3229" s="31" t="s">
        <v>9</v>
      </c>
      <c r="F3229" s="32">
        <v>6266.9</v>
      </c>
      <c r="G3229" s="33">
        <f t="shared" si="65"/>
        <v>0.291595525698511</v>
      </c>
    </row>
    <row r="3230" spans="1:7">
      <c r="A3230" s="6" t="s">
        <v>5453</v>
      </c>
      <c r="B3230" s="3" t="s">
        <v>5454</v>
      </c>
      <c r="C3230" s="4" t="s">
        <v>49</v>
      </c>
      <c r="D3230" s="7">
        <v>10093.9</v>
      </c>
      <c r="E3230" s="31" t="s">
        <v>9</v>
      </c>
      <c r="F3230" s="32">
        <v>7890.95</v>
      </c>
      <c r="G3230" s="33">
        <f t="shared" si="65"/>
        <v>0.27917424391233</v>
      </c>
    </row>
    <row r="3231" spans="1:7">
      <c r="A3231" s="6" t="s">
        <v>5455</v>
      </c>
      <c r="B3231" s="3" t="s">
        <v>5456</v>
      </c>
      <c r="C3231" s="4" t="s">
        <v>49</v>
      </c>
      <c r="D3231" s="7">
        <v>13136.65</v>
      </c>
      <c r="E3231" s="31" t="s">
        <v>9</v>
      </c>
      <c r="F3231" s="32">
        <v>10209.65</v>
      </c>
      <c r="G3231" s="33">
        <f t="shared" si="65"/>
        <v>0.286689553510649</v>
      </c>
    </row>
    <row r="3232" spans="1:7">
      <c r="A3232" s="6" t="s">
        <v>5457</v>
      </c>
      <c r="B3232" s="3" t="s">
        <v>5458</v>
      </c>
      <c r="C3232" s="4" t="s">
        <v>49</v>
      </c>
      <c r="D3232" s="7">
        <v>16769.3</v>
      </c>
      <c r="E3232" s="31" t="s">
        <v>9</v>
      </c>
      <c r="F3232" s="32">
        <v>12997.65</v>
      </c>
      <c r="G3232" s="33">
        <f t="shared" si="65"/>
        <v>0.290179378579974</v>
      </c>
    </row>
    <row r="3233" spans="1:7">
      <c r="A3233" s="6" t="s">
        <v>5459</v>
      </c>
      <c r="B3233" s="3" t="s">
        <v>5460</v>
      </c>
      <c r="C3233" s="4" t="s">
        <v>49</v>
      </c>
      <c r="D3233" s="7">
        <v>21619.65</v>
      </c>
      <c r="E3233" s="31" t="s">
        <v>9</v>
      </c>
      <c r="F3233" s="32">
        <v>16138</v>
      </c>
      <c r="G3233" s="33">
        <f t="shared" si="65"/>
        <v>0.339673441566489</v>
      </c>
    </row>
    <row r="3234" spans="1:7">
      <c r="A3234" s="6" t="s">
        <v>5461</v>
      </c>
      <c r="B3234" s="3" t="s">
        <v>5462</v>
      </c>
      <c r="C3234" s="4" t="s">
        <v>49</v>
      </c>
      <c r="D3234" s="7">
        <v>27459.4</v>
      </c>
      <c r="E3234" s="31" t="s">
        <v>9</v>
      </c>
      <c r="F3234" s="32">
        <v>22362.05</v>
      </c>
      <c r="G3234" s="33">
        <f t="shared" si="65"/>
        <v>0.227946453925289</v>
      </c>
    </row>
    <row r="3235" ht="31" customHeight="1" spans="1:7">
      <c r="A3235" s="6" t="s">
        <v>5463</v>
      </c>
      <c r="B3235" s="12" t="s">
        <v>5464</v>
      </c>
      <c r="C3235" s="4"/>
      <c r="D3235" s="14"/>
      <c r="E3235" s="31" t="s">
        <v>9</v>
      </c>
    </row>
    <row r="3236" spans="1:7">
      <c r="A3236" s="6" t="s">
        <v>5465</v>
      </c>
      <c r="B3236" s="3" t="s">
        <v>5466</v>
      </c>
      <c r="C3236" s="4" t="s">
        <v>49</v>
      </c>
      <c r="D3236" s="7">
        <v>1257.8</v>
      </c>
      <c r="E3236" s="31" t="s">
        <v>9</v>
      </c>
      <c r="F3236" s="32">
        <v>926.3</v>
      </c>
      <c r="G3236" s="33">
        <f t="shared" ref="G3236:G3264" si="66">(D3236-F3236)/F3236</f>
        <v>0.357875418330994</v>
      </c>
    </row>
    <row r="3237" spans="1:7">
      <c r="A3237" s="6" t="s">
        <v>5467</v>
      </c>
      <c r="B3237" s="3" t="s">
        <v>5468</v>
      </c>
      <c r="C3237" s="4" t="s">
        <v>49</v>
      </c>
      <c r="D3237" s="7">
        <v>1789.6</v>
      </c>
      <c r="E3237" s="31" t="s">
        <v>9</v>
      </c>
      <c r="F3237" s="32">
        <v>1340.1</v>
      </c>
      <c r="G3237" s="33">
        <f t="shared" si="66"/>
        <v>0.335422729647041</v>
      </c>
    </row>
    <row r="3238" spans="1:7">
      <c r="A3238" s="6" t="s">
        <v>5469</v>
      </c>
      <c r="B3238" s="3" t="s">
        <v>5470</v>
      </c>
      <c r="C3238" s="4" t="s">
        <v>49</v>
      </c>
      <c r="D3238" s="7">
        <v>2328.15</v>
      </c>
      <c r="E3238" s="31" t="s">
        <v>9</v>
      </c>
      <c r="F3238" s="32">
        <v>1853.45</v>
      </c>
      <c r="G3238" s="33">
        <f t="shared" si="66"/>
        <v>0.25611697105398</v>
      </c>
    </row>
    <row r="3239" spans="1:7">
      <c r="A3239" s="6" t="s">
        <v>5471</v>
      </c>
      <c r="B3239" s="3" t="s">
        <v>5472</v>
      </c>
      <c r="C3239" s="4" t="s">
        <v>49</v>
      </c>
      <c r="D3239" s="7">
        <v>2880.7</v>
      </c>
      <c r="E3239" s="31" t="s">
        <v>9</v>
      </c>
      <c r="F3239" s="32">
        <v>2509.35</v>
      </c>
      <c r="G3239" s="33">
        <f t="shared" si="66"/>
        <v>0.147986530376392</v>
      </c>
    </row>
    <row r="3240" spans="1:7">
      <c r="A3240" s="6" t="s">
        <v>5473</v>
      </c>
      <c r="B3240" s="3" t="s">
        <v>5474</v>
      </c>
      <c r="C3240" s="4" t="s">
        <v>49</v>
      </c>
      <c r="D3240" s="7">
        <v>3518.25</v>
      </c>
      <c r="E3240" s="31" t="s">
        <v>9</v>
      </c>
      <c r="F3240" s="32">
        <v>3305</v>
      </c>
      <c r="G3240" s="33">
        <f t="shared" si="66"/>
        <v>0.0645234493192133</v>
      </c>
    </row>
    <row r="3241" spans="1:7">
      <c r="A3241" s="6" t="s">
        <v>5475</v>
      </c>
      <c r="B3241" s="3" t="s">
        <v>5476</v>
      </c>
      <c r="C3241" s="4" t="s">
        <v>49</v>
      </c>
      <c r="D3241" s="7">
        <v>4186.5</v>
      </c>
      <c r="E3241" s="31" t="s">
        <v>9</v>
      </c>
      <c r="F3241" s="32">
        <v>4015.1</v>
      </c>
      <c r="G3241" s="33">
        <f t="shared" si="66"/>
        <v>0.0426888495927873</v>
      </c>
    </row>
    <row r="3242" spans="1:7">
      <c r="A3242" s="6" t="s">
        <v>5477</v>
      </c>
      <c r="B3242" s="3" t="s">
        <v>5478</v>
      </c>
      <c r="C3242" s="4" t="s">
        <v>49</v>
      </c>
      <c r="D3242" s="7">
        <v>5084.55</v>
      </c>
      <c r="E3242" s="31" t="s">
        <v>9</v>
      </c>
      <c r="F3242" s="32">
        <v>4807</v>
      </c>
      <c r="G3242" s="33">
        <f t="shared" si="66"/>
        <v>0.05773871437487</v>
      </c>
    </row>
    <row r="3243" spans="1:7">
      <c r="A3243" s="6" t="s">
        <v>5479</v>
      </c>
      <c r="B3243" s="3" t="s">
        <v>5480</v>
      </c>
      <c r="C3243" s="4" t="s">
        <v>49</v>
      </c>
      <c r="D3243" s="7">
        <v>6163.35</v>
      </c>
      <c r="E3243" s="31" t="s">
        <v>9</v>
      </c>
      <c r="F3243" s="32">
        <v>5804.5</v>
      </c>
      <c r="G3243" s="33">
        <f t="shared" si="66"/>
        <v>0.0618227237488156</v>
      </c>
    </row>
    <row r="3244" spans="1:7">
      <c r="A3244" s="6" t="s">
        <v>5481</v>
      </c>
      <c r="B3244" s="3" t="s">
        <v>5482</v>
      </c>
      <c r="C3244" s="4" t="s">
        <v>49</v>
      </c>
      <c r="D3244" s="7">
        <v>6787.4</v>
      </c>
      <c r="E3244" s="31" t="s">
        <v>9</v>
      </c>
      <c r="F3244" s="32">
        <v>6853.35</v>
      </c>
      <c r="G3244" s="33">
        <f t="shared" si="66"/>
        <v>-0.00962303107239536</v>
      </c>
    </row>
    <row r="3245" spans="1:7">
      <c r="A3245" s="6" t="s">
        <v>5483</v>
      </c>
      <c r="B3245" s="3" t="s">
        <v>5484</v>
      </c>
      <c r="C3245" s="4" t="s">
        <v>49</v>
      </c>
      <c r="D3245" s="7">
        <v>8965.95</v>
      </c>
      <c r="E3245" s="31" t="s">
        <v>9</v>
      </c>
      <c r="F3245" s="32">
        <v>8853.1</v>
      </c>
      <c r="G3245" s="33">
        <f t="shared" si="66"/>
        <v>0.012746947396957</v>
      </c>
    </row>
    <row r="3246" spans="1:7">
      <c r="A3246" s="6" t="s">
        <v>5485</v>
      </c>
      <c r="B3246" s="3" t="s">
        <v>5486</v>
      </c>
      <c r="C3246" s="4" t="s">
        <v>49</v>
      </c>
      <c r="D3246" s="7">
        <v>11566.35</v>
      </c>
      <c r="E3246" s="31" t="s">
        <v>9</v>
      </c>
      <c r="F3246" s="32">
        <v>11498.05</v>
      </c>
      <c r="G3246" s="33">
        <f t="shared" si="66"/>
        <v>0.00594013767551899</v>
      </c>
    </row>
    <row r="3247" spans="1:7">
      <c r="A3247" s="6" t="s">
        <v>5487</v>
      </c>
      <c r="B3247" s="3" t="s">
        <v>5488</v>
      </c>
      <c r="C3247" s="4" t="s">
        <v>49</v>
      </c>
      <c r="D3247" s="7">
        <v>14609.05</v>
      </c>
      <c r="E3247" s="31" t="s">
        <v>9</v>
      </c>
      <c r="F3247" s="32">
        <v>14470.1</v>
      </c>
      <c r="G3247" s="33">
        <f t="shared" si="66"/>
        <v>0.0096025597611626</v>
      </c>
    </row>
    <row r="3248" spans="1:7">
      <c r="A3248" s="6" t="s">
        <v>5489</v>
      </c>
      <c r="B3248" s="3" t="s">
        <v>5490</v>
      </c>
      <c r="C3248" s="4" t="s">
        <v>49</v>
      </c>
      <c r="D3248" s="7">
        <v>18734.2</v>
      </c>
      <c r="E3248" s="31" t="s">
        <v>9</v>
      </c>
      <c r="F3248" s="32">
        <v>18620.7</v>
      </c>
      <c r="G3248" s="33">
        <f t="shared" si="66"/>
        <v>0.00609536698405538</v>
      </c>
    </row>
    <row r="3249" spans="1:7">
      <c r="A3249" s="6" t="s">
        <v>5491</v>
      </c>
      <c r="B3249" s="3" t="s">
        <v>5492</v>
      </c>
      <c r="C3249" s="4" t="s">
        <v>49</v>
      </c>
      <c r="D3249" s="7">
        <v>19895.8</v>
      </c>
      <c r="E3249" s="31" t="s">
        <v>9</v>
      </c>
      <c r="F3249" s="32">
        <v>20402.55</v>
      </c>
      <c r="G3249" s="33">
        <f t="shared" si="66"/>
        <v>-0.0248375815768127</v>
      </c>
    </row>
    <row r="3250" spans="1:7">
      <c r="A3250" s="6" t="s">
        <v>5493</v>
      </c>
      <c r="B3250" s="3" t="s">
        <v>5494</v>
      </c>
      <c r="C3250" s="4" t="s">
        <v>49</v>
      </c>
      <c r="D3250" s="7">
        <v>1344.6</v>
      </c>
      <c r="E3250" s="31" t="s">
        <v>9</v>
      </c>
      <c r="F3250" s="32">
        <v>958.95</v>
      </c>
      <c r="G3250" s="33">
        <f t="shared" si="66"/>
        <v>0.40215861098076</v>
      </c>
    </row>
    <row r="3251" spans="1:7">
      <c r="A3251" s="6" t="s">
        <v>5495</v>
      </c>
      <c r="B3251" s="3" t="s">
        <v>5496</v>
      </c>
      <c r="C3251" s="4" t="s">
        <v>49</v>
      </c>
      <c r="D3251" s="7">
        <v>1837.75</v>
      </c>
      <c r="E3251" s="31" t="s">
        <v>9</v>
      </c>
      <c r="F3251" s="32">
        <v>1438.35</v>
      </c>
      <c r="G3251" s="33">
        <f t="shared" si="66"/>
        <v>0.277679285292175</v>
      </c>
    </row>
    <row r="3252" spans="1:7">
      <c r="A3252" s="6" t="s">
        <v>5497</v>
      </c>
      <c r="B3252" s="3" t="s">
        <v>5498</v>
      </c>
      <c r="C3252" s="4" t="s">
        <v>49</v>
      </c>
      <c r="D3252" s="7">
        <v>2478.1</v>
      </c>
      <c r="E3252" s="31" t="s">
        <v>9</v>
      </c>
      <c r="F3252" s="32">
        <v>1978.85</v>
      </c>
      <c r="G3252" s="33">
        <f t="shared" si="66"/>
        <v>0.252292998458701</v>
      </c>
    </row>
    <row r="3253" spans="1:7">
      <c r="A3253" s="6" t="s">
        <v>5499</v>
      </c>
      <c r="B3253" s="3" t="s">
        <v>5500</v>
      </c>
      <c r="C3253" s="4" t="s">
        <v>49</v>
      </c>
      <c r="D3253" s="7">
        <v>3516.8</v>
      </c>
      <c r="E3253" s="31" t="s">
        <v>9</v>
      </c>
      <c r="F3253" s="32">
        <v>2754.95</v>
      </c>
      <c r="G3253" s="33">
        <f t="shared" si="66"/>
        <v>0.276538594166863</v>
      </c>
    </row>
    <row r="3254" spans="1:7">
      <c r="A3254" s="6" t="s">
        <v>5501</v>
      </c>
      <c r="B3254" s="3" t="s">
        <v>5502</v>
      </c>
      <c r="C3254" s="4" t="s">
        <v>49</v>
      </c>
      <c r="D3254" s="7">
        <v>4344.4</v>
      </c>
      <c r="E3254" s="31" t="s">
        <v>9</v>
      </c>
      <c r="F3254" s="32">
        <v>3426.85</v>
      </c>
      <c r="G3254" s="33">
        <f t="shared" si="66"/>
        <v>0.26775318441134</v>
      </c>
    </row>
    <row r="3255" spans="1:7">
      <c r="A3255" s="6" t="s">
        <v>5503</v>
      </c>
      <c r="B3255" s="3" t="s">
        <v>5504</v>
      </c>
      <c r="C3255" s="4" t="s">
        <v>49</v>
      </c>
      <c r="D3255" s="7">
        <v>5409.85</v>
      </c>
      <c r="E3255" s="31" t="s">
        <v>9</v>
      </c>
      <c r="F3255" s="32">
        <v>4216.25</v>
      </c>
      <c r="G3255" s="33">
        <f t="shared" si="66"/>
        <v>0.283095167506671</v>
      </c>
    </row>
    <row r="3256" spans="1:7">
      <c r="A3256" s="6" t="s">
        <v>5505</v>
      </c>
      <c r="B3256" s="3" t="s">
        <v>5506</v>
      </c>
      <c r="C3256" s="4" t="s">
        <v>49</v>
      </c>
      <c r="D3256" s="7">
        <v>6844.3</v>
      </c>
      <c r="E3256" s="31" t="s">
        <v>9</v>
      </c>
      <c r="F3256" s="32">
        <v>5395.55</v>
      </c>
      <c r="G3256" s="33">
        <f t="shared" si="66"/>
        <v>0.268508307772146</v>
      </c>
    </row>
    <row r="3257" spans="1:7">
      <c r="A3257" s="6" t="s">
        <v>5507</v>
      </c>
      <c r="B3257" s="3" t="s">
        <v>5508</v>
      </c>
      <c r="C3257" s="4" t="s">
        <v>49</v>
      </c>
      <c r="D3257" s="7">
        <v>7976.85</v>
      </c>
      <c r="E3257" s="31" t="s">
        <v>9</v>
      </c>
      <c r="F3257" s="32">
        <v>6238.65</v>
      </c>
      <c r="G3257" s="33">
        <f t="shared" si="66"/>
        <v>0.278617970233945</v>
      </c>
    </row>
    <row r="3258" spans="1:7">
      <c r="A3258" s="6" t="s">
        <v>5509</v>
      </c>
      <c r="B3258" s="3" t="s">
        <v>5510</v>
      </c>
      <c r="C3258" s="4" t="s">
        <v>49</v>
      </c>
      <c r="D3258" s="7">
        <v>9679.85</v>
      </c>
      <c r="E3258" s="31" t="s">
        <v>9</v>
      </c>
      <c r="F3258" s="32">
        <v>7869.8</v>
      </c>
      <c r="G3258" s="33">
        <f t="shared" si="66"/>
        <v>0.229999491727871</v>
      </c>
    </row>
    <row r="3259" spans="1:7">
      <c r="A3259" s="6" t="s">
        <v>5511</v>
      </c>
      <c r="B3259" s="3" t="s">
        <v>5512</v>
      </c>
      <c r="C3259" s="4" t="s">
        <v>49</v>
      </c>
      <c r="D3259" s="7">
        <v>12986.95</v>
      </c>
      <c r="E3259" s="31" t="s">
        <v>9</v>
      </c>
      <c r="F3259" s="32">
        <v>9512.35</v>
      </c>
      <c r="G3259" s="33">
        <f t="shared" si="66"/>
        <v>0.365272514152654</v>
      </c>
    </row>
    <row r="3260" spans="1:7">
      <c r="A3260" s="6" t="s">
        <v>5513</v>
      </c>
      <c r="B3260" s="3" t="s">
        <v>5514</v>
      </c>
      <c r="C3260" s="4" t="s">
        <v>49</v>
      </c>
      <c r="D3260" s="7">
        <v>17431.6</v>
      </c>
      <c r="E3260" s="31" t="s">
        <v>9</v>
      </c>
      <c r="F3260" s="32">
        <v>13138.15</v>
      </c>
      <c r="G3260" s="33">
        <f t="shared" si="66"/>
        <v>0.32679258495298</v>
      </c>
    </row>
    <row r="3261" spans="1:7">
      <c r="A3261" s="6" t="s">
        <v>5515</v>
      </c>
      <c r="B3261" s="3" t="s">
        <v>5516</v>
      </c>
      <c r="C3261" s="4" t="s">
        <v>49</v>
      </c>
      <c r="D3261" s="7">
        <v>18567.85</v>
      </c>
      <c r="E3261" s="31" t="s">
        <v>9</v>
      </c>
      <c r="F3261" s="32">
        <v>14258.4</v>
      </c>
      <c r="G3261" s="33">
        <f t="shared" si="66"/>
        <v>0.302239381697806</v>
      </c>
    </row>
    <row r="3262" spans="1:7">
      <c r="A3262" s="6" t="s">
        <v>5517</v>
      </c>
      <c r="B3262" s="3" t="s">
        <v>5518</v>
      </c>
      <c r="C3262" s="4" t="s">
        <v>49</v>
      </c>
      <c r="D3262" s="7">
        <v>18891.2</v>
      </c>
      <c r="E3262" s="31" t="s">
        <v>9</v>
      </c>
      <c r="F3262" s="32">
        <v>14433.95</v>
      </c>
      <c r="G3262" s="33">
        <f t="shared" si="66"/>
        <v>0.308803203558278</v>
      </c>
    </row>
    <row r="3263" spans="1:7">
      <c r="A3263" s="6" t="s">
        <v>5519</v>
      </c>
      <c r="B3263" s="3" t="s">
        <v>5520</v>
      </c>
      <c r="C3263" s="4" t="s">
        <v>49</v>
      </c>
      <c r="D3263" s="7">
        <v>23163</v>
      </c>
      <c r="E3263" s="31" t="s">
        <v>9</v>
      </c>
      <c r="F3263" s="32">
        <v>17420.5</v>
      </c>
      <c r="G3263" s="33">
        <f t="shared" si="66"/>
        <v>0.329640366235183</v>
      </c>
    </row>
    <row r="3264" spans="1:7">
      <c r="A3264" s="6" t="s">
        <v>5521</v>
      </c>
      <c r="B3264" s="3" t="s">
        <v>5522</v>
      </c>
      <c r="C3264" s="4" t="s">
        <v>49</v>
      </c>
      <c r="D3264" s="7">
        <v>25133</v>
      </c>
      <c r="E3264" s="31" t="s">
        <v>9</v>
      </c>
      <c r="F3264" s="32">
        <v>19601.2</v>
      </c>
      <c r="G3264" s="33">
        <f t="shared" si="66"/>
        <v>0.28221741526029</v>
      </c>
    </row>
    <row r="3265" ht="46.5" customHeight="1" spans="1:4">
      <c r="A3265" s="6" t="s">
        <v>5523</v>
      </c>
      <c r="B3265" s="12" t="s">
        <v>5524</v>
      </c>
      <c r="C3265" s="4"/>
      <c r="D3265" s="7"/>
    </row>
    <row r="3266" spans="1:4">
      <c r="A3266" s="6" t="s">
        <v>5525</v>
      </c>
      <c r="B3266" s="3" t="s">
        <v>5526</v>
      </c>
      <c r="C3266" s="4" t="s">
        <v>49</v>
      </c>
      <c r="D3266" s="7">
        <v>1870.75</v>
      </c>
    </row>
    <row r="3267" spans="1:4">
      <c r="A3267" s="6" t="s">
        <v>5527</v>
      </c>
      <c r="B3267" s="3" t="s">
        <v>5528</v>
      </c>
      <c r="C3267" s="4" t="s">
        <v>49</v>
      </c>
      <c r="D3267" s="7">
        <v>2590.9</v>
      </c>
    </row>
    <row r="3268" spans="1:4">
      <c r="A3268" s="6" t="s">
        <v>5529</v>
      </c>
      <c r="B3268" s="3" t="s">
        <v>5530</v>
      </c>
      <c r="C3268" s="4" t="s">
        <v>49</v>
      </c>
      <c r="D3268" s="7">
        <v>3260.55</v>
      </c>
    </row>
    <row r="3269" spans="1:4">
      <c r="A3269" s="6" t="s">
        <v>5531</v>
      </c>
      <c r="B3269" s="3" t="s">
        <v>5532</v>
      </c>
      <c r="C3269" s="4" t="s">
        <v>49</v>
      </c>
      <c r="D3269" s="7">
        <v>4357.6</v>
      </c>
    </row>
    <row r="3270" spans="1:4">
      <c r="A3270" s="6" t="s">
        <v>5533</v>
      </c>
      <c r="B3270" s="3" t="s">
        <v>5534</v>
      </c>
      <c r="C3270" s="4" t="s">
        <v>49</v>
      </c>
      <c r="D3270" s="7">
        <v>5452.95</v>
      </c>
    </row>
    <row r="3271" spans="1:4">
      <c r="A3271" s="6" t="s">
        <v>5535</v>
      </c>
      <c r="B3271" s="3" t="s">
        <v>5536</v>
      </c>
      <c r="C3271" s="4" t="s">
        <v>49</v>
      </c>
      <c r="D3271" s="7">
        <v>6636.8</v>
      </c>
    </row>
    <row r="3272" spans="1:4">
      <c r="A3272" s="6" t="s">
        <v>5537</v>
      </c>
      <c r="B3272" s="3" t="s">
        <v>5538</v>
      </c>
      <c r="C3272" s="4" t="s">
        <v>49</v>
      </c>
      <c r="D3272" s="7">
        <v>8279.45</v>
      </c>
    </row>
    <row r="3273" spans="1:4">
      <c r="A3273" s="6" t="s">
        <v>5539</v>
      </c>
      <c r="B3273" s="3" t="s">
        <v>5540</v>
      </c>
      <c r="C3273" s="4" t="s">
        <v>49</v>
      </c>
      <c r="D3273" s="7">
        <v>9861.2</v>
      </c>
    </row>
    <row r="3274" spans="1:4">
      <c r="A3274" s="6" t="s">
        <v>5541</v>
      </c>
      <c r="B3274" s="3" t="s">
        <v>5542</v>
      </c>
      <c r="C3274" s="4" t="s">
        <v>49</v>
      </c>
      <c r="D3274" s="7">
        <v>11628.3</v>
      </c>
    </row>
    <row r="3275" spans="1:4">
      <c r="A3275" s="6" t="s">
        <v>5543</v>
      </c>
      <c r="B3275" s="3" t="s">
        <v>5544</v>
      </c>
      <c r="C3275" s="4" t="s">
        <v>49</v>
      </c>
      <c r="D3275" s="7">
        <v>15202.6</v>
      </c>
    </row>
    <row r="3276" spans="1:4">
      <c r="A3276" s="6" t="s">
        <v>5545</v>
      </c>
      <c r="B3276" s="3" t="s">
        <v>5546</v>
      </c>
      <c r="C3276" s="4" t="s">
        <v>49</v>
      </c>
      <c r="D3276" s="7">
        <v>19217.15</v>
      </c>
    </row>
    <row r="3277" spans="1:4">
      <c r="A3277" s="6" t="s">
        <v>5547</v>
      </c>
      <c r="B3277" s="3" t="s">
        <v>5548</v>
      </c>
      <c r="C3277" s="4" t="s">
        <v>49</v>
      </c>
      <c r="D3277" s="7">
        <v>21627.85</v>
      </c>
    </row>
    <row r="3278" spans="1:4">
      <c r="A3278" s="6" t="s">
        <v>5549</v>
      </c>
      <c r="B3278" s="3" t="s">
        <v>5550</v>
      </c>
      <c r="C3278" s="4" t="s">
        <v>49</v>
      </c>
      <c r="D3278" s="7">
        <v>23932.65</v>
      </c>
    </row>
    <row r="3279" spans="1:4">
      <c r="A3279" s="6" t="s">
        <v>5551</v>
      </c>
      <c r="B3279" s="3" t="s">
        <v>5552</v>
      </c>
      <c r="C3279" s="4" t="s">
        <v>49</v>
      </c>
      <c r="D3279" s="7">
        <v>29836.95</v>
      </c>
    </row>
    <row r="3280" spans="1:4">
      <c r="A3280" s="6" t="s">
        <v>5553</v>
      </c>
      <c r="B3280" s="3" t="s">
        <v>5554</v>
      </c>
      <c r="C3280" s="4" t="s">
        <v>49</v>
      </c>
      <c r="D3280" s="7">
        <v>36164.1</v>
      </c>
    </row>
    <row r="3281" ht="31" customHeight="1" spans="1:7">
      <c r="A3281" s="6" t="s">
        <v>5555</v>
      </c>
      <c r="B3281" s="12" t="s">
        <v>5556</v>
      </c>
      <c r="C3281" s="4"/>
      <c r="D3281" s="14"/>
      <c r="E3281" s="31" t="s">
        <v>9</v>
      </c>
    </row>
    <row r="3282" spans="1:7">
      <c r="A3282" s="6" t="s">
        <v>5557</v>
      </c>
      <c r="B3282" s="3" t="s">
        <v>5558</v>
      </c>
      <c r="C3282" s="4" t="s">
        <v>49</v>
      </c>
      <c r="D3282" s="7">
        <v>1821.55</v>
      </c>
      <c r="E3282" s="31" t="s">
        <v>9</v>
      </c>
      <c r="F3282" s="32">
        <v>1377.45</v>
      </c>
      <c r="G3282" s="33">
        <f t="shared" ref="G3282:G3292" si="67">(D3282-F3282)/F3282</f>
        <v>0.322407346909144</v>
      </c>
    </row>
    <row r="3283" spans="1:7">
      <c r="A3283" s="6" t="s">
        <v>5559</v>
      </c>
      <c r="B3283" s="3" t="s">
        <v>5560</v>
      </c>
      <c r="C3283" s="4" t="s">
        <v>49</v>
      </c>
      <c r="D3283" s="7">
        <v>2607.5</v>
      </c>
      <c r="E3283" s="31" t="s">
        <v>9</v>
      </c>
      <c r="F3283" s="32">
        <v>2067.1</v>
      </c>
      <c r="G3283" s="33">
        <f t="shared" si="67"/>
        <v>0.261429055198104</v>
      </c>
    </row>
    <row r="3284" spans="1:7">
      <c r="A3284" s="6" t="s">
        <v>5561</v>
      </c>
      <c r="B3284" s="3" t="s">
        <v>5562</v>
      </c>
      <c r="C3284" s="4" t="s">
        <v>49</v>
      </c>
      <c r="D3284" s="7">
        <v>3360.8</v>
      </c>
      <c r="E3284" s="31" t="s">
        <v>9</v>
      </c>
      <c r="F3284" s="32">
        <v>2605.6</v>
      </c>
      <c r="G3284" s="33">
        <f t="shared" si="67"/>
        <v>0.28983727356463</v>
      </c>
    </row>
    <row r="3285" spans="1:7">
      <c r="A3285" s="6" t="s">
        <v>5563</v>
      </c>
      <c r="B3285" s="3" t="s">
        <v>5564</v>
      </c>
      <c r="C3285" s="4" t="s">
        <v>49</v>
      </c>
      <c r="D3285" s="7">
        <v>4696.15</v>
      </c>
      <c r="E3285" s="31" t="s">
        <v>9</v>
      </c>
      <c r="F3285" s="32">
        <v>3699.25</v>
      </c>
      <c r="G3285" s="33">
        <f t="shared" si="67"/>
        <v>0.26948705818747</v>
      </c>
    </row>
    <row r="3286" spans="1:7">
      <c r="A3286" s="6" t="s">
        <v>5565</v>
      </c>
      <c r="B3286" s="3" t="s">
        <v>5566</v>
      </c>
      <c r="C3286" s="4" t="s">
        <v>49</v>
      </c>
      <c r="D3286" s="7">
        <v>5895.7</v>
      </c>
      <c r="E3286" s="31" t="s">
        <v>9</v>
      </c>
      <c r="F3286" s="32">
        <v>4752.05</v>
      </c>
      <c r="G3286" s="33">
        <f t="shared" si="67"/>
        <v>0.240664555297187</v>
      </c>
    </row>
    <row r="3287" spans="1:7">
      <c r="A3287" s="6" t="s">
        <v>5567</v>
      </c>
      <c r="B3287" s="3" t="s">
        <v>5568</v>
      </c>
      <c r="C3287" s="4" t="s">
        <v>49</v>
      </c>
      <c r="D3287" s="7">
        <v>7550.45</v>
      </c>
      <c r="E3287" s="31" t="s">
        <v>9</v>
      </c>
      <c r="F3287" s="32">
        <v>5986.8</v>
      </c>
      <c r="G3287" s="33">
        <f t="shared" si="67"/>
        <v>0.261182935792076</v>
      </c>
    </row>
    <row r="3288" spans="1:7">
      <c r="A3288" s="6" t="s">
        <v>5569</v>
      </c>
      <c r="B3288" s="3" t="s">
        <v>5570</v>
      </c>
      <c r="C3288" s="4" t="s">
        <v>49</v>
      </c>
      <c r="D3288" s="7">
        <v>9744.4</v>
      </c>
      <c r="E3288" s="31" t="s">
        <v>9</v>
      </c>
      <c r="F3288" s="32">
        <v>7689.95</v>
      </c>
      <c r="G3288" s="33">
        <f t="shared" si="67"/>
        <v>0.267160384657898</v>
      </c>
    </row>
    <row r="3289" spans="1:7">
      <c r="A3289" s="6" t="s">
        <v>5571</v>
      </c>
      <c r="B3289" s="3" t="s">
        <v>5572</v>
      </c>
      <c r="C3289" s="4" t="s">
        <v>49</v>
      </c>
      <c r="D3289" s="7">
        <v>10136.1</v>
      </c>
      <c r="E3289" s="31" t="s">
        <v>9</v>
      </c>
      <c r="F3289" s="32">
        <v>8094.85</v>
      </c>
      <c r="G3289" s="33">
        <f t="shared" si="67"/>
        <v>0.252166500923427</v>
      </c>
    </row>
    <row r="3290" spans="1:7">
      <c r="A3290" s="6" t="s">
        <v>5573</v>
      </c>
      <c r="B3290" s="3" t="s">
        <v>5574</v>
      </c>
      <c r="C3290" s="4" t="s">
        <v>49</v>
      </c>
      <c r="D3290" s="7">
        <v>15472.95</v>
      </c>
      <c r="E3290" s="31" t="s">
        <v>9</v>
      </c>
      <c r="F3290" s="32">
        <v>11451.1</v>
      </c>
      <c r="G3290" s="33">
        <f t="shared" si="67"/>
        <v>0.351219533494599</v>
      </c>
    </row>
    <row r="3291" spans="1:7">
      <c r="A3291" s="6" t="s">
        <v>5575</v>
      </c>
      <c r="B3291" s="3" t="s">
        <v>5576</v>
      </c>
      <c r="C3291" s="4" t="s">
        <v>49</v>
      </c>
      <c r="D3291" s="7">
        <v>19925.3</v>
      </c>
      <c r="E3291" s="31" t="s">
        <v>9</v>
      </c>
      <c r="F3291" s="32">
        <v>15166.4</v>
      </c>
      <c r="G3291" s="33">
        <f t="shared" si="67"/>
        <v>0.313779143369554</v>
      </c>
    </row>
    <row r="3292" spans="1:7">
      <c r="A3292" s="6" t="s">
        <v>5577</v>
      </c>
      <c r="B3292" s="3" t="s">
        <v>5578</v>
      </c>
      <c r="C3292" s="4" t="s">
        <v>49</v>
      </c>
      <c r="D3292" s="7">
        <v>22830.8</v>
      </c>
      <c r="E3292" s="31" t="s">
        <v>9</v>
      </c>
      <c r="F3292" s="32">
        <v>17944.8</v>
      </c>
      <c r="G3292" s="33">
        <f t="shared" si="67"/>
        <v>0.272279434710891</v>
      </c>
    </row>
    <row r="3293" ht="31" customHeight="1" spans="1:7">
      <c r="A3293" s="6" t="s">
        <v>5579</v>
      </c>
      <c r="B3293" s="12" t="s">
        <v>5580</v>
      </c>
      <c r="C3293" s="4"/>
      <c r="D3293" s="14"/>
      <c r="E3293" s="31" t="s">
        <v>9</v>
      </c>
    </row>
    <row r="3294" spans="1:7">
      <c r="A3294" s="6" t="s">
        <v>5581</v>
      </c>
      <c r="B3294" s="3" t="s">
        <v>5582</v>
      </c>
      <c r="C3294" s="4" t="s">
        <v>156</v>
      </c>
      <c r="D3294" s="7">
        <v>96.35</v>
      </c>
      <c r="E3294" s="31" t="s">
        <v>9</v>
      </c>
      <c r="F3294" s="32">
        <v>61.7</v>
      </c>
      <c r="G3294" s="33">
        <f>(D3294-F3294)/F3294</f>
        <v>0.561588330632091</v>
      </c>
    </row>
    <row r="3295" spans="1:7">
      <c r="A3295" s="6" t="s">
        <v>5583</v>
      </c>
      <c r="B3295" s="3" t="s">
        <v>5584</v>
      </c>
      <c r="C3295" s="4" t="s">
        <v>156</v>
      </c>
      <c r="D3295" s="7">
        <v>121.9</v>
      </c>
      <c r="E3295" s="31" t="s">
        <v>9</v>
      </c>
      <c r="F3295" s="32">
        <v>66.65</v>
      </c>
      <c r="G3295" s="33">
        <f>(D3295-F3295)/F3295</f>
        <v>0.828957239309827</v>
      </c>
    </row>
    <row r="3296" ht="31" customHeight="1" spans="1:7">
      <c r="A3296" s="6" t="s">
        <v>5585</v>
      </c>
      <c r="B3296" s="12" t="s">
        <v>5586</v>
      </c>
      <c r="C3296" s="4"/>
      <c r="D3296" s="14"/>
      <c r="E3296" s="31" t="s">
        <v>9</v>
      </c>
    </row>
    <row r="3297" spans="1:7">
      <c r="A3297" s="6" t="s">
        <v>5587</v>
      </c>
      <c r="B3297" s="3" t="s">
        <v>5588</v>
      </c>
      <c r="C3297" s="4" t="s">
        <v>156</v>
      </c>
      <c r="D3297" s="7">
        <v>53.6</v>
      </c>
      <c r="E3297" s="31" t="s">
        <v>9</v>
      </c>
      <c r="F3297" s="32">
        <v>28.85</v>
      </c>
      <c r="G3297" s="33">
        <f>(D3297-F3297)/F3297</f>
        <v>0.8578856152513</v>
      </c>
    </row>
    <row r="3298" spans="1:7">
      <c r="A3298" s="6" t="s">
        <v>5589</v>
      </c>
      <c r="B3298" s="3" t="s">
        <v>5590</v>
      </c>
      <c r="C3298" s="4" t="s">
        <v>156</v>
      </c>
      <c r="D3298" s="7">
        <v>93.45</v>
      </c>
      <c r="E3298" s="31" t="s">
        <v>9</v>
      </c>
      <c r="F3298" s="32">
        <v>39.3</v>
      </c>
      <c r="G3298" s="33">
        <f>(D3298-F3298)/F3298</f>
        <v>1.37786259541985</v>
      </c>
    </row>
    <row r="3299" spans="1:7">
      <c r="A3299" s="6" t="s">
        <v>5591</v>
      </c>
      <c r="B3299" s="3" t="s">
        <v>5592</v>
      </c>
      <c r="C3299" s="4" t="s">
        <v>156</v>
      </c>
      <c r="D3299" s="7">
        <v>113.35</v>
      </c>
      <c r="E3299" s="31" t="s">
        <v>9</v>
      </c>
      <c r="F3299" s="32">
        <v>53.25</v>
      </c>
      <c r="G3299" s="33">
        <f>(D3299-F3299)/F3299</f>
        <v>1.12863849765258</v>
      </c>
    </row>
    <row r="3300" spans="1:7">
      <c r="A3300" s="6" t="s">
        <v>5593</v>
      </c>
      <c r="B3300" s="12" t="s">
        <v>5594</v>
      </c>
      <c r="C3300" s="4"/>
      <c r="D3300" s="14"/>
      <c r="E3300" s="31" t="s">
        <v>9</v>
      </c>
    </row>
    <row r="3301" spans="1:7">
      <c r="A3301" s="6" t="s">
        <v>5595</v>
      </c>
      <c r="B3301" s="3" t="s">
        <v>5596</v>
      </c>
      <c r="C3301" s="4" t="s">
        <v>156</v>
      </c>
      <c r="D3301" s="7">
        <v>416.8</v>
      </c>
      <c r="E3301" s="31" t="s">
        <v>9</v>
      </c>
      <c r="F3301" s="32">
        <v>219.2</v>
      </c>
      <c r="G3301" s="33">
        <f>(D3301-F3301)/F3301</f>
        <v>0.901459854014599</v>
      </c>
    </row>
    <row r="3302" ht="62" customHeight="1" spans="1:7">
      <c r="A3302" s="6" t="s">
        <v>5597</v>
      </c>
      <c r="B3302" s="12" t="s">
        <v>5598</v>
      </c>
      <c r="C3302" s="4" t="s">
        <v>156</v>
      </c>
      <c r="D3302" s="7">
        <v>452</v>
      </c>
      <c r="E3302" s="31" t="s">
        <v>9</v>
      </c>
      <c r="F3302" s="32">
        <v>209.25</v>
      </c>
      <c r="G3302" s="33">
        <f>(D3302-F3302)/F3302</f>
        <v>1.16009557945042</v>
      </c>
    </row>
    <row r="3303" ht="31" customHeight="1" spans="1:7">
      <c r="A3303" s="6" t="s">
        <v>5599</v>
      </c>
      <c r="B3303" s="12" t="s">
        <v>5600</v>
      </c>
      <c r="C3303" s="4" t="s">
        <v>49</v>
      </c>
      <c r="D3303" s="7">
        <v>202.9</v>
      </c>
      <c r="E3303" s="31" t="s">
        <v>9</v>
      </c>
      <c r="F3303" s="32">
        <v>93.85</v>
      </c>
      <c r="G3303" s="33">
        <f>(D3303-F3303)/F3303</f>
        <v>1.16196057538625</v>
      </c>
    </row>
    <row r="3304" ht="46.5" customHeight="1" spans="1:7">
      <c r="A3304" s="6" t="s">
        <v>5601</v>
      </c>
      <c r="B3304" s="12" t="s">
        <v>5602</v>
      </c>
      <c r="C3304" s="4" t="s">
        <v>49</v>
      </c>
      <c r="D3304" s="7">
        <v>209.2</v>
      </c>
      <c r="E3304" s="31" t="s">
        <v>9</v>
      </c>
      <c r="F3304" s="32">
        <v>134.55</v>
      </c>
      <c r="G3304" s="33">
        <f>(D3304-F3304)/F3304</f>
        <v>0.554812337421033</v>
      </c>
    </row>
    <row r="3305" ht="62" customHeight="1" spans="1:7">
      <c r="A3305" s="6" t="s">
        <v>5603</v>
      </c>
      <c r="B3305" s="12" t="s">
        <v>5604</v>
      </c>
      <c r="C3305" s="4"/>
      <c r="D3305" s="14"/>
      <c r="E3305" s="31" t="s">
        <v>9</v>
      </c>
    </row>
    <row r="3306" spans="1:7">
      <c r="A3306" s="6" t="s">
        <v>5605</v>
      </c>
      <c r="B3306" s="3" t="s">
        <v>5606</v>
      </c>
      <c r="C3306" s="4" t="s">
        <v>5607</v>
      </c>
      <c r="D3306" s="7">
        <v>1844</v>
      </c>
      <c r="E3306" s="31" t="s">
        <v>9</v>
      </c>
      <c r="F3306" s="32">
        <v>782.7</v>
      </c>
      <c r="G3306" s="33">
        <f t="shared" ref="G3306:G3317" si="68">(D3306-F3306)/F3306</f>
        <v>1.35594736169669</v>
      </c>
    </row>
    <row r="3307" spans="1:7">
      <c r="A3307" s="6" t="s">
        <v>5608</v>
      </c>
      <c r="B3307" s="3" t="s">
        <v>5609</v>
      </c>
      <c r="C3307" s="4" t="s">
        <v>5607</v>
      </c>
      <c r="D3307" s="7">
        <v>2415.15</v>
      </c>
      <c r="E3307" s="31" t="s">
        <v>9</v>
      </c>
      <c r="F3307" s="32">
        <v>1029.7</v>
      </c>
      <c r="G3307" s="33">
        <f t="shared" si="68"/>
        <v>1.34548897737205</v>
      </c>
    </row>
    <row r="3308" spans="1:7">
      <c r="A3308" s="6" t="s">
        <v>5610</v>
      </c>
      <c r="B3308" s="3" t="s">
        <v>5611</v>
      </c>
      <c r="C3308" s="4" t="s">
        <v>5607</v>
      </c>
      <c r="D3308" s="7">
        <v>3006.4</v>
      </c>
      <c r="E3308" s="31" t="s">
        <v>9</v>
      </c>
      <c r="F3308" s="32">
        <v>1288</v>
      </c>
      <c r="G3308" s="33">
        <f t="shared" si="68"/>
        <v>1.33416149068323</v>
      </c>
    </row>
    <row r="3309" spans="1:7">
      <c r="A3309" s="6" t="s">
        <v>5612</v>
      </c>
      <c r="B3309" s="3" t="s">
        <v>5613</v>
      </c>
      <c r="C3309" s="4" t="s">
        <v>5607</v>
      </c>
      <c r="D3309" s="7">
        <v>3593.85</v>
      </c>
      <c r="E3309" s="31" t="s">
        <v>9</v>
      </c>
      <c r="F3309" s="32">
        <v>1547.8</v>
      </c>
      <c r="G3309" s="33">
        <f t="shared" si="68"/>
        <v>1.32190851531206</v>
      </c>
    </row>
    <row r="3310" spans="1:7">
      <c r="A3310" s="6" t="s">
        <v>5614</v>
      </c>
      <c r="B3310" s="3" t="s">
        <v>5615</v>
      </c>
      <c r="C3310" s="4" t="s">
        <v>5607</v>
      </c>
      <c r="D3310" s="7">
        <v>4771.6</v>
      </c>
      <c r="E3310" s="31" t="s">
        <v>9</v>
      </c>
      <c r="F3310" s="32">
        <v>2070.15</v>
      </c>
      <c r="G3310" s="33">
        <f t="shared" si="68"/>
        <v>1.304953747313</v>
      </c>
    </row>
    <row r="3311" spans="1:7">
      <c r="A3311" s="6" t="s">
        <v>5616</v>
      </c>
      <c r="B3311" s="3" t="s">
        <v>5617</v>
      </c>
      <c r="C3311" s="4" t="s">
        <v>5607</v>
      </c>
      <c r="D3311" s="7">
        <v>5977.65</v>
      </c>
      <c r="E3311" s="31" t="s">
        <v>9</v>
      </c>
      <c r="F3311" s="32">
        <v>2611.6</v>
      </c>
      <c r="G3311" s="33">
        <f t="shared" si="68"/>
        <v>1.28888420891408</v>
      </c>
    </row>
    <row r="3312" spans="1:7">
      <c r="A3312" s="6" t="s">
        <v>5618</v>
      </c>
      <c r="B3312" s="3" t="s">
        <v>5619</v>
      </c>
      <c r="C3312" s="4" t="s">
        <v>5607</v>
      </c>
      <c r="D3312" s="7">
        <v>6618.15</v>
      </c>
      <c r="E3312" s="31" t="s">
        <v>9</v>
      </c>
      <c r="F3312" s="32">
        <v>2916.55</v>
      </c>
      <c r="G3312" s="33">
        <f t="shared" si="68"/>
        <v>1.26917076683067</v>
      </c>
    </row>
    <row r="3313" spans="1:7">
      <c r="A3313" s="6" t="s">
        <v>5620</v>
      </c>
      <c r="B3313" s="3" t="s">
        <v>5621</v>
      </c>
      <c r="C3313" s="4" t="s">
        <v>5607</v>
      </c>
      <c r="D3313" s="7">
        <v>7272.35</v>
      </c>
      <c r="E3313" s="31" t="s">
        <v>9</v>
      </c>
      <c r="F3313" s="32">
        <v>3233.2</v>
      </c>
      <c r="G3313" s="33">
        <f t="shared" si="68"/>
        <v>1.24927316590375</v>
      </c>
    </row>
    <row r="3314" spans="1:7">
      <c r="A3314" s="6" t="s">
        <v>5622</v>
      </c>
      <c r="B3314" s="3" t="s">
        <v>5623</v>
      </c>
      <c r="C3314" s="4" t="s">
        <v>5607</v>
      </c>
      <c r="D3314" s="7">
        <v>7950.85</v>
      </c>
      <c r="E3314" s="31" t="s">
        <v>9</v>
      </c>
      <c r="F3314" s="32">
        <v>3568.55</v>
      </c>
      <c r="G3314" s="33">
        <f t="shared" si="68"/>
        <v>1.22803379523896</v>
      </c>
    </row>
    <row r="3315" spans="1:7">
      <c r="A3315" s="6" t="s">
        <v>5624</v>
      </c>
      <c r="B3315" s="3" t="s">
        <v>5625</v>
      </c>
      <c r="C3315" s="4" t="s">
        <v>5607</v>
      </c>
      <c r="D3315" s="7">
        <v>8635.75</v>
      </c>
      <c r="E3315" s="31" t="s">
        <v>9</v>
      </c>
      <c r="F3315" s="32">
        <v>3910.65</v>
      </c>
      <c r="G3315" s="33">
        <f t="shared" si="68"/>
        <v>1.20826461074246</v>
      </c>
    </row>
    <row r="3316" spans="1:7">
      <c r="A3316" s="6" t="s">
        <v>5626</v>
      </c>
      <c r="B3316" s="3" t="s">
        <v>5627</v>
      </c>
      <c r="C3316" s="4" t="s">
        <v>5607</v>
      </c>
      <c r="D3316" s="7">
        <v>9351.25</v>
      </c>
      <c r="E3316" s="31" t="s">
        <v>9</v>
      </c>
      <c r="F3316" s="32">
        <v>4272.65</v>
      </c>
      <c r="G3316" s="33">
        <f t="shared" si="68"/>
        <v>1.18863000713843</v>
      </c>
    </row>
    <row r="3317" spans="1:7">
      <c r="A3317" s="6" t="s">
        <v>5628</v>
      </c>
      <c r="B3317" s="3" t="s">
        <v>5629</v>
      </c>
      <c r="C3317" s="4" t="s">
        <v>5607</v>
      </c>
      <c r="D3317" s="7">
        <v>10787.45</v>
      </c>
      <c r="E3317" s="31" t="s">
        <v>9</v>
      </c>
      <c r="F3317" s="32">
        <v>5013.35</v>
      </c>
      <c r="G3317" s="33">
        <f t="shared" si="68"/>
        <v>1.1517448412738</v>
      </c>
    </row>
    <row r="3318" ht="46.5" customHeight="1" spans="1:7">
      <c r="A3318" s="6" t="s">
        <v>5630</v>
      </c>
      <c r="B3318" s="12" t="s">
        <v>5631</v>
      </c>
      <c r="C3318" s="4"/>
      <c r="D3318" s="14"/>
      <c r="E3318" s="31" t="s">
        <v>9</v>
      </c>
    </row>
    <row r="3319" spans="1:7">
      <c r="A3319" s="6" t="s">
        <v>5632</v>
      </c>
      <c r="B3319" s="3" t="s">
        <v>5606</v>
      </c>
      <c r="C3319" s="4" t="s">
        <v>5607</v>
      </c>
      <c r="D3319" s="7">
        <v>674.95</v>
      </c>
      <c r="E3319" s="31" t="s">
        <v>9</v>
      </c>
      <c r="F3319" s="32">
        <v>286.65</v>
      </c>
      <c r="G3319" s="33">
        <f t="shared" ref="G3319:G3330" si="69">(D3319-F3319)/F3319</f>
        <v>1.35461364032793</v>
      </c>
    </row>
    <row r="3320" spans="1:7">
      <c r="A3320" s="6" t="s">
        <v>5633</v>
      </c>
      <c r="B3320" s="3" t="s">
        <v>5609</v>
      </c>
      <c r="C3320" s="4" t="s">
        <v>5607</v>
      </c>
      <c r="D3320" s="7">
        <v>824.95</v>
      </c>
      <c r="E3320" s="31" t="s">
        <v>9</v>
      </c>
      <c r="F3320" s="32">
        <v>351.15</v>
      </c>
      <c r="G3320" s="33">
        <f t="shared" si="69"/>
        <v>1.34928093407376</v>
      </c>
    </row>
    <row r="3321" spans="1:7">
      <c r="A3321" s="6" t="s">
        <v>5634</v>
      </c>
      <c r="B3321" s="3" t="s">
        <v>5611</v>
      </c>
      <c r="C3321" s="4" t="s">
        <v>5607</v>
      </c>
      <c r="D3321" s="7">
        <v>1003.95</v>
      </c>
      <c r="E3321" s="31" t="s">
        <v>9</v>
      </c>
      <c r="F3321" s="32">
        <v>429.7</v>
      </c>
      <c r="G3321" s="33">
        <f t="shared" si="69"/>
        <v>1.33639748661857</v>
      </c>
    </row>
    <row r="3322" spans="1:7">
      <c r="A3322" s="6" t="s">
        <v>5635</v>
      </c>
      <c r="B3322" s="3" t="s">
        <v>5613</v>
      </c>
      <c r="C3322" s="4" t="s">
        <v>5607</v>
      </c>
      <c r="D3322" s="7">
        <v>1164.25</v>
      </c>
      <c r="E3322" s="31" t="s">
        <v>9</v>
      </c>
      <c r="F3322" s="32">
        <v>501.7</v>
      </c>
      <c r="G3322" s="33">
        <f t="shared" si="69"/>
        <v>1.32060992625075</v>
      </c>
    </row>
    <row r="3323" spans="1:7">
      <c r="A3323" s="6" t="s">
        <v>5636</v>
      </c>
      <c r="B3323" s="3" t="s">
        <v>5615</v>
      </c>
      <c r="C3323" s="4" t="s">
        <v>5607</v>
      </c>
      <c r="D3323" s="7">
        <v>1753.1</v>
      </c>
      <c r="E3323" s="31" t="s">
        <v>9</v>
      </c>
      <c r="F3323" s="32">
        <v>765.15</v>
      </c>
      <c r="G3323" s="33">
        <f t="shared" si="69"/>
        <v>1.29118473501928</v>
      </c>
    </row>
    <row r="3324" spans="1:7">
      <c r="A3324" s="6" t="s">
        <v>5637</v>
      </c>
      <c r="B3324" s="3" t="s">
        <v>5617</v>
      </c>
      <c r="C3324" s="4" t="s">
        <v>5607</v>
      </c>
      <c r="D3324" s="7">
        <v>2012.75</v>
      </c>
      <c r="E3324" s="31" t="s">
        <v>9</v>
      </c>
      <c r="F3324" s="32">
        <v>882.05</v>
      </c>
      <c r="G3324" s="33">
        <f t="shared" si="69"/>
        <v>1.28190011904087</v>
      </c>
    </row>
    <row r="3325" spans="1:7">
      <c r="A3325" s="6" t="s">
        <v>5638</v>
      </c>
      <c r="B3325" s="3" t="s">
        <v>5619</v>
      </c>
      <c r="C3325" s="4" t="s">
        <v>5607</v>
      </c>
      <c r="D3325" s="7">
        <v>2255.15</v>
      </c>
      <c r="E3325" s="31" t="s">
        <v>9</v>
      </c>
      <c r="F3325" s="32">
        <v>993.35</v>
      </c>
      <c r="G3325" s="33">
        <f t="shared" si="69"/>
        <v>1.2702471435043</v>
      </c>
    </row>
    <row r="3326" spans="1:7">
      <c r="A3326" s="6" t="s">
        <v>5639</v>
      </c>
      <c r="B3326" s="3" t="s">
        <v>5621</v>
      </c>
      <c r="C3326" s="4" t="s">
        <v>5607</v>
      </c>
      <c r="D3326" s="7">
        <v>2632</v>
      </c>
      <c r="E3326" s="31" t="s">
        <v>9</v>
      </c>
      <c r="F3326" s="32">
        <v>1167.05</v>
      </c>
      <c r="G3326" s="33">
        <f t="shared" si="69"/>
        <v>1.25525898633306</v>
      </c>
    </row>
    <row r="3327" spans="1:7">
      <c r="A3327" s="6" t="s">
        <v>5640</v>
      </c>
      <c r="B3327" s="3" t="s">
        <v>5623</v>
      </c>
      <c r="C3327" s="4" t="s">
        <v>5607</v>
      </c>
      <c r="D3327" s="7">
        <v>3011.2</v>
      </c>
      <c r="E3327" s="31" t="s">
        <v>9</v>
      </c>
      <c r="F3327" s="32">
        <v>1343.25</v>
      </c>
      <c r="G3327" s="33">
        <f t="shared" si="69"/>
        <v>1.24172715428997</v>
      </c>
    </row>
    <row r="3328" spans="1:7">
      <c r="A3328" s="6" t="s">
        <v>5641</v>
      </c>
      <c r="B3328" s="3" t="s">
        <v>5625</v>
      </c>
      <c r="C3328" s="4" t="s">
        <v>5607</v>
      </c>
      <c r="D3328" s="7">
        <v>3398.15</v>
      </c>
      <c r="E3328" s="31" t="s">
        <v>9</v>
      </c>
      <c r="F3328" s="32">
        <v>1525.35</v>
      </c>
      <c r="G3328" s="33">
        <f t="shared" si="69"/>
        <v>1.2277837873275</v>
      </c>
    </row>
    <row r="3329" spans="1:7">
      <c r="A3329" s="6" t="s">
        <v>5642</v>
      </c>
      <c r="B3329" s="3" t="s">
        <v>5627</v>
      </c>
      <c r="C3329" s="4" t="s">
        <v>5607</v>
      </c>
      <c r="D3329" s="7">
        <v>3787.1</v>
      </c>
      <c r="E3329" s="31" t="s">
        <v>9</v>
      </c>
      <c r="F3329" s="32">
        <v>1709.2</v>
      </c>
      <c r="G3329" s="33">
        <f t="shared" si="69"/>
        <v>1.21571495436461</v>
      </c>
    </row>
    <row r="3330" spans="1:7">
      <c r="A3330" s="6" t="s">
        <v>5643</v>
      </c>
      <c r="B3330" s="3" t="s">
        <v>5629</v>
      </c>
      <c r="C3330" s="4" t="s">
        <v>5607</v>
      </c>
      <c r="D3330" s="7">
        <v>4573.95</v>
      </c>
      <c r="E3330" s="31" t="s">
        <v>9</v>
      </c>
      <c r="F3330" s="32">
        <v>2086.2</v>
      </c>
      <c r="G3330" s="33">
        <f t="shared" si="69"/>
        <v>1.1924791486914</v>
      </c>
    </row>
    <row r="3331" ht="46.5" customHeight="1" spans="1:7">
      <c r="A3331" s="6" t="s">
        <v>5644</v>
      </c>
      <c r="B3331" s="12" t="s">
        <v>5645</v>
      </c>
      <c r="C3331" s="4"/>
      <c r="D3331" s="14"/>
      <c r="E3331" s="31" t="s">
        <v>9</v>
      </c>
    </row>
    <row r="3332" spans="1:7">
      <c r="A3332" s="6" t="s">
        <v>5646</v>
      </c>
      <c r="B3332" s="3" t="s">
        <v>5606</v>
      </c>
      <c r="C3332" s="4" t="s">
        <v>49</v>
      </c>
      <c r="D3332" s="7">
        <v>315.55</v>
      </c>
      <c r="E3332" s="31" t="s">
        <v>9</v>
      </c>
      <c r="F3332" s="32">
        <v>175.85</v>
      </c>
      <c r="G3332" s="33">
        <f t="shared" ref="G3332:G3343" si="70">(D3332-F3332)/F3332</f>
        <v>0.794427068524311</v>
      </c>
    </row>
    <row r="3333" spans="1:7">
      <c r="A3333" s="6" t="s">
        <v>5647</v>
      </c>
      <c r="B3333" s="3" t="s">
        <v>5609</v>
      </c>
      <c r="C3333" s="4" t="s">
        <v>49</v>
      </c>
      <c r="D3333" s="7">
        <v>332.5</v>
      </c>
      <c r="E3333" s="31" t="s">
        <v>9</v>
      </c>
      <c r="F3333" s="32">
        <v>183.15</v>
      </c>
      <c r="G3333" s="33">
        <f t="shared" si="70"/>
        <v>0.815451815451815</v>
      </c>
    </row>
    <row r="3334" spans="1:7">
      <c r="A3334" s="6" t="s">
        <v>5648</v>
      </c>
      <c r="B3334" s="3" t="s">
        <v>5611</v>
      </c>
      <c r="C3334" s="4" t="s">
        <v>49</v>
      </c>
      <c r="D3334" s="7">
        <v>348.75</v>
      </c>
      <c r="E3334" s="31" t="s">
        <v>9</v>
      </c>
      <c r="F3334" s="32">
        <v>190.05</v>
      </c>
      <c r="G3334" s="33">
        <f t="shared" si="70"/>
        <v>0.835043409629045</v>
      </c>
    </row>
    <row r="3335" spans="1:7">
      <c r="A3335" s="6" t="s">
        <v>5649</v>
      </c>
      <c r="B3335" s="3" t="s">
        <v>5613</v>
      </c>
      <c r="C3335" s="4" t="s">
        <v>49</v>
      </c>
      <c r="D3335" s="7">
        <v>365.45</v>
      </c>
      <c r="E3335" s="31" t="s">
        <v>9</v>
      </c>
      <c r="F3335" s="32">
        <v>197.2</v>
      </c>
      <c r="G3335" s="33">
        <f t="shared" si="70"/>
        <v>0.853194726166329</v>
      </c>
    </row>
    <row r="3336" spans="1:7">
      <c r="A3336" s="6" t="s">
        <v>5650</v>
      </c>
      <c r="B3336" s="3" t="s">
        <v>5615</v>
      </c>
      <c r="C3336" s="4" t="s">
        <v>49</v>
      </c>
      <c r="D3336" s="7">
        <v>411.5</v>
      </c>
      <c r="E3336" s="31" t="s">
        <v>9</v>
      </c>
      <c r="F3336" s="32">
        <v>219.85</v>
      </c>
      <c r="G3336" s="33">
        <f t="shared" si="70"/>
        <v>0.871730725494655</v>
      </c>
    </row>
    <row r="3337" spans="1:7">
      <c r="A3337" s="6" t="s">
        <v>5651</v>
      </c>
      <c r="B3337" s="3" t="s">
        <v>5617</v>
      </c>
      <c r="C3337" s="4" t="s">
        <v>49</v>
      </c>
      <c r="D3337" s="7">
        <v>456.6</v>
      </c>
      <c r="E3337" s="31" t="s">
        <v>9</v>
      </c>
      <c r="F3337" s="32">
        <v>242</v>
      </c>
      <c r="G3337" s="33">
        <f t="shared" si="70"/>
        <v>0.886776859504132</v>
      </c>
    </row>
    <row r="3338" spans="1:7">
      <c r="A3338" s="6" t="s">
        <v>5652</v>
      </c>
      <c r="B3338" s="3" t="s">
        <v>5619</v>
      </c>
      <c r="C3338" s="4" t="s">
        <v>49</v>
      </c>
      <c r="D3338" s="7">
        <v>497.8</v>
      </c>
      <c r="E3338" s="31" t="s">
        <v>9</v>
      </c>
      <c r="F3338" s="32">
        <v>261.55</v>
      </c>
      <c r="G3338" s="33">
        <f t="shared" si="70"/>
        <v>0.903268973427643</v>
      </c>
    </row>
    <row r="3339" spans="1:7">
      <c r="A3339" s="6" t="s">
        <v>5653</v>
      </c>
      <c r="B3339" s="3" t="s">
        <v>5621</v>
      </c>
      <c r="C3339" s="4" t="s">
        <v>49</v>
      </c>
      <c r="D3339" s="7">
        <v>538</v>
      </c>
      <c r="E3339" s="31" t="s">
        <v>9</v>
      </c>
      <c r="F3339" s="32">
        <v>279.95</v>
      </c>
      <c r="G3339" s="33">
        <f t="shared" si="70"/>
        <v>0.921771744954456</v>
      </c>
    </row>
    <row r="3340" spans="1:7">
      <c r="A3340" s="6" t="s">
        <v>5654</v>
      </c>
      <c r="B3340" s="3" t="s">
        <v>5623</v>
      </c>
      <c r="C3340" s="4" t="s">
        <v>49</v>
      </c>
      <c r="D3340" s="7">
        <v>575.8</v>
      </c>
      <c r="E3340" s="31" t="s">
        <v>9</v>
      </c>
      <c r="F3340" s="32">
        <v>296.95</v>
      </c>
      <c r="G3340" s="33">
        <f t="shared" si="70"/>
        <v>0.939046977605657</v>
      </c>
    </row>
    <row r="3341" spans="1:7">
      <c r="A3341" s="6" t="s">
        <v>5655</v>
      </c>
      <c r="B3341" s="3" t="s">
        <v>5625</v>
      </c>
      <c r="C3341" s="4" t="s">
        <v>49</v>
      </c>
      <c r="D3341" s="7">
        <v>614.3</v>
      </c>
      <c r="E3341" s="31" t="s">
        <v>9</v>
      </c>
      <c r="F3341" s="32">
        <v>314.4</v>
      </c>
      <c r="G3341" s="33">
        <f t="shared" si="70"/>
        <v>0.953880407124682</v>
      </c>
    </row>
    <row r="3342" spans="1:7">
      <c r="A3342" s="6" t="s">
        <v>5656</v>
      </c>
      <c r="B3342" s="3" t="s">
        <v>5627</v>
      </c>
      <c r="C3342" s="4" t="s">
        <v>49</v>
      </c>
      <c r="D3342" s="7">
        <v>649.45</v>
      </c>
      <c r="E3342" s="31" t="s">
        <v>9</v>
      </c>
      <c r="F3342" s="32">
        <v>329.75</v>
      </c>
      <c r="G3342" s="33">
        <f t="shared" si="70"/>
        <v>0.969522365428355</v>
      </c>
    </row>
    <row r="3343" spans="1:7">
      <c r="A3343" s="6" t="s">
        <v>5657</v>
      </c>
      <c r="B3343" s="3" t="s">
        <v>5629</v>
      </c>
      <c r="C3343" s="4" t="s">
        <v>49</v>
      </c>
      <c r="D3343" s="7">
        <v>713.95</v>
      </c>
      <c r="E3343" s="31" t="s">
        <v>9</v>
      </c>
      <c r="F3343" s="32">
        <v>356.65</v>
      </c>
      <c r="G3343" s="33">
        <f t="shared" si="70"/>
        <v>1.0018225150708</v>
      </c>
    </row>
    <row r="3344" spans="1:7">
      <c r="A3344" s="6" t="s">
        <v>5658</v>
      </c>
      <c r="B3344" s="12" t="s">
        <v>5659</v>
      </c>
      <c r="C3344" s="4"/>
      <c r="D3344" s="14"/>
      <c r="E3344" s="31" t="s">
        <v>9</v>
      </c>
    </row>
    <row r="3345" spans="1:7">
      <c r="A3345" s="6" t="s">
        <v>5660</v>
      </c>
      <c r="B3345" s="3" t="s">
        <v>5606</v>
      </c>
      <c r="C3345" s="4" t="s">
        <v>5661</v>
      </c>
      <c r="D3345" s="7">
        <v>145.25</v>
      </c>
      <c r="E3345" s="31" t="s">
        <v>9</v>
      </c>
      <c r="F3345" s="32">
        <v>63.25</v>
      </c>
      <c r="G3345" s="33">
        <f t="shared" ref="G3345:G3356" si="71">(D3345-F3345)/F3345</f>
        <v>1.29644268774704</v>
      </c>
    </row>
    <row r="3346" spans="1:7">
      <c r="A3346" s="6" t="s">
        <v>5662</v>
      </c>
      <c r="B3346" s="3" t="s">
        <v>5609</v>
      </c>
      <c r="C3346" s="4" t="s">
        <v>5661</v>
      </c>
      <c r="D3346" s="7">
        <v>194.7</v>
      </c>
      <c r="E3346" s="31" t="s">
        <v>9</v>
      </c>
      <c r="F3346" s="32">
        <v>84.95</v>
      </c>
      <c r="G3346" s="33">
        <f t="shared" si="71"/>
        <v>1.291936433196</v>
      </c>
    </row>
    <row r="3347" spans="1:7">
      <c r="A3347" s="6" t="s">
        <v>5663</v>
      </c>
      <c r="B3347" s="3" t="s">
        <v>5611</v>
      </c>
      <c r="C3347" s="4" t="s">
        <v>5661</v>
      </c>
      <c r="D3347" s="7">
        <v>269.8</v>
      </c>
      <c r="E3347" s="31" t="s">
        <v>9</v>
      </c>
      <c r="F3347" s="32">
        <v>118.15</v>
      </c>
      <c r="G3347" s="33">
        <f t="shared" si="71"/>
        <v>1.28353787558189</v>
      </c>
    </row>
    <row r="3348" spans="1:7">
      <c r="A3348" s="6" t="s">
        <v>5664</v>
      </c>
      <c r="B3348" s="3" t="s">
        <v>5613</v>
      </c>
      <c r="C3348" s="4" t="s">
        <v>5661</v>
      </c>
      <c r="D3348" s="7">
        <v>365.7</v>
      </c>
      <c r="E3348" s="31" t="s">
        <v>9</v>
      </c>
      <c r="F3348" s="32">
        <v>159.65</v>
      </c>
      <c r="G3348" s="33">
        <f t="shared" si="71"/>
        <v>1.29063576573755</v>
      </c>
    </row>
    <row r="3349" spans="1:7">
      <c r="A3349" s="6" t="s">
        <v>5665</v>
      </c>
      <c r="B3349" s="3" t="s">
        <v>5615</v>
      </c>
      <c r="C3349" s="4" t="s">
        <v>5661</v>
      </c>
      <c r="D3349" s="7">
        <v>487.75</v>
      </c>
      <c r="E3349" s="31" t="s">
        <v>9</v>
      </c>
      <c r="F3349" s="32">
        <v>213</v>
      </c>
      <c r="G3349" s="33">
        <f t="shared" si="71"/>
        <v>1.28990610328638</v>
      </c>
    </row>
    <row r="3350" spans="1:7">
      <c r="A3350" s="6" t="s">
        <v>5666</v>
      </c>
      <c r="B3350" s="3" t="s">
        <v>5617</v>
      </c>
      <c r="C3350" s="4" t="s">
        <v>5661</v>
      </c>
      <c r="D3350" s="7">
        <v>606.85</v>
      </c>
      <c r="E3350" s="31" t="s">
        <v>9</v>
      </c>
      <c r="F3350" s="32">
        <v>264.45</v>
      </c>
      <c r="G3350" s="33">
        <f t="shared" si="71"/>
        <v>1.29476271506901</v>
      </c>
    </row>
    <row r="3351" spans="1:7">
      <c r="A3351" s="6" t="s">
        <v>5667</v>
      </c>
      <c r="B3351" s="3" t="s">
        <v>5619</v>
      </c>
      <c r="C3351" s="4" t="s">
        <v>5661</v>
      </c>
      <c r="D3351" s="7">
        <v>728.85</v>
      </c>
      <c r="E3351" s="31" t="s">
        <v>9</v>
      </c>
      <c r="F3351" s="32">
        <v>317.8</v>
      </c>
      <c r="G3351" s="33">
        <f t="shared" si="71"/>
        <v>1.29342353681561</v>
      </c>
    </row>
    <row r="3352" spans="1:7">
      <c r="A3352" s="6" t="s">
        <v>5668</v>
      </c>
      <c r="B3352" s="3" t="s">
        <v>5621</v>
      </c>
      <c r="C3352" s="4" t="s">
        <v>5661</v>
      </c>
      <c r="D3352" s="7">
        <v>847.95</v>
      </c>
      <c r="E3352" s="31" t="s">
        <v>9</v>
      </c>
      <c r="F3352" s="32">
        <v>369.25</v>
      </c>
      <c r="G3352" s="33">
        <f t="shared" si="71"/>
        <v>1.29641164522681</v>
      </c>
    </row>
    <row r="3353" spans="1:7">
      <c r="A3353" s="6" t="s">
        <v>5669</v>
      </c>
      <c r="B3353" s="3" t="s">
        <v>5623</v>
      </c>
      <c r="C3353" s="4" t="s">
        <v>5661</v>
      </c>
      <c r="D3353" s="7">
        <v>969.55</v>
      </c>
      <c r="E3353" s="31" t="s">
        <v>9</v>
      </c>
      <c r="F3353" s="32">
        <v>422.3</v>
      </c>
      <c r="G3353" s="33">
        <f t="shared" si="71"/>
        <v>1.29587970636988</v>
      </c>
    </row>
    <row r="3354" spans="1:7">
      <c r="A3354" s="6" t="s">
        <v>5670</v>
      </c>
      <c r="B3354" s="3" t="s">
        <v>5625</v>
      </c>
      <c r="C3354" s="4" t="s">
        <v>5661</v>
      </c>
      <c r="D3354" s="7">
        <v>1089.1</v>
      </c>
      <c r="E3354" s="31" t="s">
        <v>9</v>
      </c>
      <c r="F3354" s="32">
        <v>474.05</v>
      </c>
      <c r="G3354" s="33">
        <f t="shared" si="71"/>
        <v>1.2974369792216</v>
      </c>
    </row>
    <row r="3355" spans="1:7">
      <c r="A3355" s="6" t="s">
        <v>5671</v>
      </c>
      <c r="B3355" s="3" t="s">
        <v>5627</v>
      </c>
      <c r="C3355" s="4" t="s">
        <v>5661</v>
      </c>
      <c r="D3355" s="7">
        <v>1210.7</v>
      </c>
      <c r="E3355" s="31" t="s">
        <v>9</v>
      </c>
      <c r="F3355" s="32">
        <v>527.1</v>
      </c>
      <c r="G3355" s="33">
        <f t="shared" si="71"/>
        <v>1.29690760766458</v>
      </c>
    </row>
    <row r="3356" spans="1:7">
      <c r="A3356" s="6" t="s">
        <v>5672</v>
      </c>
      <c r="B3356" s="3" t="s">
        <v>5629</v>
      </c>
      <c r="C3356" s="4" t="s">
        <v>5661</v>
      </c>
      <c r="D3356" s="7">
        <v>1445.95</v>
      </c>
      <c r="E3356" s="31" t="s">
        <v>9</v>
      </c>
      <c r="F3356" s="32">
        <v>628.25</v>
      </c>
      <c r="G3356" s="33">
        <f t="shared" si="71"/>
        <v>1.30155192996419</v>
      </c>
    </row>
    <row r="3357" ht="31" customHeight="1" spans="1:7">
      <c r="A3357" s="6" t="s">
        <v>5673</v>
      </c>
      <c r="B3357" s="12" t="s">
        <v>5674</v>
      </c>
      <c r="C3357" s="4"/>
      <c r="D3357" s="14"/>
      <c r="E3357" s="31" t="s">
        <v>9</v>
      </c>
    </row>
    <row r="3358" spans="1:7">
      <c r="A3358" s="6" t="s">
        <v>5675</v>
      </c>
      <c r="B3358" s="3" t="s">
        <v>5004</v>
      </c>
      <c r="C3358" s="4" t="s">
        <v>156</v>
      </c>
      <c r="D3358" s="7">
        <v>8803.7</v>
      </c>
      <c r="E3358" s="31" t="s">
        <v>9</v>
      </c>
      <c r="F3358" s="32">
        <v>6752.9</v>
      </c>
      <c r="G3358" s="33">
        <f>(D3358-F3358)/F3358</f>
        <v>0.30369174724933</v>
      </c>
    </row>
    <row r="3359" ht="77.5" customHeight="1" spans="1:7">
      <c r="A3359" s="6" t="s">
        <v>5676</v>
      </c>
      <c r="B3359" s="12" t="s">
        <v>5677</v>
      </c>
      <c r="C3359" s="4"/>
      <c r="D3359" s="14"/>
      <c r="E3359" s="31" t="s">
        <v>9</v>
      </c>
    </row>
    <row r="3360" spans="1:7">
      <c r="A3360" s="40"/>
      <c r="B3360" s="12" t="s">
        <v>4927</v>
      </c>
      <c r="C3360" s="4"/>
      <c r="D3360" s="14"/>
      <c r="E3360" s="31" t="s">
        <v>9</v>
      </c>
    </row>
    <row r="3361" spans="1:7">
      <c r="A3361" s="6" t="s">
        <v>5678</v>
      </c>
      <c r="B3361" s="3" t="s">
        <v>5679</v>
      </c>
      <c r="C3361" s="4" t="s">
        <v>49</v>
      </c>
      <c r="D3361" s="7">
        <v>420.25</v>
      </c>
      <c r="E3361" s="31" t="s">
        <v>9</v>
      </c>
      <c r="F3361" s="32">
        <v>255</v>
      </c>
      <c r="G3361" s="33">
        <f t="shared" ref="G3361:G3366" si="72">(D3361-F3361)/F3361</f>
        <v>0.648039215686275</v>
      </c>
    </row>
    <row r="3362" spans="1:7">
      <c r="A3362" s="6" t="s">
        <v>5680</v>
      </c>
      <c r="B3362" s="3" t="s">
        <v>5681</v>
      </c>
      <c r="C3362" s="4" t="s">
        <v>49</v>
      </c>
      <c r="D3362" s="7">
        <v>599.5</v>
      </c>
      <c r="E3362" s="31" t="s">
        <v>9</v>
      </c>
      <c r="F3362" s="32">
        <v>391.6</v>
      </c>
      <c r="G3362" s="33">
        <f t="shared" si="72"/>
        <v>0.530898876404494</v>
      </c>
    </row>
    <row r="3363" spans="1:7">
      <c r="A3363" s="6" t="s">
        <v>5682</v>
      </c>
      <c r="B3363" s="3" t="s">
        <v>5683</v>
      </c>
      <c r="C3363" s="4" t="s">
        <v>49</v>
      </c>
      <c r="D3363" s="7">
        <v>704.55</v>
      </c>
      <c r="E3363" s="31" t="s">
        <v>9</v>
      </c>
      <c r="F3363" s="32">
        <v>477.25</v>
      </c>
      <c r="G3363" s="33">
        <f t="shared" si="72"/>
        <v>0.476270298585647</v>
      </c>
    </row>
    <row r="3364" spans="1:7">
      <c r="A3364" s="6" t="s">
        <v>5684</v>
      </c>
      <c r="B3364" s="3" t="s">
        <v>5685</v>
      </c>
      <c r="C3364" s="4" t="s">
        <v>49</v>
      </c>
      <c r="D3364" s="7">
        <v>913.65</v>
      </c>
      <c r="E3364" s="31" t="s">
        <v>9</v>
      </c>
      <c r="F3364" s="32">
        <v>645.6</v>
      </c>
      <c r="G3364" s="33">
        <f t="shared" si="72"/>
        <v>0.415195167286245</v>
      </c>
    </row>
    <row r="3365" spans="1:7">
      <c r="A3365" s="6" t="s">
        <v>5686</v>
      </c>
      <c r="B3365" s="3" t="s">
        <v>5687</v>
      </c>
      <c r="C3365" s="4" t="s">
        <v>49</v>
      </c>
      <c r="D3365" s="7">
        <v>943.9</v>
      </c>
      <c r="E3365" s="31" t="s">
        <v>9</v>
      </c>
      <c r="F3365" s="32">
        <v>666.6</v>
      </c>
      <c r="G3365" s="33">
        <f t="shared" si="72"/>
        <v>0.415991599159916</v>
      </c>
    </row>
    <row r="3366" spans="1:7">
      <c r="A3366" s="6" t="s">
        <v>5688</v>
      </c>
      <c r="B3366" s="3" t="s">
        <v>5689</v>
      </c>
      <c r="C3366" s="4" t="s">
        <v>49</v>
      </c>
      <c r="D3366" s="7">
        <v>1202.35</v>
      </c>
      <c r="E3366" s="31" t="s">
        <v>9</v>
      </c>
      <c r="F3366" s="32">
        <v>794.65</v>
      </c>
      <c r="G3366" s="33">
        <f t="shared" si="72"/>
        <v>0.513056062417416</v>
      </c>
    </row>
    <row r="3367" ht="77.5" customHeight="1" spans="1:7">
      <c r="A3367" s="6" t="s">
        <v>5690</v>
      </c>
      <c r="B3367" s="12" t="s">
        <v>5691</v>
      </c>
      <c r="C3367" s="4"/>
      <c r="D3367" s="14"/>
    </row>
    <row r="3368" spans="1:7">
      <c r="A3368" s="40"/>
      <c r="B3368" s="12" t="s">
        <v>4927</v>
      </c>
      <c r="C3368" s="4"/>
      <c r="D3368" s="14"/>
    </row>
    <row r="3369" spans="1:7">
      <c r="A3369" s="6" t="s">
        <v>5692</v>
      </c>
      <c r="B3369" s="3" t="s">
        <v>5693</v>
      </c>
      <c r="C3369" s="4" t="s">
        <v>49</v>
      </c>
      <c r="D3369" s="7">
        <v>704.05</v>
      </c>
    </row>
    <row r="3370" spans="1:7">
      <c r="A3370" s="6" t="s">
        <v>5694</v>
      </c>
      <c r="B3370" s="3" t="s">
        <v>5695</v>
      </c>
      <c r="C3370" s="4" t="s">
        <v>49</v>
      </c>
      <c r="D3370" s="7">
        <v>1025.25</v>
      </c>
    </row>
    <row r="3371" spans="1:7">
      <c r="A3371" s="6" t="s">
        <v>5696</v>
      </c>
      <c r="B3371" s="3" t="s">
        <v>5697</v>
      </c>
      <c r="C3371" s="4" t="s">
        <v>49</v>
      </c>
      <c r="D3371" s="7">
        <v>1272.15</v>
      </c>
    </row>
    <row r="3372" spans="1:7">
      <c r="A3372" s="6" t="s">
        <v>5698</v>
      </c>
      <c r="B3372" s="3" t="s">
        <v>5699</v>
      </c>
      <c r="C3372" s="4" t="s">
        <v>49</v>
      </c>
      <c r="D3372" s="7">
        <v>1765.1</v>
      </c>
    </row>
    <row r="3373" spans="1:7">
      <c r="A3373" s="6" t="s">
        <v>5700</v>
      </c>
      <c r="B3373" s="3" t="s">
        <v>5701</v>
      </c>
      <c r="C3373" s="4" t="s">
        <v>49</v>
      </c>
      <c r="D3373" s="7">
        <v>2124</v>
      </c>
    </row>
    <row r="3374" spans="1:7">
      <c r="A3374" s="6" t="s">
        <v>5702</v>
      </c>
      <c r="B3374" s="3" t="s">
        <v>5703</v>
      </c>
      <c r="C3374" s="4" t="s">
        <v>49</v>
      </c>
      <c r="D3374" s="7">
        <v>2699.1</v>
      </c>
    </row>
    <row r="3375" ht="77.5" customHeight="1" spans="1:7">
      <c r="A3375" s="6" t="s">
        <v>5704</v>
      </c>
      <c r="B3375" s="12" t="s">
        <v>5705</v>
      </c>
      <c r="C3375" s="4"/>
      <c r="D3375" s="14"/>
      <c r="E3375" s="31" t="s">
        <v>9</v>
      </c>
    </row>
    <row r="3376" spans="1:7">
      <c r="A3376" s="40"/>
      <c r="B3376" s="12" t="s">
        <v>5706</v>
      </c>
      <c r="C3376" s="4"/>
      <c r="D3376" s="14"/>
      <c r="E3376" s="31" t="s">
        <v>9</v>
      </c>
    </row>
    <row r="3377" spans="1:7">
      <c r="A3377" s="6" t="s">
        <v>5707</v>
      </c>
      <c r="B3377" s="3" t="s">
        <v>5708</v>
      </c>
      <c r="C3377" s="4" t="s">
        <v>49</v>
      </c>
      <c r="D3377" s="7">
        <v>622.25</v>
      </c>
      <c r="E3377" s="31" t="s">
        <v>9</v>
      </c>
      <c r="F3377" s="32">
        <v>348.3</v>
      </c>
      <c r="G3377" s="33">
        <f>(D3377-F3377)/F3377</f>
        <v>0.786534596612116</v>
      </c>
    </row>
    <row r="3378" spans="1:7">
      <c r="A3378" s="6" t="s">
        <v>5709</v>
      </c>
      <c r="B3378" s="3" t="s">
        <v>5710</v>
      </c>
      <c r="C3378" s="4" t="s">
        <v>49</v>
      </c>
      <c r="D3378" s="7">
        <v>801.5</v>
      </c>
      <c r="E3378" s="31" t="s">
        <v>9</v>
      </c>
      <c r="F3378" s="32">
        <v>484.9</v>
      </c>
      <c r="G3378" s="33">
        <f>(D3378-F3378)/F3378</f>
        <v>0.652918127448959</v>
      </c>
    </row>
    <row r="3379" ht="93" customHeight="1" spans="1:7">
      <c r="A3379" s="6" t="s">
        <v>5711</v>
      </c>
      <c r="B3379" s="12" t="s">
        <v>5712</v>
      </c>
      <c r="C3379" s="4"/>
      <c r="D3379" s="14"/>
    </row>
    <row r="3380" spans="1:7">
      <c r="A3380" s="40"/>
      <c r="B3380" s="12" t="s">
        <v>5706</v>
      </c>
      <c r="C3380" s="4"/>
      <c r="D3380" s="14"/>
    </row>
    <row r="3381" spans="1:7">
      <c r="A3381" s="6" t="s">
        <v>5713</v>
      </c>
      <c r="B3381" s="3" t="s">
        <v>5714</v>
      </c>
      <c r="C3381" s="4" t="s">
        <v>49</v>
      </c>
      <c r="D3381" s="7">
        <v>906.1</v>
      </c>
    </row>
    <row r="3382" spans="1:7">
      <c r="A3382" s="6" t="s">
        <v>5715</v>
      </c>
      <c r="B3382" s="3" t="s">
        <v>5716</v>
      </c>
      <c r="C3382" s="4" t="s">
        <v>49</v>
      </c>
      <c r="D3382" s="7">
        <v>1227.25</v>
      </c>
    </row>
    <row r="3383" ht="46.5" customHeight="1" spans="1:7">
      <c r="A3383" s="6" t="s">
        <v>5717</v>
      </c>
      <c r="B3383" s="12" t="s">
        <v>5718</v>
      </c>
      <c r="C3383" s="4"/>
      <c r="D3383" s="14"/>
      <c r="E3383" s="31" t="s">
        <v>9</v>
      </c>
    </row>
    <row r="3384" spans="1:7">
      <c r="A3384" s="40"/>
      <c r="B3384" s="12" t="s">
        <v>5719</v>
      </c>
      <c r="C3384" s="4"/>
      <c r="D3384" s="14"/>
      <c r="E3384" s="31" t="s">
        <v>9</v>
      </c>
    </row>
    <row r="3385" spans="1:7">
      <c r="A3385" s="6" t="s">
        <v>5720</v>
      </c>
      <c r="B3385" s="3" t="s">
        <v>5721</v>
      </c>
      <c r="C3385" s="4" t="s">
        <v>156</v>
      </c>
      <c r="D3385" s="7">
        <v>93.9</v>
      </c>
      <c r="E3385" s="31" t="s">
        <v>9</v>
      </c>
      <c r="F3385" s="32">
        <v>48.8</v>
      </c>
      <c r="G3385" s="33">
        <f t="shared" ref="G3385:G3390" si="73">(D3385-F3385)/F3385</f>
        <v>0.924180327868853</v>
      </c>
    </row>
    <row r="3386" spans="1:7">
      <c r="A3386" s="6" t="s">
        <v>5722</v>
      </c>
      <c r="B3386" s="3" t="s">
        <v>5723</v>
      </c>
      <c r="C3386" s="4" t="s">
        <v>156</v>
      </c>
      <c r="D3386" s="7">
        <v>113.8</v>
      </c>
      <c r="E3386" s="31" t="s">
        <v>9</v>
      </c>
      <c r="F3386" s="32">
        <v>73.15</v>
      </c>
      <c r="G3386" s="33">
        <f t="shared" si="73"/>
        <v>0.555707450444292</v>
      </c>
    </row>
    <row r="3387" spans="1:7">
      <c r="A3387" s="6" t="s">
        <v>5724</v>
      </c>
      <c r="B3387" s="3" t="s">
        <v>5725</v>
      </c>
      <c r="C3387" s="4" t="s">
        <v>156</v>
      </c>
      <c r="D3387" s="7">
        <v>156.5</v>
      </c>
      <c r="E3387" s="31" t="s">
        <v>9</v>
      </c>
      <c r="F3387" s="32">
        <v>103.35</v>
      </c>
      <c r="G3387" s="33">
        <f t="shared" si="73"/>
        <v>0.514271891630382</v>
      </c>
    </row>
    <row r="3388" spans="1:7">
      <c r="A3388" s="6" t="s">
        <v>5726</v>
      </c>
      <c r="B3388" s="3" t="s">
        <v>5727</v>
      </c>
      <c r="C3388" s="4" t="s">
        <v>156</v>
      </c>
      <c r="D3388" s="7">
        <v>213.4</v>
      </c>
      <c r="E3388" s="31" t="s">
        <v>9</v>
      </c>
      <c r="F3388" s="32">
        <v>152.15</v>
      </c>
      <c r="G3388" s="33">
        <f t="shared" si="73"/>
        <v>0.402563259940848</v>
      </c>
    </row>
    <row r="3389" spans="1:7">
      <c r="A3389" s="6" t="s">
        <v>5728</v>
      </c>
      <c r="B3389" s="3" t="s">
        <v>5729</v>
      </c>
      <c r="C3389" s="4" t="s">
        <v>156</v>
      </c>
      <c r="D3389" s="7">
        <v>256.1</v>
      </c>
      <c r="E3389" s="31" t="s">
        <v>9</v>
      </c>
      <c r="F3389" s="32">
        <v>183.5</v>
      </c>
      <c r="G3389" s="33">
        <f t="shared" si="73"/>
        <v>0.395640326975477</v>
      </c>
    </row>
    <row r="3390" spans="1:7">
      <c r="A3390" s="6" t="s">
        <v>5730</v>
      </c>
      <c r="B3390" s="3" t="s">
        <v>5731</v>
      </c>
      <c r="C3390" s="4" t="s">
        <v>156</v>
      </c>
      <c r="D3390" s="7">
        <v>291.65</v>
      </c>
      <c r="E3390" s="31" t="s">
        <v>9</v>
      </c>
      <c r="F3390" s="32">
        <v>209.05</v>
      </c>
      <c r="G3390" s="33">
        <f t="shared" si="73"/>
        <v>0.395120784501315</v>
      </c>
    </row>
    <row r="3391" ht="46.5" customHeight="1" spans="1:7">
      <c r="A3391" s="6" t="s">
        <v>5732</v>
      </c>
      <c r="B3391" s="12" t="s">
        <v>5733</v>
      </c>
      <c r="C3391" s="4"/>
      <c r="D3391" s="14"/>
    </row>
    <row r="3392" spans="1:7">
      <c r="A3392" s="40"/>
      <c r="B3392" s="12" t="s">
        <v>5719</v>
      </c>
      <c r="C3392" s="4"/>
      <c r="D3392" s="14"/>
    </row>
    <row r="3393" spans="1:7">
      <c r="A3393" s="6" t="s">
        <v>5734</v>
      </c>
      <c r="B3393" s="3" t="s">
        <v>5735</v>
      </c>
      <c r="C3393" s="4" t="s">
        <v>156</v>
      </c>
      <c r="D3393" s="7">
        <v>341.45</v>
      </c>
    </row>
    <row r="3394" spans="1:7">
      <c r="A3394" s="6" t="s">
        <v>5736</v>
      </c>
      <c r="B3394" s="3" t="s">
        <v>5737</v>
      </c>
      <c r="C3394" s="4" t="s">
        <v>156</v>
      </c>
      <c r="D3394" s="7">
        <v>426.8</v>
      </c>
    </row>
    <row r="3395" spans="1:7">
      <c r="A3395" s="6" t="s">
        <v>5738</v>
      </c>
      <c r="B3395" s="3" t="s">
        <v>5739</v>
      </c>
      <c r="C3395" s="4" t="s">
        <v>156</v>
      </c>
      <c r="D3395" s="7">
        <v>497.9</v>
      </c>
    </row>
    <row r="3396" spans="1:7">
      <c r="A3396" s="6" t="s">
        <v>5740</v>
      </c>
      <c r="B3396" s="3" t="s">
        <v>5741</v>
      </c>
      <c r="C3396" s="4" t="s">
        <v>156</v>
      </c>
      <c r="D3396" s="7">
        <v>625.95</v>
      </c>
    </row>
    <row r="3397" spans="1:7">
      <c r="A3397" s="6" t="s">
        <v>5742</v>
      </c>
      <c r="B3397" s="3" t="s">
        <v>5743</v>
      </c>
      <c r="C3397" s="4" t="s">
        <v>156</v>
      </c>
      <c r="D3397" s="7">
        <v>846.45</v>
      </c>
    </row>
    <row r="3398" spans="1:7">
      <c r="A3398" s="6" t="s">
        <v>5744</v>
      </c>
      <c r="B3398" s="3" t="s">
        <v>5745</v>
      </c>
      <c r="C3398" s="4" t="s">
        <v>156</v>
      </c>
      <c r="D3398" s="7">
        <v>1017.2</v>
      </c>
    </row>
    <row r="3399" ht="93" customHeight="1" spans="1:7">
      <c r="A3399" s="6" t="s">
        <v>5746</v>
      </c>
      <c r="B3399" s="12" t="s">
        <v>5747</v>
      </c>
      <c r="C3399" s="4"/>
      <c r="D3399" s="14"/>
      <c r="E3399" s="31" t="s">
        <v>9</v>
      </c>
    </row>
    <row r="3400" spans="1:7">
      <c r="A3400" s="40"/>
      <c r="B3400" s="12" t="s">
        <v>5748</v>
      </c>
      <c r="C3400" s="4"/>
      <c r="D3400" s="14"/>
      <c r="E3400" s="31" t="s">
        <v>9</v>
      </c>
    </row>
    <row r="3401" spans="1:7">
      <c r="A3401" s="6" t="s">
        <v>5749</v>
      </c>
      <c r="B3401" s="3" t="s">
        <v>5750</v>
      </c>
      <c r="C3401" s="4" t="s">
        <v>156</v>
      </c>
      <c r="D3401" s="7">
        <v>139.4</v>
      </c>
      <c r="E3401" s="31" t="s">
        <v>9</v>
      </c>
      <c r="F3401" s="32">
        <v>119.65</v>
      </c>
      <c r="G3401" s="33">
        <f t="shared" ref="G3401:G3415" si="74">(D3401-F3401)/F3401</f>
        <v>0.165064772252403</v>
      </c>
    </row>
    <row r="3402" spans="1:7">
      <c r="A3402" s="6" t="s">
        <v>5751</v>
      </c>
      <c r="B3402" s="3" t="s">
        <v>5752</v>
      </c>
      <c r="C3402" s="4" t="s">
        <v>156</v>
      </c>
      <c r="D3402" s="7">
        <v>186.35</v>
      </c>
      <c r="E3402" s="31" t="s">
        <v>9</v>
      </c>
      <c r="F3402" s="32">
        <v>163.75</v>
      </c>
      <c r="G3402" s="33">
        <f t="shared" si="74"/>
        <v>0.138015267175572</v>
      </c>
    </row>
    <row r="3403" spans="1:7">
      <c r="A3403" s="6" t="s">
        <v>5753</v>
      </c>
      <c r="B3403" s="3" t="s">
        <v>5754</v>
      </c>
      <c r="C3403" s="4" t="s">
        <v>156</v>
      </c>
      <c r="D3403" s="7">
        <v>189.2</v>
      </c>
      <c r="E3403" s="31" t="s">
        <v>9</v>
      </c>
      <c r="F3403" s="32">
        <v>168.4</v>
      </c>
      <c r="G3403" s="33">
        <f t="shared" si="74"/>
        <v>0.123515439429929</v>
      </c>
    </row>
    <row r="3404" spans="1:7">
      <c r="A3404" s="6" t="s">
        <v>5755</v>
      </c>
      <c r="B3404" s="3" t="s">
        <v>5756</v>
      </c>
      <c r="C3404" s="4" t="s">
        <v>156</v>
      </c>
      <c r="D3404" s="7">
        <v>313</v>
      </c>
      <c r="E3404" s="31" t="s">
        <v>9</v>
      </c>
      <c r="F3404" s="32">
        <v>213.7</v>
      </c>
      <c r="G3404" s="33">
        <f t="shared" si="74"/>
        <v>0.464670098268601</v>
      </c>
    </row>
    <row r="3405" spans="1:7">
      <c r="A3405" s="6" t="s">
        <v>5757</v>
      </c>
      <c r="B3405" s="3" t="s">
        <v>5758</v>
      </c>
      <c r="C3405" s="4" t="s">
        <v>156</v>
      </c>
      <c r="D3405" s="7">
        <v>327.2</v>
      </c>
      <c r="E3405" s="31" t="s">
        <v>9</v>
      </c>
      <c r="F3405" s="32">
        <v>217.2</v>
      </c>
      <c r="G3405" s="33">
        <f t="shared" si="74"/>
        <v>0.506445672191529</v>
      </c>
    </row>
    <row r="3406" spans="1:7">
      <c r="A3406" s="6" t="s">
        <v>5759</v>
      </c>
      <c r="B3406" s="3" t="s">
        <v>5760</v>
      </c>
      <c r="C3406" s="4" t="s">
        <v>156</v>
      </c>
      <c r="D3406" s="7">
        <v>327.2</v>
      </c>
      <c r="E3406" s="31" t="s">
        <v>9</v>
      </c>
      <c r="F3406" s="32">
        <v>220.7</v>
      </c>
      <c r="G3406" s="33">
        <f t="shared" si="74"/>
        <v>0.482555505210693</v>
      </c>
    </row>
    <row r="3407" spans="1:7">
      <c r="A3407" s="6" t="s">
        <v>5761</v>
      </c>
      <c r="B3407" s="3" t="s">
        <v>5762</v>
      </c>
      <c r="C3407" s="4" t="s">
        <v>156</v>
      </c>
      <c r="D3407" s="7">
        <v>517.85</v>
      </c>
      <c r="E3407" s="31" t="s">
        <v>9</v>
      </c>
      <c r="F3407" s="32">
        <v>417</v>
      </c>
      <c r="G3407" s="33">
        <f t="shared" si="74"/>
        <v>0.241846522781775</v>
      </c>
    </row>
    <row r="3408" spans="1:7">
      <c r="A3408" s="6" t="s">
        <v>5763</v>
      </c>
      <c r="B3408" s="3" t="s">
        <v>5764</v>
      </c>
      <c r="C3408" s="4" t="s">
        <v>156</v>
      </c>
      <c r="D3408" s="7">
        <v>529.25</v>
      </c>
      <c r="E3408" s="31" t="s">
        <v>9</v>
      </c>
      <c r="F3408" s="32">
        <v>420.45</v>
      </c>
      <c r="G3408" s="33">
        <f t="shared" si="74"/>
        <v>0.258770365085028</v>
      </c>
    </row>
    <row r="3409" spans="1:7">
      <c r="A3409" s="6" t="s">
        <v>5765</v>
      </c>
      <c r="B3409" s="3" t="s">
        <v>5766</v>
      </c>
      <c r="C3409" s="4" t="s">
        <v>156</v>
      </c>
      <c r="D3409" s="7">
        <v>606.05</v>
      </c>
      <c r="E3409" s="31" t="s">
        <v>9</v>
      </c>
      <c r="F3409" s="32">
        <v>420.45</v>
      </c>
      <c r="G3409" s="33">
        <f t="shared" si="74"/>
        <v>0.441431799262695</v>
      </c>
    </row>
    <row r="3410" spans="1:7">
      <c r="A3410" s="6" t="s">
        <v>5767</v>
      </c>
      <c r="B3410" s="3" t="s">
        <v>5768</v>
      </c>
      <c r="C3410" s="4" t="s">
        <v>156</v>
      </c>
      <c r="D3410" s="7">
        <v>643.05</v>
      </c>
      <c r="E3410" s="31" t="s">
        <v>9</v>
      </c>
      <c r="F3410" s="32">
        <v>449.5</v>
      </c>
      <c r="G3410" s="33">
        <f t="shared" si="74"/>
        <v>0.430589543937708</v>
      </c>
    </row>
    <row r="3411" spans="1:7">
      <c r="A3411" s="6" t="s">
        <v>5769</v>
      </c>
      <c r="B3411" s="3" t="s">
        <v>5770</v>
      </c>
      <c r="C3411" s="4" t="s">
        <v>156</v>
      </c>
      <c r="D3411" s="7">
        <v>643.05</v>
      </c>
      <c r="E3411" s="31" t="s">
        <v>9</v>
      </c>
      <c r="F3411" s="32">
        <v>476.2</v>
      </c>
      <c r="G3411" s="33">
        <f t="shared" si="74"/>
        <v>0.350377992440151</v>
      </c>
    </row>
    <row r="3412" spans="1:7">
      <c r="A3412" s="6" t="s">
        <v>5771</v>
      </c>
      <c r="B3412" s="3" t="s">
        <v>5772</v>
      </c>
      <c r="C3412" s="4" t="s">
        <v>156</v>
      </c>
      <c r="D3412" s="7">
        <v>643.05</v>
      </c>
      <c r="E3412" s="31" t="s">
        <v>9</v>
      </c>
      <c r="F3412" s="32">
        <v>476.2</v>
      </c>
      <c r="G3412" s="33">
        <f t="shared" si="74"/>
        <v>0.350377992440151</v>
      </c>
    </row>
    <row r="3413" spans="1:7">
      <c r="A3413" s="6" t="s">
        <v>5773</v>
      </c>
      <c r="B3413" s="3" t="s">
        <v>5774</v>
      </c>
      <c r="C3413" s="4" t="s">
        <v>156</v>
      </c>
      <c r="D3413" s="7">
        <v>643.05</v>
      </c>
      <c r="E3413" s="31" t="s">
        <v>9</v>
      </c>
      <c r="F3413" s="32">
        <v>476.2</v>
      </c>
      <c r="G3413" s="33">
        <f t="shared" si="74"/>
        <v>0.350377992440151</v>
      </c>
    </row>
    <row r="3414" spans="1:7">
      <c r="A3414" s="6" t="s">
        <v>5775</v>
      </c>
      <c r="B3414" s="3" t="s">
        <v>5776</v>
      </c>
      <c r="C3414" s="4" t="s">
        <v>156</v>
      </c>
      <c r="D3414" s="7">
        <v>664.35</v>
      </c>
      <c r="E3414" s="31" t="s">
        <v>9</v>
      </c>
      <c r="F3414" s="32">
        <v>476.2</v>
      </c>
      <c r="G3414" s="33">
        <f t="shared" si="74"/>
        <v>0.395107097858043</v>
      </c>
    </row>
    <row r="3415" spans="1:7">
      <c r="A3415" s="6" t="s">
        <v>5777</v>
      </c>
      <c r="B3415" s="3" t="s">
        <v>5778</v>
      </c>
      <c r="C3415" s="4" t="s">
        <v>156</v>
      </c>
      <c r="D3415" s="7">
        <v>667.2</v>
      </c>
      <c r="E3415" s="31" t="s">
        <v>9</v>
      </c>
      <c r="F3415" s="32">
        <v>476.2</v>
      </c>
      <c r="G3415" s="33">
        <f t="shared" si="74"/>
        <v>0.401091978160437</v>
      </c>
    </row>
    <row r="3416" ht="46.5" customHeight="1" spans="1:7">
      <c r="A3416" s="6" t="s">
        <v>5779</v>
      </c>
      <c r="B3416" s="12" t="s">
        <v>5780</v>
      </c>
      <c r="C3416" s="4"/>
      <c r="D3416" s="14"/>
    </row>
    <row r="3417" spans="1:7">
      <c r="A3417" s="40"/>
      <c r="B3417" s="12" t="s">
        <v>5748</v>
      </c>
      <c r="C3417" s="4"/>
      <c r="D3417" s="14"/>
    </row>
    <row r="3418" spans="1:7">
      <c r="A3418" s="6" t="s">
        <v>5781</v>
      </c>
      <c r="B3418" s="3" t="s">
        <v>5782</v>
      </c>
      <c r="C3418" s="4" t="s">
        <v>156</v>
      </c>
      <c r="D3418" s="7">
        <v>405.45</v>
      </c>
    </row>
    <row r="3419" spans="1:7">
      <c r="A3419" s="6" t="s">
        <v>5783</v>
      </c>
      <c r="B3419" s="3" t="s">
        <v>5784</v>
      </c>
      <c r="C3419" s="4" t="s">
        <v>156</v>
      </c>
      <c r="D3419" s="7">
        <v>490.8</v>
      </c>
    </row>
    <row r="3420" spans="1:7">
      <c r="A3420" s="6" t="s">
        <v>5785</v>
      </c>
      <c r="B3420" s="3" t="s">
        <v>5786</v>
      </c>
      <c r="C3420" s="4" t="s">
        <v>156</v>
      </c>
      <c r="D3420" s="7">
        <v>597.5</v>
      </c>
    </row>
    <row r="3421" spans="1:7">
      <c r="A3421" s="6" t="s">
        <v>5787</v>
      </c>
      <c r="B3421" s="3" t="s">
        <v>5788</v>
      </c>
      <c r="C3421" s="4" t="s">
        <v>156</v>
      </c>
      <c r="D3421" s="7">
        <v>604.6</v>
      </c>
    </row>
    <row r="3422" spans="1:7">
      <c r="A3422" s="6" t="s">
        <v>5789</v>
      </c>
      <c r="B3422" s="3" t="s">
        <v>5790</v>
      </c>
      <c r="C3422" s="4" t="s">
        <v>156</v>
      </c>
      <c r="D3422" s="7">
        <v>746.85</v>
      </c>
    </row>
    <row r="3423" spans="1:7">
      <c r="A3423" s="6" t="s">
        <v>5791</v>
      </c>
      <c r="B3423" s="3" t="s">
        <v>5792</v>
      </c>
      <c r="C3423" s="4" t="s">
        <v>156</v>
      </c>
      <c r="D3423" s="7">
        <v>960.3</v>
      </c>
    </row>
    <row r="3424" spans="1:7">
      <c r="A3424" s="6" t="s">
        <v>5793</v>
      </c>
      <c r="B3424" s="3" t="s">
        <v>5794</v>
      </c>
      <c r="C3424" s="4" t="s">
        <v>156</v>
      </c>
      <c r="D3424" s="7">
        <v>1095.45</v>
      </c>
    </row>
    <row r="3425" spans="1:7">
      <c r="A3425" s="6" t="s">
        <v>5795</v>
      </c>
      <c r="B3425" s="3" t="s">
        <v>5796</v>
      </c>
      <c r="C3425" s="4" t="s">
        <v>156</v>
      </c>
      <c r="D3425" s="7">
        <v>1145.25</v>
      </c>
    </row>
    <row r="3426" spans="1:7">
      <c r="A3426" s="6" t="s">
        <v>5797</v>
      </c>
      <c r="B3426" s="3" t="s">
        <v>5798</v>
      </c>
      <c r="C3426" s="4" t="s">
        <v>156</v>
      </c>
      <c r="D3426" s="7">
        <v>1330.15</v>
      </c>
    </row>
    <row r="3427" spans="1:7">
      <c r="A3427" s="6" t="s">
        <v>5799</v>
      </c>
      <c r="B3427" s="3" t="s">
        <v>5800</v>
      </c>
      <c r="C3427" s="4" t="s">
        <v>156</v>
      </c>
      <c r="D3427" s="7">
        <v>1572</v>
      </c>
    </row>
    <row r="3428" spans="1:7">
      <c r="A3428" s="6" t="s">
        <v>5801</v>
      </c>
      <c r="B3428" s="3" t="s">
        <v>5802</v>
      </c>
      <c r="C3428" s="4" t="s">
        <v>156</v>
      </c>
      <c r="D3428" s="7">
        <v>1636.05</v>
      </c>
    </row>
    <row r="3429" ht="46.5" customHeight="1" spans="1:7">
      <c r="A3429" s="6" t="s">
        <v>5803</v>
      </c>
      <c r="B3429" s="12" t="s">
        <v>5718</v>
      </c>
      <c r="C3429" s="4"/>
      <c r="D3429" s="14"/>
      <c r="E3429" s="31" t="s">
        <v>9</v>
      </c>
    </row>
    <row r="3430" spans="1:7">
      <c r="A3430" s="40"/>
      <c r="B3430" s="12" t="s">
        <v>5804</v>
      </c>
      <c r="C3430" s="4"/>
      <c r="D3430" s="14"/>
      <c r="E3430" s="31" t="s">
        <v>9</v>
      </c>
    </row>
    <row r="3431" spans="1:7">
      <c r="A3431" s="6" t="s">
        <v>5805</v>
      </c>
      <c r="B3431" s="3" t="s">
        <v>5721</v>
      </c>
      <c r="C3431" s="4" t="s">
        <v>156</v>
      </c>
      <c r="D3431" s="7">
        <v>92.45</v>
      </c>
      <c r="E3431" s="31" t="s">
        <v>9</v>
      </c>
      <c r="F3431" s="32">
        <v>54.6</v>
      </c>
      <c r="G3431" s="33">
        <f t="shared" ref="G3431:G3436" si="75">(D3431-F3431)/F3431</f>
        <v>0.693223443223443</v>
      </c>
    </row>
    <row r="3432" spans="1:7">
      <c r="A3432" s="6" t="s">
        <v>5806</v>
      </c>
      <c r="B3432" s="3" t="s">
        <v>5723</v>
      </c>
      <c r="C3432" s="4" t="s">
        <v>156</v>
      </c>
      <c r="D3432" s="7">
        <v>113.8</v>
      </c>
      <c r="E3432" s="31" t="s">
        <v>9</v>
      </c>
      <c r="F3432" s="32">
        <v>73.15</v>
      </c>
      <c r="G3432" s="33">
        <f t="shared" si="75"/>
        <v>0.555707450444292</v>
      </c>
    </row>
    <row r="3433" spans="1:7">
      <c r="A3433" s="6" t="s">
        <v>5807</v>
      </c>
      <c r="B3433" s="3" t="s">
        <v>5725</v>
      </c>
      <c r="C3433" s="4" t="s">
        <v>156</v>
      </c>
      <c r="D3433" s="7">
        <v>156.5</v>
      </c>
      <c r="E3433" s="31" t="s">
        <v>9</v>
      </c>
      <c r="F3433" s="32">
        <v>103.35</v>
      </c>
      <c r="G3433" s="33">
        <f t="shared" si="75"/>
        <v>0.514271891630382</v>
      </c>
    </row>
    <row r="3434" spans="1:7">
      <c r="A3434" s="6" t="s">
        <v>5808</v>
      </c>
      <c r="B3434" s="3" t="s">
        <v>5727</v>
      </c>
      <c r="C3434" s="4" t="s">
        <v>156</v>
      </c>
      <c r="D3434" s="7">
        <v>220.5</v>
      </c>
      <c r="E3434" s="31" t="s">
        <v>9</v>
      </c>
      <c r="F3434" s="32">
        <v>152.15</v>
      </c>
      <c r="G3434" s="33">
        <f t="shared" si="75"/>
        <v>0.449227735787052</v>
      </c>
    </row>
    <row r="3435" spans="1:7">
      <c r="A3435" s="6" t="s">
        <v>5809</v>
      </c>
      <c r="B3435" s="3" t="s">
        <v>5729</v>
      </c>
      <c r="C3435" s="4" t="s">
        <v>156</v>
      </c>
      <c r="D3435" s="7">
        <v>256.1</v>
      </c>
      <c r="E3435" s="31" t="s">
        <v>9</v>
      </c>
      <c r="F3435" s="32">
        <v>183.5</v>
      </c>
      <c r="G3435" s="33">
        <f t="shared" si="75"/>
        <v>0.395640326975477</v>
      </c>
    </row>
    <row r="3436" spans="1:7">
      <c r="A3436" s="6" t="s">
        <v>5810</v>
      </c>
      <c r="B3436" s="3" t="s">
        <v>5731</v>
      </c>
      <c r="C3436" s="4" t="s">
        <v>156</v>
      </c>
      <c r="D3436" s="7">
        <v>277.4</v>
      </c>
      <c r="E3436" s="31" t="s">
        <v>9</v>
      </c>
      <c r="F3436" s="32">
        <v>197.45</v>
      </c>
      <c r="G3436" s="33">
        <f t="shared" si="75"/>
        <v>0.404912636110408</v>
      </c>
    </row>
    <row r="3437" ht="46.5" customHeight="1" spans="1:7">
      <c r="A3437" s="6" t="s">
        <v>5811</v>
      </c>
      <c r="B3437" s="12" t="s">
        <v>5733</v>
      </c>
      <c r="C3437" s="4"/>
      <c r="D3437" s="14"/>
    </row>
    <row r="3438" spans="1:7">
      <c r="A3438" s="40"/>
      <c r="B3438" s="12" t="s">
        <v>5812</v>
      </c>
      <c r="C3438" s="4"/>
      <c r="D3438" s="14"/>
    </row>
    <row r="3439" spans="1:7">
      <c r="A3439" s="6" t="s">
        <v>5813</v>
      </c>
      <c r="B3439" s="3" t="s">
        <v>5735</v>
      </c>
      <c r="C3439" s="4" t="s">
        <v>156</v>
      </c>
      <c r="D3439" s="7">
        <v>597.5</v>
      </c>
    </row>
    <row r="3440" spans="1:7">
      <c r="A3440" s="6" t="s">
        <v>5814</v>
      </c>
      <c r="B3440" s="3" t="s">
        <v>5737</v>
      </c>
      <c r="C3440" s="4" t="s">
        <v>156</v>
      </c>
      <c r="D3440" s="7">
        <v>711.3</v>
      </c>
    </row>
    <row r="3441" spans="1:7">
      <c r="A3441" s="6" t="s">
        <v>5815</v>
      </c>
      <c r="B3441" s="3" t="s">
        <v>5739</v>
      </c>
      <c r="C3441" s="4" t="s">
        <v>156</v>
      </c>
      <c r="D3441" s="7">
        <v>825.15</v>
      </c>
    </row>
    <row r="3442" spans="1:7">
      <c r="A3442" s="6" t="s">
        <v>5816</v>
      </c>
      <c r="B3442" s="3" t="s">
        <v>5741</v>
      </c>
      <c r="C3442" s="4" t="s">
        <v>156</v>
      </c>
      <c r="D3442" s="7">
        <v>917.6</v>
      </c>
    </row>
    <row r="3443" spans="1:7">
      <c r="A3443" s="6" t="s">
        <v>5817</v>
      </c>
      <c r="B3443" s="3" t="s">
        <v>5743</v>
      </c>
      <c r="C3443" s="4" t="s">
        <v>156</v>
      </c>
      <c r="D3443" s="7">
        <v>1066.95</v>
      </c>
    </row>
    <row r="3444" spans="1:7">
      <c r="A3444" s="6" t="s">
        <v>5818</v>
      </c>
      <c r="B3444" s="3" t="s">
        <v>5745</v>
      </c>
      <c r="C3444" s="4" t="s">
        <v>156</v>
      </c>
      <c r="D3444" s="7">
        <v>1515.1</v>
      </c>
    </row>
    <row r="3445" ht="46.5" customHeight="1" spans="1:7">
      <c r="A3445" s="6" t="s">
        <v>5819</v>
      </c>
      <c r="B3445" s="12" t="s">
        <v>5718</v>
      </c>
      <c r="C3445" s="4"/>
      <c r="D3445" s="14"/>
      <c r="E3445" s="31" t="s">
        <v>9</v>
      </c>
    </row>
    <row r="3446" spans="1:7">
      <c r="A3446" s="40"/>
      <c r="B3446" s="12" t="s">
        <v>5820</v>
      </c>
      <c r="C3446" s="4"/>
      <c r="D3446" s="14"/>
      <c r="E3446" s="31" t="s">
        <v>9</v>
      </c>
    </row>
    <row r="3447" spans="1:7">
      <c r="A3447" s="6" t="s">
        <v>5821</v>
      </c>
      <c r="B3447" s="3" t="s">
        <v>5822</v>
      </c>
      <c r="C3447" s="4" t="s">
        <v>156</v>
      </c>
      <c r="D3447" s="7">
        <v>99.6</v>
      </c>
      <c r="E3447" s="31" t="s">
        <v>9</v>
      </c>
      <c r="F3447" s="32">
        <v>67.35</v>
      </c>
      <c r="G3447" s="33">
        <f t="shared" ref="G3447:G3452" si="76">(D3447-F3447)/F3447</f>
        <v>0.478841870824053</v>
      </c>
    </row>
    <row r="3448" spans="1:7">
      <c r="A3448" s="6" t="s">
        <v>5823</v>
      </c>
      <c r="B3448" s="3" t="s">
        <v>5723</v>
      </c>
      <c r="C3448" s="4" t="s">
        <v>156</v>
      </c>
      <c r="D3448" s="7">
        <v>113.8</v>
      </c>
      <c r="E3448" s="31" t="s">
        <v>9</v>
      </c>
      <c r="F3448" s="32">
        <v>73.15</v>
      </c>
      <c r="G3448" s="33">
        <f t="shared" si="76"/>
        <v>0.555707450444292</v>
      </c>
    </row>
    <row r="3449" spans="1:7">
      <c r="A3449" s="6" t="s">
        <v>5824</v>
      </c>
      <c r="B3449" s="3" t="s">
        <v>5725</v>
      </c>
      <c r="C3449" s="4" t="s">
        <v>156</v>
      </c>
      <c r="D3449" s="7">
        <v>163.6</v>
      </c>
      <c r="E3449" s="31" t="s">
        <v>9</v>
      </c>
      <c r="F3449" s="32">
        <v>111.5</v>
      </c>
      <c r="G3449" s="33">
        <f t="shared" si="76"/>
        <v>0.467264573991031</v>
      </c>
    </row>
    <row r="3450" spans="1:7">
      <c r="A3450" s="6" t="s">
        <v>5825</v>
      </c>
      <c r="B3450" s="3" t="s">
        <v>5727</v>
      </c>
      <c r="C3450" s="4" t="s">
        <v>156</v>
      </c>
      <c r="D3450" s="7">
        <v>204.85</v>
      </c>
      <c r="E3450" s="31" t="s">
        <v>9</v>
      </c>
      <c r="F3450" s="32">
        <v>126.6</v>
      </c>
      <c r="G3450" s="33">
        <f t="shared" si="76"/>
        <v>0.618088467614534</v>
      </c>
    </row>
    <row r="3451" spans="1:7">
      <c r="A3451" s="6" t="s">
        <v>5826</v>
      </c>
      <c r="B3451" s="3" t="s">
        <v>5729</v>
      </c>
      <c r="C3451" s="4" t="s">
        <v>156</v>
      </c>
      <c r="D3451" s="7">
        <v>221.95</v>
      </c>
      <c r="E3451" s="31" t="s">
        <v>9</v>
      </c>
      <c r="F3451" s="32">
        <v>134.75</v>
      </c>
      <c r="G3451" s="33">
        <f t="shared" si="76"/>
        <v>0.647124304267161</v>
      </c>
    </row>
    <row r="3452" spans="1:7">
      <c r="A3452" s="6" t="s">
        <v>5827</v>
      </c>
      <c r="B3452" s="3" t="s">
        <v>5731</v>
      </c>
      <c r="C3452" s="4" t="s">
        <v>156</v>
      </c>
      <c r="D3452" s="7">
        <v>273.15</v>
      </c>
      <c r="E3452" s="31" t="s">
        <v>9</v>
      </c>
      <c r="F3452" s="32">
        <v>174.25</v>
      </c>
      <c r="G3452" s="33">
        <f t="shared" si="76"/>
        <v>0.567575322812051</v>
      </c>
    </row>
    <row r="3453" ht="46.5" customHeight="1" spans="1:7">
      <c r="A3453" s="6" t="s">
        <v>5828</v>
      </c>
      <c r="B3453" s="12" t="s">
        <v>5733</v>
      </c>
      <c r="C3453" s="4"/>
      <c r="D3453" s="14"/>
    </row>
    <row r="3454" spans="1:7">
      <c r="A3454" s="40"/>
      <c r="B3454" s="12" t="s">
        <v>5820</v>
      </c>
      <c r="C3454" s="4"/>
      <c r="D3454" s="14"/>
    </row>
    <row r="3455" spans="1:7">
      <c r="A3455" s="6" t="s">
        <v>5829</v>
      </c>
      <c r="B3455" s="3" t="s">
        <v>5735</v>
      </c>
      <c r="C3455" s="4" t="s">
        <v>156</v>
      </c>
      <c r="D3455" s="7">
        <v>483.7</v>
      </c>
    </row>
    <row r="3456" spans="1:7">
      <c r="A3456" s="6" t="s">
        <v>5830</v>
      </c>
      <c r="B3456" s="3" t="s">
        <v>5737</v>
      </c>
      <c r="C3456" s="4" t="s">
        <v>156</v>
      </c>
      <c r="D3456" s="7">
        <v>682.85</v>
      </c>
    </row>
    <row r="3457" spans="1:7">
      <c r="A3457" s="6" t="s">
        <v>5831</v>
      </c>
      <c r="B3457" s="3" t="s">
        <v>5739</v>
      </c>
      <c r="C3457" s="4" t="s">
        <v>156</v>
      </c>
      <c r="D3457" s="7">
        <v>910.5</v>
      </c>
    </row>
    <row r="3458" spans="1:7">
      <c r="A3458" s="6" t="s">
        <v>5832</v>
      </c>
      <c r="B3458" s="3" t="s">
        <v>5741</v>
      </c>
      <c r="C3458" s="4" t="s">
        <v>156</v>
      </c>
      <c r="D3458" s="7">
        <v>1493.75</v>
      </c>
    </row>
    <row r="3459" spans="1:7">
      <c r="A3459" s="6" t="s">
        <v>5833</v>
      </c>
      <c r="B3459" s="3" t="s">
        <v>5743</v>
      </c>
      <c r="C3459" s="4" t="s">
        <v>156</v>
      </c>
      <c r="D3459" s="7">
        <v>2418.5</v>
      </c>
    </row>
    <row r="3460" spans="1:7">
      <c r="A3460" s="6" t="s">
        <v>5834</v>
      </c>
      <c r="B3460" s="3" t="s">
        <v>5745</v>
      </c>
      <c r="C3460" s="4" t="s">
        <v>156</v>
      </c>
      <c r="D3460" s="7">
        <v>3200.95</v>
      </c>
    </row>
    <row r="3461" ht="46.5" customHeight="1" spans="1:7">
      <c r="A3461" s="6" t="s">
        <v>5835</v>
      </c>
      <c r="B3461" s="12" t="s">
        <v>5718</v>
      </c>
      <c r="C3461" s="4"/>
      <c r="D3461" s="14"/>
      <c r="E3461" s="31" t="s">
        <v>9</v>
      </c>
    </row>
    <row r="3462" spans="1:7">
      <c r="A3462" s="40"/>
      <c r="B3462" s="12" t="s">
        <v>5836</v>
      </c>
      <c r="C3462" s="4"/>
      <c r="D3462" s="14"/>
      <c r="E3462" s="31" t="s">
        <v>9</v>
      </c>
    </row>
    <row r="3463" spans="1:7">
      <c r="A3463" s="6" t="s">
        <v>5837</v>
      </c>
      <c r="B3463" s="3" t="s">
        <v>5838</v>
      </c>
      <c r="C3463" s="4" t="s">
        <v>156</v>
      </c>
      <c r="D3463" s="7">
        <v>223.35</v>
      </c>
      <c r="E3463" s="31" t="s">
        <v>9</v>
      </c>
      <c r="F3463" s="32">
        <v>171.9</v>
      </c>
      <c r="G3463" s="33">
        <f t="shared" ref="G3463:G3468" si="77">(D3463-F3463)/F3463</f>
        <v>0.299301919720768</v>
      </c>
    </row>
    <row r="3464" spans="1:7">
      <c r="A3464" s="6" t="s">
        <v>5839</v>
      </c>
      <c r="B3464" s="3" t="s">
        <v>5752</v>
      </c>
      <c r="C3464" s="4" t="s">
        <v>156</v>
      </c>
      <c r="D3464" s="7">
        <v>304.45</v>
      </c>
      <c r="E3464" s="31" t="s">
        <v>9</v>
      </c>
      <c r="F3464" s="32">
        <v>221.85</v>
      </c>
      <c r="G3464" s="33">
        <f t="shared" si="77"/>
        <v>0.372323642100518</v>
      </c>
    </row>
    <row r="3465" spans="1:7">
      <c r="A3465" s="6" t="s">
        <v>5840</v>
      </c>
      <c r="B3465" s="3" t="s">
        <v>5754</v>
      </c>
      <c r="C3465" s="4" t="s">
        <v>156</v>
      </c>
      <c r="D3465" s="7">
        <v>318.65</v>
      </c>
      <c r="E3465" s="31" t="s">
        <v>9</v>
      </c>
      <c r="F3465" s="32">
        <v>256.7</v>
      </c>
      <c r="G3465" s="33">
        <f t="shared" si="77"/>
        <v>0.241332294507207</v>
      </c>
    </row>
    <row r="3466" spans="1:7">
      <c r="A3466" s="6" t="s">
        <v>5841</v>
      </c>
      <c r="B3466" s="3" t="s">
        <v>5758</v>
      </c>
      <c r="C3466" s="4" t="s">
        <v>156</v>
      </c>
      <c r="D3466" s="7">
        <v>426.8</v>
      </c>
      <c r="E3466" s="31" t="s">
        <v>9</v>
      </c>
      <c r="F3466" s="32">
        <v>333.35</v>
      </c>
      <c r="G3466" s="33">
        <f t="shared" si="77"/>
        <v>0.28033598320084</v>
      </c>
    </row>
    <row r="3467" spans="1:7">
      <c r="A3467" s="6" t="s">
        <v>5842</v>
      </c>
      <c r="B3467" s="3" t="s">
        <v>5760</v>
      </c>
      <c r="C3467" s="4" t="s">
        <v>156</v>
      </c>
      <c r="D3467" s="7">
        <v>512.15</v>
      </c>
      <c r="E3467" s="31" t="s">
        <v>9</v>
      </c>
      <c r="F3467" s="32">
        <v>459.95</v>
      </c>
      <c r="G3467" s="33">
        <f t="shared" si="77"/>
        <v>0.113490596804</v>
      </c>
    </row>
    <row r="3468" spans="1:7">
      <c r="A3468" s="6" t="s">
        <v>5843</v>
      </c>
      <c r="B3468" s="3" t="s">
        <v>5768</v>
      </c>
      <c r="C3468" s="4" t="s">
        <v>156</v>
      </c>
      <c r="D3468" s="7">
        <v>554.8</v>
      </c>
      <c r="E3468" s="31" t="s">
        <v>9</v>
      </c>
      <c r="F3468" s="32">
        <v>207.9</v>
      </c>
      <c r="G3468" s="33">
        <f t="shared" si="77"/>
        <v>1.66859066859067</v>
      </c>
    </row>
    <row r="3469" ht="46.5" customHeight="1" spans="1:7">
      <c r="A3469" s="6" t="s">
        <v>5844</v>
      </c>
      <c r="B3469" s="12" t="s">
        <v>5718</v>
      </c>
      <c r="C3469" s="4"/>
      <c r="D3469" s="14"/>
      <c r="E3469" s="31" t="s">
        <v>9</v>
      </c>
    </row>
    <row r="3470" spans="1:7">
      <c r="A3470" s="40"/>
      <c r="B3470" s="12" t="s">
        <v>5845</v>
      </c>
      <c r="C3470" s="4"/>
      <c r="D3470" s="14"/>
      <c r="E3470" s="31" t="s">
        <v>9</v>
      </c>
    </row>
    <row r="3471" spans="1:7">
      <c r="A3471" s="6" t="s">
        <v>5846</v>
      </c>
      <c r="B3471" s="3" t="s">
        <v>5721</v>
      </c>
      <c r="C3471" s="4" t="s">
        <v>156</v>
      </c>
      <c r="D3471" s="7">
        <v>197.75</v>
      </c>
      <c r="E3471" s="31" t="s">
        <v>9</v>
      </c>
      <c r="F3471" s="32">
        <v>184.7</v>
      </c>
      <c r="G3471" s="33">
        <f t="shared" ref="G3471:G3476" si="78">(D3471-F3471)/F3471</f>
        <v>0.0706551164049811</v>
      </c>
    </row>
    <row r="3472" spans="1:7">
      <c r="A3472" s="6" t="s">
        <v>5847</v>
      </c>
      <c r="B3472" s="3" t="s">
        <v>5723</v>
      </c>
      <c r="C3472" s="4" t="s">
        <v>156</v>
      </c>
      <c r="D3472" s="7">
        <v>300.2</v>
      </c>
      <c r="E3472" s="31" t="s">
        <v>9</v>
      </c>
      <c r="F3472" s="32">
        <v>268.3</v>
      </c>
      <c r="G3472" s="33">
        <f t="shared" si="78"/>
        <v>0.118896757361163</v>
      </c>
    </row>
    <row r="3473" spans="1:7">
      <c r="A3473" s="6" t="s">
        <v>5848</v>
      </c>
      <c r="B3473" s="3" t="s">
        <v>5725</v>
      </c>
      <c r="C3473" s="4" t="s">
        <v>156</v>
      </c>
      <c r="D3473" s="7">
        <v>466.6</v>
      </c>
      <c r="E3473" s="31" t="s">
        <v>9</v>
      </c>
      <c r="F3473" s="32">
        <v>317.1</v>
      </c>
      <c r="G3473" s="33">
        <f t="shared" si="78"/>
        <v>0.471460107221697</v>
      </c>
    </row>
    <row r="3474" spans="1:7">
      <c r="A3474" s="6" t="s">
        <v>5849</v>
      </c>
      <c r="B3474" s="3" t="s">
        <v>5727</v>
      </c>
      <c r="C3474" s="4" t="s">
        <v>156</v>
      </c>
      <c r="D3474" s="7">
        <v>688.55</v>
      </c>
      <c r="E3474" s="31" t="s">
        <v>9</v>
      </c>
      <c r="F3474" s="32">
        <v>507.6</v>
      </c>
      <c r="G3474" s="33">
        <f t="shared" si="78"/>
        <v>0.356481481481481</v>
      </c>
    </row>
    <row r="3475" spans="1:7">
      <c r="A3475" s="6" t="s">
        <v>5850</v>
      </c>
      <c r="B3475" s="3" t="s">
        <v>5729</v>
      </c>
      <c r="C3475" s="4" t="s">
        <v>156</v>
      </c>
      <c r="D3475" s="7">
        <v>1088.3</v>
      </c>
      <c r="E3475" s="31" t="s">
        <v>9</v>
      </c>
      <c r="F3475" s="32">
        <v>793.3</v>
      </c>
      <c r="G3475" s="33">
        <f t="shared" si="78"/>
        <v>0.37186436404891</v>
      </c>
    </row>
    <row r="3476" spans="1:7">
      <c r="A3476" s="6" t="s">
        <v>5851</v>
      </c>
      <c r="B3476" s="3" t="s">
        <v>5731</v>
      </c>
      <c r="C3476" s="4" t="s">
        <v>156</v>
      </c>
      <c r="D3476" s="7">
        <v>1429.75</v>
      </c>
      <c r="E3476" s="31" t="s">
        <v>9</v>
      </c>
      <c r="F3476" s="32">
        <v>1030.25</v>
      </c>
      <c r="G3476" s="33">
        <f t="shared" si="78"/>
        <v>0.387769958747877</v>
      </c>
    </row>
    <row r="3477" ht="46.5" customHeight="1" spans="1:7">
      <c r="A3477" s="6" t="s">
        <v>5852</v>
      </c>
      <c r="B3477" s="12" t="s">
        <v>5733</v>
      </c>
      <c r="C3477" s="4"/>
      <c r="D3477" s="14"/>
    </row>
    <row r="3478" spans="1:7">
      <c r="A3478" s="40"/>
      <c r="B3478" s="12" t="s">
        <v>5845</v>
      </c>
      <c r="C3478" s="4"/>
      <c r="D3478" s="14"/>
    </row>
    <row r="3479" spans="1:7">
      <c r="A3479" s="6" t="s">
        <v>5853</v>
      </c>
      <c r="B3479" s="3" t="s">
        <v>5735</v>
      </c>
      <c r="C3479" s="4" t="s">
        <v>156</v>
      </c>
      <c r="D3479" s="7">
        <v>796.7</v>
      </c>
    </row>
    <row r="3480" spans="1:7">
      <c r="A3480" s="6" t="s">
        <v>5854</v>
      </c>
      <c r="B3480" s="3" t="s">
        <v>5737</v>
      </c>
      <c r="C3480" s="4" t="s">
        <v>156</v>
      </c>
      <c r="D3480" s="7">
        <v>931.85</v>
      </c>
    </row>
    <row r="3481" spans="1:7">
      <c r="A3481" s="6" t="s">
        <v>5855</v>
      </c>
      <c r="B3481" s="3" t="s">
        <v>5739</v>
      </c>
      <c r="C3481" s="4" t="s">
        <v>156</v>
      </c>
      <c r="D3481" s="7">
        <v>1145.25</v>
      </c>
    </row>
    <row r="3482" spans="1:7">
      <c r="A3482" s="6" t="s">
        <v>5856</v>
      </c>
      <c r="B3482" s="3" t="s">
        <v>5741</v>
      </c>
      <c r="C3482" s="4" t="s">
        <v>156</v>
      </c>
      <c r="D3482" s="7">
        <v>1422.65</v>
      </c>
    </row>
    <row r="3483" spans="1:7">
      <c r="A3483" s="6" t="s">
        <v>5857</v>
      </c>
      <c r="B3483" s="3" t="s">
        <v>5743</v>
      </c>
      <c r="C3483" s="4" t="s">
        <v>156</v>
      </c>
      <c r="D3483" s="7">
        <v>1991.7</v>
      </c>
    </row>
    <row r="3484" spans="1:7">
      <c r="A3484" s="6" t="s">
        <v>5858</v>
      </c>
      <c r="B3484" s="3" t="s">
        <v>5745</v>
      </c>
      <c r="C3484" s="4" t="s">
        <v>156</v>
      </c>
      <c r="D3484" s="7">
        <v>2390.05</v>
      </c>
    </row>
    <row r="3485" ht="46.5" customHeight="1" spans="1:7">
      <c r="A3485" s="6" t="s">
        <v>5859</v>
      </c>
      <c r="B3485" s="12" t="s">
        <v>5718</v>
      </c>
      <c r="C3485" s="4"/>
      <c r="D3485" s="14"/>
      <c r="E3485" s="31" t="s">
        <v>9</v>
      </c>
    </row>
    <row r="3486" spans="1:7">
      <c r="A3486" s="40"/>
      <c r="B3486" s="12" t="s">
        <v>5860</v>
      </c>
      <c r="C3486" s="4"/>
      <c r="D3486" s="14"/>
      <c r="E3486" s="31" t="s">
        <v>9</v>
      </c>
    </row>
    <row r="3487" spans="1:7">
      <c r="A3487" s="6" t="s">
        <v>5861</v>
      </c>
      <c r="B3487" s="3" t="s">
        <v>5750</v>
      </c>
      <c r="C3487" s="4" t="s">
        <v>156</v>
      </c>
      <c r="D3487" s="7">
        <v>268.85</v>
      </c>
      <c r="E3487" s="31" t="s">
        <v>9</v>
      </c>
      <c r="F3487" s="32">
        <v>207.9</v>
      </c>
      <c r="G3487" s="33">
        <f t="shared" ref="G3487:G3501" si="79">(D3487-F3487)/F3487</f>
        <v>0.293169793169793</v>
      </c>
    </row>
    <row r="3488" spans="1:7">
      <c r="A3488" s="6" t="s">
        <v>5862</v>
      </c>
      <c r="B3488" s="3" t="s">
        <v>5752</v>
      </c>
      <c r="C3488" s="4" t="s">
        <v>156</v>
      </c>
      <c r="D3488" s="7">
        <v>357.1</v>
      </c>
      <c r="E3488" s="31" t="s">
        <v>9</v>
      </c>
      <c r="F3488" s="32">
        <v>317.1</v>
      </c>
      <c r="G3488" s="33">
        <f t="shared" si="79"/>
        <v>0.126143172500788</v>
      </c>
    </row>
    <row r="3489" spans="1:7">
      <c r="A3489" s="6" t="s">
        <v>5863</v>
      </c>
      <c r="B3489" s="3" t="s">
        <v>5754</v>
      </c>
      <c r="C3489" s="4" t="s">
        <v>156</v>
      </c>
      <c r="D3489" s="7">
        <v>362.75</v>
      </c>
      <c r="E3489" s="31" t="s">
        <v>9</v>
      </c>
      <c r="F3489" s="32">
        <v>317.1</v>
      </c>
      <c r="G3489" s="33">
        <f t="shared" si="79"/>
        <v>0.143960895616525</v>
      </c>
    </row>
    <row r="3490" spans="1:7">
      <c r="A3490" s="6" t="s">
        <v>5864</v>
      </c>
      <c r="B3490" s="3" t="s">
        <v>5756</v>
      </c>
      <c r="C3490" s="4" t="s">
        <v>156</v>
      </c>
      <c r="D3490" s="7">
        <v>633.1</v>
      </c>
      <c r="E3490" s="31" t="s">
        <v>9</v>
      </c>
      <c r="F3490" s="32">
        <v>507.6</v>
      </c>
      <c r="G3490" s="33">
        <f t="shared" si="79"/>
        <v>0.247241922773838</v>
      </c>
    </row>
    <row r="3491" spans="1:7">
      <c r="A3491" s="6" t="s">
        <v>5865</v>
      </c>
      <c r="B3491" s="3" t="s">
        <v>5758</v>
      </c>
      <c r="C3491" s="4" t="s">
        <v>156</v>
      </c>
      <c r="D3491" s="7">
        <v>654.4</v>
      </c>
      <c r="E3491" s="31" t="s">
        <v>9</v>
      </c>
      <c r="F3491" s="32">
        <v>507.6</v>
      </c>
      <c r="G3491" s="33">
        <f t="shared" si="79"/>
        <v>0.289204097714736</v>
      </c>
    </row>
    <row r="3492" spans="1:7">
      <c r="A3492" s="6" t="s">
        <v>5866</v>
      </c>
      <c r="B3492" s="3" t="s">
        <v>5760</v>
      </c>
      <c r="C3492" s="4" t="s">
        <v>156</v>
      </c>
      <c r="D3492" s="7">
        <v>675.75</v>
      </c>
      <c r="E3492" s="31" t="s">
        <v>9</v>
      </c>
      <c r="F3492" s="32">
        <v>507.6</v>
      </c>
      <c r="G3492" s="33">
        <f t="shared" si="79"/>
        <v>0.331264775413712</v>
      </c>
    </row>
    <row r="3493" spans="1:7">
      <c r="A3493" s="6" t="s">
        <v>5867</v>
      </c>
      <c r="B3493" s="3" t="s">
        <v>5762</v>
      </c>
      <c r="C3493" s="4" t="s">
        <v>156</v>
      </c>
      <c r="D3493" s="7">
        <v>1045.65</v>
      </c>
      <c r="E3493" s="31" t="s">
        <v>9</v>
      </c>
      <c r="F3493" s="32">
        <v>793</v>
      </c>
      <c r="G3493" s="33">
        <f t="shared" si="79"/>
        <v>0.31860025220681</v>
      </c>
    </row>
    <row r="3494" spans="1:7">
      <c r="A3494" s="6" t="s">
        <v>5868</v>
      </c>
      <c r="B3494" s="3" t="s">
        <v>5764</v>
      </c>
      <c r="C3494" s="4" t="s">
        <v>156</v>
      </c>
      <c r="D3494" s="7">
        <v>1066.95</v>
      </c>
      <c r="E3494" s="31" t="s">
        <v>9</v>
      </c>
      <c r="F3494" s="32">
        <v>793</v>
      </c>
      <c r="G3494" s="33">
        <f t="shared" si="79"/>
        <v>0.345460277427491</v>
      </c>
    </row>
    <row r="3495" spans="1:7">
      <c r="A3495" s="6" t="s">
        <v>5869</v>
      </c>
      <c r="B3495" s="3" t="s">
        <v>5766</v>
      </c>
      <c r="C3495" s="4" t="s">
        <v>156</v>
      </c>
      <c r="D3495" s="7">
        <v>1095.45</v>
      </c>
      <c r="E3495" s="31" t="s">
        <v>9</v>
      </c>
      <c r="F3495" s="32">
        <v>793</v>
      </c>
      <c r="G3495" s="33">
        <f t="shared" si="79"/>
        <v>0.38139974779319</v>
      </c>
    </row>
    <row r="3496" spans="1:7">
      <c r="A3496" s="6" t="s">
        <v>5870</v>
      </c>
      <c r="B3496" s="3" t="s">
        <v>5768</v>
      </c>
      <c r="C3496" s="4" t="s">
        <v>156</v>
      </c>
      <c r="D3496" s="7">
        <v>1123.9</v>
      </c>
      <c r="E3496" s="31" t="s">
        <v>9</v>
      </c>
      <c r="F3496" s="32">
        <v>793</v>
      </c>
      <c r="G3496" s="33">
        <f t="shared" si="79"/>
        <v>0.417276166456494</v>
      </c>
    </row>
    <row r="3497" spans="1:7">
      <c r="A3497" s="6" t="s">
        <v>5871</v>
      </c>
      <c r="B3497" s="3" t="s">
        <v>5770</v>
      </c>
      <c r="C3497" s="4" t="s">
        <v>156</v>
      </c>
      <c r="D3497" s="7">
        <v>1280.35</v>
      </c>
      <c r="E3497" s="31" t="s">
        <v>9</v>
      </c>
      <c r="F3497" s="32">
        <v>1030.25</v>
      </c>
      <c r="G3497" s="33">
        <f t="shared" si="79"/>
        <v>0.242756612472701</v>
      </c>
    </row>
    <row r="3498" spans="1:7">
      <c r="A3498" s="6" t="s">
        <v>5872</v>
      </c>
      <c r="B3498" s="3" t="s">
        <v>5772</v>
      </c>
      <c r="C3498" s="4" t="s">
        <v>156</v>
      </c>
      <c r="D3498" s="7">
        <v>1296</v>
      </c>
      <c r="E3498" s="31" t="s">
        <v>9</v>
      </c>
      <c r="F3498" s="32">
        <v>1030.25</v>
      </c>
      <c r="G3498" s="33">
        <f t="shared" si="79"/>
        <v>0.257947100218394</v>
      </c>
    </row>
    <row r="3499" spans="1:7">
      <c r="A3499" s="6" t="s">
        <v>5873</v>
      </c>
      <c r="B3499" s="3" t="s">
        <v>5774</v>
      </c>
      <c r="C3499" s="4" t="s">
        <v>156</v>
      </c>
      <c r="D3499" s="7">
        <v>1320.2</v>
      </c>
      <c r="E3499" s="31" t="s">
        <v>9</v>
      </c>
      <c r="F3499" s="32">
        <v>1030.25</v>
      </c>
      <c r="G3499" s="33">
        <f t="shared" si="79"/>
        <v>0.281436544528027</v>
      </c>
    </row>
    <row r="3500" spans="1:7">
      <c r="A3500" s="6" t="s">
        <v>5874</v>
      </c>
      <c r="B3500" s="3" t="s">
        <v>5776</v>
      </c>
      <c r="C3500" s="4" t="s">
        <v>156</v>
      </c>
      <c r="D3500" s="7">
        <v>1372.85</v>
      </c>
      <c r="E3500" s="31" t="s">
        <v>9</v>
      </c>
      <c r="F3500" s="32">
        <v>1030.25</v>
      </c>
      <c r="G3500" s="33">
        <f t="shared" si="79"/>
        <v>0.332540645474399</v>
      </c>
    </row>
    <row r="3501" spans="1:7">
      <c r="A3501" s="6" t="s">
        <v>5875</v>
      </c>
      <c r="B3501" s="3" t="s">
        <v>5778</v>
      </c>
      <c r="C3501" s="4" t="s">
        <v>156</v>
      </c>
      <c r="D3501" s="7">
        <v>1401.3</v>
      </c>
      <c r="E3501" s="31" t="s">
        <v>9</v>
      </c>
      <c r="F3501" s="32">
        <v>1030.25</v>
      </c>
      <c r="G3501" s="33">
        <f t="shared" si="79"/>
        <v>0.360155302111138</v>
      </c>
    </row>
    <row r="3502" ht="46.5" customHeight="1" spans="1:7">
      <c r="A3502" s="6" t="s">
        <v>5876</v>
      </c>
      <c r="B3502" s="12" t="s">
        <v>5733</v>
      </c>
      <c r="C3502" s="4"/>
      <c r="D3502" s="14"/>
    </row>
    <row r="3503" spans="1:7">
      <c r="A3503" s="40"/>
      <c r="B3503" s="12" t="s">
        <v>5860</v>
      </c>
      <c r="C3503" s="4"/>
      <c r="D3503" s="14"/>
    </row>
    <row r="3504" spans="1:7">
      <c r="A3504" s="6" t="s">
        <v>5877</v>
      </c>
      <c r="B3504" s="3" t="s">
        <v>5878</v>
      </c>
      <c r="C3504" s="4" t="s">
        <v>156</v>
      </c>
      <c r="D3504" s="7">
        <v>910.5</v>
      </c>
    </row>
    <row r="3505" spans="1:7">
      <c r="A3505" s="6" t="s">
        <v>5879</v>
      </c>
      <c r="B3505" s="3" t="s">
        <v>5784</v>
      </c>
      <c r="C3505" s="4" t="s">
        <v>156</v>
      </c>
      <c r="D3505" s="7">
        <v>1131</v>
      </c>
    </row>
    <row r="3506" spans="1:7">
      <c r="A3506" s="6" t="s">
        <v>5880</v>
      </c>
      <c r="B3506" s="3" t="s">
        <v>5786</v>
      </c>
      <c r="C3506" s="4" t="s">
        <v>156</v>
      </c>
      <c r="D3506" s="7">
        <v>1138.1</v>
      </c>
    </row>
    <row r="3507" spans="1:7">
      <c r="A3507" s="6" t="s">
        <v>5881</v>
      </c>
      <c r="B3507" s="3" t="s">
        <v>5882</v>
      </c>
      <c r="C3507" s="4" t="s">
        <v>156</v>
      </c>
      <c r="D3507" s="7">
        <v>1429.75</v>
      </c>
    </row>
    <row r="3508" spans="1:7">
      <c r="A3508" s="6" t="s">
        <v>5883</v>
      </c>
      <c r="B3508" s="3" t="s">
        <v>5788</v>
      </c>
      <c r="C3508" s="4" t="s">
        <v>156</v>
      </c>
      <c r="D3508" s="7">
        <v>1436.85</v>
      </c>
    </row>
    <row r="3509" spans="1:7">
      <c r="A3509" s="6" t="s">
        <v>5884</v>
      </c>
      <c r="B3509" s="3" t="s">
        <v>5790</v>
      </c>
      <c r="C3509" s="4" t="s">
        <v>156</v>
      </c>
      <c r="D3509" s="7">
        <v>1451.1</v>
      </c>
    </row>
    <row r="3510" spans="1:7">
      <c r="A3510" s="6" t="s">
        <v>5885</v>
      </c>
      <c r="B3510" s="3" t="s">
        <v>5792</v>
      </c>
      <c r="C3510" s="4" t="s">
        <v>156</v>
      </c>
      <c r="D3510" s="7">
        <v>2013.05</v>
      </c>
    </row>
    <row r="3511" spans="1:7">
      <c r="A3511" s="6" t="s">
        <v>5886</v>
      </c>
      <c r="B3511" s="3" t="s">
        <v>5794</v>
      </c>
      <c r="C3511" s="4" t="s">
        <v>156</v>
      </c>
      <c r="D3511" s="7">
        <v>2034.35</v>
      </c>
    </row>
    <row r="3512" spans="1:7">
      <c r="A3512" s="6" t="s">
        <v>5887</v>
      </c>
      <c r="B3512" s="3" t="s">
        <v>5796</v>
      </c>
      <c r="C3512" s="4" t="s">
        <v>156</v>
      </c>
      <c r="D3512" s="7">
        <v>2048.6</v>
      </c>
    </row>
    <row r="3513" spans="1:7">
      <c r="A3513" s="6" t="s">
        <v>5888</v>
      </c>
      <c r="B3513" s="3" t="s">
        <v>5889</v>
      </c>
      <c r="C3513" s="4" t="s">
        <v>156</v>
      </c>
      <c r="D3513" s="7">
        <v>2390.05</v>
      </c>
    </row>
    <row r="3514" spans="1:7">
      <c r="A3514" s="6" t="s">
        <v>5890</v>
      </c>
      <c r="B3514" s="3" t="s">
        <v>5798</v>
      </c>
      <c r="C3514" s="4" t="s">
        <v>156</v>
      </c>
      <c r="D3514" s="7">
        <v>2446.95</v>
      </c>
    </row>
    <row r="3515" spans="1:7">
      <c r="A3515" s="6" t="s">
        <v>5891</v>
      </c>
      <c r="B3515" s="3" t="s">
        <v>5800</v>
      </c>
      <c r="C3515" s="4" t="s">
        <v>156</v>
      </c>
      <c r="D3515" s="7">
        <v>2468.25</v>
      </c>
    </row>
    <row r="3516" spans="1:7">
      <c r="A3516" s="6" t="s">
        <v>5892</v>
      </c>
      <c r="B3516" s="3" t="s">
        <v>5802</v>
      </c>
      <c r="C3516" s="4" t="s">
        <v>156</v>
      </c>
      <c r="D3516" s="7">
        <v>2496.75</v>
      </c>
    </row>
    <row r="3517" ht="46.5" customHeight="1" spans="1:7">
      <c r="A3517" s="6" t="s">
        <v>5893</v>
      </c>
      <c r="B3517" s="12" t="s">
        <v>5718</v>
      </c>
      <c r="C3517" s="4"/>
      <c r="D3517" s="14"/>
      <c r="E3517" s="31" t="s">
        <v>9</v>
      </c>
    </row>
    <row r="3518" spans="1:7">
      <c r="A3518" s="40"/>
      <c r="B3518" s="12" t="s">
        <v>5894</v>
      </c>
      <c r="C3518" s="4"/>
      <c r="D3518" s="14"/>
      <c r="E3518" s="31" t="s">
        <v>9</v>
      </c>
    </row>
    <row r="3519" spans="1:7">
      <c r="A3519" s="6" t="s">
        <v>5895</v>
      </c>
      <c r="B3519" s="3" t="s">
        <v>5896</v>
      </c>
      <c r="C3519" s="4" t="s">
        <v>156</v>
      </c>
      <c r="D3519" s="7">
        <v>291.65</v>
      </c>
      <c r="E3519" s="31" t="s">
        <v>9</v>
      </c>
      <c r="F3519" s="32">
        <v>207.9</v>
      </c>
      <c r="G3519" s="33">
        <f t="shared" ref="G3519:G3539" si="80">(D3519-F3519)/F3519</f>
        <v>0.402837902837903</v>
      </c>
    </row>
    <row r="3520" spans="1:7">
      <c r="A3520" s="6" t="s">
        <v>5897</v>
      </c>
      <c r="B3520" s="3" t="s">
        <v>5898</v>
      </c>
      <c r="C3520" s="4" t="s">
        <v>156</v>
      </c>
      <c r="D3520" s="7">
        <v>334.3</v>
      </c>
      <c r="E3520" s="31" t="s">
        <v>9</v>
      </c>
      <c r="F3520" s="32">
        <v>232.3</v>
      </c>
      <c r="G3520" s="33">
        <f t="shared" si="80"/>
        <v>0.43908738699957</v>
      </c>
    </row>
    <row r="3521" spans="1:7">
      <c r="A3521" s="6" t="s">
        <v>5899</v>
      </c>
      <c r="B3521" s="3" t="s">
        <v>5900</v>
      </c>
      <c r="C3521" s="4" t="s">
        <v>156</v>
      </c>
      <c r="D3521" s="7">
        <v>355.65</v>
      </c>
      <c r="E3521" s="31" t="s">
        <v>9</v>
      </c>
      <c r="F3521" s="32">
        <v>238.1</v>
      </c>
      <c r="G3521" s="33">
        <f t="shared" si="80"/>
        <v>0.49370012599748</v>
      </c>
    </row>
    <row r="3522" spans="1:7">
      <c r="A3522" s="6" t="s">
        <v>5901</v>
      </c>
      <c r="B3522" s="3" t="s">
        <v>5902</v>
      </c>
      <c r="C3522" s="4" t="s">
        <v>156</v>
      </c>
      <c r="D3522" s="7">
        <v>448.15</v>
      </c>
      <c r="E3522" s="31" t="s">
        <v>9</v>
      </c>
      <c r="F3522" s="32">
        <v>317.1</v>
      </c>
      <c r="G3522" s="33">
        <f t="shared" si="80"/>
        <v>0.413276568905708</v>
      </c>
    </row>
    <row r="3523" spans="1:7">
      <c r="A3523" s="6" t="s">
        <v>5903</v>
      </c>
      <c r="B3523" s="3" t="s">
        <v>5904</v>
      </c>
      <c r="C3523" s="4" t="s">
        <v>156</v>
      </c>
      <c r="D3523" s="7">
        <v>462.35</v>
      </c>
      <c r="E3523" s="31" t="s">
        <v>9</v>
      </c>
      <c r="F3523" s="32">
        <v>317.1</v>
      </c>
      <c r="G3523" s="33">
        <f t="shared" si="80"/>
        <v>0.458057395143488</v>
      </c>
    </row>
    <row r="3524" spans="1:7">
      <c r="A3524" s="6" t="s">
        <v>5905</v>
      </c>
      <c r="B3524" s="3" t="s">
        <v>5906</v>
      </c>
      <c r="C3524" s="4" t="s">
        <v>156</v>
      </c>
      <c r="D3524" s="7">
        <v>476.6</v>
      </c>
      <c r="E3524" s="31" t="s">
        <v>9</v>
      </c>
      <c r="F3524" s="32">
        <v>317.1</v>
      </c>
      <c r="G3524" s="33">
        <f t="shared" si="80"/>
        <v>0.502995900346894</v>
      </c>
    </row>
    <row r="3525" spans="1:7">
      <c r="A3525" s="6" t="s">
        <v>5907</v>
      </c>
      <c r="B3525" s="3" t="s">
        <v>5908</v>
      </c>
      <c r="C3525" s="4" t="s">
        <v>156</v>
      </c>
      <c r="D3525" s="7">
        <v>661.5</v>
      </c>
      <c r="E3525" s="31" t="s">
        <v>9</v>
      </c>
      <c r="F3525" s="32">
        <v>507.6</v>
      </c>
      <c r="G3525" s="33">
        <f t="shared" si="80"/>
        <v>0.303191489361702</v>
      </c>
    </row>
    <row r="3526" spans="1:7">
      <c r="A3526" s="6" t="s">
        <v>5909</v>
      </c>
      <c r="B3526" s="3" t="s">
        <v>5910</v>
      </c>
      <c r="C3526" s="4" t="s">
        <v>156</v>
      </c>
      <c r="D3526" s="7">
        <v>675.75</v>
      </c>
      <c r="E3526" s="31" t="s">
        <v>9</v>
      </c>
      <c r="F3526" s="32">
        <v>507.6</v>
      </c>
      <c r="G3526" s="33">
        <f t="shared" si="80"/>
        <v>0.331264775413712</v>
      </c>
    </row>
    <row r="3527" spans="1:7">
      <c r="A3527" s="6" t="s">
        <v>5911</v>
      </c>
      <c r="B3527" s="3" t="s">
        <v>5912</v>
      </c>
      <c r="C3527" s="4" t="s">
        <v>156</v>
      </c>
      <c r="D3527" s="7">
        <v>704.2</v>
      </c>
      <c r="E3527" s="31" t="s">
        <v>9</v>
      </c>
      <c r="F3527" s="32">
        <v>507.6</v>
      </c>
      <c r="G3527" s="33">
        <f t="shared" si="80"/>
        <v>0.387312844759653</v>
      </c>
    </row>
    <row r="3528" spans="1:7">
      <c r="A3528" s="6" t="s">
        <v>5913</v>
      </c>
      <c r="B3528" s="3" t="s">
        <v>5914</v>
      </c>
      <c r="C3528" s="4" t="s">
        <v>156</v>
      </c>
      <c r="D3528" s="7">
        <v>732.65</v>
      </c>
      <c r="E3528" s="31" t="s">
        <v>9</v>
      </c>
      <c r="F3528" s="32">
        <v>507.6</v>
      </c>
      <c r="G3528" s="33">
        <f t="shared" si="80"/>
        <v>0.443360914105595</v>
      </c>
    </row>
    <row r="3529" spans="1:7">
      <c r="A3529" s="6" t="s">
        <v>5915</v>
      </c>
      <c r="B3529" s="3" t="s">
        <v>5916</v>
      </c>
      <c r="C3529" s="4" t="s">
        <v>156</v>
      </c>
      <c r="D3529" s="7">
        <v>1010.05</v>
      </c>
      <c r="E3529" s="31" t="s">
        <v>9</v>
      </c>
      <c r="F3529" s="32">
        <v>793.3</v>
      </c>
      <c r="G3529" s="33">
        <f t="shared" si="80"/>
        <v>0.273225765788479</v>
      </c>
    </row>
    <row r="3530" spans="1:7">
      <c r="A3530" s="6" t="s">
        <v>5917</v>
      </c>
      <c r="B3530" s="3" t="s">
        <v>5918</v>
      </c>
      <c r="C3530" s="4" t="s">
        <v>156</v>
      </c>
      <c r="D3530" s="7">
        <v>1031.4</v>
      </c>
      <c r="E3530" s="31" t="s">
        <v>9</v>
      </c>
      <c r="F3530" s="32">
        <v>793.3</v>
      </c>
      <c r="G3530" s="33">
        <f t="shared" si="80"/>
        <v>0.30013866128829</v>
      </c>
    </row>
    <row r="3531" spans="1:7">
      <c r="A3531" s="6" t="s">
        <v>5919</v>
      </c>
      <c r="B3531" s="3" t="s">
        <v>5920</v>
      </c>
      <c r="C3531" s="4" t="s">
        <v>156</v>
      </c>
      <c r="D3531" s="7">
        <v>1088.3</v>
      </c>
      <c r="E3531" s="31" t="s">
        <v>9</v>
      </c>
      <c r="F3531" s="32">
        <v>793.3</v>
      </c>
      <c r="G3531" s="33">
        <f t="shared" si="80"/>
        <v>0.37186436404891</v>
      </c>
    </row>
    <row r="3532" spans="1:7">
      <c r="A3532" s="6" t="s">
        <v>5921</v>
      </c>
      <c r="B3532" s="3" t="s">
        <v>5922</v>
      </c>
      <c r="C3532" s="4" t="s">
        <v>156</v>
      </c>
      <c r="D3532" s="7">
        <v>1131</v>
      </c>
      <c r="E3532" s="31" t="s">
        <v>9</v>
      </c>
      <c r="F3532" s="32">
        <v>793.3</v>
      </c>
      <c r="G3532" s="33">
        <f t="shared" si="80"/>
        <v>0.425690155048532</v>
      </c>
    </row>
    <row r="3533" spans="1:7">
      <c r="A3533" s="6" t="s">
        <v>5923</v>
      </c>
      <c r="B3533" s="3" t="s">
        <v>5924</v>
      </c>
      <c r="C3533" s="4" t="s">
        <v>156</v>
      </c>
      <c r="D3533" s="7">
        <v>1173.65</v>
      </c>
      <c r="E3533" s="31" t="s">
        <v>9</v>
      </c>
      <c r="F3533" s="32">
        <v>793.3</v>
      </c>
      <c r="G3533" s="33">
        <f t="shared" si="80"/>
        <v>0.47945291818984</v>
      </c>
    </row>
    <row r="3534" spans="1:7">
      <c r="A3534" s="6" t="s">
        <v>5925</v>
      </c>
      <c r="B3534" s="3" t="s">
        <v>5926</v>
      </c>
      <c r="C3534" s="4" t="s">
        <v>156</v>
      </c>
      <c r="D3534" s="7">
        <v>1415.55</v>
      </c>
      <c r="E3534" s="31" t="s">
        <v>9</v>
      </c>
      <c r="F3534" s="32">
        <v>1030.25</v>
      </c>
      <c r="G3534" s="33">
        <f t="shared" si="80"/>
        <v>0.373986896384373</v>
      </c>
    </row>
    <row r="3535" spans="1:7">
      <c r="A3535" s="6" t="s">
        <v>5927</v>
      </c>
      <c r="B3535" s="3" t="s">
        <v>5928</v>
      </c>
      <c r="C3535" s="4" t="s">
        <v>156</v>
      </c>
      <c r="D3535" s="7">
        <v>1442.55</v>
      </c>
      <c r="E3535" s="31" t="s">
        <v>9</v>
      </c>
      <c r="F3535" s="32">
        <v>1030.25</v>
      </c>
      <c r="G3535" s="33">
        <f t="shared" si="80"/>
        <v>0.400194127638923</v>
      </c>
    </row>
    <row r="3536" spans="1:7">
      <c r="A3536" s="6" t="s">
        <v>5929</v>
      </c>
      <c r="B3536" s="3" t="s">
        <v>5930</v>
      </c>
      <c r="C3536" s="4" t="s">
        <v>156</v>
      </c>
      <c r="D3536" s="7">
        <v>1458.2</v>
      </c>
      <c r="E3536" s="31" t="s">
        <v>9</v>
      </c>
      <c r="F3536" s="32">
        <v>1030.25</v>
      </c>
      <c r="G3536" s="33">
        <f t="shared" si="80"/>
        <v>0.415384615384615</v>
      </c>
    </row>
    <row r="3537" spans="1:7">
      <c r="A3537" s="6" t="s">
        <v>5931</v>
      </c>
      <c r="B3537" s="3" t="s">
        <v>5932</v>
      </c>
      <c r="C3537" s="4" t="s">
        <v>156</v>
      </c>
      <c r="D3537" s="7">
        <v>1493.75</v>
      </c>
      <c r="E3537" s="31" t="s">
        <v>9</v>
      </c>
      <c r="F3537" s="32">
        <v>1030.25</v>
      </c>
      <c r="G3537" s="33">
        <f t="shared" si="80"/>
        <v>0.449890803203106</v>
      </c>
    </row>
    <row r="3538" spans="1:7">
      <c r="A3538" s="6" t="s">
        <v>5933</v>
      </c>
      <c r="B3538" s="3" t="s">
        <v>5934</v>
      </c>
      <c r="C3538" s="4" t="s">
        <v>156</v>
      </c>
      <c r="D3538" s="7">
        <v>1536.45</v>
      </c>
      <c r="E3538" s="31" t="s">
        <v>9</v>
      </c>
      <c r="F3538" s="32">
        <v>1030.25</v>
      </c>
      <c r="G3538" s="33">
        <f t="shared" si="80"/>
        <v>0.491337054113079</v>
      </c>
    </row>
    <row r="3539" spans="1:7">
      <c r="A3539" s="6" t="s">
        <v>5935</v>
      </c>
      <c r="B3539" s="3" t="s">
        <v>5936</v>
      </c>
      <c r="C3539" s="4" t="s">
        <v>156</v>
      </c>
      <c r="D3539" s="7">
        <v>1586.25</v>
      </c>
      <c r="E3539" s="31" t="s">
        <v>9</v>
      </c>
      <c r="F3539" s="32">
        <v>1030.25</v>
      </c>
      <c r="G3539" s="33">
        <f t="shared" si="80"/>
        <v>0.539674836204805</v>
      </c>
    </row>
    <row r="3540" ht="46.5" customHeight="1" spans="1:7">
      <c r="A3540" s="6" t="s">
        <v>5937</v>
      </c>
      <c r="B3540" s="12" t="s">
        <v>5718</v>
      </c>
      <c r="C3540" s="4"/>
      <c r="D3540" s="14"/>
      <c r="E3540" s="31" t="s">
        <v>9</v>
      </c>
    </row>
    <row r="3541" spans="1:7">
      <c r="A3541" s="40"/>
      <c r="B3541" s="12" t="s">
        <v>5938</v>
      </c>
      <c r="C3541" s="4"/>
      <c r="D3541" s="14"/>
      <c r="E3541" s="31" t="s">
        <v>9</v>
      </c>
    </row>
    <row r="3542" spans="1:7">
      <c r="A3542" s="6" t="s">
        <v>5939</v>
      </c>
      <c r="B3542" s="3" t="s">
        <v>5940</v>
      </c>
      <c r="C3542" s="4" t="s">
        <v>156</v>
      </c>
      <c r="D3542" s="7">
        <v>277.4</v>
      </c>
      <c r="E3542" s="31" t="s">
        <v>9</v>
      </c>
      <c r="F3542" s="32">
        <v>207.9</v>
      </c>
      <c r="G3542" s="33">
        <f t="shared" ref="G3542:G3562" si="81">(D3542-F3542)/F3542</f>
        <v>0.334295334295334</v>
      </c>
    </row>
    <row r="3543" spans="1:7">
      <c r="A3543" s="6" t="s">
        <v>5941</v>
      </c>
      <c r="B3543" s="3" t="s">
        <v>5898</v>
      </c>
      <c r="C3543" s="4" t="s">
        <v>156</v>
      </c>
      <c r="D3543" s="7">
        <v>305.85</v>
      </c>
      <c r="E3543" s="31" t="s">
        <v>9</v>
      </c>
      <c r="F3543" s="32">
        <v>232.3</v>
      </c>
      <c r="G3543" s="33">
        <f t="shared" si="81"/>
        <v>0.316616444253121</v>
      </c>
    </row>
    <row r="3544" spans="1:7">
      <c r="A3544" s="6" t="s">
        <v>5942</v>
      </c>
      <c r="B3544" s="3" t="s">
        <v>5900</v>
      </c>
      <c r="C3544" s="4" t="s">
        <v>156</v>
      </c>
      <c r="D3544" s="7">
        <v>320.1</v>
      </c>
      <c r="E3544" s="31" t="s">
        <v>9</v>
      </c>
      <c r="F3544" s="32">
        <v>232.3</v>
      </c>
      <c r="G3544" s="33">
        <f t="shared" si="81"/>
        <v>0.377959535083943</v>
      </c>
    </row>
    <row r="3545" spans="1:7">
      <c r="A3545" s="6" t="s">
        <v>5943</v>
      </c>
      <c r="B3545" s="3" t="s">
        <v>5902</v>
      </c>
      <c r="C3545" s="4" t="s">
        <v>156</v>
      </c>
      <c r="D3545" s="7">
        <v>405.45</v>
      </c>
      <c r="E3545" s="31" t="s">
        <v>9</v>
      </c>
      <c r="F3545" s="32">
        <v>317.1</v>
      </c>
      <c r="G3545" s="33">
        <f t="shared" si="81"/>
        <v>0.278618732261116</v>
      </c>
    </row>
    <row r="3546" spans="1:7">
      <c r="A3546" s="6" t="s">
        <v>5944</v>
      </c>
      <c r="B3546" s="3" t="s">
        <v>5904</v>
      </c>
      <c r="C3546" s="4" t="s">
        <v>156</v>
      </c>
      <c r="D3546" s="7">
        <v>419.7</v>
      </c>
      <c r="E3546" s="31" t="s">
        <v>9</v>
      </c>
      <c r="F3546" s="32">
        <v>317.1</v>
      </c>
      <c r="G3546" s="33">
        <f t="shared" si="81"/>
        <v>0.323557237464522</v>
      </c>
    </row>
    <row r="3547" spans="1:7">
      <c r="A3547" s="6" t="s">
        <v>5945</v>
      </c>
      <c r="B3547" s="3" t="s">
        <v>5906</v>
      </c>
      <c r="C3547" s="4" t="s">
        <v>156</v>
      </c>
      <c r="D3547" s="7">
        <v>433.9</v>
      </c>
      <c r="E3547" s="31" t="s">
        <v>9</v>
      </c>
      <c r="F3547" s="32">
        <v>317.1</v>
      </c>
      <c r="G3547" s="33">
        <f t="shared" si="81"/>
        <v>0.368338063702302</v>
      </c>
    </row>
    <row r="3548" spans="1:7">
      <c r="A3548" s="6" t="s">
        <v>5946</v>
      </c>
      <c r="B3548" s="3" t="s">
        <v>5908</v>
      </c>
      <c r="C3548" s="4" t="s">
        <v>156</v>
      </c>
      <c r="D3548" s="7">
        <v>647.3</v>
      </c>
      <c r="E3548" s="31" t="s">
        <v>9</v>
      </c>
      <c r="F3548" s="32">
        <v>507.6</v>
      </c>
      <c r="G3548" s="33">
        <f t="shared" si="81"/>
        <v>0.27521670606777</v>
      </c>
    </row>
    <row r="3549" spans="1:7">
      <c r="A3549" s="6" t="s">
        <v>5947</v>
      </c>
      <c r="B3549" s="3" t="s">
        <v>5910</v>
      </c>
      <c r="C3549" s="4" t="s">
        <v>156</v>
      </c>
      <c r="D3549" s="7">
        <v>690</v>
      </c>
      <c r="E3549" s="31" t="s">
        <v>9</v>
      </c>
      <c r="F3549" s="32">
        <v>507.6</v>
      </c>
      <c r="G3549" s="33">
        <f t="shared" si="81"/>
        <v>0.359338061465721</v>
      </c>
    </row>
    <row r="3550" spans="1:7">
      <c r="A3550" s="6" t="s">
        <v>5948</v>
      </c>
      <c r="B3550" s="3" t="s">
        <v>5912</v>
      </c>
      <c r="C3550" s="4" t="s">
        <v>156</v>
      </c>
      <c r="D3550" s="7">
        <v>732.65</v>
      </c>
      <c r="E3550" s="31" t="s">
        <v>9</v>
      </c>
      <c r="F3550" s="32">
        <v>507.6</v>
      </c>
      <c r="G3550" s="33">
        <f t="shared" si="81"/>
        <v>0.443360914105595</v>
      </c>
    </row>
    <row r="3551" spans="1:7">
      <c r="A3551" s="6" t="s">
        <v>5949</v>
      </c>
      <c r="B3551" s="3" t="s">
        <v>5914</v>
      </c>
      <c r="C3551" s="4" t="s">
        <v>156</v>
      </c>
      <c r="D3551" s="7">
        <v>775.35</v>
      </c>
      <c r="E3551" s="31" t="s">
        <v>9</v>
      </c>
      <c r="F3551" s="32">
        <v>507.6</v>
      </c>
      <c r="G3551" s="33">
        <f t="shared" si="81"/>
        <v>0.527482269503546</v>
      </c>
    </row>
    <row r="3552" spans="1:7">
      <c r="A3552" s="6" t="s">
        <v>5950</v>
      </c>
      <c r="B3552" s="3" t="s">
        <v>5916</v>
      </c>
      <c r="C3552" s="4" t="s">
        <v>156</v>
      </c>
      <c r="D3552" s="7">
        <v>995.85</v>
      </c>
      <c r="E3552" s="31" t="s">
        <v>9</v>
      </c>
      <c r="F3552" s="32">
        <v>793.3</v>
      </c>
      <c r="G3552" s="33">
        <f t="shared" si="81"/>
        <v>0.25532585402748</v>
      </c>
    </row>
    <row r="3553" spans="1:7">
      <c r="A3553" s="6" t="s">
        <v>5951</v>
      </c>
      <c r="B3553" s="3" t="s">
        <v>5918</v>
      </c>
      <c r="C3553" s="4" t="s">
        <v>156</v>
      </c>
      <c r="D3553" s="7">
        <v>1010.05</v>
      </c>
      <c r="E3553" s="31" t="s">
        <v>9</v>
      </c>
      <c r="F3553" s="32">
        <v>793.3</v>
      </c>
      <c r="G3553" s="33">
        <f t="shared" si="81"/>
        <v>0.273225765788479</v>
      </c>
    </row>
    <row r="3554" spans="1:7">
      <c r="A3554" s="6" t="s">
        <v>5952</v>
      </c>
      <c r="B3554" s="3" t="s">
        <v>5920</v>
      </c>
      <c r="C3554" s="4" t="s">
        <v>156</v>
      </c>
      <c r="D3554" s="7">
        <v>1038.5</v>
      </c>
      <c r="E3554" s="31" t="s">
        <v>9</v>
      </c>
      <c r="F3554" s="32">
        <v>793.3</v>
      </c>
      <c r="G3554" s="33">
        <f t="shared" si="81"/>
        <v>0.309088617168789</v>
      </c>
    </row>
    <row r="3555" spans="1:7">
      <c r="A3555" s="6" t="s">
        <v>5953</v>
      </c>
      <c r="B3555" s="3" t="s">
        <v>5922</v>
      </c>
      <c r="C3555" s="4" t="s">
        <v>156</v>
      </c>
      <c r="D3555" s="7">
        <v>1066.95</v>
      </c>
      <c r="E3555" s="31" t="s">
        <v>9</v>
      </c>
      <c r="F3555" s="32">
        <v>793.3</v>
      </c>
      <c r="G3555" s="33">
        <f t="shared" si="81"/>
        <v>0.344951468549099</v>
      </c>
    </row>
    <row r="3556" spans="1:7">
      <c r="A3556" s="6" t="s">
        <v>5954</v>
      </c>
      <c r="B3556" s="3" t="s">
        <v>5924</v>
      </c>
      <c r="C3556" s="4" t="s">
        <v>156</v>
      </c>
      <c r="D3556" s="7">
        <v>1145.25</v>
      </c>
      <c r="E3556" s="31" t="s">
        <v>9</v>
      </c>
      <c r="F3556" s="32">
        <v>793.3</v>
      </c>
      <c r="G3556" s="33">
        <f t="shared" si="81"/>
        <v>0.443653094667843</v>
      </c>
    </row>
    <row r="3557" spans="1:7">
      <c r="A3557" s="6" t="s">
        <v>5955</v>
      </c>
      <c r="B3557" s="3" t="s">
        <v>5926</v>
      </c>
      <c r="C3557" s="4" t="s">
        <v>156</v>
      </c>
      <c r="D3557" s="7">
        <v>1287.5</v>
      </c>
      <c r="E3557" s="31" t="s">
        <v>9</v>
      </c>
      <c r="F3557" s="32">
        <v>1030.25</v>
      </c>
      <c r="G3557" s="33">
        <f t="shared" si="81"/>
        <v>0.249696675564183</v>
      </c>
    </row>
    <row r="3558" spans="1:7">
      <c r="A3558" s="6" t="s">
        <v>5956</v>
      </c>
      <c r="B3558" s="3" t="s">
        <v>5928</v>
      </c>
      <c r="C3558" s="4" t="s">
        <v>156</v>
      </c>
      <c r="D3558" s="7">
        <v>1301.7</v>
      </c>
      <c r="E3558" s="31" t="s">
        <v>9</v>
      </c>
      <c r="F3558" s="32">
        <v>1030.25</v>
      </c>
      <c r="G3558" s="33">
        <f t="shared" si="81"/>
        <v>0.263479737927687</v>
      </c>
    </row>
    <row r="3559" spans="1:7">
      <c r="A3559" s="6" t="s">
        <v>5957</v>
      </c>
      <c r="B3559" s="3" t="s">
        <v>5930</v>
      </c>
      <c r="C3559" s="4" t="s">
        <v>156</v>
      </c>
      <c r="D3559" s="7">
        <v>1323.05</v>
      </c>
      <c r="E3559" s="31" t="s">
        <v>9</v>
      </c>
      <c r="F3559" s="32">
        <v>1030.25</v>
      </c>
      <c r="G3559" s="33">
        <f t="shared" si="81"/>
        <v>0.284202863382674</v>
      </c>
    </row>
    <row r="3560" spans="1:7">
      <c r="A3560" s="6" t="s">
        <v>5958</v>
      </c>
      <c r="B3560" s="3" t="s">
        <v>5932</v>
      </c>
      <c r="C3560" s="4" t="s">
        <v>156</v>
      </c>
      <c r="D3560" s="7">
        <v>1394.2</v>
      </c>
      <c r="E3560" s="31" t="s">
        <v>9</v>
      </c>
      <c r="F3560" s="32">
        <v>1030.25</v>
      </c>
      <c r="G3560" s="33">
        <f t="shared" si="81"/>
        <v>0.353263770929386</v>
      </c>
    </row>
    <row r="3561" spans="1:7">
      <c r="A3561" s="6" t="s">
        <v>5959</v>
      </c>
      <c r="B3561" s="3" t="s">
        <v>5934</v>
      </c>
      <c r="C3561" s="4" t="s">
        <v>156</v>
      </c>
      <c r="D3561" s="7">
        <v>1429.75</v>
      </c>
      <c r="E3561" s="31" t="s">
        <v>9</v>
      </c>
      <c r="F3561" s="32">
        <v>1030.25</v>
      </c>
      <c r="G3561" s="33">
        <f t="shared" si="81"/>
        <v>0.387769958747877</v>
      </c>
    </row>
    <row r="3562" spans="1:7">
      <c r="A3562" s="6" t="s">
        <v>5960</v>
      </c>
      <c r="B3562" s="3" t="s">
        <v>5936</v>
      </c>
      <c r="C3562" s="4" t="s">
        <v>156</v>
      </c>
      <c r="D3562" s="7">
        <v>1543.55</v>
      </c>
      <c r="E3562" s="31" t="s">
        <v>9</v>
      </c>
      <c r="F3562" s="32">
        <v>1030.25</v>
      </c>
      <c r="G3562" s="33">
        <f t="shared" si="81"/>
        <v>0.498228585294831</v>
      </c>
    </row>
    <row r="3563" ht="46.5" customHeight="1" spans="1:7">
      <c r="A3563" s="6" t="s">
        <v>5961</v>
      </c>
      <c r="B3563" s="12" t="s">
        <v>5733</v>
      </c>
      <c r="C3563" s="4"/>
      <c r="D3563" s="14"/>
    </row>
    <row r="3564" spans="1:7">
      <c r="A3564" s="40"/>
      <c r="B3564" s="12" t="s">
        <v>5938</v>
      </c>
      <c r="C3564" s="4"/>
      <c r="D3564" s="14"/>
    </row>
    <row r="3565" spans="1:7">
      <c r="A3565" s="6" t="s">
        <v>5962</v>
      </c>
      <c r="B3565" s="3" t="s">
        <v>5963</v>
      </c>
      <c r="C3565" s="4" t="s">
        <v>156</v>
      </c>
      <c r="D3565" s="7">
        <v>889.15</v>
      </c>
    </row>
    <row r="3566" spans="1:7">
      <c r="A3566" s="6" t="s">
        <v>5964</v>
      </c>
      <c r="B3566" s="3" t="s">
        <v>5965</v>
      </c>
      <c r="C3566" s="4" t="s">
        <v>156</v>
      </c>
      <c r="D3566" s="7">
        <v>967.4</v>
      </c>
    </row>
    <row r="3567" spans="1:7">
      <c r="A3567" s="6" t="s">
        <v>5966</v>
      </c>
      <c r="B3567" s="3" t="s">
        <v>5967</v>
      </c>
      <c r="C3567" s="4" t="s">
        <v>156</v>
      </c>
      <c r="D3567" s="7">
        <v>1095.45</v>
      </c>
    </row>
    <row r="3568" spans="1:7">
      <c r="A3568" s="6" t="s">
        <v>5968</v>
      </c>
      <c r="B3568" s="3" t="s">
        <v>5969</v>
      </c>
      <c r="C3568" s="4" t="s">
        <v>156</v>
      </c>
      <c r="D3568" s="7">
        <v>1159.45</v>
      </c>
    </row>
    <row r="3569" spans="1:7">
      <c r="A3569" s="6" t="s">
        <v>5970</v>
      </c>
      <c r="B3569" s="3" t="s">
        <v>5971</v>
      </c>
      <c r="C3569" s="4" t="s">
        <v>156</v>
      </c>
      <c r="D3569" s="7">
        <v>1202.15</v>
      </c>
    </row>
    <row r="3570" spans="1:7">
      <c r="A3570" s="6" t="s">
        <v>5972</v>
      </c>
      <c r="B3570" s="3" t="s">
        <v>5973</v>
      </c>
      <c r="C3570" s="4" t="s">
        <v>156</v>
      </c>
      <c r="D3570" s="7">
        <v>1330.15</v>
      </c>
    </row>
    <row r="3571" spans="1:7">
      <c r="A3571" s="6" t="s">
        <v>5974</v>
      </c>
      <c r="B3571" s="3" t="s">
        <v>5975</v>
      </c>
      <c r="C3571" s="4" t="s">
        <v>156</v>
      </c>
      <c r="D3571" s="7">
        <v>1337.3</v>
      </c>
    </row>
    <row r="3572" spans="1:7">
      <c r="A3572" s="6" t="s">
        <v>5976</v>
      </c>
      <c r="B3572" s="3" t="s">
        <v>5977</v>
      </c>
      <c r="C3572" s="4" t="s">
        <v>156</v>
      </c>
      <c r="D3572" s="7">
        <v>1842.3</v>
      </c>
    </row>
    <row r="3573" spans="1:7">
      <c r="A3573" s="6" t="s">
        <v>5978</v>
      </c>
      <c r="B3573" s="3" t="s">
        <v>5979</v>
      </c>
      <c r="C3573" s="4" t="s">
        <v>156</v>
      </c>
      <c r="D3573" s="7">
        <v>2141.05</v>
      </c>
    </row>
    <row r="3574" spans="1:7">
      <c r="A3574" s="6" t="s">
        <v>5980</v>
      </c>
      <c r="B3574" s="3" t="s">
        <v>5981</v>
      </c>
      <c r="C3574" s="4" t="s">
        <v>156</v>
      </c>
      <c r="D3574" s="7">
        <v>3058.65</v>
      </c>
    </row>
    <row r="3575" spans="1:7">
      <c r="A3575" s="6" t="s">
        <v>5982</v>
      </c>
      <c r="B3575" s="3" t="s">
        <v>5983</v>
      </c>
      <c r="C3575" s="4" t="s">
        <v>156</v>
      </c>
      <c r="D3575" s="7">
        <v>3670.4</v>
      </c>
    </row>
    <row r="3576" ht="46.5" customHeight="1" spans="1:7">
      <c r="A3576" s="6" t="s">
        <v>5984</v>
      </c>
      <c r="B3576" s="12" t="s">
        <v>5718</v>
      </c>
      <c r="C3576" s="4"/>
      <c r="D3576" s="14"/>
      <c r="E3576" s="31" t="s">
        <v>9</v>
      </c>
    </row>
    <row r="3577" spans="1:7">
      <c r="A3577" s="40"/>
      <c r="B3577" s="12" t="s">
        <v>5985</v>
      </c>
      <c r="C3577" s="4"/>
      <c r="D3577" s="14"/>
      <c r="E3577" s="31" t="s">
        <v>9</v>
      </c>
    </row>
    <row r="3578" spans="1:7">
      <c r="A3578" s="6" t="s">
        <v>5986</v>
      </c>
      <c r="B3578" s="3" t="s">
        <v>5896</v>
      </c>
      <c r="C3578" s="4" t="s">
        <v>156</v>
      </c>
      <c r="D3578" s="7">
        <v>264.6</v>
      </c>
      <c r="E3578" s="31" t="s">
        <v>9</v>
      </c>
      <c r="F3578" s="32">
        <v>220.7</v>
      </c>
      <c r="G3578" s="33">
        <f t="shared" ref="G3578:G3589" si="82">(D3578-F3578)/F3578</f>
        <v>0.198912550974173</v>
      </c>
    </row>
    <row r="3579" spans="1:7">
      <c r="A3579" s="6" t="s">
        <v>5987</v>
      </c>
      <c r="B3579" s="3" t="s">
        <v>5988</v>
      </c>
      <c r="C3579" s="4" t="s">
        <v>156</v>
      </c>
      <c r="D3579" s="7">
        <v>291.65</v>
      </c>
      <c r="E3579" s="31" t="s">
        <v>9</v>
      </c>
      <c r="F3579" s="32">
        <v>267.15</v>
      </c>
      <c r="G3579" s="33">
        <f t="shared" si="82"/>
        <v>0.0917087778401647</v>
      </c>
    </row>
    <row r="3580" spans="1:7">
      <c r="A3580" s="6" t="s">
        <v>5989</v>
      </c>
      <c r="B3580" s="3" t="s">
        <v>5900</v>
      </c>
      <c r="C3580" s="4" t="s">
        <v>156</v>
      </c>
      <c r="D3580" s="7">
        <v>337.15</v>
      </c>
      <c r="E3580" s="31" t="s">
        <v>9</v>
      </c>
      <c r="F3580" s="32">
        <v>275.3</v>
      </c>
      <c r="G3580" s="33">
        <f t="shared" si="82"/>
        <v>0.224664002905921</v>
      </c>
    </row>
    <row r="3581" spans="1:7">
      <c r="A3581" s="6" t="s">
        <v>5990</v>
      </c>
      <c r="B3581" s="3" t="s">
        <v>5902</v>
      </c>
      <c r="C3581" s="4" t="s">
        <v>156</v>
      </c>
      <c r="D3581" s="7">
        <v>394.05</v>
      </c>
      <c r="E3581" s="31" t="s">
        <v>9</v>
      </c>
      <c r="F3581" s="32">
        <v>321.75</v>
      </c>
      <c r="G3581" s="33">
        <f t="shared" si="82"/>
        <v>0.224708624708625</v>
      </c>
    </row>
    <row r="3582" spans="1:7">
      <c r="A3582" s="6" t="s">
        <v>5991</v>
      </c>
      <c r="B3582" s="3" t="s">
        <v>5904</v>
      </c>
      <c r="C3582" s="4" t="s">
        <v>156</v>
      </c>
      <c r="D3582" s="7">
        <v>412.55</v>
      </c>
      <c r="E3582" s="31" t="s">
        <v>9</v>
      </c>
      <c r="F3582" s="32">
        <v>332.2</v>
      </c>
      <c r="G3582" s="33">
        <f t="shared" si="82"/>
        <v>0.241872366044552</v>
      </c>
    </row>
    <row r="3583" spans="1:7">
      <c r="A3583" s="6" t="s">
        <v>5992</v>
      </c>
      <c r="B3583" s="3" t="s">
        <v>5906</v>
      </c>
      <c r="C3583" s="4" t="s">
        <v>156</v>
      </c>
      <c r="D3583" s="7">
        <v>505.05</v>
      </c>
      <c r="E3583" s="31" t="s">
        <v>9</v>
      </c>
      <c r="F3583" s="32">
        <v>391.45</v>
      </c>
      <c r="G3583" s="33">
        <f t="shared" si="82"/>
        <v>0.290203091071657</v>
      </c>
    </row>
    <row r="3584" spans="1:7">
      <c r="A3584" s="6" t="s">
        <v>5993</v>
      </c>
      <c r="B3584" s="3" t="s">
        <v>5912</v>
      </c>
      <c r="C3584" s="4" t="s">
        <v>156</v>
      </c>
      <c r="D3584" s="7">
        <v>640.2</v>
      </c>
      <c r="E3584" s="31" t="s">
        <v>9</v>
      </c>
      <c r="F3584" s="32">
        <v>475.05</v>
      </c>
      <c r="G3584" s="33">
        <f t="shared" si="82"/>
        <v>0.347647616040417</v>
      </c>
    </row>
    <row r="3585" spans="1:7">
      <c r="A3585" s="6" t="s">
        <v>5994</v>
      </c>
      <c r="B3585" s="3" t="s">
        <v>5914</v>
      </c>
      <c r="C3585" s="4" t="s">
        <v>156</v>
      </c>
      <c r="D3585" s="7">
        <v>768.25</v>
      </c>
      <c r="E3585" s="31" t="s">
        <v>9</v>
      </c>
      <c r="F3585" s="32">
        <v>624.9</v>
      </c>
      <c r="G3585" s="33">
        <f t="shared" si="82"/>
        <v>0.229396703472556</v>
      </c>
    </row>
    <row r="3586" spans="1:7">
      <c r="A3586" s="6" t="s">
        <v>5995</v>
      </c>
      <c r="B3586" s="3" t="s">
        <v>5922</v>
      </c>
      <c r="C3586" s="4" t="s">
        <v>156</v>
      </c>
      <c r="D3586" s="7">
        <v>953.15</v>
      </c>
      <c r="E3586" s="31" t="s">
        <v>9</v>
      </c>
      <c r="F3586" s="32">
        <v>669</v>
      </c>
      <c r="G3586" s="33">
        <f t="shared" si="82"/>
        <v>0.42473841554559</v>
      </c>
    </row>
    <row r="3587" spans="1:7">
      <c r="A3587" s="6" t="s">
        <v>5996</v>
      </c>
      <c r="B3587" s="3" t="s">
        <v>5924</v>
      </c>
      <c r="C3587" s="4" t="s">
        <v>156</v>
      </c>
      <c r="D3587" s="7">
        <v>1002.95</v>
      </c>
      <c r="E3587" s="31" t="s">
        <v>9</v>
      </c>
      <c r="F3587" s="32">
        <v>791</v>
      </c>
      <c r="G3587" s="33">
        <f t="shared" si="82"/>
        <v>0.26795195954488</v>
      </c>
    </row>
    <row r="3588" spans="1:7">
      <c r="A3588" s="6" t="s">
        <v>5997</v>
      </c>
      <c r="B3588" s="3" t="s">
        <v>5934</v>
      </c>
      <c r="C3588" s="4" t="s">
        <v>156</v>
      </c>
      <c r="D3588" s="7">
        <v>1287.5</v>
      </c>
      <c r="E3588" s="31" t="s">
        <v>9</v>
      </c>
      <c r="F3588" s="32">
        <v>973.35</v>
      </c>
      <c r="G3588" s="33">
        <f t="shared" si="82"/>
        <v>0.322751322751323</v>
      </c>
    </row>
    <row r="3589" spans="1:7">
      <c r="A3589" s="6" t="s">
        <v>5998</v>
      </c>
      <c r="B3589" s="3" t="s">
        <v>5936</v>
      </c>
      <c r="C3589" s="4" t="s">
        <v>156</v>
      </c>
      <c r="D3589" s="7">
        <v>1387.05</v>
      </c>
      <c r="E3589" s="31" t="s">
        <v>9</v>
      </c>
      <c r="F3589" s="32">
        <v>1120.85</v>
      </c>
      <c r="G3589" s="33">
        <f t="shared" si="82"/>
        <v>0.237498327162421</v>
      </c>
    </row>
    <row r="3590" ht="46.5" customHeight="1" spans="1:7">
      <c r="A3590" s="6" t="s">
        <v>5999</v>
      </c>
      <c r="B3590" s="12" t="s">
        <v>5733</v>
      </c>
      <c r="C3590" s="4"/>
      <c r="D3590" s="14"/>
    </row>
    <row r="3591" spans="1:7">
      <c r="A3591" s="40"/>
      <c r="B3591" s="12" t="s">
        <v>5985</v>
      </c>
      <c r="C3591" s="4"/>
      <c r="D3591" s="14"/>
    </row>
    <row r="3592" spans="1:7">
      <c r="A3592" s="6" t="s">
        <v>6000</v>
      </c>
      <c r="B3592" s="3" t="s">
        <v>6001</v>
      </c>
      <c r="C3592" s="4" t="s">
        <v>156</v>
      </c>
      <c r="D3592" s="7">
        <v>697.1</v>
      </c>
    </row>
    <row r="3593" spans="1:7">
      <c r="A3593" s="6" t="s">
        <v>6002</v>
      </c>
      <c r="B3593" s="3" t="s">
        <v>6003</v>
      </c>
      <c r="C3593" s="4" t="s">
        <v>156</v>
      </c>
      <c r="D3593" s="7">
        <v>782.45</v>
      </c>
    </row>
    <row r="3594" spans="1:7">
      <c r="A3594" s="6" t="s">
        <v>6004</v>
      </c>
      <c r="B3594" s="3" t="s">
        <v>6005</v>
      </c>
      <c r="C3594" s="4" t="s">
        <v>156</v>
      </c>
      <c r="D3594" s="7">
        <v>917.6</v>
      </c>
    </row>
    <row r="3595" spans="1:7">
      <c r="A3595" s="6" t="s">
        <v>6006</v>
      </c>
      <c r="B3595" s="3" t="s">
        <v>6007</v>
      </c>
      <c r="C3595" s="4" t="s">
        <v>156</v>
      </c>
      <c r="D3595" s="7">
        <v>1515.1</v>
      </c>
    </row>
    <row r="3596" spans="1:7">
      <c r="A3596" s="6" t="s">
        <v>6008</v>
      </c>
      <c r="B3596" s="3" t="s">
        <v>6009</v>
      </c>
      <c r="C3596" s="4" t="s">
        <v>156</v>
      </c>
      <c r="D3596" s="7">
        <v>1621.8</v>
      </c>
    </row>
    <row r="3597" spans="1:7">
      <c r="A3597" s="6" t="s">
        <v>6010</v>
      </c>
      <c r="B3597" s="3" t="s">
        <v>6011</v>
      </c>
      <c r="C3597" s="4" t="s">
        <v>156</v>
      </c>
      <c r="D3597" s="7">
        <v>2489.6</v>
      </c>
    </row>
    <row r="3598" spans="1:7">
      <c r="A3598" s="6" t="s">
        <v>6012</v>
      </c>
      <c r="B3598" s="3" t="s">
        <v>6013</v>
      </c>
      <c r="C3598" s="4" t="s">
        <v>156</v>
      </c>
      <c r="D3598" s="7">
        <v>3819.8</v>
      </c>
    </row>
    <row r="3599" ht="46.5" customHeight="1" spans="1:7">
      <c r="A3599" s="6" t="s">
        <v>6014</v>
      </c>
      <c r="B3599" s="12" t="s">
        <v>5718</v>
      </c>
      <c r="C3599" s="4"/>
      <c r="D3599" s="14"/>
      <c r="E3599" s="31" t="s">
        <v>9</v>
      </c>
    </row>
    <row r="3600" spans="1:7">
      <c r="A3600" s="40"/>
      <c r="B3600" s="12" t="s">
        <v>6015</v>
      </c>
      <c r="C3600" s="4"/>
      <c r="D3600" s="14"/>
      <c r="E3600" s="31" t="s">
        <v>9</v>
      </c>
    </row>
    <row r="3601" spans="1:7">
      <c r="A3601" s="6" t="s">
        <v>6016</v>
      </c>
      <c r="B3601" s="3" t="s">
        <v>5896</v>
      </c>
      <c r="C3601" s="4" t="s">
        <v>156</v>
      </c>
      <c r="D3601" s="7">
        <v>250.4</v>
      </c>
      <c r="E3601" s="31" t="s">
        <v>9</v>
      </c>
      <c r="F3601" s="32">
        <v>224.15</v>
      </c>
      <c r="G3601" s="33">
        <f t="shared" ref="G3601:G3611" si="83">(D3601-F3601)/F3601</f>
        <v>0.117109078741914</v>
      </c>
    </row>
    <row r="3602" spans="1:7">
      <c r="A3602" s="6" t="s">
        <v>6017</v>
      </c>
      <c r="B3602" s="3" t="s">
        <v>5898</v>
      </c>
      <c r="C3602" s="4" t="s">
        <v>156</v>
      </c>
      <c r="D3602" s="7">
        <v>268.85</v>
      </c>
      <c r="E3602" s="31" t="s">
        <v>9</v>
      </c>
      <c r="F3602" s="32">
        <v>263.65</v>
      </c>
      <c r="G3602" s="33">
        <f t="shared" si="83"/>
        <v>0.0197231177697707</v>
      </c>
    </row>
    <row r="3603" spans="1:7">
      <c r="A3603" s="6" t="s">
        <v>6018</v>
      </c>
      <c r="B3603" s="3" t="s">
        <v>5900</v>
      </c>
      <c r="C3603" s="4" t="s">
        <v>156</v>
      </c>
      <c r="D3603" s="7">
        <v>300.2</v>
      </c>
      <c r="E3603" s="31" t="s">
        <v>9</v>
      </c>
      <c r="F3603" s="32">
        <v>288.05</v>
      </c>
      <c r="G3603" s="33">
        <f t="shared" si="83"/>
        <v>0.042180177052595</v>
      </c>
    </row>
    <row r="3604" spans="1:7">
      <c r="A3604" s="6" t="s">
        <v>6019</v>
      </c>
      <c r="B3604" s="3" t="s">
        <v>5904</v>
      </c>
      <c r="C3604" s="4" t="s">
        <v>156</v>
      </c>
      <c r="D3604" s="7">
        <v>458.1</v>
      </c>
      <c r="E3604" s="31" t="s">
        <v>9</v>
      </c>
      <c r="F3604" s="32">
        <v>363.55</v>
      </c>
      <c r="G3604" s="33">
        <f t="shared" si="83"/>
        <v>0.260074267638564</v>
      </c>
    </row>
    <row r="3605" spans="1:7">
      <c r="A3605" s="6" t="s">
        <v>6020</v>
      </c>
      <c r="B3605" s="3" t="s">
        <v>5906</v>
      </c>
      <c r="C3605" s="4" t="s">
        <v>156</v>
      </c>
      <c r="D3605" s="7">
        <v>460.95</v>
      </c>
      <c r="E3605" s="31" t="s">
        <v>9</v>
      </c>
      <c r="F3605" s="32">
        <v>371.7</v>
      </c>
      <c r="G3605" s="33">
        <f t="shared" si="83"/>
        <v>0.240112994350282</v>
      </c>
    </row>
    <row r="3606" spans="1:7">
      <c r="A3606" s="6" t="s">
        <v>6021</v>
      </c>
      <c r="B3606" s="3" t="s">
        <v>5912</v>
      </c>
      <c r="C3606" s="4" t="s">
        <v>156</v>
      </c>
      <c r="D3606" s="7">
        <v>675.75</v>
      </c>
      <c r="E3606" s="31" t="s">
        <v>9</v>
      </c>
      <c r="F3606" s="32">
        <v>535.45</v>
      </c>
      <c r="G3606" s="33">
        <f t="shared" si="83"/>
        <v>0.262022597814922</v>
      </c>
    </row>
    <row r="3607" spans="1:7">
      <c r="A3607" s="6" t="s">
        <v>6022</v>
      </c>
      <c r="B3607" s="3" t="s">
        <v>5914</v>
      </c>
      <c r="C3607" s="4" t="s">
        <v>156</v>
      </c>
      <c r="D3607" s="7">
        <v>803.8</v>
      </c>
      <c r="E3607" s="31" t="s">
        <v>9</v>
      </c>
      <c r="F3607" s="32">
        <v>656.25</v>
      </c>
      <c r="G3607" s="33">
        <f t="shared" si="83"/>
        <v>0.224838095238095</v>
      </c>
    </row>
    <row r="3608" spans="1:7">
      <c r="A3608" s="6" t="s">
        <v>6023</v>
      </c>
      <c r="B3608" s="3" t="s">
        <v>5922</v>
      </c>
      <c r="C3608" s="4" t="s">
        <v>156</v>
      </c>
      <c r="D3608" s="7">
        <v>1017.2</v>
      </c>
      <c r="E3608" s="31" t="s">
        <v>9</v>
      </c>
      <c r="F3608" s="32">
        <v>753.8</v>
      </c>
      <c r="G3608" s="33">
        <f t="shared" si="83"/>
        <v>0.349429556911648</v>
      </c>
    </row>
    <row r="3609" spans="1:7">
      <c r="A3609" s="6" t="s">
        <v>6024</v>
      </c>
      <c r="B3609" s="3" t="s">
        <v>5924</v>
      </c>
      <c r="C3609" s="4" t="s">
        <v>156</v>
      </c>
      <c r="D3609" s="7">
        <v>1038.5</v>
      </c>
      <c r="E3609" s="31" t="s">
        <v>9</v>
      </c>
      <c r="F3609" s="32">
        <v>843.25</v>
      </c>
      <c r="G3609" s="33">
        <f t="shared" si="83"/>
        <v>0.231544619033501</v>
      </c>
    </row>
    <row r="3610" spans="1:7">
      <c r="A3610" s="6" t="s">
        <v>6025</v>
      </c>
      <c r="B3610" s="3" t="s">
        <v>5934</v>
      </c>
      <c r="C3610" s="4" t="s">
        <v>156</v>
      </c>
      <c r="D3610" s="7">
        <v>1330.15</v>
      </c>
      <c r="E3610" s="31" t="s">
        <v>9</v>
      </c>
      <c r="F3610" s="32">
        <v>975.65</v>
      </c>
      <c r="G3610" s="33">
        <f t="shared" si="83"/>
        <v>0.363347511915134</v>
      </c>
    </row>
    <row r="3611" spans="1:7">
      <c r="A3611" s="6" t="s">
        <v>6026</v>
      </c>
      <c r="B3611" s="3" t="s">
        <v>5936</v>
      </c>
      <c r="C3611" s="4" t="s">
        <v>156</v>
      </c>
      <c r="D3611" s="7">
        <v>1621.8</v>
      </c>
      <c r="E3611" s="31" t="s">
        <v>9</v>
      </c>
      <c r="F3611" s="32">
        <v>1321.8</v>
      </c>
      <c r="G3611" s="33">
        <f t="shared" si="83"/>
        <v>0.226963231956423</v>
      </c>
    </row>
    <row r="3612" ht="46.5" customHeight="1" spans="1:7">
      <c r="A3612" s="6" t="s">
        <v>6027</v>
      </c>
      <c r="B3612" s="12" t="s">
        <v>6028</v>
      </c>
      <c r="C3612" s="4"/>
      <c r="D3612" s="14"/>
    </row>
    <row r="3613" spans="1:7">
      <c r="A3613" s="40"/>
      <c r="B3613" s="12" t="s">
        <v>6015</v>
      </c>
      <c r="C3613" s="4"/>
      <c r="D3613" s="14"/>
    </row>
    <row r="3614" spans="1:7">
      <c r="A3614" s="6" t="s">
        <v>6029</v>
      </c>
      <c r="B3614" s="3" t="s">
        <v>6030</v>
      </c>
      <c r="C3614" s="4" t="s">
        <v>156</v>
      </c>
      <c r="D3614" s="7">
        <v>640.2</v>
      </c>
    </row>
    <row r="3615" spans="1:7">
      <c r="A3615" s="6" t="s">
        <v>6031</v>
      </c>
      <c r="B3615" s="3" t="s">
        <v>6032</v>
      </c>
      <c r="C3615" s="4" t="s">
        <v>156</v>
      </c>
      <c r="D3615" s="7">
        <v>761.1</v>
      </c>
    </row>
    <row r="3616" spans="1:7">
      <c r="A3616" s="6" t="s">
        <v>6033</v>
      </c>
      <c r="B3616" s="3" t="s">
        <v>6034</v>
      </c>
      <c r="C3616" s="4" t="s">
        <v>156</v>
      </c>
      <c r="D3616" s="7">
        <v>803.8</v>
      </c>
    </row>
    <row r="3617" spans="1:7">
      <c r="A3617" s="6" t="s">
        <v>6035</v>
      </c>
      <c r="B3617" s="3" t="s">
        <v>6007</v>
      </c>
      <c r="C3617" s="4" t="s">
        <v>156</v>
      </c>
      <c r="D3617" s="7">
        <v>1052.75</v>
      </c>
    </row>
    <row r="3618" spans="1:7">
      <c r="A3618" s="6" t="s">
        <v>6036</v>
      </c>
      <c r="B3618" s="3" t="s">
        <v>6009</v>
      </c>
      <c r="C3618" s="4" t="s">
        <v>156</v>
      </c>
      <c r="D3618" s="7">
        <v>1543.55</v>
      </c>
    </row>
    <row r="3619" spans="1:7">
      <c r="A3619" s="6" t="s">
        <v>6037</v>
      </c>
      <c r="B3619" s="3" t="s">
        <v>6038</v>
      </c>
      <c r="C3619" s="4" t="s">
        <v>156</v>
      </c>
      <c r="D3619" s="7">
        <v>2247.75</v>
      </c>
    </row>
    <row r="3620" spans="1:7">
      <c r="A3620" s="6" t="s">
        <v>6039</v>
      </c>
      <c r="B3620" s="3" t="s">
        <v>6013</v>
      </c>
      <c r="C3620" s="4" t="s">
        <v>156</v>
      </c>
      <c r="D3620" s="7">
        <v>3016</v>
      </c>
    </row>
    <row r="3621" ht="46.5" customHeight="1" spans="1:7">
      <c r="A3621" s="6" t="s">
        <v>6040</v>
      </c>
      <c r="B3621" s="12" t="s">
        <v>5718</v>
      </c>
      <c r="C3621" s="4"/>
      <c r="D3621" s="14"/>
      <c r="E3621" s="31" t="s">
        <v>9</v>
      </c>
    </row>
    <row r="3622" spans="1:7">
      <c r="A3622" s="40"/>
      <c r="B3622" s="12" t="s">
        <v>6041</v>
      </c>
      <c r="C3622" s="4"/>
      <c r="D3622" s="14"/>
      <c r="E3622" s="31" t="s">
        <v>9</v>
      </c>
      <c r="F3622" s="34"/>
    </row>
    <row r="3623" spans="1:7">
      <c r="A3623" s="6" t="s">
        <v>6042</v>
      </c>
      <c r="B3623" s="3" t="s">
        <v>5896</v>
      </c>
      <c r="C3623" s="4" t="s">
        <v>156</v>
      </c>
      <c r="D3623" s="7">
        <v>317.25</v>
      </c>
      <c r="E3623" s="31" t="s">
        <v>9</v>
      </c>
      <c r="F3623" s="32">
        <v>271.8</v>
      </c>
      <c r="G3623" s="33">
        <f t="shared" ref="G3623:G3629" si="84">(D3623-F3623)/F3623</f>
        <v>0.167218543046358</v>
      </c>
    </row>
    <row r="3624" spans="1:7">
      <c r="A3624" s="6" t="s">
        <v>6043</v>
      </c>
      <c r="B3624" s="3" t="s">
        <v>5898</v>
      </c>
      <c r="C3624" s="4" t="s">
        <v>156</v>
      </c>
      <c r="D3624" s="7">
        <v>364.2</v>
      </c>
      <c r="E3624" s="31" t="s">
        <v>9</v>
      </c>
      <c r="F3624" s="32">
        <v>320.55</v>
      </c>
      <c r="G3624" s="33">
        <f t="shared" si="84"/>
        <v>0.136172204024333</v>
      </c>
    </row>
    <row r="3625" spans="1:7">
      <c r="A3625" s="6" t="s">
        <v>6044</v>
      </c>
      <c r="B3625" s="3" t="s">
        <v>5900</v>
      </c>
      <c r="C3625" s="4" t="s">
        <v>156</v>
      </c>
      <c r="D3625" s="7">
        <v>395.5</v>
      </c>
      <c r="E3625" s="31" t="s">
        <v>9</v>
      </c>
      <c r="F3625" s="32">
        <v>342.65</v>
      </c>
      <c r="G3625" s="33">
        <f t="shared" si="84"/>
        <v>0.154239019407559</v>
      </c>
    </row>
    <row r="3626" spans="1:7">
      <c r="A3626" s="6" t="s">
        <v>6045</v>
      </c>
      <c r="B3626" s="3" t="s">
        <v>5906</v>
      </c>
      <c r="C3626" s="4" t="s">
        <v>156</v>
      </c>
      <c r="D3626" s="7">
        <v>604.6</v>
      </c>
      <c r="E3626" s="31" t="s">
        <v>9</v>
      </c>
      <c r="F3626" s="32">
        <v>492.5</v>
      </c>
      <c r="G3626" s="33">
        <f t="shared" si="84"/>
        <v>0.22761421319797</v>
      </c>
    </row>
    <row r="3627" spans="1:7">
      <c r="A3627" s="6" t="s">
        <v>6046</v>
      </c>
      <c r="B3627" s="3" t="s">
        <v>5914</v>
      </c>
      <c r="C3627" s="4" t="s">
        <v>156</v>
      </c>
      <c r="D3627" s="7">
        <v>917.6</v>
      </c>
      <c r="E3627" s="31" t="s">
        <v>9</v>
      </c>
      <c r="F3627" s="32">
        <v>730.6</v>
      </c>
      <c r="G3627" s="33">
        <f t="shared" si="84"/>
        <v>0.255954010402409</v>
      </c>
    </row>
    <row r="3628" spans="1:7">
      <c r="A3628" s="6" t="s">
        <v>6047</v>
      </c>
      <c r="B3628" s="3" t="s">
        <v>5924</v>
      </c>
      <c r="C3628" s="4" t="s">
        <v>156</v>
      </c>
      <c r="D3628" s="7">
        <v>1298.85</v>
      </c>
      <c r="E3628" s="31" t="s">
        <v>9</v>
      </c>
      <c r="F3628" s="32">
        <v>1016.3</v>
      </c>
      <c r="G3628" s="33">
        <f t="shared" si="84"/>
        <v>0.278018301682574</v>
      </c>
    </row>
    <row r="3629" spans="1:7">
      <c r="A3629" s="6" t="s">
        <v>6048</v>
      </c>
      <c r="B3629" s="3" t="s">
        <v>5936</v>
      </c>
      <c r="C3629" s="4" t="s">
        <v>156</v>
      </c>
      <c r="D3629" s="7">
        <v>1756.95</v>
      </c>
      <c r="E3629" s="31" t="s">
        <v>9</v>
      </c>
      <c r="F3629" s="32">
        <v>1365.9</v>
      </c>
      <c r="G3629" s="33">
        <f t="shared" si="84"/>
        <v>0.286294750713815</v>
      </c>
    </row>
    <row r="3630" ht="46.5" customHeight="1" spans="1:7">
      <c r="A3630" s="6" t="s">
        <v>6049</v>
      </c>
      <c r="B3630" s="12" t="s">
        <v>5718</v>
      </c>
      <c r="C3630" s="4"/>
      <c r="D3630" s="14"/>
      <c r="E3630" s="31" t="s">
        <v>9</v>
      </c>
    </row>
    <row r="3631" spans="1:7">
      <c r="A3631" s="40"/>
      <c r="B3631" s="12" t="s">
        <v>6050</v>
      </c>
      <c r="C3631" s="4"/>
      <c r="D3631" s="14"/>
      <c r="E3631" s="31" t="s">
        <v>9</v>
      </c>
    </row>
    <row r="3632" spans="1:7">
      <c r="A3632" s="6" t="s">
        <v>6051</v>
      </c>
      <c r="B3632" s="3" t="s">
        <v>5896</v>
      </c>
      <c r="C3632" s="4" t="s">
        <v>156</v>
      </c>
      <c r="D3632" s="7">
        <v>270.3</v>
      </c>
      <c r="E3632" s="31" t="s">
        <v>9</v>
      </c>
      <c r="F3632" s="32">
        <v>174.25</v>
      </c>
      <c r="G3632" s="33">
        <f t="shared" ref="G3632:G3640" si="85">(D3632-F3632)/F3632</f>
        <v>0.551219512195122</v>
      </c>
    </row>
    <row r="3633" spans="1:7">
      <c r="A3633" s="6" t="s">
        <v>6052</v>
      </c>
      <c r="B3633" s="3" t="s">
        <v>5898</v>
      </c>
      <c r="C3633" s="4" t="s">
        <v>156</v>
      </c>
      <c r="D3633" s="7">
        <v>305.85</v>
      </c>
      <c r="E3633" s="31" t="s">
        <v>9</v>
      </c>
      <c r="F3633" s="32">
        <v>221.85</v>
      </c>
      <c r="G3633" s="33">
        <f t="shared" si="85"/>
        <v>0.378634212305612</v>
      </c>
    </row>
    <row r="3634" spans="1:7">
      <c r="A3634" s="6" t="s">
        <v>6053</v>
      </c>
      <c r="B3634" s="3" t="s">
        <v>5900</v>
      </c>
      <c r="C3634" s="4" t="s">
        <v>156</v>
      </c>
      <c r="D3634" s="7">
        <v>341.45</v>
      </c>
      <c r="E3634" s="31" t="s">
        <v>9</v>
      </c>
      <c r="F3634" s="32">
        <v>221.85</v>
      </c>
      <c r="G3634" s="33">
        <f t="shared" si="85"/>
        <v>0.539102997520847</v>
      </c>
    </row>
    <row r="3635" spans="1:7">
      <c r="A3635" s="6" t="s">
        <v>6054</v>
      </c>
      <c r="B3635" s="3" t="s">
        <v>6055</v>
      </c>
      <c r="C3635" s="4" t="s">
        <v>156</v>
      </c>
      <c r="D3635" s="7">
        <v>369.9</v>
      </c>
      <c r="E3635" s="31" t="s">
        <v>9</v>
      </c>
      <c r="F3635" s="32">
        <v>238.1</v>
      </c>
      <c r="G3635" s="33">
        <f t="shared" si="85"/>
        <v>0.553548929021419</v>
      </c>
    </row>
    <row r="3636" spans="1:7">
      <c r="A3636" s="6" t="s">
        <v>6056</v>
      </c>
      <c r="B3636" s="3" t="s">
        <v>5914</v>
      </c>
      <c r="C3636" s="4" t="s">
        <v>156</v>
      </c>
      <c r="D3636" s="7">
        <v>476.6</v>
      </c>
      <c r="E3636" s="31" t="s">
        <v>9</v>
      </c>
      <c r="F3636" s="32">
        <v>333.35</v>
      </c>
      <c r="G3636" s="33">
        <f t="shared" si="85"/>
        <v>0.429728513574321</v>
      </c>
    </row>
    <row r="3637" spans="1:7">
      <c r="A3637" s="6" t="s">
        <v>6057</v>
      </c>
      <c r="B3637" s="3" t="s">
        <v>5922</v>
      </c>
      <c r="C3637" s="4" t="s">
        <v>156</v>
      </c>
      <c r="D3637" s="7">
        <v>754</v>
      </c>
      <c r="E3637" s="31" t="s">
        <v>9</v>
      </c>
      <c r="F3637" s="32">
        <v>555.2</v>
      </c>
      <c r="G3637" s="33">
        <f t="shared" si="85"/>
        <v>0.35806916426513</v>
      </c>
    </row>
    <row r="3638" spans="1:7">
      <c r="A3638" s="6" t="s">
        <v>6058</v>
      </c>
      <c r="B3638" s="3" t="s">
        <v>5924</v>
      </c>
      <c r="C3638" s="4" t="s">
        <v>156</v>
      </c>
      <c r="D3638" s="7">
        <v>754</v>
      </c>
      <c r="E3638" s="31" t="s">
        <v>9</v>
      </c>
      <c r="F3638" s="32">
        <v>555.2</v>
      </c>
      <c r="G3638" s="33">
        <f t="shared" si="85"/>
        <v>0.35806916426513</v>
      </c>
    </row>
    <row r="3639" spans="1:7">
      <c r="A3639" s="6" t="s">
        <v>6059</v>
      </c>
      <c r="B3639" s="3" t="s">
        <v>5934</v>
      </c>
      <c r="C3639" s="4" t="s">
        <v>156</v>
      </c>
      <c r="D3639" s="7">
        <v>1123.9</v>
      </c>
      <c r="E3639" s="31" t="s">
        <v>9</v>
      </c>
      <c r="F3639" s="32">
        <v>793.3</v>
      </c>
      <c r="G3639" s="33">
        <f t="shared" si="85"/>
        <v>0.416740199168032</v>
      </c>
    </row>
    <row r="3640" spans="1:7">
      <c r="A3640" s="6" t="s">
        <v>6060</v>
      </c>
      <c r="B3640" s="3" t="s">
        <v>5936</v>
      </c>
      <c r="C3640" s="4" t="s">
        <v>156</v>
      </c>
      <c r="D3640" s="7">
        <v>1123.9</v>
      </c>
      <c r="E3640" s="31" t="s">
        <v>9</v>
      </c>
      <c r="F3640" s="32">
        <v>793.3</v>
      </c>
      <c r="G3640" s="33">
        <f t="shared" si="85"/>
        <v>0.416740199168032</v>
      </c>
    </row>
    <row r="3641" ht="46.5" customHeight="1" spans="1:7">
      <c r="A3641" s="6" t="s">
        <v>6061</v>
      </c>
      <c r="B3641" s="12" t="s">
        <v>6028</v>
      </c>
      <c r="C3641" s="4"/>
      <c r="D3641" s="14"/>
    </row>
    <row r="3642" spans="1:7">
      <c r="A3642" s="40"/>
      <c r="B3642" s="12" t="s">
        <v>6050</v>
      </c>
      <c r="C3642" s="4"/>
      <c r="D3642" s="14"/>
    </row>
    <row r="3643" spans="1:7">
      <c r="A3643" s="6" t="s">
        <v>6062</v>
      </c>
      <c r="B3643" s="3" t="s">
        <v>6030</v>
      </c>
      <c r="C3643" s="4" t="s">
        <v>156</v>
      </c>
      <c r="D3643" s="7">
        <v>1017.2</v>
      </c>
    </row>
    <row r="3644" spans="1:7">
      <c r="A3644" s="6" t="s">
        <v>6063</v>
      </c>
      <c r="B3644" s="3" t="s">
        <v>6034</v>
      </c>
      <c r="C3644" s="4" t="s">
        <v>156</v>
      </c>
      <c r="D3644" s="7">
        <v>1365.7</v>
      </c>
    </row>
    <row r="3645" spans="1:7">
      <c r="A3645" s="6" t="s">
        <v>6064</v>
      </c>
      <c r="B3645" s="3" t="s">
        <v>6065</v>
      </c>
      <c r="C3645" s="4" t="s">
        <v>156</v>
      </c>
      <c r="D3645" s="7">
        <v>1877.9</v>
      </c>
    </row>
    <row r="3646" spans="1:7">
      <c r="A3646" s="6" t="s">
        <v>6066</v>
      </c>
      <c r="B3646" s="3" t="s">
        <v>6067</v>
      </c>
      <c r="C3646" s="4" t="s">
        <v>156</v>
      </c>
      <c r="D3646" s="7">
        <v>3051.55</v>
      </c>
    </row>
    <row r="3647" spans="1:7">
      <c r="A3647" s="6" t="s">
        <v>6068</v>
      </c>
      <c r="B3647" s="3" t="s">
        <v>6069</v>
      </c>
      <c r="C3647" s="4" t="s">
        <v>156</v>
      </c>
      <c r="D3647" s="7">
        <v>3321.85</v>
      </c>
    </row>
    <row r="3648" spans="1:7">
      <c r="A3648" s="6" t="s">
        <v>6070</v>
      </c>
      <c r="B3648" s="3" t="s">
        <v>6071</v>
      </c>
      <c r="C3648" s="4" t="s">
        <v>156</v>
      </c>
      <c r="D3648" s="7">
        <v>5135.7</v>
      </c>
    </row>
    <row r="3649" ht="46.5" customHeight="1" spans="1:7">
      <c r="A3649" s="6" t="s">
        <v>6072</v>
      </c>
      <c r="B3649" s="12" t="s">
        <v>5718</v>
      </c>
      <c r="C3649" s="4"/>
      <c r="D3649" s="14"/>
      <c r="E3649" s="31" t="s">
        <v>9</v>
      </c>
    </row>
    <row r="3650" spans="1:7">
      <c r="A3650" s="40"/>
      <c r="B3650" s="12" t="s">
        <v>6073</v>
      </c>
      <c r="C3650" s="4"/>
      <c r="D3650" s="14"/>
      <c r="E3650" s="31" t="s">
        <v>9</v>
      </c>
    </row>
    <row r="3651" spans="1:7">
      <c r="A3651" s="6" t="s">
        <v>6074</v>
      </c>
      <c r="B3651" s="3" t="s">
        <v>5896</v>
      </c>
      <c r="C3651" s="4" t="s">
        <v>156</v>
      </c>
      <c r="D3651" s="7">
        <v>325.8</v>
      </c>
      <c r="E3651" s="31" t="s">
        <v>9</v>
      </c>
      <c r="F3651" s="32">
        <v>221.85</v>
      </c>
      <c r="G3651" s="33">
        <f t="shared" ref="G3651:G3660" si="86">(D3651-F3651)/F3651</f>
        <v>0.468559837728195</v>
      </c>
    </row>
    <row r="3652" spans="1:7">
      <c r="A3652" s="6" t="s">
        <v>6075</v>
      </c>
      <c r="B3652" s="3" t="s">
        <v>5898</v>
      </c>
      <c r="C3652" s="4" t="s">
        <v>156</v>
      </c>
      <c r="D3652" s="7">
        <v>355.65</v>
      </c>
      <c r="E3652" s="31" t="s">
        <v>9</v>
      </c>
      <c r="F3652" s="32">
        <v>238.1</v>
      </c>
      <c r="G3652" s="33">
        <f t="shared" si="86"/>
        <v>0.49370012599748</v>
      </c>
    </row>
    <row r="3653" spans="1:7">
      <c r="A3653" s="6" t="s">
        <v>6076</v>
      </c>
      <c r="B3653" s="3" t="s">
        <v>5900</v>
      </c>
      <c r="C3653" s="4" t="s">
        <v>156</v>
      </c>
      <c r="D3653" s="7">
        <v>377</v>
      </c>
      <c r="E3653" s="31" t="s">
        <v>9</v>
      </c>
      <c r="F3653" s="32">
        <v>238.1</v>
      </c>
      <c r="G3653" s="33">
        <f t="shared" si="86"/>
        <v>0.583368332633347</v>
      </c>
    </row>
    <row r="3654" spans="1:7">
      <c r="A3654" s="6" t="s">
        <v>6077</v>
      </c>
      <c r="B3654" s="3" t="s">
        <v>5906</v>
      </c>
      <c r="C3654" s="4" t="s">
        <v>156</v>
      </c>
      <c r="D3654" s="7">
        <v>405.45</v>
      </c>
      <c r="E3654" s="31" t="s">
        <v>9</v>
      </c>
      <c r="F3654" s="32">
        <v>238.1</v>
      </c>
      <c r="G3654" s="33">
        <f t="shared" si="86"/>
        <v>0.702855942881142</v>
      </c>
    </row>
    <row r="3655" spans="1:7">
      <c r="A3655" s="6" t="s">
        <v>6078</v>
      </c>
      <c r="B3655" s="3" t="s">
        <v>5912</v>
      </c>
      <c r="C3655" s="4" t="s">
        <v>156</v>
      </c>
      <c r="D3655" s="7">
        <v>448.15</v>
      </c>
      <c r="E3655" s="31" t="s">
        <v>9</v>
      </c>
      <c r="F3655" s="32">
        <v>333.35</v>
      </c>
      <c r="G3655" s="33">
        <f t="shared" si="86"/>
        <v>0.344382780860957</v>
      </c>
    </row>
    <row r="3656" spans="1:7">
      <c r="A3656" s="6" t="s">
        <v>6079</v>
      </c>
      <c r="B3656" s="3" t="s">
        <v>5914</v>
      </c>
      <c r="C3656" s="4" t="s">
        <v>156</v>
      </c>
      <c r="D3656" s="7">
        <v>448.15</v>
      </c>
      <c r="E3656" s="31" t="s">
        <v>9</v>
      </c>
      <c r="F3656" s="32">
        <v>333.35</v>
      </c>
      <c r="G3656" s="33">
        <f t="shared" si="86"/>
        <v>0.344382780860957</v>
      </c>
    </row>
    <row r="3657" spans="1:7">
      <c r="A3657" s="6" t="s">
        <v>6080</v>
      </c>
      <c r="B3657" s="3" t="s">
        <v>5922</v>
      </c>
      <c r="C3657" s="4" t="s">
        <v>156</v>
      </c>
      <c r="D3657" s="7">
        <v>682.85</v>
      </c>
      <c r="E3657" s="31" t="s">
        <v>9</v>
      </c>
      <c r="F3657" s="32">
        <v>555.2</v>
      </c>
      <c r="G3657" s="33">
        <f t="shared" si="86"/>
        <v>0.229917146974063</v>
      </c>
    </row>
    <row r="3658" spans="1:7">
      <c r="A3658" s="6" t="s">
        <v>6081</v>
      </c>
      <c r="B3658" s="3" t="s">
        <v>5924</v>
      </c>
      <c r="C3658" s="4" t="s">
        <v>156</v>
      </c>
      <c r="D3658" s="7">
        <v>754</v>
      </c>
      <c r="E3658" s="31" t="s">
        <v>9</v>
      </c>
      <c r="F3658" s="32">
        <v>555.2</v>
      </c>
      <c r="G3658" s="33">
        <f t="shared" si="86"/>
        <v>0.35806916426513</v>
      </c>
    </row>
    <row r="3659" spans="1:7">
      <c r="A3659" s="6" t="s">
        <v>6082</v>
      </c>
      <c r="B3659" s="3" t="s">
        <v>5934</v>
      </c>
      <c r="C3659" s="4" t="s">
        <v>156</v>
      </c>
      <c r="D3659" s="7">
        <v>1088.3</v>
      </c>
      <c r="E3659" s="31" t="s">
        <v>9</v>
      </c>
      <c r="F3659" s="32">
        <v>793.3</v>
      </c>
      <c r="G3659" s="33">
        <f t="shared" si="86"/>
        <v>0.37186436404891</v>
      </c>
    </row>
    <row r="3660" spans="1:7">
      <c r="A3660" s="6" t="s">
        <v>6083</v>
      </c>
      <c r="B3660" s="3" t="s">
        <v>5936</v>
      </c>
      <c r="C3660" s="4" t="s">
        <v>156</v>
      </c>
      <c r="D3660" s="7">
        <v>1187.9</v>
      </c>
      <c r="E3660" s="31" t="s">
        <v>9</v>
      </c>
      <c r="F3660" s="32">
        <v>793.3</v>
      </c>
      <c r="G3660" s="33">
        <f t="shared" si="86"/>
        <v>0.497415857809152</v>
      </c>
    </row>
    <row r="3661" ht="46.5" customHeight="1" spans="1:7">
      <c r="A3661" s="6" t="s">
        <v>6084</v>
      </c>
      <c r="B3661" s="12" t="s">
        <v>6028</v>
      </c>
      <c r="C3661" s="4"/>
      <c r="D3661" s="14"/>
    </row>
    <row r="3662" spans="1:7">
      <c r="A3662" s="40"/>
      <c r="B3662" s="12" t="s">
        <v>6073</v>
      </c>
      <c r="C3662" s="4"/>
      <c r="D3662" s="14"/>
    </row>
    <row r="3663" spans="1:7">
      <c r="A3663" s="6" t="s">
        <v>6085</v>
      </c>
      <c r="B3663" s="3" t="s">
        <v>6086</v>
      </c>
      <c r="C3663" s="4" t="s">
        <v>156</v>
      </c>
      <c r="D3663" s="7">
        <v>832.25</v>
      </c>
    </row>
    <row r="3664" spans="1:7">
      <c r="A3664" s="6" t="s">
        <v>6087</v>
      </c>
      <c r="B3664" s="3" t="s">
        <v>6088</v>
      </c>
      <c r="C3664" s="4" t="s">
        <v>156</v>
      </c>
      <c r="D3664" s="7">
        <v>1251.95</v>
      </c>
    </row>
    <row r="3665" spans="1:7">
      <c r="A3665" s="6" t="s">
        <v>6089</v>
      </c>
      <c r="B3665" s="3" t="s">
        <v>6065</v>
      </c>
      <c r="C3665" s="4" t="s">
        <v>156</v>
      </c>
      <c r="D3665" s="7">
        <v>1664.5</v>
      </c>
    </row>
    <row r="3666" spans="1:7">
      <c r="A3666" s="6" t="s">
        <v>6090</v>
      </c>
      <c r="B3666" s="3" t="s">
        <v>6067</v>
      </c>
      <c r="C3666" s="4" t="s">
        <v>156</v>
      </c>
      <c r="D3666" s="7">
        <v>2290.45</v>
      </c>
    </row>
    <row r="3667" spans="1:7">
      <c r="A3667" s="6" t="s">
        <v>6091</v>
      </c>
      <c r="B3667" s="3" t="s">
        <v>6069</v>
      </c>
      <c r="C3667" s="4" t="s">
        <v>156</v>
      </c>
      <c r="D3667" s="7">
        <v>4196.8</v>
      </c>
    </row>
    <row r="3668" spans="1:7">
      <c r="A3668" s="6" t="s">
        <v>6092</v>
      </c>
      <c r="B3668" s="3" t="s">
        <v>6093</v>
      </c>
      <c r="C3668" s="4" t="s">
        <v>156</v>
      </c>
      <c r="D3668" s="7">
        <v>4772.95</v>
      </c>
    </row>
    <row r="3669" ht="46.5" customHeight="1" spans="1:7">
      <c r="A3669" s="6" t="s">
        <v>6094</v>
      </c>
      <c r="B3669" s="12" t="s">
        <v>5718</v>
      </c>
      <c r="C3669" s="4"/>
      <c r="D3669" s="14"/>
      <c r="E3669" s="31" t="s">
        <v>9</v>
      </c>
    </row>
    <row r="3670" spans="1:7">
      <c r="A3670" s="40"/>
      <c r="B3670" s="12" t="s">
        <v>6095</v>
      </c>
      <c r="C3670" s="4"/>
      <c r="D3670" s="14"/>
      <c r="E3670" s="31" t="s">
        <v>9</v>
      </c>
    </row>
    <row r="3671" spans="1:7">
      <c r="A3671" s="6" t="s">
        <v>6096</v>
      </c>
      <c r="B3671" s="3" t="s">
        <v>5721</v>
      </c>
      <c r="C3671" s="4" t="s">
        <v>156</v>
      </c>
      <c r="D3671" s="7">
        <v>58.35</v>
      </c>
      <c r="E3671" s="31" t="s">
        <v>9</v>
      </c>
      <c r="F3671" s="32">
        <v>52.25</v>
      </c>
      <c r="G3671" s="33">
        <f t="shared" ref="G3671:G3676" si="87">(D3671-F3671)/F3671</f>
        <v>0.116746411483254</v>
      </c>
    </row>
    <row r="3672" spans="1:7">
      <c r="A3672" s="6" t="s">
        <v>6097</v>
      </c>
      <c r="B3672" s="3" t="s">
        <v>5723</v>
      </c>
      <c r="C3672" s="4" t="s">
        <v>156</v>
      </c>
      <c r="D3672" s="7">
        <v>85.35</v>
      </c>
      <c r="E3672" s="31" t="s">
        <v>9</v>
      </c>
      <c r="F3672" s="32">
        <v>74.35</v>
      </c>
      <c r="G3672" s="33">
        <f t="shared" si="87"/>
        <v>0.147948890383322</v>
      </c>
    </row>
    <row r="3673" spans="1:7">
      <c r="A3673" s="6" t="s">
        <v>6098</v>
      </c>
      <c r="B3673" s="3" t="s">
        <v>5725</v>
      </c>
      <c r="C3673" s="4" t="s">
        <v>156</v>
      </c>
      <c r="D3673" s="7">
        <v>122.35</v>
      </c>
      <c r="E3673" s="31" t="s">
        <v>9</v>
      </c>
      <c r="F3673" s="32">
        <v>97.55</v>
      </c>
      <c r="G3673" s="33">
        <f t="shared" si="87"/>
        <v>0.254228600717581</v>
      </c>
    </row>
    <row r="3674" spans="1:7">
      <c r="A3674" s="6" t="s">
        <v>6099</v>
      </c>
      <c r="B3674" s="3" t="s">
        <v>5727</v>
      </c>
      <c r="C3674" s="4" t="s">
        <v>156</v>
      </c>
      <c r="D3674" s="7">
        <v>234.75</v>
      </c>
      <c r="E3674" s="31" t="s">
        <v>9</v>
      </c>
      <c r="F3674" s="32">
        <v>200.95</v>
      </c>
      <c r="G3674" s="33">
        <f t="shared" si="87"/>
        <v>0.168201045036079</v>
      </c>
    </row>
    <row r="3675" spans="1:7">
      <c r="A3675" s="6" t="s">
        <v>6100</v>
      </c>
      <c r="B3675" s="3" t="s">
        <v>5729</v>
      </c>
      <c r="C3675" s="4" t="s">
        <v>156</v>
      </c>
      <c r="D3675" s="7">
        <v>342.85</v>
      </c>
      <c r="E3675" s="31" t="s">
        <v>9</v>
      </c>
      <c r="F3675" s="32">
        <v>293.85</v>
      </c>
      <c r="G3675" s="33">
        <f t="shared" si="87"/>
        <v>0.166751744087119</v>
      </c>
    </row>
    <row r="3676" spans="1:7">
      <c r="A3676" s="6" t="s">
        <v>6101</v>
      </c>
      <c r="B3676" s="3" t="s">
        <v>5731</v>
      </c>
      <c r="C3676" s="4" t="s">
        <v>156</v>
      </c>
      <c r="D3676" s="7">
        <v>426.8</v>
      </c>
      <c r="E3676" s="31" t="s">
        <v>9</v>
      </c>
      <c r="F3676" s="32">
        <v>383.3</v>
      </c>
      <c r="G3676" s="33">
        <f t="shared" si="87"/>
        <v>0.113488129402557</v>
      </c>
    </row>
    <row r="3677" ht="46.5" customHeight="1" spans="1:7">
      <c r="A3677" s="6" t="s">
        <v>6102</v>
      </c>
      <c r="B3677" s="12" t="s">
        <v>6028</v>
      </c>
      <c r="C3677" s="4"/>
      <c r="D3677" s="14"/>
    </row>
    <row r="3678" spans="1:7">
      <c r="A3678" s="40"/>
      <c r="B3678" s="12" t="s">
        <v>6095</v>
      </c>
      <c r="C3678" s="4"/>
      <c r="D3678" s="14"/>
    </row>
    <row r="3679" spans="1:7">
      <c r="A3679" s="6" t="s">
        <v>6103</v>
      </c>
      <c r="B3679" s="3" t="s">
        <v>5735</v>
      </c>
      <c r="C3679" s="4" t="s">
        <v>156</v>
      </c>
      <c r="D3679" s="7">
        <v>505.05</v>
      </c>
    </row>
    <row r="3680" spans="1:7">
      <c r="A3680" s="6" t="s">
        <v>6104</v>
      </c>
      <c r="B3680" s="3" t="s">
        <v>5737</v>
      </c>
      <c r="C3680" s="4" t="s">
        <v>156</v>
      </c>
      <c r="D3680" s="7">
        <v>654.4</v>
      </c>
    </row>
    <row r="3681" spans="1:7">
      <c r="A3681" s="6" t="s">
        <v>6105</v>
      </c>
      <c r="B3681" s="3" t="s">
        <v>5739</v>
      </c>
      <c r="C3681" s="4" t="s">
        <v>156</v>
      </c>
      <c r="D3681" s="7">
        <v>818</v>
      </c>
    </row>
    <row r="3682" spans="1:7">
      <c r="A3682" s="6" t="s">
        <v>6106</v>
      </c>
      <c r="B3682" s="3" t="s">
        <v>5741</v>
      </c>
      <c r="C3682" s="4" t="s">
        <v>156</v>
      </c>
      <c r="D3682" s="7">
        <v>1145.25</v>
      </c>
    </row>
    <row r="3683" spans="1:7">
      <c r="A3683" s="6" t="s">
        <v>6107</v>
      </c>
      <c r="B3683" s="3" t="s">
        <v>5743</v>
      </c>
      <c r="C3683" s="4" t="s">
        <v>156</v>
      </c>
      <c r="D3683" s="7">
        <v>2489.6</v>
      </c>
    </row>
    <row r="3684" spans="1:7">
      <c r="A3684" s="6" t="s">
        <v>6108</v>
      </c>
      <c r="B3684" s="3" t="s">
        <v>5745</v>
      </c>
      <c r="C3684" s="4" t="s">
        <v>156</v>
      </c>
      <c r="D3684" s="7">
        <v>2738.55</v>
      </c>
    </row>
    <row r="3685" ht="46.5" customHeight="1" spans="1:7">
      <c r="A3685" s="6" t="s">
        <v>6109</v>
      </c>
      <c r="B3685" s="12" t="s">
        <v>5718</v>
      </c>
      <c r="C3685" s="4"/>
      <c r="D3685" s="14"/>
      <c r="E3685" s="31" t="s">
        <v>9</v>
      </c>
    </row>
    <row r="3686" spans="1:7">
      <c r="A3686" s="40"/>
      <c r="B3686" s="12" t="s">
        <v>6110</v>
      </c>
      <c r="C3686" s="4"/>
      <c r="D3686" s="14"/>
      <c r="E3686" s="31" t="s">
        <v>9</v>
      </c>
    </row>
    <row r="3687" spans="1:7">
      <c r="A3687" s="6" t="s">
        <v>6111</v>
      </c>
      <c r="B3687" s="3" t="s">
        <v>5721</v>
      </c>
      <c r="C3687" s="4" t="s">
        <v>156</v>
      </c>
      <c r="D3687" s="7">
        <v>136.55</v>
      </c>
      <c r="E3687" s="31" t="s">
        <v>9</v>
      </c>
      <c r="F3687" s="32">
        <v>248.55</v>
      </c>
      <c r="G3687" s="33">
        <f>(D3687-F3687)/F3687</f>
        <v>-0.450613558640113</v>
      </c>
    </row>
    <row r="3688" spans="1:7">
      <c r="A3688" s="6" t="s">
        <v>6112</v>
      </c>
      <c r="B3688" s="3" t="s">
        <v>5723</v>
      </c>
      <c r="C3688" s="4" t="s">
        <v>156</v>
      </c>
      <c r="D3688" s="7">
        <v>240.45</v>
      </c>
      <c r="E3688" s="31" t="s">
        <v>9</v>
      </c>
      <c r="F3688" s="32">
        <v>314.75</v>
      </c>
      <c r="G3688" s="33">
        <f>(D3688-F3688)/F3688</f>
        <v>-0.236060365369341</v>
      </c>
    </row>
    <row r="3689" spans="1:7">
      <c r="A3689" s="6" t="s">
        <v>6113</v>
      </c>
      <c r="B3689" s="3" t="s">
        <v>5725</v>
      </c>
      <c r="C3689" s="4" t="s">
        <v>156</v>
      </c>
      <c r="D3689" s="7">
        <v>386.95</v>
      </c>
      <c r="E3689" s="31" t="s">
        <v>9</v>
      </c>
      <c r="F3689" s="32">
        <v>472.75</v>
      </c>
      <c r="G3689" s="33">
        <f>(D3689-F3689)/F3689</f>
        <v>-0.181491274457959</v>
      </c>
    </row>
    <row r="3690" ht="46.5" customHeight="1" spans="1:7">
      <c r="A3690" s="6" t="s">
        <v>6114</v>
      </c>
      <c r="B3690" s="12" t="s">
        <v>6028</v>
      </c>
      <c r="C3690" s="4"/>
      <c r="D3690" s="14"/>
    </row>
    <row r="3691" spans="1:7">
      <c r="A3691" s="40"/>
      <c r="B3691" s="12" t="s">
        <v>6110</v>
      </c>
      <c r="C3691" s="4"/>
      <c r="D3691" s="14"/>
    </row>
    <row r="3692" spans="1:7">
      <c r="A3692" s="6" t="s">
        <v>6115</v>
      </c>
      <c r="B3692" s="3" t="s">
        <v>5735</v>
      </c>
      <c r="C3692" s="4" t="s">
        <v>156</v>
      </c>
      <c r="D3692" s="7">
        <v>654.4</v>
      </c>
    </row>
    <row r="3693" spans="1:7">
      <c r="A3693" s="6" t="s">
        <v>6116</v>
      </c>
      <c r="B3693" s="3" t="s">
        <v>5737</v>
      </c>
      <c r="C3693" s="4" t="s">
        <v>156</v>
      </c>
      <c r="D3693" s="7">
        <v>1764.1</v>
      </c>
    </row>
    <row r="3694" spans="1:7">
      <c r="A3694" s="6" t="s">
        <v>6117</v>
      </c>
      <c r="B3694" s="3" t="s">
        <v>5739</v>
      </c>
      <c r="C3694" s="4" t="s">
        <v>156</v>
      </c>
      <c r="D3694" s="7">
        <v>2425.6</v>
      </c>
    </row>
    <row r="3695" ht="46.5" customHeight="1" spans="1:7">
      <c r="A3695" s="6" t="s">
        <v>6118</v>
      </c>
      <c r="B3695" s="12" t="s">
        <v>6028</v>
      </c>
      <c r="C3695" s="4"/>
      <c r="D3695" s="14"/>
    </row>
    <row r="3696" spans="1:7">
      <c r="A3696" s="40"/>
      <c r="B3696" s="12" t="s">
        <v>6119</v>
      </c>
      <c r="C3696" s="4"/>
      <c r="D3696" s="14"/>
    </row>
    <row r="3697" spans="1:4">
      <c r="A3697" s="6" t="s">
        <v>6120</v>
      </c>
      <c r="B3697" s="3" t="s">
        <v>6086</v>
      </c>
      <c r="C3697" s="4" t="s">
        <v>156</v>
      </c>
      <c r="D3697" s="7">
        <v>1408.4</v>
      </c>
    </row>
    <row r="3698" spans="1:4">
      <c r="A3698" s="6" t="s">
        <v>6121</v>
      </c>
      <c r="B3698" s="3" t="s">
        <v>6122</v>
      </c>
      <c r="C3698" s="4" t="s">
        <v>156</v>
      </c>
      <c r="D3698" s="7">
        <v>1422.65</v>
      </c>
    </row>
    <row r="3699" spans="1:4">
      <c r="A3699" s="6" t="s">
        <v>6123</v>
      </c>
      <c r="B3699" s="3" t="s">
        <v>6088</v>
      </c>
      <c r="C3699" s="4" t="s">
        <v>156</v>
      </c>
      <c r="D3699" s="7">
        <v>1628.9</v>
      </c>
    </row>
    <row r="3700" spans="1:4">
      <c r="A3700" s="6" t="s">
        <v>6124</v>
      </c>
      <c r="B3700" s="3" t="s">
        <v>6065</v>
      </c>
      <c r="C3700" s="4" t="s">
        <v>156</v>
      </c>
      <c r="D3700" s="7">
        <v>2873.7</v>
      </c>
    </row>
    <row r="3701" spans="1:4">
      <c r="A3701" s="6" t="s">
        <v>6125</v>
      </c>
      <c r="B3701" s="3" t="s">
        <v>6067</v>
      </c>
      <c r="C3701" s="4" t="s">
        <v>156</v>
      </c>
      <c r="D3701" s="7">
        <v>3001.75</v>
      </c>
    </row>
    <row r="3702" spans="1:4">
      <c r="A3702" s="6" t="s">
        <v>6126</v>
      </c>
      <c r="B3702" s="3" t="s">
        <v>6069</v>
      </c>
      <c r="C3702" s="4" t="s">
        <v>156</v>
      </c>
      <c r="D3702" s="7">
        <v>3385.85</v>
      </c>
    </row>
    <row r="3703" spans="1:4">
      <c r="A3703" s="6" t="s">
        <v>6127</v>
      </c>
      <c r="B3703" s="3" t="s">
        <v>6071</v>
      </c>
      <c r="C3703" s="4" t="s">
        <v>156</v>
      </c>
      <c r="D3703" s="7">
        <v>5861.25</v>
      </c>
    </row>
    <row r="3704" ht="46.5" customHeight="1" spans="1:4">
      <c r="A3704" s="6" t="s">
        <v>6128</v>
      </c>
      <c r="B3704" s="12" t="s">
        <v>6028</v>
      </c>
      <c r="C3704" s="4"/>
      <c r="D3704" s="14"/>
    </row>
    <row r="3705" spans="1:4">
      <c r="A3705" s="40"/>
      <c r="B3705" s="12" t="s">
        <v>6129</v>
      </c>
      <c r="C3705" s="4"/>
      <c r="D3705" s="14"/>
    </row>
    <row r="3706" spans="1:4">
      <c r="A3706" s="6" t="s">
        <v>6130</v>
      </c>
      <c r="B3706" s="3" t="s">
        <v>6034</v>
      </c>
      <c r="C3706" s="4" t="s">
        <v>156</v>
      </c>
      <c r="D3706" s="7">
        <v>1508</v>
      </c>
    </row>
    <row r="3707" spans="1:4">
      <c r="A3707" s="6" t="s">
        <v>6131</v>
      </c>
      <c r="B3707" s="3" t="s">
        <v>6065</v>
      </c>
      <c r="C3707" s="4" t="s">
        <v>156</v>
      </c>
      <c r="D3707" s="7">
        <v>2034.35</v>
      </c>
    </row>
    <row r="3708" ht="46.5" customHeight="1" spans="1:4">
      <c r="A3708" s="6" t="s">
        <v>6132</v>
      </c>
      <c r="B3708" s="12" t="s">
        <v>6028</v>
      </c>
      <c r="C3708" s="4"/>
      <c r="D3708" s="14"/>
    </row>
    <row r="3709" spans="1:4">
      <c r="A3709" s="40"/>
      <c r="B3709" s="12" t="s">
        <v>6133</v>
      </c>
      <c r="C3709" s="4"/>
      <c r="D3709" s="14"/>
    </row>
    <row r="3710" spans="1:4">
      <c r="A3710" s="6" t="s">
        <v>6134</v>
      </c>
      <c r="B3710" s="3" t="s">
        <v>6086</v>
      </c>
      <c r="C3710" s="4" t="s">
        <v>156</v>
      </c>
      <c r="D3710" s="7">
        <v>1031.4</v>
      </c>
    </row>
    <row r="3711" spans="1:4">
      <c r="A3711" s="6" t="s">
        <v>6135</v>
      </c>
      <c r="B3711" s="3" t="s">
        <v>6122</v>
      </c>
      <c r="C3711" s="4" t="s">
        <v>156</v>
      </c>
      <c r="D3711" s="7">
        <v>1379.95</v>
      </c>
    </row>
    <row r="3712" spans="1:4">
      <c r="A3712" s="6" t="s">
        <v>6136</v>
      </c>
      <c r="B3712" s="3" t="s">
        <v>6088</v>
      </c>
      <c r="C3712" s="4" t="s">
        <v>156</v>
      </c>
      <c r="D3712" s="7">
        <v>1429.75</v>
      </c>
    </row>
    <row r="3713" spans="1:7">
      <c r="D3713" s="16"/>
    </row>
    <row r="3714" spans="1:7">
      <c r="D3714" s="16"/>
    </row>
    <row r="3723" spans="1:7">
      <c r="A3723" s="41" t="s">
        <v>6137</v>
      </c>
      <c r="C3723" s="31"/>
      <c r="D3723" s="31"/>
      <c r="E3723" s="31" t="s">
        <v>9</v>
      </c>
    </row>
    <row r="3724" spans="1:7">
      <c r="A3724" s="6" t="s">
        <v>204</v>
      </c>
      <c r="B3724" s="12" t="s">
        <v>2</v>
      </c>
      <c r="C3724" s="4" t="s">
        <v>205</v>
      </c>
      <c r="D3724" s="14" t="s">
        <v>4</v>
      </c>
      <c r="E3724" s="31" t="s">
        <v>9</v>
      </c>
    </row>
    <row r="3725" ht="46.5" customHeight="1" spans="1:7">
      <c r="A3725" s="40"/>
      <c r="B3725" s="12" t="s">
        <v>6138</v>
      </c>
      <c r="C3725" s="4"/>
      <c r="D3725" s="14"/>
      <c r="E3725" s="31" t="s">
        <v>9</v>
      </c>
    </row>
    <row r="3726" spans="1:7">
      <c r="A3726" s="40"/>
      <c r="B3726" s="12" t="s">
        <v>6139</v>
      </c>
      <c r="C3726" s="4"/>
      <c r="D3726" s="14"/>
      <c r="E3726" s="31" t="s">
        <v>9</v>
      </c>
    </row>
    <row r="3727" ht="46.5" customHeight="1" spans="1:7">
      <c r="A3727" s="6" t="s">
        <v>6140</v>
      </c>
      <c r="B3727" s="12" t="s">
        <v>6141</v>
      </c>
      <c r="C3727" s="4"/>
      <c r="D3727" s="14"/>
      <c r="E3727" s="31" t="s">
        <v>9</v>
      </c>
    </row>
    <row r="3728" spans="1:7">
      <c r="A3728" s="6" t="s">
        <v>6142</v>
      </c>
      <c r="B3728" s="3" t="s">
        <v>2847</v>
      </c>
      <c r="C3728" s="4" t="s">
        <v>49</v>
      </c>
      <c r="D3728" s="7">
        <v>443.6</v>
      </c>
      <c r="E3728" s="31" t="s">
        <v>9</v>
      </c>
      <c r="F3728" s="32">
        <v>216.25</v>
      </c>
      <c r="G3728" s="33">
        <f>(D3728-F3728)/F3728</f>
        <v>1.05132947976879</v>
      </c>
    </row>
    <row r="3729" spans="1:7">
      <c r="A3729" s="6" t="s">
        <v>6143</v>
      </c>
      <c r="B3729" s="3" t="s">
        <v>2849</v>
      </c>
      <c r="C3729" s="4" t="s">
        <v>49</v>
      </c>
      <c r="D3729" s="7">
        <v>695.8</v>
      </c>
      <c r="E3729" s="31" t="s">
        <v>9</v>
      </c>
      <c r="F3729" s="32">
        <v>327.05</v>
      </c>
      <c r="G3729" s="33">
        <f>(D3729-F3729)/F3729</f>
        <v>1.127503439841</v>
      </c>
    </row>
    <row r="3730" spans="1:7">
      <c r="A3730" s="6" t="s">
        <v>6144</v>
      </c>
      <c r="B3730" s="3" t="s">
        <v>5166</v>
      </c>
      <c r="C3730" s="4" t="s">
        <v>49</v>
      </c>
      <c r="D3730" s="7">
        <v>970.35</v>
      </c>
      <c r="E3730" s="31" t="s">
        <v>9</v>
      </c>
      <c r="F3730" s="32">
        <v>423.35</v>
      </c>
      <c r="G3730" s="33">
        <f>(D3730-F3730)/F3730</f>
        <v>1.29207511515295</v>
      </c>
    </row>
    <row r="3731" spans="1:7">
      <c r="A3731" s="6" t="s">
        <v>6145</v>
      </c>
      <c r="B3731" s="3" t="s">
        <v>5170</v>
      </c>
      <c r="C3731" s="4" t="s">
        <v>49</v>
      </c>
      <c r="D3731" s="7">
        <v>1505.6</v>
      </c>
      <c r="E3731" s="31" t="s">
        <v>9</v>
      </c>
      <c r="F3731" s="32">
        <v>692.5</v>
      </c>
      <c r="G3731" s="33">
        <f>(D3731-F3731)/F3731</f>
        <v>1.17415162454874</v>
      </c>
    </row>
    <row r="3732" spans="1:7">
      <c r="A3732" s="6" t="s">
        <v>6146</v>
      </c>
      <c r="B3732" s="3" t="s">
        <v>5174</v>
      </c>
      <c r="C3732" s="4" t="s">
        <v>49</v>
      </c>
      <c r="D3732" s="7">
        <v>2064.15</v>
      </c>
      <c r="E3732" s="31" t="s">
        <v>9</v>
      </c>
      <c r="F3732" s="32">
        <v>788.7</v>
      </c>
      <c r="G3732" s="33">
        <f>(D3732-F3732)/F3732</f>
        <v>1.61715481171548</v>
      </c>
    </row>
    <row r="3733" ht="46.5" customHeight="1" spans="1:7">
      <c r="A3733" s="6" t="s">
        <v>6147</v>
      </c>
      <c r="B3733" s="12" t="s">
        <v>6148</v>
      </c>
      <c r="C3733" s="4"/>
      <c r="D3733" s="14"/>
      <c r="E3733" s="31" t="s">
        <v>9</v>
      </c>
    </row>
    <row r="3734" spans="1:7">
      <c r="A3734" s="6" t="s">
        <v>6149</v>
      </c>
      <c r="B3734" s="3" t="s">
        <v>6150</v>
      </c>
      <c r="C3734" s="4" t="s">
        <v>49</v>
      </c>
      <c r="D3734" s="7">
        <v>964.75</v>
      </c>
      <c r="E3734" s="31" t="s">
        <v>9</v>
      </c>
      <c r="F3734" s="32">
        <v>622.95</v>
      </c>
      <c r="G3734" s="33">
        <f>(D3734-F3734)/F3734</f>
        <v>0.548679669315354</v>
      </c>
    </row>
    <row r="3735" spans="1:7">
      <c r="A3735" s="6" t="s">
        <v>6151</v>
      </c>
      <c r="B3735" s="3" t="s">
        <v>6152</v>
      </c>
      <c r="C3735" s="4" t="s">
        <v>49</v>
      </c>
      <c r="D3735" s="7">
        <v>1179.85</v>
      </c>
      <c r="E3735" s="31" t="s">
        <v>9</v>
      </c>
      <c r="F3735" s="32">
        <v>761.85</v>
      </c>
      <c r="G3735" s="33">
        <f>(D3735-F3735)/F3735</f>
        <v>0.548664435256284</v>
      </c>
    </row>
    <row r="3736" spans="1:7">
      <c r="A3736" s="6" t="s">
        <v>6153</v>
      </c>
      <c r="B3736" s="3" t="s">
        <v>6154</v>
      </c>
      <c r="C3736" s="4" t="s">
        <v>49</v>
      </c>
      <c r="D3736" s="7">
        <v>1375.45</v>
      </c>
      <c r="E3736" s="31" t="s">
        <v>9</v>
      </c>
      <c r="F3736" s="32">
        <v>888.1</v>
      </c>
      <c r="G3736" s="33">
        <f>(D3736-F3736)/F3736</f>
        <v>0.548755770746538</v>
      </c>
    </row>
    <row r="3737" spans="1:7">
      <c r="A3737" s="6" t="s">
        <v>6155</v>
      </c>
      <c r="B3737" s="3" t="s">
        <v>6156</v>
      </c>
      <c r="C3737" s="4" t="s">
        <v>49</v>
      </c>
      <c r="D3737" s="7">
        <v>1590.55</v>
      </c>
      <c r="E3737" s="31" t="s">
        <v>9</v>
      </c>
      <c r="F3737" s="32">
        <v>1027</v>
      </c>
      <c r="G3737" s="33">
        <f>(D3737-F3737)/F3737</f>
        <v>0.54873417721519</v>
      </c>
    </row>
    <row r="3738" ht="46.5" customHeight="1" spans="1:7">
      <c r="A3738" s="6" t="s">
        <v>6157</v>
      </c>
      <c r="B3738" s="12" t="s">
        <v>6158</v>
      </c>
      <c r="C3738" s="4"/>
      <c r="D3738" s="14"/>
      <c r="E3738" s="31" t="s">
        <v>9</v>
      </c>
    </row>
    <row r="3739" spans="1:7">
      <c r="A3739" s="6" t="s">
        <v>6159</v>
      </c>
      <c r="B3739" s="3" t="s">
        <v>6150</v>
      </c>
      <c r="C3739" s="4" t="s">
        <v>49</v>
      </c>
      <c r="D3739" s="7">
        <v>458.5</v>
      </c>
      <c r="E3739" s="31" t="s">
        <v>9</v>
      </c>
      <c r="F3739" s="32">
        <v>296.05</v>
      </c>
      <c r="G3739" s="33">
        <f>(D3739-F3739)/F3739</f>
        <v>0.548724877554467</v>
      </c>
    </row>
    <row r="3740" spans="1:7">
      <c r="A3740" s="6" t="s">
        <v>6160</v>
      </c>
      <c r="B3740" s="3" t="s">
        <v>6152</v>
      </c>
      <c r="C3740" s="4" t="s">
        <v>49</v>
      </c>
      <c r="D3740" s="7">
        <v>743.1</v>
      </c>
      <c r="E3740" s="31" t="s">
        <v>9</v>
      </c>
      <c r="F3740" s="32">
        <v>479.85</v>
      </c>
      <c r="G3740" s="33">
        <f>(D3740-F3740)/F3740</f>
        <v>0.548608940293842</v>
      </c>
    </row>
    <row r="3741" spans="1:7">
      <c r="A3741" s="6" t="s">
        <v>6161</v>
      </c>
      <c r="B3741" s="3" t="s">
        <v>6154</v>
      </c>
      <c r="C3741" s="4" t="s">
        <v>49</v>
      </c>
      <c r="D3741" s="7">
        <v>873.5</v>
      </c>
      <c r="E3741" s="31" t="s">
        <v>9</v>
      </c>
      <c r="F3741" s="32">
        <v>564</v>
      </c>
      <c r="G3741" s="33">
        <f>(D3741-F3741)/F3741</f>
        <v>0.548758865248227</v>
      </c>
    </row>
    <row r="3742" spans="1:7">
      <c r="A3742" s="6" t="s">
        <v>6162</v>
      </c>
      <c r="B3742" s="3" t="s">
        <v>6156</v>
      </c>
      <c r="C3742" s="4" t="s">
        <v>49</v>
      </c>
      <c r="D3742" s="7">
        <v>1016.9</v>
      </c>
      <c r="E3742" s="31" t="s">
        <v>9</v>
      </c>
      <c r="F3742" s="32">
        <v>656.6</v>
      </c>
      <c r="G3742" s="33">
        <f>(D3742-F3742)/F3742</f>
        <v>0.548735912275358</v>
      </c>
    </row>
    <row r="3743" spans="1:7">
      <c r="A3743" s="6" t="s">
        <v>6163</v>
      </c>
      <c r="B3743" s="3" t="s">
        <v>6164</v>
      </c>
      <c r="C3743" s="4" t="s">
        <v>49</v>
      </c>
      <c r="D3743" s="7">
        <v>1173.35</v>
      </c>
      <c r="E3743" s="31" t="s">
        <v>9</v>
      </c>
      <c r="F3743" s="32">
        <v>757.6</v>
      </c>
      <c r="G3743" s="33">
        <f>(D3743-F3743)/F3743</f>
        <v>0.548772439281943</v>
      </c>
    </row>
    <row r="3744" ht="62" customHeight="1" spans="1:7">
      <c r="A3744" s="6" t="s">
        <v>6165</v>
      </c>
      <c r="B3744" s="12" t="s">
        <v>6166</v>
      </c>
      <c r="C3744" s="4"/>
      <c r="D3744" s="14"/>
      <c r="E3744" s="31" t="s">
        <v>9</v>
      </c>
    </row>
    <row r="3745" spans="1:7">
      <c r="A3745" s="6" t="s">
        <v>6167</v>
      </c>
      <c r="B3745" s="3" t="s">
        <v>6168</v>
      </c>
      <c r="C3745" s="4"/>
      <c r="D3745" s="14"/>
      <c r="E3745" s="31" t="s">
        <v>9</v>
      </c>
    </row>
    <row r="3746" spans="1:7">
      <c r="A3746" s="6" t="s">
        <v>6169</v>
      </c>
      <c r="B3746" s="3" t="s">
        <v>3960</v>
      </c>
      <c r="C3746" s="4" t="s">
        <v>156</v>
      </c>
      <c r="D3746" s="7">
        <v>2707.65</v>
      </c>
      <c r="E3746" s="31" t="s">
        <v>9</v>
      </c>
      <c r="F3746" s="32">
        <v>1602.4</v>
      </c>
      <c r="G3746" s="33">
        <f>(D3746-F3746)/F3746</f>
        <v>0.689746630054918</v>
      </c>
    </row>
    <row r="3747" spans="1:7">
      <c r="A3747" s="6" t="s">
        <v>6170</v>
      </c>
      <c r="B3747" s="3" t="s">
        <v>6171</v>
      </c>
      <c r="C3747" s="4" t="s">
        <v>156</v>
      </c>
      <c r="D3747" s="7">
        <v>2685.2</v>
      </c>
      <c r="E3747" s="31" t="s">
        <v>9</v>
      </c>
      <c r="F3747" s="32">
        <v>1619.55</v>
      </c>
      <c r="G3747" s="33">
        <f>(D3747-F3747)/F3747</f>
        <v>0.657991417369022</v>
      </c>
    </row>
    <row r="3748" spans="1:7">
      <c r="A3748" s="6" t="s">
        <v>6172</v>
      </c>
      <c r="B3748" s="3" t="s">
        <v>6173</v>
      </c>
      <c r="C3748" s="4"/>
      <c r="D3748" s="14"/>
      <c r="E3748" s="31" t="s">
        <v>9</v>
      </c>
    </row>
    <row r="3749" spans="1:7">
      <c r="A3749" s="6" t="s">
        <v>6174</v>
      </c>
      <c r="B3749" s="3" t="s">
        <v>3960</v>
      </c>
      <c r="C3749" s="4" t="s">
        <v>156</v>
      </c>
      <c r="D3749" s="7">
        <v>2734.2</v>
      </c>
      <c r="E3749" s="31" t="s">
        <v>9</v>
      </c>
      <c r="F3749" s="32">
        <v>1623.25</v>
      </c>
      <c r="G3749" s="33">
        <f>(D3749-F3749)/F3749</f>
        <v>0.684398583089481</v>
      </c>
    </row>
    <row r="3750" spans="1:7">
      <c r="A3750" s="6" t="s">
        <v>6175</v>
      </c>
      <c r="B3750" s="3" t="s">
        <v>6176</v>
      </c>
      <c r="C3750" s="4" t="s">
        <v>156</v>
      </c>
      <c r="D3750" s="7">
        <v>2711.7</v>
      </c>
      <c r="E3750" s="31" t="s">
        <v>9</v>
      </c>
      <c r="F3750" s="32">
        <v>1640.35</v>
      </c>
      <c r="G3750" s="33">
        <f>(D3750-F3750)/F3750</f>
        <v>0.653122809156582</v>
      </c>
    </row>
    <row r="3751" spans="1:7">
      <c r="A3751" s="6" t="s">
        <v>6177</v>
      </c>
      <c r="B3751" s="3" t="s">
        <v>6178</v>
      </c>
      <c r="C3751" s="4"/>
      <c r="D3751" s="14"/>
      <c r="E3751" s="31" t="s">
        <v>9</v>
      </c>
    </row>
    <row r="3752" spans="1:7">
      <c r="A3752" s="6" t="s">
        <v>6179</v>
      </c>
      <c r="B3752" s="3" t="s">
        <v>3960</v>
      </c>
      <c r="C3752" s="4" t="s">
        <v>156</v>
      </c>
      <c r="D3752" s="7">
        <v>2802.15</v>
      </c>
      <c r="E3752" s="31" t="s">
        <v>9</v>
      </c>
      <c r="F3752" s="32">
        <v>1706.55</v>
      </c>
      <c r="G3752" s="33">
        <f>(D3752-F3752)/F3752</f>
        <v>0.641997011514459</v>
      </c>
    </row>
    <row r="3753" spans="1:7">
      <c r="A3753" s="6" t="s">
        <v>6180</v>
      </c>
      <c r="B3753" s="3" t="s">
        <v>6171</v>
      </c>
      <c r="C3753" s="4" t="s">
        <v>156</v>
      </c>
      <c r="D3753" s="7">
        <v>2779.65</v>
      </c>
      <c r="E3753" s="31" t="s">
        <v>9</v>
      </c>
      <c r="F3753" s="32">
        <v>1723.65</v>
      </c>
      <c r="G3753" s="33">
        <f>(D3753-F3753)/F3753</f>
        <v>0.612653380906797</v>
      </c>
    </row>
    <row r="3754" ht="46.5" customHeight="1" spans="1:7">
      <c r="A3754" s="6" t="s">
        <v>6181</v>
      </c>
      <c r="B3754" s="12" t="s">
        <v>6182</v>
      </c>
      <c r="C3754" s="4"/>
      <c r="D3754" s="14"/>
      <c r="E3754" s="31" t="s">
        <v>9</v>
      </c>
    </row>
    <row r="3755" spans="1:7">
      <c r="A3755" s="6" t="s">
        <v>6183</v>
      </c>
      <c r="B3755" s="3" t="s">
        <v>2847</v>
      </c>
      <c r="C3755" s="4" t="s">
        <v>49</v>
      </c>
      <c r="D3755" s="7">
        <v>89</v>
      </c>
      <c r="E3755" s="31" t="s">
        <v>9</v>
      </c>
      <c r="F3755" s="32">
        <v>36.35</v>
      </c>
      <c r="G3755" s="33">
        <f t="shared" ref="G3755:G3762" si="88">(D3755-F3755)/F3755</f>
        <v>1.4484181568088</v>
      </c>
    </row>
    <row r="3756" spans="1:7">
      <c r="A3756" s="6" t="s">
        <v>6184</v>
      </c>
      <c r="B3756" s="3" t="s">
        <v>2849</v>
      </c>
      <c r="C3756" s="4" t="s">
        <v>49</v>
      </c>
      <c r="D3756" s="7">
        <v>98.45</v>
      </c>
      <c r="E3756" s="31" t="s">
        <v>9</v>
      </c>
      <c r="F3756" s="32">
        <v>40.15</v>
      </c>
      <c r="G3756" s="33">
        <f t="shared" si="88"/>
        <v>1.45205479452055</v>
      </c>
    </row>
    <row r="3757" spans="1:7">
      <c r="A3757" s="6" t="s">
        <v>6185</v>
      </c>
      <c r="B3757" s="3" t="s">
        <v>5166</v>
      </c>
      <c r="C3757" s="4" t="s">
        <v>49</v>
      </c>
      <c r="D3757" s="7">
        <v>104.7</v>
      </c>
      <c r="E3757" s="31" t="s">
        <v>9</v>
      </c>
      <c r="F3757" s="32">
        <v>42.75</v>
      </c>
      <c r="G3757" s="33">
        <f t="shared" si="88"/>
        <v>1.44912280701754</v>
      </c>
    </row>
    <row r="3758" spans="1:7">
      <c r="A3758" s="6" t="s">
        <v>6186</v>
      </c>
      <c r="B3758" s="3" t="s">
        <v>5170</v>
      </c>
      <c r="C3758" s="4" t="s">
        <v>49</v>
      </c>
      <c r="D3758" s="7">
        <v>111</v>
      </c>
      <c r="E3758" s="31" t="s">
        <v>9</v>
      </c>
      <c r="F3758" s="32">
        <v>45.3</v>
      </c>
      <c r="G3758" s="33">
        <f t="shared" si="88"/>
        <v>1.45033112582781</v>
      </c>
    </row>
    <row r="3759" spans="1:7">
      <c r="A3759" s="6" t="s">
        <v>6187</v>
      </c>
      <c r="B3759" s="3" t="s">
        <v>5174</v>
      </c>
      <c r="C3759" s="4" t="s">
        <v>49</v>
      </c>
      <c r="D3759" s="7">
        <v>117.25</v>
      </c>
      <c r="E3759" s="31" t="s">
        <v>9</v>
      </c>
      <c r="F3759" s="32">
        <v>47.85</v>
      </c>
      <c r="G3759" s="33">
        <f t="shared" si="88"/>
        <v>1.4503657262278</v>
      </c>
    </row>
    <row r="3760" spans="1:7">
      <c r="A3760" s="6" t="s">
        <v>6188</v>
      </c>
      <c r="B3760" s="3" t="s">
        <v>6189</v>
      </c>
      <c r="C3760" s="4" t="s">
        <v>49</v>
      </c>
      <c r="D3760" s="7">
        <v>135.05</v>
      </c>
      <c r="E3760" s="31" t="s">
        <v>9</v>
      </c>
      <c r="F3760" s="32">
        <v>55.15</v>
      </c>
      <c r="G3760" s="33">
        <f t="shared" si="88"/>
        <v>1.44877606527652</v>
      </c>
    </row>
    <row r="3761" spans="1:7">
      <c r="A3761" s="6" t="s">
        <v>6190</v>
      </c>
      <c r="B3761" s="3" t="s">
        <v>6191</v>
      </c>
      <c r="C3761" s="4" t="s">
        <v>49</v>
      </c>
      <c r="D3761" s="7">
        <v>147.65</v>
      </c>
      <c r="E3761" s="31" t="s">
        <v>9</v>
      </c>
      <c r="F3761" s="32">
        <v>60.25</v>
      </c>
      <c r="G3761" s="33">
        <f t="shared" si="88"/>
        <v>1.450622406639</v>
      </c>
    </row>
    <row r="3762" spans="1:7">
      <c r="A3762" s="6" t="s">
        <v>6192</v>
      </c>
      <c r="B3762" s="3" t="s">
        <v>6193</v>
      </c>
      <c r="C3762" s="4" t="s">
        <v>49</v>
      </c>
      <c r="D3762" s="7">
        <v>153.9</v>
      </c>
      <c r="E3762" s="31" t="s">
        <v>9</v>
      </c>
      <c r="F3762" s="32">
        <v>62.85</v>
      </c>
      <c r="G3762" s="33">
        <f t="shared" si="88"/>
        <v>1.44868735083532</v>
      </c>
    </row>
    <row r="3763" ht="46.5" customHeight="1" spans="1:7">
      <c r="A3763" s="6" t="s">
        <v>6194</v>
      </c>
      <c r="B3763" s="12" t="s">
        <v>6195</v>
      </c>
      <c r="C3763" s="4"/>
      <c r="D3763" s="14"/>
      <c r="E3763" s="31" t="s">
        <v>9</v>
      </c>
    </row>
    <row r="3764" spans="1:7">
      <c r="A3764" s="6" t="s">
        <v>6196</v>
      </c>
      <c r="B3764" s="3" t="s">
        <v>6197</v>
      </c>
      <c r="C3764" s="4" t="s">
        <v>49</v>
      </c>
      <c r="D3764" s="7">
        <v>507.05</v>
      </c>
      <c r="E3764" s="31" t="s">
        <v>9</v>
      </c>
      <c r="F3764" s="32">
        <v>325.55</v>
      </c>
      <c r="G3764" s="33">
        <f t="shared" ref="G3764:G3776" si="89">(D3764-F3764)/F3764</f>
        <v>0.557518046383044</v>
      </c>
    </row>
    <row r="3765" spans="1:7">
      <c r="A3765" s="6" t="s">
        <v>6198</v>
      </c>
      <c r="B3765" s="3" t="s">
        <v>6199</v>
      </c>
      <c r="C3765" s="4" t="s">
        <v>49</v>
      </c>
      <c r="D3765" s="7">
        <v>556.45</v>
      </c>
      <c r="E3765" s="31" t="s">
        <v>9</v>
      </c>
      <c r="F3765" s="32">
        <v>356.7</v>
      </c>
      <c r="G3765" s="33">
        <f t="shared" si="89"/>
        <v>0.559994393047379</v>
      </c>
    </row>
    <row r="3766" spans="1:7">
      <c r="A3766" s="6" t="s">
        <v>6200</v>
      </c>
      <c r="B3766" s="3" t="s">
        <v>6201</v>
      </c>
      <c r="C3766" s="4" t="s">
        <v>49</v>
      </c>
      <c r="D3766" s="7">
        <v>899.8</v>
      </c>
      <c r="E3766" s="31" t="s">
        <v>9</v>
      </c>
      <c r="F3766" s="32">
        <v>482.05</v>
      </c>
      <c r="G3766" s="33">
        <f t="shared" si="89"/>
        <v>0.866611347370605</v>
      </c>
    </row>
    <row r="3767" spans="1:7">
      <c r="A3767" s="6" t="s">
        <v>6202</v>
      </c>
      <c r="B3767" s="3" t="s">
        <v>6203</v>
      </c>
      <c r="C3767" s="4" t="s">
        <v>49</v>
      </c>
      <c r="D3767" s="7">
        <v>994.3</v>
      </c>
      <c r="E3767" s="31" t="s">
        <v>9</v>
      </c>
      <c r="F3767" s="32">
        <v>518.55</v>
      </c>
      <c r="G3767" s="33">
        <f t="shared" si="89"/>
        <v>0.917462154083502</v>
      </c>
    </row>
    <row r="3768" spans="1:7">
      <c r="A3768" s="6" t="s">
        <v>6204</v>
      </c>
      <c r="B3768" s="3" t="s">
        <v>6205</v>
      </c>
      <c r="C3768" s="4" t="s">
        <v>49</v>
      </c>
      <c r="D3768" s="7">
        <v>1620.95</v>
      </c>
      <c r="E3768" s="31" t="s">
        <v>9</v>
      </c>
      <c r="F3768" s="32">
        <v>720.95</v>
      </c>
      <c r="G3768" s="33">
        <f t="shared" si="89"/>
        <v>1.24835286774395</v>
      </c>
    </row>
    <row r="3769" spans="1:7">
      <c r="A3769" s="6" t="s">
        <v>6206</v>
      </c>
      <c r="B3769" s="3" t="s">
        <v>6207</v>
      </c>
      <c r="C3769" s="4" t="s">
        <v>49</v>
      </c>
      <c r="D3769" s="7">
        <v>1918.9</v>
      </c>
      <c r="E3769" s="31" t="s">
        <v>9</v>
      </c>
      <c r="F3769" s="32">
        <v>950.3</v>
      </c>
      <c r="G3769" s="33">
        <f t="shared" si="89"/>
        <v>1.01925707671262</v>
      </c>
    </row>
    <row r="3770" spans="1:7">
      <c r="A3770" s="6" t="s">
        <v>6208</v>
      </c>
      <c r="B3770" s="3" t="s">
        <v>6209</v>
      </c>
      <c r="C3770" s="4" t="s">
        <v>49</v>
      </c>
      <c r="D3770" s="7">
        <v>2243.4</v>
      </c>
      <c r="E3770" s="31" t="s">
        <v>9</v>
      </c>
      <c r="F3770" s="32">
        <v>1397.1</v>
      </c>
      <c r="G3770" s="33">
        <f t="shared" si="89"/>
        <v>0.605754777753919</v>
      </c>
    </row>
    <row r="3771" spans="1:7">
      <c r="A3771" s="6" t="s">
        <v>6210</v>
      </c>
      <c r="B3771" s="3" t="s">
        <v>6211</v>
      </c>
      <c r="C3771" s="4" t="s">
        <v>49</v>
      </c>
      <c r="D3771" s="7">
        <v>2932.5</v>
      </c>
      <c r="E3771" s="31" t="s">
        <v>9</v>
      </c>
      <c r="F3771" s="32">
        <v>1582.85</v>
      </c>
      <c r="G3771" s="33">
        <f t="shared" si="89"/>
        <v>0.852670815301513</v>
      </c>
    </row>
    <row r="3772" spans="1:7">
      <c r="A3772" s="6" t="s">
        <v>6212</v>
      </c>
      <c r="B3772" s="3" t="s">
        <v>6213</v>
      </c>
      <c r="C3772" s="4" t="s">
        <v>49</v>
      </c>
      <c r="D3772" s="7">
        <v>3511.95</v>
      </c>
      <c r="E3772" s="31" t="s">
        <v>9</v>
      </c>
      <c r="F3772" s="32">
        <v>1770.85</v>
      </c>
      <c r="G3772" s="33">
        <f t="shared" si="89"/>
        <v>0.983200158116159</v>
      </c>
    </row>
    <row r="3773" spans="1:7">
      <c r="A3773" s="6" t="s">
        <v>6214</v>
      </c>
      <c r="B3773" s="3" t="s">
        <v>6215</v>
      </c>
      <c r="C3773" s="4" t="s">
        <v>49</v>
      </c>
      <c r="D3773" s="7">
        <v>4750.85</v>
      </c>
      <c r="E3773" s="31" t="s">
        <v>9</v>
      </c>
      <c r="F3773" s="32">
        <v>1988.95</v>
      </c>
      <c r="G3773" s="33">
        <f t="shared" si="89"/>
        <v>1.38862213730863</v>
      </c>
    </row>
    <row r="3774" spans="1:7">
      <c r="A3774" s="6" t="s">
        <v>6216</v>
      </c>
      <c r="B3774" s="3" t="s">
        <v>6217</v>
      </c>
      <c r="C3774" s="4" t="s">
        <v>49</v>
      </c>
      <c r="D3774" s="7">
        <v>5562.6</v>
      </c>
      <c r="E3774" s="31" t="s">
        <v>9</v>
      </c>
      <c r="F3774" s="32">
        <v>2465.5</v>
      </c>
      <c r="G3774" s="33">
        <f t="shared" si="89"/>
        <v>1.25617521800852</v>
      </c>
    </row>
    <row r="3775" spans="1:7">
      <c r="A3775" s="6" t="s">
        <v>6218</v>
      </c>
      <c r="B3775" s="3" t="s">
        <v>6219</v>
      </c>
      <c r="C3775" s="4" t="s">
        <v>49</v>
      </c>
      <c r="D3775" s="7">
        <v>6276.6</v>
      </c>
      <c r="E3775" s="31" t="s">
        <v>9</v>
      </c>
      <c r="F3775" s="32">
        <v>2911.55</v>
      </c>
      <c r="G3775" s="33">
        <f t="shared" si="89"/>
        <v>1.15575896000412</v>
      </c>
    </row>
    <row r="3776" spans="1:7">
      <c r="A3776" s="6" t="s">
        <v>6220</v>
      </c>
      <c r="B3776" s="3" t="s">
        <v>6221</v>
      </c>
      <c r="C3776" s="4" t="s">
        <v>49</v>
      </c>
      <c r="D3776" s="7">
        <v>7102.15</v>
      </c>
      <c r="E3776" s="31" t="s">
        <v>9</v>
      </c>
      <c r="F3776" s="32">
        <v>2828.15</v>
      </c>
      <c r="G3776" s="33">
        <f t="shared" si="89"/>
        <v>1.51123525979881</v>
      </c>
    </row>
    <row r="3777" ht="124" customHeight="1" spans="1:7">
      <c r="A3777" s="6" t="s">
        <v>6222</v>
      </c>
      <c r="B3777" s="12" t="s">
        <v>6223</v>
      </c>
      <c r="C3777" s="4"/>
      <c r="D3777" s="14"/>
      <c r="E3777" s="31" t="s">
        <v>9</v>
      </c>
    </row>
    <row r="3778" ht="46.5" customHeight="1" spans="1:7">
      <c r="A3778" s="6" t="s">
        <v>6224</v>
      </c>
      <c r="B3778" s="3" t="s">
        <v>6225</v>
      </c>
      <c r="C3778" s="4"/>
      <c r="D3778" s="14"/>
      <c r="E3778" s="31" t="s">
        <v>9</v>
      </c>
    </row>
    <row r="3779" spans="1:7">
      <c r="A3779" s="6" t="s">
        <v>6226</v>
      </c>
      <c r="B3779" s="3" t="s">
        <v>3960</v>
      </c>
      <c r="C3779" s="4" t="s">
        <v>156</v>
      </c>
      <c r="D3779" s="7">
        <v>12770.55</v>
      </c>
      <c r="E3779" s="31" t="s">
        <v>9</v>
      </c>
      <c r="F3779" s="32">
        <v>8634.1</v>
      </c>
      <c r="G3779" s="33">
        <f>(D3779-F3779)/F3779</f>
        <v>0.479082938580744</v>
      </c>
    </row>
    <row r="3780" spans="1:7">
      <c r="A3780" s="6" t="s">
        <v>6227</v>
      </c>
      <c r="B3780" s="3" t="s">
        <v>6171</v>
      </c>
      <c r="C3780" s="4" t="s">
        <v>156</v>
      </c>
      <c r="D3780" s="7">
        <v>12711.8</v>
      </c>
      <c r="E3780" s="31" t="s">
        <v>9</v>
      </c>
      <c r="F3780" s="32">
        <v>8678.85</v>
      </c>
      <c r="G3780" s="33">
        <f>(D3780-F3780)/F3780</f>
        <v>0.464687141729607</v>
      </c>
    </row>
    <row r="3781" ht="46.5" customHeight="1" spans="1:7">
      <c r="A3781" s="6" t="s">
        <v>6228</v>
      </c>
      <c r="B3781" s="3" t="s">
        <v>6229</v>
      </c>
      <c r="C3781" s="4"/>
      <c r="D3781" s="14"/>
      <c r="E3781" s="31" t="s">
        <v>9</v>
      </c>
    </row>
    <row r="3782" spans="1:7">
      <c r="A3782" s="6" t="s">
        <v>6230</v>
      </c>
      <c r="B3782" s="3" t="s">
        <v>3960</v>
      </c>
      <c r="C3782" s="4" t="s">
        <v>156</v>
      </c>
      <c r="D3782" s="7">
        <v>26405.5</v>
      </c>
      <c r="E3782" s="31" t="s">
        <v>9</v>
      </c>
      <c r="F3782" s="32">
        <v>18422.4</v>
      </c>
      <c r="G3782" s="33">
        <f>(D3782-F3782)/F3782</f>
        <v>0.433336590237971</v>
      </c>
    </row>
    <row r="3783" spans="1:7">
      <c r="A3783" s="6" t="s">
        <v>6231</v>
      </c>
      <c r="B3783" s="3" t="s">
        <v>6171</v>
      </c>
      <c r="C3783" s="4" t="s">
        <v>156</v>
      </c>
      <c r="D3783" s="7">
        <v>26244.7</v>
      </c>
      <c r="E3783" s="31" t="s">
        <v>9</v>
      </c>
      <c r="F3783" s="32">
        <v>18544.9</v>
      </c>
      <c r="G3783" s="33">
        <f>(D3783-F3783)/F3783</f>
        <v>0.415197709343269</v>
      </c>
    </row>
    <row r="3784" ht="46.5" customHeight="1" spans="1:7">
      <c r="A3784" s="6" t="s">
        <v>6232</v>
      </c>
      <c r="B3784" s="3" t="s">
        <v>6233</v>
      </c>
      <c r="C3784" s="4"/>
      <c r="D3784" s="14"/>
      <c r="E3784" s="31" t="s">
        <v>9</v>
      </c>
    </row>
    <row r="3785" spans="1:7">
      <c r="A3785" s="6" t="s">
        <v>6234</v>
      </c>
      <c r="B3785" s="3" t="s">
        <v>3960</v>
      </c>
      <c r="C3785" s="4" t="s">
        <v>156</v>
      </c>
      <c r="D3785" s="7">
        <v>32857.85</v>
      </c>
      <c r="E3785" s="31" t="s">
        <v>9</v>
      </c>
      <c r="F3785" s="32">
        <v>22983.25</v>
      </c>
      <c r="G3785" s="33">
        <f>(D3785-F3785)/F3785</f>
        <v>0.429643327205682</v>
      </c>
    </row>
    <row r="3786" spans="1:7">
      <c r="A3786" s="6" t="s">
        <v>6235</v>
      </c>
      <c r="B3786" s="3" t="s">
        <v>6171</v>
      </c>
      <c r="C3786" s="4" t="s">
        <v>156</v>
      </c>
      <c r="D3786" s="7">
        <v>32719.5</v>
      </c>
      <c r="E3786" s="31" t="s">
        <v>9</v>
      </c>
      <c r="F3786" s="32">
        <v>23088.6</v>
      </c>
      <c r="G3786" s="33">
        <f>(D3786-F3786)/F3786</f>
        <v>0.417127933265768</v>
      </c>
    </row>
    <row r="3787" spans="1:7">
      <c r="A3787" s="6" t="s">
        <v>6236</v>
      </c>
      <c r="B3787" s="12" t="s">
        <v>6237</v>
      </c>
      <c r="C3787" s="4"/>
      <c r="D3787" s="14"/>
      <c r="E3787" s="31" t="s">
        <v>9</v>
      </c>
    </row>
    <row r="3788" spans="1:7">
      <c r="A3788" s="6" t="s">
        <v>6238</v>
      </c>
      <c r="B3788" s="3" t="s">
        <v>6239</v>
      </c>
      <c r="C3788" s="4"/>
      <c r="D3788" s="14"/>
      <c r="E3788" s="31" t="s">
        <v>9</v>
      </c>
    </row>
    <row r="3789" spans="1:7">
      <c r="A3789" s="6" t="s">
        <v>6240</v>
      </c>
      <c r="B3789" s="3" t="s">
        <v>3960</v>
      </c>
      <c r="C3789" s="4" t="s">
        <v>49</v>
      </c>
      <c r="D3789" s="7">
        <v>8825.4</v>
      </c>
      <c r="E3789" s="31" t="s">
        <v>9</v>
      </c>
      <c r="F3789" s="32">
        <v>5718.6</v>
      </c>
      <c r="G3789" s="33">
        <f>(D3789-F3789)/F3789</f>
        <v>0.543279823733081</v>
      </c>
    </row>
    <row r="3790" spans="1:7">
      <c r="A3790" s="6" t="s">
        <v>6241</v>
      </c>
      <c r="B3790" s="3" t="s">
        <v>6171</v>
      </c>
      <c r="C3790" s="4" t="s">
        <v>49</v>
      </c>
      <c r="D3790" s="7">
        <v>8654.25</v>
      </c>
      <c r="E3790" s="31" t="s">
        <v>9</v>
      </c>
      <c r="F3790" s="32">
        <v>5848.95</v>
      </c>
      <c r="G3790" s="33">
        <f>(D3790-F3790)/F3790</f>
        <v>0.479624547995794</v>
      </c>
    </row>
    <row r="3791" spans="1:7">
      <c r="A3791" s="6" t="s">
        <v>6242</v>
      </c>
      <c r="B3791" s="3" t="s">
        <v>6243</v>
      </c>
      <c r="C3791" s="4"/>
      <c r="D3791" s="14"/>
      <c r="E3791" s="31" t="s">
        <v>9</v>
      </c>
    </row>
    <row r="3792" spans="1:7">
      <c r="A3792" s="6" t="s">
        <v>6244</v>
      </c>
      <c r="B3792" s="3" t="s">
        <v>3960</v>
      </c>
      <c r="C3792" s="4" t="s">
        <v>49</v>
      </c>
      <c r="D3792" s="7">
        <v>10585.5</v>
      </c>
      <c r="E3792" s="31" t="s">
        <v>9</v>
      </c>
      <c r="F3792" s="32">
        <v>6850.7</v>
      </c>
      <c r="G3792" s="33">
        <f>(D3792-F3792)/F3792</f>
        <v>0.545170566511451</v>
      </c>
    </row>
    <row r="3793" spans="1:7">
      <c r="A3793" s="6" t="s">
        <v>6245</v>
      </c>
      <c r="B3793" s="3" t="s">
        <v>6171</v>
      </c>
      <c r="C3793" s="4" t="s">
        <v>49</v>
      </c>
      <c r="D3793" s="7">
        <v>10381.45</v>
      </c>
      <c r="E3793" s="31" t="s">
        <v>9</v>
      </c>
      <c r="F3793" s="32">
        <v>7006.1</v>
      </c>
      <c r="G3793" s="33">
        <f>(D3793-F3793)/F3793</f>
        <v>0.481773026362741</v>
      </c>
    </row>
    <row r="3794" ht="108.5" customHeight="1" spans="1:7">
      <c r="A3794" s="6" t="s">
        <v>6246</v>
      </c>
      <c r="B3794" s="12" t="s">
        <v>6247</v>
      </c>
      <c r="C3794" s="4"/>
      <c r="D3794" s="14"/>
      <c r="E3794" s="31" t="s">
        <v>9</v>
      </c>
    </row>
    <row r="3795" ht="93" customHeight="1" spans="1:7">
      <c r="A3795" s="6" t="s">
        <v>6248</v>
      </c>
      <c r="B3795" s="3" t="s">
        <v>6249</v>
      </c>
      <c r="C3795" s="4"/>
      <c r="D3795" s="14"/>
      <c r="E3795" s="31" t="s">
        <v>9</v>
      </c>
    </row>
    <row r="3796" spans="1:7">
      <c r="A3796" s="6" t="s">
        <v>6250</v>
      </c>
      <c r="B3796" s="3" t="s">
        <v>3960</v>
      </c>
      <c r="C3796" s="4" t="s">
        <v>156</v>
      </c>
      <c r="D3796" s="7">
        <v>12725</v>
      </c>
      <c r="E3796" s="31" t="s">
        <v>9</v>
      </c>
      <c r="F3796" s="32">
        <v>8683.75</v>
      </c>
      <c r="G3796" s="33">
        <f>(D3796-F3796)/F3796</f>
        <v>0.465380739887721</v>
      </c>
    </row>
    <row r="3797" spans="1:7">
      <c r="A3797" s="6" t="s">
        <v>6251</v>
      </c>
      <c r="B3797" s="3" t="s">
        <v>6171</v>
      </c>
      <c r="C3797" s="4" t="s">
        <v>156</v>
      </c>
      <c r="D3797" s="7">
        <v>12600.4</v>
      </c>
      <c r="E3797" s="31" t="s">
        <v>9</v>
      </c>
      <c r="F3797" s="32">
        <v>8743.7</v>
      </c>
      <c r="G3797" s="33">
        <f>(D3797-F3797)/F3797</f>
        <v>0.44108329425758</v>
      </c>
    </row>
    <row r="3798" ht="31" customHeight="1" spans="1:7">
      <c r="A3798" s="6" t="s">
        <v>6252</v>
      </c>
      <c r="B3798" s="12" t="s">
        <v>6253</v>
      </c>
      <c r="C3798" s="4"/>
      <c r="D3798" s="14"/>
      <c r="E3798" s="31" t="s">
        <v>9</v>
      </c>
    </row>
    <row r="3799" spans="1:7">
      <c r="A3799" s="6" t="s">
        <v>6254</v>
      </c>
      <c r="B3799" s="3" t="s">
        <v>3960</v>
      </c>
      <c r="C3799" s="4" t="s">
        <v>49</v>
      </c>
      <c r="D3799" s="7">
        <v>7591.8</v>
      </c>
      <c r="E3799" s="31" t="s">
        <v>9</v>
      </c>
      <c r="F3799" s="32">
        <v>4911.8</v>
      </c>
      <c r="G3799" s="33">
        <f>(D3799-F3799)/F3799</f>
        <v>0.545624821857567</v>
      </c>
    </row>
    <row r="3800" spans="1:7">
      <c r="A3800" s="6" t="s">
        <v>6255</v>
      </c>
      <c r="B3800" s="3" t="s">
        <v>6256</v>
      </c>
      <c r="C3800" s="4" t="s">
        <v>49</v>
      </c>
      <c r="D3800" s="7">
        <v>7448.45</v>
      </c>
      <c r="E3800" s="31" t="s">
        <v>9</v>
      </c>
      <c r="F3800" s="32">
        <v>5020.95</v>
      </c>
      <c r="G3800" s="33">
        <f>(D3800-F3800)/F3800</f>
        <v>0.483474242922156</v>
      </c>
    </row>
    <row r="3801" ht="108.5" customHeight="1" spans="1:7">
      <c r="A3801" s="6" t="s">
        <v>6257</v>
      </c>
      <c r="B3801" s="12" t="s">
        <v>6258</v>
      </c>
      <c r="C3801" s="4"/>
      <c r="D3801" s="14"/>
      <c r="E3801" s="31" t="s">
        <v>9</v>
      </c>
    </row>
    <row r="3802" ht="93" customHeight="1" spans="1:7">
      <c r="A3802" s="6" t="s">
        <v>6259</v>
      </c>
      <c r="B3802" s="3" t="s">
        <v>6260</v>
      </c>
      <c r="C3802" s="4"/>
      <c r="D3802" s="14"/>
      <c r="E3802" s="31" t="s">
        <v>9</v>
      </c>
    </row>
    <row r="3803" spans="1:7">
      <c r="A3803" s="6" t="s">
        <v>6261</v>
      </c>
      <c r="B3803" s="3" t="s">
        <v>3960</v>
      </c>
      <c r="C3803" s="4" t="s">
        <v>156</v>
      </c>
      <c r="D3803" s="7">
        <v>24702.75</v>
      </c>
      <c r="E3803" s="31" t="s">
        <v>9</v>
      </c>
      <c r="F3803" s="32">
        <v>16560.8</v>
      </c>
      <c r="G3803" s="33">
        <f>(D3803-F3803)/F3803</f>
        <v>0.491639896623352</v>
      </c>
    </row>
    <row r="3804" spans="1:7">
      <c r="A3804" s="6" t="s">
        <v>6262</v>
      </c>
      <c r="B3804" s="3" t="s">
        <v>6256</v>
      </c>
      <c r="C3804" s="4" t="s">
        <v>156</v>
      </c>
      <c r="D3804" s="7">
        <v>24446.7</v>
      </c>
      <c r="E3804" s="31" t="s">
        <v>9</v>
      </c>
      <c r="F3804" s="32">
        <v>16720.9</v>
      </c>
      <c r="G3804" s="33">
        <f>(D3804-F3804)/F3804</f>
        <v>0.462044507173657</v>
      </c>
    </row>
    <row r="3805" ht="31" customHeight="1" spans="1:7">
      <c r="A3805" s="6" t="s">
        <v>6263</v>
      </c>
      <c r="B3805" s="12" t="s">
        <v>6264</v>
      </c>
      <c r="C3805" s="4"/>
      <c r="D3805" s="14"/>
      <c r="E3805" s="31" t="s">
        <v>9</v>
      </c>
    </row>
    <row r="3806" spans="1:7">
      <c r="A3806" s="6" t="s">
        <v>6265</v>
      </c>
      <c r="B3806" s="3" t="s">
        <v>3960</v>
      </c>
      <c r="C3806" s="4" t="s">
        <v>49</v>
      </c>
      <c r="D3806" s="7">
        <v>9861.45</v>
      </c>
      <c r="E3806" s="31" t="s">
        <v>9</v>
      </c>
      <c r="F3806" s="32">
        <v>6362.65</v>
      </c>
      <c r="G3806" s="33">
        <f>(D3806-F3806)/F3806</f>
        <v>0.549896662554125</v>
      </c>
    </row>
    <row r="3807" spans="1:7">
      <c r="A3807" s="6" t="s">
        <v>6266</v>
      </c>
      <c r="B3807" s="3" t="s">
        <v>6256</v>
      </c>
      <c r="C3807" s="4" t="s">
        <v>49</v>
      </c>
      <c r="D3807" s="7">
        <v>9674.4</v>
      </c>
      <c r="E3807" s="31" t="s">
        <v>9</v>
      </c>
      <c r="F3807" s="32">
        <v>6505.15</v>
      </c>
      <c r="G3807" s="33">
        <f>(D3807-F3807)/F3807</f>
        <v>0.487190917964997</v>
      </c>
    </row>
    <row r="3808" ht="108.5" customHeight="1" spans="1:7">
      <c r="A3808" s="6" t="s">
        <v>6267</v>
      </c>
      <c r="B3808" s="12" t="s">
        <v>6268</v>
      </c>
      <c r="C3808" s="4"/>
      <c r="D3808" s="14"/>
      <c r="E3808" s="31" t="s">
        <v>9</v>
      </c>
    </row>
    <row r="3809" ht="93" customHeight="1" spans="1:7">
      <c r="A3809" s="6" t="s">
        <v>6269</v>
      </c>
      <c r="B3809" s="3" t="s">
        <v>6270</v>
      </c>
      <c r="C3809" s="4"/>
      <c r="D3809" s="14"/>
      <c r="E3809" s="31" t="s">
        <v>9</v>
      </c>
    </row>
    <row r="3810" spans="1:7">
      <c r="A3810" s="6" t="s">
        <v>6271</v>
      </c>
      <c r="B3810" s="3" t="s">
        <v>3960</v>
      </c>
      <c r="C3810" s="4" t="s">
        <v>156</v>
      </c>
      <c r="D3810" s="7">
        <v>52969.1</v>
      </c>
      <c r="E3810" s="31" t="s">
        <v>9</v>
      </c>
      <c r="F3810" s="32">
        <v>35380.05</v>
      </c>
      <c r="G3810" s="33">
        <f>(D3810-F3810)/F3810</f>
        <v>0.497145990466378</v>
      </c>
    </row>
    <row r="3811" spans="1:7">
      <c r="A3811" s="6" t="s">
        <v>6272</v>
      </c>
      <c r="B3811" s="3" t="s">
        <v>6256</v>
      </c>
      <c r="C3811" s="4" t="s">
        <v>156</v>
      </c>
      <c r="D3811" s="7">
        <v>52266.8</v>
      </c>
      <c r="E3811" s="31" t="s">
        <v>9</v>
      </c>
      <c r="F3811" s="32">
        <v>35845.05</v>
      </c>
      <c r="G3811" s="33">
        <f>(D3811-F3811)/F3811</f>
        <v>0.458131596970851</v>
      </c>
    </row>
    <row r="3812" spans="1:7">
      <c r="A3812" s="6" t="s">
        <v>6273</v>
      </c>
      <c r="B3812" s="12" t="s">
        <v>6274</v>
      </c>
      <c r="C3812" s="4"/>
      <c r="D3812" s="14"/>
      <c r="E3812" s="31" t="s">
        <v>9</v>
      </c>
    </row>
    <row r="3813" spans="1:7">
      <c r="A3813" s="6" t="s">
        <v>6275</v>
      </c>
      <c r="B3813" s="3" t="s">
        <v>3960</v>
      </c>
      <c r="C3813" s="4" t="s">
        <v>49</v>
      </c>
      <c r="D3813" s="7">
        <v>22771.85</v>
      </c>
      <c r="E3813" s="31" t="s">
        <v>9</v>
      </c>
      <c r="F3813" s="32">
        <v>15028.55</v>
      </c>
      <c r="G3813" s="33">
        <f>(D3813-F3813)/F3813</f>
        <v>0.51523932781273</v>
      </c>
    </row>
    <row r="3814" spans="1:7">
      <c r="A3814" s="6" t="s">
        <v>6276</v>
      </c>
      <c r="B3814" s="3" t="s">
        <v>6256</v>
      </c>
      <c r="C3814" s="4" t="s">
        <v>49</v>
      </c>
      <c r="D3814" s="7">
        <v>22288.1</v>
      </c>
      <c r="E3814" s="31" t="s">
        <v>9</v>
      </c>
      <c r="F3814" s="32">
        <v>15397.05</v>
      </c>
      <c r="G3814" s="33">
        <f>(D3814-F3814)/F3814</f>
        <v>0.447556512448813</v>
      </c>
    </row>
    <row r="3815" ht="46.5" customHeight="1" spans="1:7">
      <c r="A3815" s="6" t="s">
        <v>6277</v>
      </c>
      <c r="B3815" s="12" t="s">
        <v>6278</v>
      </c>
      <c r="C3815" s="4"/>
      <c r="D3815" s="14"/>
      <c r="E3815" s="31" t="s">
        <v>9</v>
      </c>
    </row>
    <row r="3816" spans="1:7">
      <c r="A3816" s="6" t="s">
        <v>6279</v>
      </c>
      <c r="B3816" s="3" t="s">
        <v>6280</v>
      </c>
      <c r="C3816" s="4" t="s">
        <v>156</v>
      </c>
      <c r="D3816" s="7">
        <v>544.7</v>
      </c>
      <c r="E3816" s="31" t="s">
        <v>9</v>
      </c>
      <c r="F3816" s="32">
        <v>267.95</v>
      </c>
      <c r="G3816" s="33">
        <f>(D3816-F3816)/F3816</f>
        <v>1.03284194812465</v>
      </c>
    </row>
    <row r="3817" spans="1:7">
      <c r="A3817" s="6" t="s">
        <v>6281</v>
      </c>
      <c r="B3817" s="3" t="s">
        <v>6282</v>
      </c>
      <c r="C3817" s="4" t="s">
        <v>156</v>
      </c>
      <c r="D3817" s="7">
        <v>496.5</v>
      </c>
      <c r="E3817" s="31" t="s">
        <v>9</v>
      </c>
      <c r="F3817" s="32">
        <v>240.25</v>
      </c>
      <c r="G3817" s="33">
        <f>(D3817-F3817)/F3817</f>
        <v>1.06659729448491</v>
      </c>
    </row>
    <row r="3818" ht="155" customHeight="1" spans="1:7">
      <c r="A3818" s="6" t="s">
        <v>6283</v>
      </c>
      <c r="B3818" s="12" t="s">
        <v>6284</v>
      </c>
      <c r="C3818" s="4" t="s">
        <v>156</v>
      </c>
      <c r="D3818" s="7">
        <v>553.7</v>
      </c>
      <c r="E3818" s="31" t="s">
        <v>9</v>
      </c>
      <c r="F3818" s="32">
        <v>327.9</v>
      </c>
      <c r="G3818" s="33">
        <f>(D3818-F3818)/F3818</f>
        <v>0.688624580664837</v>
      </c>
    </row>
    <row r="3819" ht="46.5" customHeight="1" spans="1:7">
      <c r="A3819" s="6" t="s">
        <v>6285</v>
      </c>
      <c r="B3819" s="12" t="s">
        <v>6286</v>
      </c>
      <c r="C3819" s="4"/>
      <c r="D3819" s="14"/>
      <c r="E3819" s="31" t="s">
        <v>9</v>
      </c>
    </row>
    <row r="3820" spans="1:7">
      <c r="A3820" s="6" t="s">
        <v>6287</v>
      </c>
      <c r="B3820" s="3" t="s">
        <v>6280</v>
      </c>
      <c r="C3820" s="4" t="s">
        <v>156</v>
      </c>
      <c r="D3820" s="7">
        <v>670.2</v>
      </c>
      <c r="E3820" s="31" t="s">
        <v>9</v>
      </c>
      <c r="F3820" s="32">
        <v>321.9</v>
      </c>
      <c r="G3820" s="33">
        <f>(D3820-F3820)/F3820</f>
        <v>1.08201304753029</v>
      </c>
    </row>
    <row r="3821" spans="1:7">
      <c r="A3821" s="6" t="s">
        <v>6288</v>
      </c>
      <c r="B3821" s="3" t="s">
        <v>6282</v>
      </c>
      <c r="C3821" s="4" t="s">
        <v>156</v>
      </c>
      <c r="D3821" s="7">
        <v>621.95</v>
      </c>
      <c r="E3821" s="31" t="s">
        <v>9</v>
      </c>
      <c r="F3821" s="32">
        <v>294.2</v>
      </c>
      <c r="G3821" s="33">
        <f>(D3821-F3821)/F3821</f>
        <v>1.11403806934058</v>
      </c>
    </row>
    <row r="3822" spans="1:7">
      <c r="A3822" s="6" t="s">
        <v>6289</v>
      </c>
      <c r="B3822" s="12" t="s">
        <v>6290</v>
      </c>
      <c r="C3822" s="4"/>
      <c r="D3822" s="14"/>
      <c r="E3822" s="31" t="s">
        <v>9</v>
      </c>
    </row>
    <row r="3823" ht="31" customHeight="1" spans="1:7">
      <c r="A3823" s="6" t="s">
        <v>6291</v>
      </c>
      <c r="B3823" s="3" t="s">
        <v>6292</v>
      </c>
      <c r="C3823" s="4" t="s">
        <v>156</v>
      </c>
      <c r="D3823" s="7">
        <v>1358</v>
      </c>
      <c r="E3823" s="31" t="s">
        <v>9</v>
      </c>
      <c r="F3823" s="32">
        <v>1227.15</v>
      </c>
      <c r="G3823" s="33">
        <f>(D3823-F3823)/F3823</f>
        <v>0.106629181436662</v>
      </c>
    </row>
    <row r="3824" ht="31" customHeight="1" spans="1:7">
      <c r="A3824" s="6" t="s">
        <v>6293</v>
      </c>
      <c r="B3824" s="3" t="s">
        <v>6294</v>
      </c>
      <c r="C3824" s="4" t="s">
        <v>156</v>
      </c>
      <c r="D3824" s="7">
        <v>3441.2</v>
      </c>
      <c r="E3824" s="31" t="s">
        <v>9</v>
      </c>
      <c r="F3824" s="32">
        <v>2749.8</v>
      </c>
      <c r="G3824" s="33">
        <f>(D3824-F3824)/F3824</f>
        <v>0.251436468106771</v>
      </c>
    </row>
    <row r="3825" spans="1:7">
      <c r="A3825" s="6" t="s">
        <v>6295</v>
      </c>
      <c r="B3825" s="3" t="s">
        <v>6296</v>
      </c>
      <c r="C3825" s="4" t="s">
        <v>156</v>
      </c>
      <c r="D3825" s="7">
        <v>7575.4</v>
      </c>
      <c r="E3825" s="31" t="s">
        <v>9</v>
      </c>
      <c r="F3825" s="32">
        <v>5891.2</v>
      </c>
      <c r="G3825" s="33">
        <f>(D3825-F3825)/F3825</f>
        <v>0.285884030418251</v>
      </c>
    </row>
    <row r="3826" ht="31" customHeight="1" spans="1:7">
      <c r="A3826" s="6" t="s">
        <v>6297</v>
      </c>
      <c r="B3826" s="12" t="s">
        <v>6298</v>
      </c>
      <c r="C3826" s="4"/>
      <c r="D3826" s="14"/>
      <c r="E3826" s="31" t="s">
        <v>9</v>
      </c>
    </row>
    <row r="3827" spans="1:7">
      <c r="A3827" s="6" t="s">
        <v>6299</v>
      </c>
      <c r="B3827" s="3" t="s">
        <v>6300</v>
      </c>
      <c r="C3827" s="4"/>
      <c r="D3827" s="14"/>
      <c r="E3827" s="31" t="s">
        <v>9</v>
      </c>
    </row>
    <row r="3828" spans="1:7">
      <c r="A3828" s="6" t="s">
        <v>6301</v>
      </c>
      <c r="B3828" s="3" t="s">
        <v>6302</v>
      </c>
      <c r="C3828" s="4" t="s">
        <v>156</v>
      </c>
      <c r="D3828" s="7">
        <v>1437.65</v>
      </c>
      <c r="E3828" s="31" t="s">
        <v>9</v>
      </c>
      <c r="F3828" s="32">
        <v>1073.05</v>
      </c>
      <c r="G3828" s="33">
        <f>(D3828-F3828)/F3828</f>
        <v>0.339779134243512</v>
      </c>
    </row>
    <row r="3829" spans="1:7">
      <c r="A3829" s="6" t="s">
        <v>6303</v>
      </c>
      <c r="B3829" s="3" t="s">
        <v>6304</v>
      </c>
      <c r="C3829" s="4" t="s">
        <v>156</v>
      </c>
      <c r="D3829" s="7">
        <v>1155.45</v>
      </c>
      <c r="E3829" s="31" t="s">
        <v>9</v>
      </c>
      <c r="F3829" s="32">
        <v>902.1</v>
      </c>
      <c r="G3829" s="33">
        <f>(D3829-F3829)/F3829</f>
        <v>0.28084469571001</v>
      </c>
    </row>
    <row r="3830" spans="1:7">
      <c r="A3830" s="6" t="s">
        <v>6305</v>
      </c>
      <c r="B3830" s="3" t="s">
        <v>6306</v>
      </c>
      <c r="C3830" s="4" t="s">
        <v>156</v>
      </c>
      <c r="D3830" s="7">
        <v>1169.65</v>
      </c>
      <c r="E3830" s="31" t="s">
        <v>9</v>
      </c>
      <c r="F3830" s="32">
        <v>902.1</v>
      </c>
      <c r="G3830" s="33">
        <f>(D3830-F3830)/F3830</f>
        <v>0.296585744374238</v>
      </c>
    </row>
    <row r="3831" spans="1:7">
      <c r="A3831" s="6" t="s">
        <v>6307</v>
      </c>
      <c r="B3831" s="3" t="s">
        <v>6308</v>
      </c>
      <c r="C3831" s="4"/>
      <c r="D3831" s="14"/>
      <c r="E3831" s="31" t="s">
        <v>9</v>
      </c>
    </row>
    <row r="3832" spans="1:7">
      <c r="A3832" s="6" t="s">
        <v>6309</v>
      </c>
      <c r="B3832" s="3" t="s">
        <v>6310</v>
      </c>
      <c r="C3832" s="4" t="s">
        <v>156</v>
      </c>
      <c r="D3832" s="7">
        <v>1386.55</v>
      </c>
      <c r="E3832" s="31" t="s">
        <v>9</v>
      </c>
      <c r="F3832" s="32">
        <v>1079.35</v>
      </c>
      <c r="G3832" s="33">
        <f>(D3832-F3832)/F3832</f>
        <v>0.284615740955205</v>
      </c>
    </row>
    <row r="3833" spans="1:7">
      <c r="A3833" s="6" t="s">
        <v>6311</v>
      </c>
      <c r="B3833" s="3" t="s">
        <v>6312</v>
      </c>
      <c r="C3833" s="4" t="s">
        <v>156</v>
      </c>
      <c r="D3833" s="7">
        <v>1172.6</v>
      </c>
      <c r="E3833" s="31" t="s">
        <v>9</v>
      </c>
      <c r="F3833" s="32">
        <v>908.35</v>
      </c>
      <c r="G3833" s="33">
        <f>(D3833-F3833)/F3833</f>
        <v>0.290912093356085</v>
      </c>
    </row>
    <row r="3834" spans="1:7">
      <c r="A3834" s="6" t="s">
        <v>6313</v>
      </c>
      <c r="B3834" s="3" t="s">
        <v>6314</v>
      </c>
      <c r="C3834" s="4"/>
      <c r="D3834" s="14"/>
      <c r="E3834" s="31" t="s">
        <v>9</v>
      </c>
    </row>
    <row r="3835" spans="1:7">
      <c r="A3835" s="6" t="s">
        <v>6315</v>
      </c>
      <c r="B3835" s="3" t="s">
        <v>6316</v>
      </c>
      <c r="C3835" s="4" t="s">
        <v>156</v>
      </c>
      <c r="D3835" s="7">
        <v>1675.7</v>
      </c>
      <c r="E3835" s="31" t="s">
        <v>9</v>
      </c>
      <c r="F3835" s="32">
        <v>1300.95</v>
      </c>
      <c r="G3835" s="33">
        <f>(D3835-F3835)/F3835</f>
        <v>0.288058726315385</v>
      </c>
    </row>
    <row r="3836" spans="1:7">
      <c r="A3836" s="6" t="s">
        <v>6317</v>
      </c>
      <c r="B3836" s="3" t="s">
        <v>6318</v>
      </c>
      <c r="C3836" s="4"/>
      <c r="D3836" s="14"/>
      <c r="E3836" s="31" t="s">
        <v>9</v>
      </c>
    </row>
    <row r="3837" spans="1:7">
      <c r="A3837" s="6" t="s">
        <v>6319</v>
      </c>
      <c r="B3837" s="3" t="s">
        <v>6320</v>
      </c>
      <c r="C3837" s="4" t="s">
        <v>156</v>
      </c>
      <c r="D3837" s="7">
        <v>2123.8</v>
      </c>
      <c r="E3837" s="31" t="s">
        <v>9</v>
      </c>
      <c r="F3837" s="32">
        <v>1655.2</v>
      </c>
      <c r="G3837" s="33">
        <f>(D3837-F3837)/F3837</f>
        <v>0.283107781536974</v>
      </c>
    </row>
    <row r="3838" ht="31" customHeight="1" spans="1:7">
      <c r="A3838" s="6" t="s">
        <v>6321</v>
      </c>
      <c r="B3838" s="12" t="s">
        <v>6322</v>
      </c>
      <c r="C3838" s="4" t="s">
        <v>156</v>
      </c>
      <c r="D3838" s="7">
        <v>787</v>
      </c>
      <c r="E3838" s="31" t="s">
        <v>9</v>
      </c>
      <c r="F3838" s="32">
        <v>279.6</v>
      </c>
      <c r="G3838" s="33">
        <f>(D3838-F3838)/F3838</f>
        <v>1.81473533619456</v>
      </c>
    </row>
    <row r="3839" ht="77.5" customHeight="1" spans="1:7">
      <c r="A3839" s="6" t="s">
        <v>6323</v>
      </c>
      <c r="B3839" s="12" t="s">
        <v>6324</v>
      </c>
      <c r="C3839" s="4"/>
      <c r="D3839" s="14"/>
      <c r="E3839" s="31" t="s">
        <v>9</v>
      </c>
    </row>
    <row r="3840" spans="1:7">
      <c r="A3840" s="6" t="s">
        <v>6325</v>
      </c>
      <c r="B3840" s="3" t="s">
        <v>6326</v>
      </c>
      <c r="C3840" s="4" t="s">
        <v>156</v>
      </c>
      <c r="D3840" s="7">
        <v>810.45</v>
      </c>
      <c r="E3840" s="31" t="s">
        <v>9</v>
      </c>
      <c r="F3840" s="32">
        <v>391.15</v>
      </c>
      <c r="G3840" s="33">
        <f>(D3840-F3840)/F3840</f>
        <v>1.07196727598108</v>
      </c>
    </row>
    <row r="3841" spans="1:7">
      <c r="A3841" s="6" t="s">
        <v>6327</v>
      </c>
      <c r="B3841" s="3" t="s">
        <v>6328</v>
      </c>
      <c r="C3841" s="4" t="s">
        <v>156</v>
      </c>
      <c r="D3841" s="7">
        <v>922.4</v>
      </c>
      <c r="E3841" s="31" t="s">
        <v>9</v>
      </c>
      <c r="F3841" s="32">
        <v>463.45</v>
      </c>
      <c r="G3841" s="33">
        <f>(D3841-F3841)/F3841</f>
        <v>0.990290214694142</v>
      </c>
    </row>
    <row r="3842" spans="1:7">
      <c r="A3842" s="6" t="s">
        <v>6329</v>
      </c>
      <c r="B3842" s="3" t="s">
        <v>6330</v>
      </c>
      <c r="C3842" s="4" t="s">
        <v>156</v>
      </c>
      <c r="D3842" s="7">
        <v>1328.45</v>
      </c>
      <c r="E3842" s="31" t="s">
        <v>9</v>
      </c>
      <c r="F3842" s="32">
        <v>674.15</v>
      </c>
      <c r="G3842" s="33">
        <f>(D3842-F3842)/F3842</f>
        <v>0.970555514351406</v>
      </c>
    </row>
    <row r="3843" ht="155" customHeight="1" spans="1:7">
      <c r="A3843" s="6" t="s">
        <v>6331</v>
      </c>
      <c r="B3843" s="12" t="s">
        <v>6332</v>
      </c>
      <c r="C3843" s="4"/>
      <c r="D3843" s="14"/>
      <c r="E3843" s="31" t="s">
        <v>9</v>
      </c>
    </row>
    <row r="3844" spans="1:7">
      <c r="A3844" s="6" t="s">
        <v>6333</v>
      </c>
      <c r="B3844" s="3" t="s">
        <v>6334</v>
      </c>
      <c r="C3844" s="4" t="s">
        <v>156</v>
      </c>
      <c r="D3844" s="7">
        <v>12172.05</v>
      </c>
      <c r="E3844" s="31" t="s">
        <v>9</v>
      </c>
      <c r="F3844" s="32">
        <v>6637.6</v>
      </c>
      <c r="G3844" s="33">
        <f>(D3844-F3844)/F3844</f>
        <v>0.833802880559238</v>
      </c>
    </row>
    <row r="3845" spans="1:7">
      <c r="A3845" s="6" t="s">
        <v>6335</v>
      </c>
      <c r="B3845" s="3" t="s">
        <v>6336</v>
      </c>
      <c r="C3845" s="4" t="s">
        <v>156</v>
      </c>
      <c r="D3845" s="7">
        <v>16577.8</v>
      </c>
      <c r="E3845" s="31" t="s">
        <v>9</v>
      </c>
      <c r="F3845" s="32">
        <v>8902.1</v>
      </c>
      <c r="G3845" s="33">
        <f>(D3845-F3845)/F3845</f>
        <v>0.862234753597466</v>
      </c>
    </row>
    <row r="3846" spans="1:7">
      <c r="A3846" s="6" t="s">
        <v>6337</v>
      </c>
      <c r="B3846" s="12" t="s">
        <v>6338</v>
      </c>
      <c r="C3846" s="4"/>
      <c r="D3846" s="14"/>
      <c r="E3846" s="31" t="s">
        <v>9</v>
      </c>
    </row>
    <row r="3847" spans="1:7">
      <c r="A3847" s="6" t="s">
        <v>6339</v>
      </c>
      <c r="B3847" s="3" t="s">
        <v>6340</v>
      </c>
      <c r="C3847" s="4" t="s">
        <v>49</v>
      </c>
      <c r="D3847" s="7">
        <v>3240.45</v>
      </c>
      <c r="E3847" s="31" t="s">
        <v>9</v>
      </c>
      <c r="F3847" s="32">
        <v>1969.6</v>
      </c>
      <c r="G3847" s="33">
        <f>(D3847-F3847)/F3847</f>
        <v>0.645232534524777</v>
      </c>
    </row>
    <row r="3848" spans="1:7">
      <c r="A3848" s="6" t="s">
        <v>6341</v>
      </c>
      <c r="B3848" s="3" t="s">
        <v>6342</v>
      </c>
      <c r="C3848" s="4" t="s">
        <v>49</v>
      </c>
      <c r="D3848" s="7">
        <v>4126.9</v>
      </c>
      <c r="E3848" s="31" t="s">
        <v>9</v>
      </c>
      <c r="F3848" s="32">
        <v>2589</v>
      </c>
      <c r="G3848" s="33">
        <f>(D3848-F3848)/F3848</f>
        <v>0.594013132483584</v>
      </c>
    </row>
    <row r="3849" ht="46.5" customHeight="1" spans="1:7">
      <c r="A3849" s="6" t="s">
        <v>6343</v>
      </c>
      <c r="B3849" s="12" t="s">
        <v>6344</v>
      </c>
      <c r="C3849" s="4"/>
      <c r="D3849" s="14"/>
      <c r="E3849" s="31" t="s">
        <v>9</v>
      </c>
    </row>
    <row r="3850" spans="1:7">
      <c r="A3850" s="6" t="s">
        <v>6345</v>
      </c>
      <c r="B3850" s="3" t="s">
        <v>6346</v>
      </c>
      <c r="C3850" s="4" t="s">
        <v>156</v>
      </c>
      <c r="D3850" s="7">
        <v>2540.85</v>
      </c>
      <c r="E3850" s="31" t="s">
        <v>9</v>
      </c>
      <c r="F3850" s="32">
        <v>1044.95</v>
      </c>
      <c r="G3850" s="33">
        <f>(D3850-F3850)/F3850</f>
        <v>1.43155174888751</v>
      </c>
    </row>
    <row r="3851" spans="1:7">
      <c r="A3851" s="6" t="s">
        <v>6347</v>
      </c>
      <c r="B3851" s="3" t="s">
        <v>6348</v>
      </c>
      <c r="C3851" s="4" t="s">
        <v>156</v>
      </c>
      <c r="D3851" s="7">
        <v>4475.5</v>
      </c>
      <c r="E3851" s="31" t="s">
        <v>9</v>
      </c>
      <c r="F3851" s="32">
        <v>1836.6</v>
      </c>
      <c r="G3851" s="33">
        <f>(D3851-F3851)/F3851</f>
        <v>1.43683981269738</v>
      </c>
    </row>
    <row r="3852" spans="1:7">
      <c r="A3852" s="6" t="s">
        <v>6349</v>
      </c>
      <c r="B3852" s="3" t="s">
        <v>6350</v>
      </c>
      <c r="C3852" s="4" t="s">
        <v>156</v>
      </c>
      <c r="D3852" s="7">
        <v>8466.4</v>
      </c>
      <c r="E3852" s="31" t="s">
        <v>9</v>
      </c>
      <c r="F3852" s="32">
        <v>3474.5</v>
      </c>
      <c r="G3852" s="33">
        <f>(D3852-F3852)/F3852</f>
        <v>1.43672470859116</v>
      </c>
    </row>
    <row r="3853" spans="1:7">
      <c r="A3853" s="6" t="s">
        <v>6351</v>
      </c>
      <c r="B3853" s="3" t="s">
        <v>6352</v>
      </c>
      <c r="C3853" s="4" t="s">
        <v>156</v>
      </c>
      <c r="D3853" s="7">
        <v>6472.4</v>
      </c>
      <c r="E3853" s="31" t="s">
        <v>9</v>
      </c>
      <c r="F3853" s="32">
        <v>2660.05</v>
      </c>
      <c r="G3853" s="33">
        <f>(D3853-F3853)/F3853</f>
        <v>1.43318734610252</v>
      </c>
    </row>
    <row r="3854" spans="1:7">
      <c r="A3854" s="6" t="s">
        <v>6353</v>
      </c>
      <c r="B3854" s="12" t="s">
        <v>6354</v>
      </c>
      <c r="C3854" s="4"/>
      <c r="D3854" s="14"/>
      <c r="E3854" s="31" t="s">
        <v>9</v>
      </c>
    </row>
    <row r="3855" spans="1:7">
      <c r="A3855" s="6" t="s">
        <v>6355</v>
      </c>
      <c r="B3855" s="3" t="s">
        <v>6356</v>
      </c>
      <c r="C3855" s="4" t="s">
        <v>49</v>
      </c>
      <c r="D3855" s="7">
        <v>2045.5</v>
      </c>
      <c r="E3855" s="31" t="s">
        <v>9</v>
      </c>
      <c r="F3855" s="32">
        <v>838</v>
      </c>
      <c r="G3855" s="33">
        <f>(D3855-F3855)/F3855</f>
        <v>1.4409307875895</v>
      </c>
    </row>
    <row r="3856" spans="1:7">
      <c r="A3856" s="6" t="s">
        <v>6357</v>
      </c>
      <c r="B3856" s="3" t="s">
        <v>6358</v>
      </c>
      <c r="C3856" s="4" t="s">
        <v>49</v>
      </c>
      <c r="D3856" s="7">
        <v>2436.9</v>
      </c>
      <c r="E3856" s="31" t="s">
        <v>9</v>
      </c>
      <c r="F3856" s="32">
        <v>998.1</v>
      </c>
      <c r="G3856" s="33">
        <f>(D3856-F3856)/F3856</f>
        <v>1.44153892395552</v>
      </c>
    </row>
    <row r="3857" spans="1:7">
      <c r="A3857" s="6" t="s">
        <v>6359</v>
      </c>
      <c r="B3857" s="3" t="s">
        <v>6360</v>
      </c>
      <c r="C3857" s="4" t="s">
        <v>49</v>
      </c>
      <c r="D3857" s="7">
        <v>1975.85</v>
      </c>
      <c r="E3857" s="31" t="s">
        <v>9</v>
      </c>
      <c r="F3857" s="32">
        <v>808.4</v>
      </c>
      <c r="G3857" s="33">
        <f>(D3857-F3857)/F3857</f>
        <v>1.44414893617021</v>
      </c>
    </row>
    <row r="3858" spans="1:7">
      <c r="A3858" s="6" t="s">
        <v>6361</v>
      </c>
      <c r="B3858" s="3" t="s">
        <v>6362</v>
      </c>
      <c r="C3858" s="4" t="s">
        <v>49</v>
      </c>
      <c r="D3858" s="7">
        <v>2229.2</v>
      </c>
      <c r="E3858" s="31" t="s">
        <v>9</v>
      </c>
      <c r="F3858" s="32">
        <v>911.95</v>
      </c>
      <c r="G3858" s="33">
        <f>(D3858-F3858)/F3858</f>
        <v>1.4444322605406</v>
      </c>
    </row>
    <row r="3859" ht="46.5" customHeight="1" spans="1:7">
      <c r="A3859" s="6" t="s">
        <v>6363</v>
      </c>
      <c r="B3859" s="12" t="s">
        <v>6364</v>
      </c>
      <c r="C3859" s="4"/>
      <c r="D3859" s="14"/>
      <c r="E3859" s="31" t="s">
        <v>9</v>
      </c>
    </row>
    <row r="3860" spans="1:7">
      <c r="A3860" s="6" t="s">
        <v>6365</v>
      </c>
      <c r="B3860" s="3" t="s">
        <v>6366</v>
      </c>
      <c r="C3860" s="4" t="s">
        <v>156</v>
      </c>
      <c r="D3860" s="7">
        <v>2625.5</v>
      </c>
      <c r="E3860" s="31" t="s">
        <v>9</v>
      </c>
      <c r="F3860" s="32">
        <v>1735.3</v>
      </c>
      <c r="G3860" s="33">
        <f>(D3860-F3860)/F3860</f>
        <v>0.512994871203826</v>
      </c>
    </row>
    <row r="3861" spans="1:7">
      <c r="A3861" s="6" t="s">
        <v>6367</v>
      </c>
      <c r="B3861" s="3" t="s">
        <v>6368</v>
      </c>
      <c r="C3861" s="4" t="s">
        <v>156</v>
      </c>
      <c r="D3861" s="7">
        <v>4168.05</v>
      </c>
      <c r="E3861" s="31" t="s">
        <v>9</v>
      </c>
      <c r="F3861" s="32">
        <v>2719.2</v>
      </c>
      <c r="G3861" s="33">
        <f>(D3861-F3861)/F3861</f>
        <v>0.532822153574581</v>
      </c>
    </row>
    <row r="3862" spans="1:7">
      <c r="A3862" s="6" t="s">
        <v>6369</v>
      </c>
      <c r="B3862" s="3" t="s">
        <v>6370</v>
      </c>
      <c r="C3862" s="4" t="s">
        <v>156</v>
      </c>
      <c r="D3862" s="7">
        <v>3881.5</v>
      </c>
      <c r="E3862" s="31" t="s">
        <v>9</v>
      </c>
      <c r="F3862" s="32">
        <v>2528.5</v>
      </c>
      <c r="G3862" s="33">
        <f>(D3862-F3862)/F3862</f>
        <v>0.535099861578011</v>
      </c>
    </row>
    <row r="3863" spans="1:7">
      <c r="A3863" s="6" t="s">
        <v>6371</v>
      </c>
      <c r="B3863" s="3" t="s">
        <v>6372</v>
      </c>
      <c r="C3863" s="4" t="s">
        <v>156</v>
      </c>
      <c r="D3863" s="7">
        <v>320.15</v>
      </c>
      <c r="E3863" s="31" t="s">
        <v>9</v>
      </c>
      <c r="F3863" s="32">
        <v>217</v>
      </c>
      <c r="G3863" s="33">
        <f>(D3863-F3863)/F3863</f>
        <v>0.475345622119816</v>
      </c>
    </row>
    <row r="3864" ht="46.5" customHeight="1" spans="1:7">
      <c r="A3864" s="6" t="s">
        <v>6373</v>
      </c>
      <c r="B3864" s="12" t="s">
        <v>6374</v>
      </c>
      <c r="C3864" s="4"/>
      <c r="D3864" s="14"/>
      <c r="E3864" s="31" t="s">
        <v>9</v>
      </c>
    </row>
    <row r="3865" spans="1:7">
      <c r="A3865" s="6" t="s">
        <v>6375</v>
      </c>
      <c r="B3865" s="3" t="s">
        <v>3960</v>
      </c>
      <c r="C3865" s="4" t="s">
        <v>156</v>
      </c>
      <c r="D3865" s="7">
        <v>5957.9</v>
      </c>
      <c r="E3865" s="31" t="s">
        <v>9</v>
      </c>
      <c r="F3865" s="32">
        <v>4043.1</v>
      </c>
      <c r="G3865" s="33">
        <f>(D3865-F3865)/F3865</f>
        <v>0.473596992406817</v>
      </c>
    </row>
    <row r="3866" ht="46.5" customHeight="1" spans="1:7">
      <c r="A3866" s="6" t="s">
        <v>6376</v>
      </c>
      <c r="B3866" s="12" t="s">
        <v>6377</v>
      </c>
      <c r="C3866" s="4"/>
      <c r="D3866" s="14"/>
      <c r="E3866" s="31" t="s">
        <v>9</v>
      </c>
    </row>
    <row r="3867" spans="1:7">
      <c r="A3867" s="6" t="s">
        <v>6378</v>
      </c>
      <c r="B3867" s="3" t="s">
        <v>3960</v>
      </c>
      <c r="C3867" s="4" t="s">
        <v>156</v>
      </c>
      <c r="D3867" s="7">
        <v>6889.8</v>
      </c>
      <c r="E3867" s="31" t="s">
        <v>9</v>
      </c>
      <c r="F3867" s="32">
        <v>4384.5</v>
      </c>
      <c r="G3867" s="33">
        <f>(D3867-F3867)/F3867</f>
        <v>0.571399247348614</v>
      </c>
    </row>
    <row r="3868" ht="46.5" customHeight="1" spans="1:7">
      <c r="A3868" s="6" t="s">
        <v>6379</v>
      </c>
      <c r="B3868" s="12" t="s">
        <v>6380</v>
      </c>
      <c r="C3868" s="4"/>
      <c r="D3868" s="14"/>
      <c r="E3868" s="31" t="s">
        <v>9</v>
      </c>
    </row>
    <row r="3869" spans="1:7">
      <c r="A3869" s="6" t="s">
        <v>6381</v>
      </c>
      <c r="B3869" s="3" t="s">
        <v>3960</v>
      </c>
      <c r="C3869" s="4" t="s">
        <v>156</v>
      </c>
      <c r="D3869" s="7">
        <v>11520.55</v>
      </c>
      <c r="E3869" s="31" t="s">
        <v>9</v>
      </c>
      <c r="F3869" s="32">
        <v>7522.15</v>
      </c>
      <c r="G3869" s="33">
        <f>(D3869-F3869)/F3869</f>
        <v>0.531550155208285</v>
      </c>
    </row>
    <row r="3870" ht="139.5" customHeight="1" spans="1:7">
      <c r="A3870" s="6" t="s">
        <v>6382</v>
      </c>
      <c r="B3870" s="12" t="s">
        <v>6383</v>
      </c>
      <c r="C3870" s="4"/>
      <c r="D3870" s="14"/>
      <c r="E3870" s="31" t="s">
        <v>9</v>
      </c>
    </row>
    <row r="3871" spans="1:7">
      <c r="A3871" s="6" t="s">
        <v>6384</v>
      </c>
      <c r="B3871" s="3" t="s">
        <v>6385</v>
      </c>
      <c r="C3871" s="4"/>
      <c r="D3871" s="14"/>
      <c r="E3871" s="31" t="s">
        <v>9</v>
      </c>
    </row>
    <row r="3872" spans="1:7">
      <c r="A3872" s="6" t="s">
        <v>6386</v>
      </c>
      <c r="B3872" s="3" t="s">
        <v>3960</v>
      </c>
      <c r="C3872" s="4" t="s">
        <v>156</v>
      </c>
      <c r="D3872" s="7">
        <v>6937.9</v>
      </c>
      <c r="E3872" s="31" t="s">
        <v>9</v>
      </c>
      <c r="F3872" s="32">
        <v>4777.35</v>
      </c>
      <c r="G3872" s="33">
        <f>(D3872-F3872)/F3872</f>
        <v>0.452248631563524</v>
      </c>
    </row>
    <row r="3873" spans="1:7">
      <c r="A3873" s="6" t="s">
        <v>6387</v>
      </c>
      <c r="B3873" s="3" t="s">
        <v>6388</v>
      </c>
      <c r="C3873" s="4"/>
      <c r="D3873" s="14"/>
      <c r="E3873" s="31" t="s">
        <v>9</v>
      </c>
    </row>
    <row r="3874" spans="1:7">
      <c r="A3874" s="6" t="s">
        <v>6389</v>
      </c>
      <c r="B3874" s="3" t="s">
        <v>3960</v>
      </c>
      <c r="C3874" s="4" t="s">
        <v>156</v>
      </c>
      <c r="D3874" s="7">
        <v>8150.5</v>
      </c>
      <c r="E3874" s="31" t="s">
        <v>9</v>
      </c>
      <c r="F3874" s="32">
        <v>5466.7</v>
      </c>
      <c r="G3874" s="33">
        <f>(D3874-F3874)/F3874</f>
        <v>0.490936030877861</v>
      </c>
    </row>
    <row r="3875" spans="1:7">
      <c r="A3875" s="6" t="s">
        <v>6390</v>
      </c>
      <c r="B3875" s="3" t="s">
        <v>6391</v>
      </c>
      <c r="C3875" s="4"/>
      <c r="D3875" s="14"/>
      <c r="E3875" s="31" t="s">
        <v>9</v>
      </c>
    </row>
    <row r="3876" spans="1:7">
      <c r="A3876" s="6" t="s">
        <v>6392</v>
      </c>
      <c r="B3876" s="3" t="s">
        <v>3960</v>
      </c>
      <c r="C3876" s="4" t="s">
        <v>156</v>
      </c>
      <c r="D3876" s="7">
        <v>9594.35</v>
      </c>
      <c r="E3876" s="31" t="s">
        <v>9</v>
      </c>
      <c r="F3876" s="32">
        <v>6350.45</v>
      </c>
      <c r="G3876" s="33">
        <f>(D3876-F3876)/F3876</f>
        <v>0.510814194269698</v>
      </c>
    </row>
    <row r="3877" spans="1:7">
      <c r="A3877" s="6" t="s">
        <v>6393</v>
      </c>
      <c r="B3877" s="12" t="s">
        <v>6394</v>
      </c>
      <c r="C3877" s="4"/>
      <c r="D3877" s="14"/>
      <c r="E3877" s="31" t="s">
        <v>9</v>
      </c>
    </row>
    <row r="3878" spans="1:7">
      <c r="A3878" s="6" t="s">
        <v>6395</v>
      </c>
      <c r="B3878" s="3" t="s">
        <v>6396</v>
      </c>
      <c r="C3878" s="4"/>
      <c r="D3878" s="14"/>
      <c r="E3878" s="31" t="s">
        <v>9</v>
      </c>
    </row>
    <row r="3879" spans="1:7">
      <c r="A3879" s="6" t="s">
        <v>6397</v>
      </c>
      <c r="B3879" s="3" t="s">
        <v>3960</v>
      </c>
      <c r="C3879" s="4" t="s">
        <v>49</v>
      </c>
      <c r="D3879" s="7">
        <v>6117</v>
      </c>
      <c r="E3879" s="31" t="s">
        <v>9</v>
      </c>
      <c r="F3879" s="32">
        <v>3979.1</v>
      </c>
      <c r="G3879" s="33">
        <f>(D3879-F3879)/F3879</f>
        <v>0.537282300017592</v>
      </c>
    </row>
    <row r="3880" spans="1:7">
      <c r="A3880" s="6" t="s">
        <v>6398</v>
      </c>
      <c r="B3880" s="3" t="s">
        <v>6399</v>
      </c>
      <c r="C3880" s="4"/>
      <c r="D3880" s="14"/>
      <c r="E3880" s="31" t="s">
        <v>9</v>
      </c>
    </row>
    <row r="3881" spans="1:7">
      <c r="A3881" s="6" t="s">
        <v>6400</v>
      </c>
      <c r="B3881" s="3" t="s">
        <v>3960</v>
      </c>
      <c r="C3881" s="4" t="s">
        <v>49</v>
      </c>
      <c r="D3881" s="7">
        <v>6680.6</v>
      </c>
      <c r="E3881" s="31" t="s">
        <v>9</v>
      </c>
      <c r="F3881" s="32">
        <v>4340.7</v>
      </c>
      <c r="G3881" s="33">
        <f>(D3881-F3881)/F3881</f>
        <v>0.539060520192596</v>
      </c>
    </row>
    <row r="3882" spans="1:7">
      <c r="A3882" s="6" t="s">
        <v>6401</v>
      </c>
      <c r="B3882" s="3" t="s">
        <v>6402</v>
      </c>
      <c r="C3882" s="4"/>
      <c r="D3882" s="14"/>
      <c r="E3882" s="31" t="s">
        <v>9</v>
      </c>
    </row>
    <row r="3883" spans="1:7">
      <c r="A3883" s="6" t="s">
        <v>6403</v>
      </c>
      <c r="B3883" s="3" t="s">
        <v>3960</v>
      </c>
      <c r="C3883" s="4" t="s">
        <v>49</v>
      </c>
      <c r="D3883" s="7">
        <v>7789.85</v>
      </c>
      <c r="E3883" s="31" t="s">
        <v>9</v>
      </c>
      <c r="F3883" s="32">
        <v>5054.5</v>
      </c>
      <c r="G3883" s="33">
        <f>(D3883-F3883)/F3883</f>
        <v>0.541171233554259</v>
      </c>
    </row>
    <row r="3884" ht="46.5" customHeight="1" spans="1:7">
      <c r="A3884" s="6" t="s">
        <v>6404</v>
      </c>
      <c r="B3884" s="12" t="s">
        <v>6405</v>
      </c>
      <c r="C3884" s="4"/>
      <c r="D3884" s="14"/>
      <c r="E3884" s="31" t="s">
        <v>9</v>
      </c>
    </row>
    <row r="3885" spans="1:7">
      <c r="A3885" s="6" t="s">
        <v>6406</v>
      </c>
      <c r="B3885" s="3" t="s">
        <v>3960</v>
      </c>
      <c r="C3885" s="4" t="s">
        <v>156</v>
      </c>
      <c r="D3885" s="7">
        <v>26861.9</v>
      </c>
      <c r="E3885" s="31" t="s">
        <v>9</v>
      </c>
      <c r="F3885" s="32">
        <v>20681.55</v>
      </c>
      <c r="G3885" s="33">
        <f>(D3885-F3885)/F3885</f>
        <v>0.298833984880244</v>
      </c>
    </row>
    <row r="3886" ht="31" customHeight="1" spans="1:7">
      <c r="A3886" s="6" t="s">
        <v>6407</v>
      </c>
      <c r="B3886" s="12" t="s">
        <v>6408</v>
      </c>
      <c r="C3886" s="4" t="s">
        <v>156</v>
      </c>
      <c r="D3886" s="7">
        <v>2890.1</v>
      </c>
      <c r="E3886" s="31" t="s">
        <v>9</v>
      </c>
      <c r="F3886" s="32">
        <v>2116.4</v>
      </c>
      <c r="G3886" s="33">
        <f>(D3886-F3886)/F3886</f>
        <v>0.365573615573615</v>
      </c>
    </row>
    <row r="3887" ht="31" customHeight="1" spans="1:7">
      <c r="A3887" s="6" t="s">
        <v>6409</v>
      </c>
      <c r="B3887" s="12" t="s">
        <v>6410</v>
      </c>
      <c r="C3887" s="4"/>
      <c r="D3887" s="14"/>
      <c r="E3887" s="31" t="s">
        <v>9</v>
      </c>
    </row>
    <row r="3888" spans="1:7">
      <c r="A3888" s="6" t="s">
        <v>6411</v>
      </c>
      <c r="B3888" s="3" t="s">
        <v>4504</v>
      </c>
      <c r="C3888" s="4" t="s">
        <v>156</v>
      </c>
      <c r="D3888" s="7">
        <v>441.4</v>
      </c>
      <c r="E3888" s="31" t="s">
        <v>9</v>
      </c>
      <c r="F3888" s="32">
        <v>294.55</v>
      </c>
      <c r="G3888" s="33">
        <f>(D3888-F3888)/F3888</f>
        <v>0.498557121032083</v>
      </c>
    </row>
    <row r="3889" spans="1:7">
      <c r="A3889" s="6" t="s">
        <v>6412</v>
      </c>
      <c r="B3889" s="3" t="s">
        <v>5362</v>
      </c>
      <c r="C3889" s="4" t="s">
        <v>156</v>
      </c>
      <c r="D3889" s="7">
        <v>602.66</v>
      </c>
      <c r="E3889" s="31" t="s">
        <v>9</v>
      </c>
      <c r="F3889" s="32">
        <v>400.15</v>
      </c>
      <c r="G3889" s="33">
        <f>(D3889-F3889)/F3889</f>
        <v>0.506085218043234</v>
      </c>
    </row>
    <row r="3890" ht="46.5" customHeight="1" spans="1:7">
      <c r="A3890" s="6" t="s">
        <v>6413</v>
      </c>
      <c r="B3890" s="12" t="s">
        <v>6414</v>
      </c>
      <c r="C3890" s="4"/>
      <c r="D3890" s="14"/>
      <c r="E3890" s="31" t="s">
        <v>9</v>
      </c>
    </row>
    <row r="3891" spans="1:7">
      <c r="A3891" s="6" t="s">
        <v>6415</v>
      </c>
      <c r="B3891" s="3" t="s">
        <v>6416</v>
      </c>
      <c r="C3891" s="4" t="s">
        <v>49</v>
      </c>
      <c r="D3891" s="7">
        <v>2676.55</v>
      </c>
      <c r="E3891" s="31" t="s">
        <v>9</v>
      </c>
      <c r="F3891" s="32">
        <v>1936</v>
      </c>
      <c r="G3891" s="33">
        <f t="shared" ref="G3891:G3896" si="90">(D3891-F3891)/F3891</f>
        <v>0.382515495867769</v>
      </c>
    </row>
    <row r="3892" spans="1:7">
      <c r="A3892" s="6" t="s">
        <v>6417</v>
      </c>
      <c r="B3892" s="3" t="s">
        <v>6418</v>
      </c>
      <c r="C3892" s="4" t="s">
        <v>49</v>
      </c>
      <c r="D3892" s="7">
        <v>3401.25</v>
      </c>
      <c r="E3892" s="31" t="s">
        <v>9</v>
      </c>
      <c r="F3892" s="32">
        <v>2517.85</v>
      </c>
      <c r="G3892" s="33">
        <f t="shared" si="90"/>
        <v>0.350854896042258</v>
      </c>
    </row>
    <row r="3893" spans="1:7">
      <c r="A3893" s="6" t="s">
        <v>6419</v>
      </c>
      <c r="B3893" s="3" t="s">
        <v>6420</v>
      </c>
      <c r="C3893" s="4" t="s">
        <v>49</v>
      </c>
      <c r="D3893" s="7">
        <v>5377.25</v>
      </c>
      <c r="E3893" s="31" t="s">
        <v>9</v>
      </c>
      <c r="F3893" s="32">
        <v>3964.45</v>
      </c>
      <c r="G3893" s="33">
        <f t="shared" si="90"/>
        <v>0.356367213610968</v>
      </c>
    </row>
    <row r="3894" spans="1:7">
      <c r="A3894" s="6" t="s">
        <v>6421</v>
      </c>
      <c r="B3894" s="3" t="s">
        <v>6422</v>
      </c>
      <c r="C3894" s="4" t="s">
        <v>49</v>
      </c>
      <c r="D3894" s="7">
        <v>6656.55</v>
      </c>
      <c r="E3894" s="31" t="s">
        <v>9</v>
      </c>
      <c r="F3894" s="32">
        <v>4905.35</v>
      </c>
      <c r="G3894" s="33">
        <f t="shared" si="90"/>
        <v>0.356997971602434</v>
      </c>
    </row>
    <row r="3895" spans="1:7">
      <c r="A3895" s="6" t="s">
        <v>6423</v>
      </c>
      <c r="B3895" s="3" t="s">
        <v>6424</v>
      </c>
      <c r="C3895" s="4" t="s">
        <v>49</v>
      </c>
      <c r="D3895" s="7">
        <v>9126.2</v>
      </c>
      <c r="E3895" s="31" t="s">
        <v>9</v>
      </c>
      <c r="F3895" s="32">
        <v>6457.85</v>
      </c>
      <c r="G3895" s="33">
        <f t="shared" si="90"/>
        <v>0.413194793932965</v>
      </c>
    </row>
    <row r="3896" spans="1:7">
      <c r="A3896" s="6" t="s">
        <v>6425</v>
      </c>
      <c r="B3896" s="3" t="s">
        <v>6426</v>
      </c>
      <c r="C3896" s="4" t="s">
        <v>49</v>
      </c>
      <c r="D3896" s="7">
        <v>16184</v>
      </c>
      <c r="E3896" s="31" t="s">
        <v>9</v>
      </c>
      <c r="F3896" s="32">
        <v>11830.3</v>
      </c>
      <c r="G3896" s="33">
        <f t="shared" si="90"/>
        <v>0.368012645495042</v>
      </c>
    </row>
    <row r="3897" ht="46.5" customHeight="1" spans="1:7">
      <c r="A3897" s="6" t="s">
        <v>6427</v>
      </c>
      <c r="B3897" s="12" t="s">
        <v>6428</v>
      </c>
      <c r="C3897" s="4"/>
      <c r="D3897" s="14"/>
      <c r="E3897" s="31" t="s">
        <v>9</v>
      </c>
    </row>
    <row r="3898" spans="1:7">
      <c r="A3898" s="6" t="s">
        <v>6429</v>
      </c>
      <c r="B3898" s="3" t="s">
        <v>6416</v>
      </c>
      <c r="C3898" s="4" t="s">
        <v>49</v>
      </c>
      <c r="D3898" s="7">
        <v>3053.55</v>
      </c>
      <c r="E3898" s="31" t="s">
        <v>9</v>
      </c>
      <c r="F3898" s="32">
        <v>2211.25</v>
      </c>
      <c r="G3898" s="33">
        <f t="shared" ref="G3898:G3903" si="91">(D3898-F3898)/F3898</f>
        <v>0.380915771622386</v>
      </c>
    </row>
    <row r="3899" spans="1:7">
      <c r="A3899" s="6" t="s">
        <v>6430</v>
      </c>
      <c r="B3899" s="3" t="s">
        <v>6418</v>
      </c>
      <c r="C3899" s="4" t="s">
        <v>49</v>
      </c>
      <c r="D3899" s="7">
        <v>3934.75</v>
      </c>
      <c r="E3899" s="31" t="s">
        <v>9</v>
      </c>
      <c r="F3899" s="32">
        <v>2883.7</v>
      </c>
      <c r="G3899" s="33">
        <f t="shared" si="91"/>
        <v>0.364479661545931</v>
      </c>
    </row>
    <row r="3900" spans="1:7">
      <c r="A3900" s="6" t="s">
        <v>6431</v>
      </c>
      <c r="B3900" s="3" t="s">
        <v>6420</v>
      </c>
      <c r="C3900" s="4" t="s">
        <v>49</v>
      </c>
      <c r="D3900" s="7">
        <v>7397.4</v>
      </c>
      <c r="E3900" s="31" t="s">
        <v>9</v>
      </c>
      <c r="F3900" s="32">
        <v>5525.5</v>
      </c>
      <c r="G3900" s="33">
        <f t="shared" si="91"/>
        <v>0.33877477151389</v>
      </c>
    </row>
    <row r="3901" spans="1:7">
      <c r="A3901" s="6" t="s">
        <v>6432</v>
      </c>
      <c r="B3901" s="3" t="s">
        <v>6422</v>
      </c>
      <c r="C3901" s="4" t="s">
        <v>49</v>
      </c>
      <c r="D3901" s="7">
        <v>9181.75</v>
      </c>
      <c r="E3901" s="31" t="s">
        <v>9</v>
      </c>
      <c r="F3901" s="32">
        <v>6856.65</v>
      </c>
      <c r="G3901" s="33">
        <f t="shared" si="91"/>
        <v>0.339101456250501</v>
      </c>
    </row>
    <row r="3902" spans="1:7">
      <c r="A3902" s="6" t="s">
        <v>6433</v>
      </c>
      <c r="B3902" s="3" t="s">
        <v>6424</v>
      </c>
      <c r="C3902" s="4" t="s">
        <v>49</v>
      </c>
      <c r="D3902" s="7">
        <v>11119.35</v>
      </c>
      <c r="E3902" s="31" t="s">
        <v>9</v>
      </c>
      <c r="F3902" s="32">
        <v>8165.25</v>
      </c>
      <c r="G3902" s="33">
        <f t="shared" si="91"/>
        <v>0.361789289978874</v>
      </c>
    </row>
    <row r="3903" spans="1:7">
      <c r="A3903" s="6" t="s">
        <v>6434</v>
      </c>
      <c r="B3903" s="3" t="s">
        <v>6435</v>
      </c>
      <c r="C3903" s="4" t="s">
        <v>49</v>
      </c>
      <c r="D3903" s="7">
        <v>22578.75</v>
      </c>
      <c r="E3903" s="31" t="s">
        <v>9</v>
      </c>
      <c r="F3903" s="32">
        <v>16648.75</v>
      </c>
      <c r="G3903" s="33">
        <f t="shared" si="91"/>
        <v>0.35618289661386</v>
      </c>
    </row>
    <row r="3904" spans="1:7">
      <c r="D3904" s="16"/>
    </row>
    <row r="3905" spans="1:5">
      <c r="D3905" s="16"/>
    </row>
    <row r="3906" spans="1:5">
      <c r="D3906" s="16"/>
    </row>
    <row r="3907" spans="1:5">
      <c r="D3907" s="16"/>
    </row>
    <row r="3908" spans="1:5">
      <c r="D3908" s="16"/>
    </row>
    <row r="3909" spans="1:5">
      <c r="D3909" s="16"/>
    </row>
    <row r="3910" spans="1:5">
      <c r="A3910" s="41" t="s">
        <v>6436</v>
      </c>
      <c r="C3910" s="31"/>
      <c r="D3910" s="31"/>
      <c r="E3910" s="31" t="s">
        <v>9</v>
      </c>
    </row>
    <row r="3911" spans="1:5">
      <c r="A3911" s="6" t="s">
        <v>204</v>
      </c>
      <c r="B3911" s="12" t="s">
        <v>2</v>
      </c>
      <c r="C3911" s="4" t="s">
        <v>205</v>
      </c>
      <c r="D3911" s="14" t="s">
        <v>4</v>
      </c>
      <c r="E3911" s="31" t="s">
        <v>9</v>
      </c>
    </row>
    <row r="3912" ht="93" customHeight="1" spans="1:5">
      <c r="A3912" s="6" t="s">
        <v>6437</v>
      </c>
      <c r="B3912" s="12" t="s">
        <v>6438</v>
      </c>
      <c r="C3912" s="4"/>
      <c r="D3912" s="14"/>
      <c r="E3912" s="31" t="s">
        <v>9</v>
      </c>
    </row>
    <row r="3913" spans="1:5">
      <c r="A3913" s="6" t="s">
        <v>6439</v>
      </c>
      <c r="B3913" s="12" t="s">
        <v>6440</v>
      </c>
      <c r="C3913" s="4" t="s">
        <v>49</v>
      </c>
      <c r="D3913" s="7">
        <v>2767</v>
      </c>
    </row>
    <row r="3914" spans="1:5">
      <c r="A3914" s="6" t="s">
        <v>6441</v>
      </c>
      <c r="B3914" s="12" t="s">
        <v>6442</v>
      </c>
      <c r="C3914" s="4" t="s">
        <v>49</v>
      </c>
      <c r="D3914" s="7">
        <v>3430.65</v>
      </c>
    </row>
    <row r="3915" spans="1:5">
      <c r="A3915" s="6" t="s">
        <v>6443</v>
      </c>
      <c r="B3915" s="12" t="s">
        <v>6444</v>
      </c>
      <c r="C3915" s="4" t="s">
        <v>49</v>
      </c>
      <c r="D3915" s="7">
        <v>4129.95</v>
      </c>
    </row>
    <row r="3916" spans="1:5">
      <c r="A3916" s="6" t="s">
        <v>6445</v>
      </c>
      <c r="B3916" s="12" t="s">
        <v>6446</v>
      </c>
      <c r="C3916" s="4" t="s">
        <v>49</v>
      </c>
      <c r="D3916" s="7">
        <v>4530.9</v>
      </c>
    </row>
    <row r="3917" spans="1:5">
      <c r="A3917" s="6" t="s">
        <v>6447</v>
      </c>
      <c r="B3917" s="12" t="s">
        <v>6448</v>
      </c>
      <c r="C3917" s="4" t="s">
        <v>49</v>
      </c>
      <c r="D3917" s="7">
        <v>7738.55</v>
      </c>
    </row>
    <row r="3918" spans="1:5">
      <c r="A3918" s="6" t="s">
        <v>6449</v>
      </c>
      <c r="B3918" s="12" t="s">
        <v>6450</v>
      </c>
      <c r="C3918" s="4" t="s">
        <v>49</v>
      </c>
      <c r="D3918" s="7">
        <v>12748.45</v>
      </c>
    </row>
    <row r="3919" spans="1:5">
      <c r="A3919" s="6" t="s">
        <v>6451</v>
      </c>
      <c r="B3919" s="12" t="s">
        <v>6452</v>
      </c>
      <c r="C3919" s="4" t="s">
        <v>49</v>
      </c>
      <c r="D3919" s="7">
        <v>16671.05</v>
      </c>
    </row>
    <row r="3920" spans="1:5">
      <c r="A3920" s="6" t="s">
        <v>6453</v>
      </c>
      <c r="B3920" s="12" t="s">
        <v>6454</v>
      </c>
      <c r="C3920" s="4" t="s">
        <v>49</v>
      </c>
      <c r="D3920" s="7">
        <v>23577.75</v>
      </c>
    </row>
    <row r="3921" ht="139.5" customHeight="1" spans="1:4">
      <c r="A3921" s="6" t="s">
        <v>6455</v>
      </c>
      <c r="B3921" s="12" t="s">
        <v>6456</v>
      </c>
      <c r="C3921" s="4"/>
      <c r="D3921" s="14"/>
    </row>
    <row r="3922" spans="1:4">
      <c r="A3922" s="6" t="s">
        <v>6457</v>
      </c>
      <c r="B3922" s="12" t="s">
        <v>6442</v>
      </c>
      <c r="C3922" s="4" t="s">
        <v>49</v>
      </c>
      <c r="D3922" s="7">
        <v>2278.3</v>
      </c>
    </row>
    <row r="3923" spans="1:4">
      <c r="A3923" s="6" t="s">
        <v>6458</v>
      </c>
      <c r="B3923" s="12" t="s">
        <v>6444</v>
      </c>
      <c r="C3923" s="4" t="s">
        <v>49</v>
      </c>
      <c r="D3923" s="7">
        <v>2703.25</v>
      </c>
    </row>
    <row r="3924" spans="1:4">
      <c r="A3924" s="6" t="s">
        <v>6459</v>
      </c>
      <c r="B3924" s="12" t="s">
        <v>6460</v>
      </c>
      <c r="C3924" s="4" t="s">
        <v>49</v>
      </c>
      <c r="D3924" s="7">
        <v>3637.2</v>
      </c>
    </row>
    <row r="3925" spans="1:4">
      <c r="A3925" s="6" t="s">
        <v>6461</v>
      </c>
      <c r="B3925" s="12" t="s">
        <v>6448</v>
      </c>
      <c r="C3925" s="4" t="s">
        <v>49</v>
      </c>
      <c r="D3925" s="7">
        <v>5581.2</v>
      </c>
    </row>
    <row r="3926" ht="124" customHeight="1" spans="1:4">
      <c r="A3926" s="6" t="s">
        <v>6462</v>
      </c>
      <c r="B3926" s="12" t="s">
        <v>6463</v>
      </c>
      <c r="C3926" s="4" t="s">
        <v>49</v>
      </c>
      <c r="D3926" s="14"/>
    </row>
    <row r="3927" spans="1:4">
      <c r="A3927" s="40"/>
      <c r="B3927" s="12" t="s">
        <v>6464</v>
      </c>
      <c r="C3927" s="4"/>
      <c r="D3927" s="14"/>
    </row>
    <row r="3928" spans="1:4">
      <c r="A3928" s="6" t="s">
        <v>6465</v>
      </c>
      <c r="B3928" s="12" t="s">
        <v>6460</v>
      </c>
      <c r="C3928" s="4" t="s">
        <v>49</v>
      </c>
      <c r="D3928" s="7">
        <v>5386.25</v>
      </c>
    </row>
    <row r="3929" spans="1:4">
      <c r="A3929" s="6" t="s">
        <v>6466</v>
      </c>
      <c r="B3929" s="12" t="s">
        <v>6448</v>
      </c>
      <c r="C3929" s="4" t="s">
        <v>49</v>
      </c>
      <c r="D3929" s="7">
        <v>7758.75</v>
      </c>
    </row>
    <row r="3930" spans="1:4">
      <c r="A3930" s="6" t="s">
        <v>6467</v>
      </c>
      <c r="B3930" s="12" t="s">
        <v>6450</v>
      </c>
      <c r="C3930" s="4" t="s">
        <v>49</v>
      </c>
      <c r="D3930" s="7">
        <v>12990.8</v>
      </c>
    </row>
    <row r="3931" spans="1:4">
      <c r="A3931" s="6" t="s">
        <v>6468</v>
      </c>
      <c r="B3931" s="12" t="s">
        <v>6452</v>
      </c>
      <c r="C3931" s="4" t="s">
        <v>49</v>
      </c>
      <c r="D3931" s="7">
        <v>17025.75</v>
      </c>
    </row>
    <row r="3932" spans="1:4">
      <c r="A3932" s="6" t="s">
        <v>6469</v>
      </c>
      <c r="B3932" s="12" t="s">
        <v>6454</v>
      </c>
      <c r="C3932" s="4" t="s">
        <v>49</v>
      </c>
      <c r="D3932" s="7">
        <v>24408.8</v>
      </c>
    </row>
    <row r="3933" ht="93" customHeight="1" spans="1:4">
      <c r="A3933" s="6" t="s">
        <v>6470</v>
      </c>
      <c r="B3933" s="12" t="s">
        <v>6471</v>
      </c>
      <c r="C3933" s="4"/>
      <c r="D3933" s="34"/>
    </row>
    <row r="3934" spans="1:4">
      <c r="A3934" s="6" t="s">
        <v>6472</v>
      </c>
      <c r="B3934" s="12" t="s">
        <v>6473</v>
      </c>
      <c r="C3934" s="4" t="s">
        <v>49</v>
      </c>
      <c r="D3934" s="7">
        <v>3065.6</v>
      </c>
    </row>
    <row r="3935" spans="1:4">
      <c r="A3935" s="6" t="s">
        <v>6474</v>
      </c>
      <c r="B3935" s="12" t="s">
        <v>6440</v>
      </c>
      <c r="C3935" s="4" t="s">
        <v>49</v>
      </c>
      <c r="D3935" s="7">
        <v>3797.3</v>
      </c>
    </row>
    <row r="3936" spans="1:4">
      <c r="A3936" s="6" t="s">
        <v>6475</v>
      </c>
      <c r="B3936" s="12" t="s">
        <v>6442</v>
      </c>
      <c r="C3936" s="4" t="s">
        <v>49</v>
      </c>
      <c r="D3936" s="7">
        <v>4232.75</v>
      </c>
    </row>
    <row r="3937" spans="1:5">
      <c r="A3937" s="6" t="s">
        <v>6476</v>
      </c>
      <c r="B3937" s="12" t="s">
        <v>6446</v>
      </c>
      <c r="C3937" s="4" t="s">
        <v>49</v>
      </c>
      <c r="D3937" s="7">
        <v>4721.15</v>
      </c>
    </row>
    <row r="3938" ht="31" customHeight="1" spans="1:5">
      <c r="A3938" s="6" t="s">
        <v>6477</v>
      </c>
      <c r="B3938" s="12" t="s">
        <v>6478</v>
      </c>
      <c r="C3938" s="4"/>
      <c r="D3938" s="14"/>
    </row>
    <row r="3939" spans="1:5">
      <c r="A3939" s="6" t="s">
        <v>6479</v>
      </c>
      <c r="B3939" s="12" t="s">
        <v>6473</v>
      </c>
      <c r="C3939" s="4" t="s">
        <v>49</v>
      </c>
      <c r="D3939" s="7">
        <v>2626.3</v>
      </c>
    </row>
    <row r="3940" spans="1:5">
      <c r="A3940" s="6" t="s">
        <v>6480</v>
      </c>
      <c r="B3940" s="12" t="s">
        <v>6440</v>
      </c>
      <c r="C3940" s="4" t="s">
        <v>49</v>
      </c>
      <c r="D3940" s="7">
        <v>2924.45</v>
      </c>
    </row>
    <row r="3941" spans="1:5">
      <c r="A3941" s="6" t="s">
        <v>6481</v>
      </c>
      <c r="B3941" s="12" t="s">
        <v>6442</v>
      </c>
      <c r="C3941" s="4" t="s">
        <v>49</v>
      </c>
      <c r="D3941" s="7">
        <v>3104.2</v>
      </c>
    </row>
    <row r="3942" spans="1:5">
      <c r="A3942" s="6" t="s">
        <v>6482</v>
      </c>
      <c r="B3942" s="12" t="s">
        <v>6446</v>
      </c>
      <c r="C3942" s="4" t="s">
        <v>49</v>
      </c>
      <c r="D3942" s="7">
        <v>3360.15</v>
      </c>
    </row>
    <row r="3943" ht="139.5" customHeight="1" spans="1:5">
      <c r="A3943" s="6" t="s">
        <v>6483</v>
      </c>
      <c r="B3943" s="12" t="s">
        <v>6484</v>
      </c>
      <c r="C3943" s="4"/>
      <c r="D3943" s="14"/>
    </row>
    <row r="3944" spans="1:5">
      <c r="A3944" s="6" t="s">
        <v>6485</v>
      </c>
      <c r="B3944" s="12" t="s">
        <v>6440</v>
      </c>
      <c r="C3944" s="4" t="s">
        <v>49</v>
      </c>
      <c r="D3944" s="7">
        <v>3727.8</v>
      </c>
    </row>
    <row r="3945" spans="1:5">
      <c r="A3945" s="6" t="s">
        <v>6486</v>
      </c>
      <c r="B3945" s="12" t="s">
        <v>6442</v>
      </c>
      <c r="C3945" s="4" t="s">
        <v>49</v>
      </c>
      <c r="D3945" s="7">
        <v>4766.25</v>
      </c>
    </row>
    <row r="3946" spans="1:5">
      <c r="A3946" s="6" t="s">
        <v>6487</v>
      </c>
      <c r="B3946" s="12" t="s">
        <v>6444</v>
      </c>
      <c r="C3946" s="4" t="s">
        <v>49</v>
      </c>
      <c r="D3946" s="7">
        <v>4931.35</v>
      </c>
    </row>
    <row r="3947" spans="1:5">
      <c r="A3947" s="6" t="s">
        <v>6488</v>
      </c>
      <c r="B3947" s="12" t="s">
        <v>6446</v>
      </c>
      <c r="C3947" s="4" t="s">
        <v>49</v>
      </c>
      <c r="D3947" s="7">
        <v>5633</v>
      </c>
    </row>
    <row r="3948" spans="1:5">
      <c r="A3948" s="6" t="s">
        <v>6489</v>
      </c>
      <c r="B3948" s="12" t="s">
        <v>6448</v>
      </c>
      <c r="C3948" s="4" t="s">
        <v>49</v>
      </c>
      <c r="D3948" s="7">
        <v>10846.8</v>
      </c>
    </row>
    <row r="3949" spans="1:5">
      <c r="A3949" s="6" t="s">
        <v>6490</v>
      </c>
      <c r="B3949" s="12" t="s">
        <v>6450</v>
      </c>
      <c r="C3949" s="4" t="s">
        <v>49</v>
      </c>
      <c r="D3949" s="7">
        <v>14946.4</v>
      </c>
    </row>
    <row r="3950" ht="62" customHeight="1" spans="1:5">
      <c r="A3950" s="6" t="s">
        <v>6491</v>
      </c>
      <c r="B3950" s="12" t="s">
        <v>6492</v>
      </c>
      <c r="C3950" s="4"/>
      <c r="D3950" s="14"/>
      <c r="E3950" s="31" t="s">
        <v>9</v>
      </c>
    </row>
    <row r="3951" ht="31" customHeight="1" spans="1:5">
      <c r="A3951" s="40"/>
      <c r="B3951" s="12" t="s">
        <v>6493</v>
      </c>
      <c r="C3951" s="4"/>
      <c r="D3951" s="14"/>
      <c r="E3951" s="31" t="s">
        <v>9</v>
      </c>
    </row>
    <row r="3952" ht="31" customHeight="1" spans="1:5">
      <c r="A3952" s="40"/>
      <c r="B3952" s="12" t="s">
        <v>6494</v>
      </c>
      <c r="C3952" s="4"/>
      <c r="D3952" s="14"/>
      <c r="E3952" s="31" t="s">
        <v>9</v>
      </c>
    </row>
    <row r="3953" spans="1:7">
      <c r="A3953" s="6" t="s">
        <v>6495</v>
      </c>
      <c r="B3953" s="3" t="s">
        <v>6496</v>
      </c>
      <c r="C3953" s="4"/>
      <c r="D3953" s="14"/>
      <c r="E3953" s="31" t="s">
        <v>9</v>
      </c>
    </row>
    <row r="3954" spans="1:7">
      <c r="A3954" s="6" t="s">
        <v>6497</v>
      </c>
      <c r="B3954" s="3" t="s">
        <v>6498</v>
      </c>
      <c r="C3954" s="4" t="s">
        <v>6499</v>
      </c>
      <c r="D3954" s="7">
        <v>54771.5</v>
      </c>
      <c r="E3954" s="31" t="s">
        <v>9</v>
      </c>
      <c r="F3954" s="32">
        <v>38561.8</v>
      </c>
      <c r="G3954" s="33">
        <f>(D3954-F3954)/F3954</f>
        <v>0.420356414897645</v>
      </c>
    </row>
    <row r="3955" spans="1:7">
      <c r="A3955" s="6" t="s">
        <v>6500</v>
      </c>
      <c r="B3955" s="3" t="s">
        <v>6501</v>
      </c>
      <c r="C3955" s="4" t="s">
        <v>6499</v>
      </c>
      <c r="D3955" s="7">
        <v>19632.4</v>
      </c>
      <c r="E3955" s="31" t="s">
        <v>9</v>
      </c>
      <c r="F3955" s="32">
        <v>17422.5</v>
      </c>
      <c r="G3955" s="33">
        <f>(D3955-F3955)/F3955</f>
        <v>0.126841727651026</v>
      </c>
    </row>
    <row r="3956" spans="1:7">
      <c r="A3956" s="6" t="s">
        <v>6502</v>
      </c>
      <c r="B3956" s="3" t="s">
        <v>6503</v>
      </c>
      <c r="C3956" s="4"/>
      <c r="D3956" s="14"/>
      <c r="E3956" s="31" t="s">
        <v>9</v>
      </c>
    </row>
    <row r="3957" spans="1:7">
      <c r="A3957" s="6" t="s">
        <v>6504</v>
      </c>
      <c r="B3957" s="3" t="s">
        <v>6498</v>
      </c>
      <c r="C3957" s="4" t="s">
        <v>6499</v>
      </c>
      <c r="D3957" s="7">
        <v>61173.35</v>
      </c>
      <c r="E3957" s="31" t="s">
        <v>9</v>
      </c>
      <c r="F3957" s="32">
        <v>46808.45</v>
      </c>
      <c r="G3957" s="33">
        <f>(D3957-F3957)/F3957</f>
        <v>0.306886897558026</v>
      </c>
    </row>
    <row r="3958" spans="1:7">
      <c r="A3958" s="6" t="s">
        <v>6505</v>
      </c>
      <c r="B3958" s="3" t="s">
        <v>6501</v>
      </c>
      <c r="C3958" s="4" t="s">
        <v>6499</v>
      </c>
      <c r="D3958" s="7">
        <v>32436.1</v>
      </c>
      <c r="E3958" s="31" t="s">
        <v>9</v>
      </c>
      <c r="F3958" s="32">
        <v>26714.5</v>
      </c>
      <c r="G3958" s="33">
        <f>(D3958-F3958)/F3958</f>
        <v>0.214175822119074</v>
      </c>
    </row>
    <row r="3959" spans="1:7">
      <c r="A3959" s="6" t="s">
        <v>6506</v>
      </c>
      <c r="B3959" s="3" t="s">
        <v>6507</v>
      </c>
      <c r="C3959" s="4"/>
      <c r="D3959" s="14"/>
      <c r="E3959" s="31" t="s">
        <v>9</v>
      </c>
    </row>
    <row r="3960" spans="1:7">
      <c r="A3960" s="6" t="s">
        <v>6508</v>
      </c>
      <c r="B3960" s="3" t="s">
        <v>6498</v>
      </c>
      <c r="C3960" s="4" t="s">
        <v>6499</v>
      </c>
      <c r="D3960" s="7">
        <v>70420.5</v>
      </c>
      <c r="E3960" s="31" t="s">
        <v>9</v>
      </c>
      <c r="F3960" s="32">
        <v>56332.75</v>
      </c>
      <c r="G3960" s="33">
        <f>(D3960-F3960)/F3960</f>
        <v>0.250080991962935</v>
      </c>
    </row>
    <row r="3961" spans="1:7">
      <c r="A3961" s="6" t="s">
        <v>6509</v>
      </c>
      <c r="B3961" s="3" t="s">
        <v>6501</v>
      </c>
      <c r="C3961" s="4" t="s">
        <v>6499</v>
      </c>
      <c r="D3961" s="7">
        <v>40545.15</v>
      </c>
      <c r="E3961" s="31" t="s">
        <v>9</v>
      </c>
      <c r="F3961" s="32">
        <v>34264.25</v>
      </c>
      <c r="G3961" s="33">
        <f>(D3961-F3961)/F3961</f>
        <v>0.18330767490898</v>
      </c>
    </row>
    <row r="3962" ht="31" customHeight="1" spans="1:7">
      <c r="A3962" s="6" t="s">
        <v>6510</v>
      </c>
      <c r="B3962" s="12" t="s">
        <v>6511</v>
      </c>
      <c r="C3962" s="4"/>
      <c r="D3962" s="14"/>
      <c r="E3962" s="31" t="s">
        <v>9</v>
      </c>
    </row>
    <row r="3963" spans="1:7">
      <c r="A3963" s="6" t="s">
        <v>6512</v>
      </c>
      <c r="B3963" s="3" t="s">
        <v>6513</v>
      </c>
      <c r="C3963" s="4"/>
      <c r="D3963" s="14"/>
      <c r="E3963" s="31" t="s">
        <v>9</v>
      </c>
    </row>
    <row r="3964" spans="1:7">
      <c r="A3964" s="6" t="s">
        <v>6514</v>
      </c>
      <c r="B3964" s="3" t="s">
        <v>6515</v>
      </c>
      <c r="C3964" s="4" t="s">
        <v>6499</v>
      </c>
      <c r="D3964" s="7">
        <v>19632.4</v>
      </c>
      <c r="E3964" s="31" t="s">
        <v>9</v>
      </c>
      <c r="F3964" s="32">
        <v>17422.5</v>
      </c>
      <c r="G3964" s="33">
        <f>(D3964-F3964)/F3964</f>
        <v>0.126841727651026</v>
      </c>
    </row>
    <row r="3965" spans="1:7">
      <c r="A3965" s="6" t="s">
        <v>6516</v>
      </c>
      <c r="B3965" s="3" t="s">
        <v>6517</v>
      </c>
      <c r="C3965" s="4" t="s">
        <v>6499</v>
      </c>
      <c r="D3965" s="7">
        <v>32436.1</v>
      </c>
      <c r="E3965" s="31" t="s">
        <v>9</v>
      </c>
      <c r="F3965" s="32">
        <v>26714.5</v>
      </c>
      <c r="G3965" s="33">
        <f>(D3965-F3965)/F3965</f>
        <v>0.214175822119074</v>
      </c>
    </row>
    <row r="3966" spans="1:7">
      <c r="A3966" s="6" t="s">
        <v>6518</v>
      </c>
      <c r="B3966" s="3" t="s">
        <v>6519</v>
      </c>
      <c r="C3966" s="4"/>
      <c r="D3966" s="14"/>
      <c r="E3966" s="31" t="s">
        <v>9</v>
      </c>
    </row>
    <row r="3967" spans="1:7">
      <c r="A3967" s="6" t="s">
        <v>6520</v>
      </c>
      <c r="B3967" s="3" t="s">
        <v>6521</v>
      </c>
      <c r="C3967" s="4" t="s">
        <v>6499</v>
      </c>
      <c r="D3967" s="7">
        <v>40545.15</v>
      </c>
      <c r="E3967" s="31" t="s">
        <v>9</v>
      </c>
      <c r="F3967" s="32">
        <v>34264.25</v>
      </c>
      <c r="G3967" s="33">
        <f>(D3967-F3967)/F3967</f>
        <v>0.18330767490898</v>
      </c>
    </row>
    <row r="3968" ht="31" customHeight="1" spans="1:7">
      <c r="A3968" s="6" t="s">
        <v>6522</v>
      </c>
      <c r="B3968" s="12" t="s">
        <v>6523</v>
      </c>
      <c r="C3968" s="4"/>
      <c r="D3968" s="14"/>
      <c r="E3968" s="31" t="s">
        <v>9</v>
      </c>
    </row>
    <row r="3969" spans="1:12">
      <c r="A3969" s="6" t="s">
        <v>6524</v>
      </c>
      <c r="B3969" s="3" t="s">
        <v>6525</v>
      </c>
      <c r="C3969" s="4" t="s">
        <v>6499</v>
      </c>
      <c r="D3969" s="7">
        <v>19632.4</v>
      </c>
      <c r="E3969" s="31" t="s">
        <v>9</v>
      </c>
      <c r="F3969" s="32">
        <v>17422.5</v>
      </c>
      <c r="G3969" s="33">
        <f>(D3969-F3969)/F3969</f>
        <v>0.126841727651026</v>
      </c>
    </row>
    <row r="3970" spans="1:12">
      <c r="A3970" s="6" t="s">
        <v>6526</v>
      </c>
      <c r="B3970" s="3" t="s">
        <v>6527</v>
      </c>
      <c r="C3970" s="4" t="s">
        <v>6499</v>
      </c>
      <c r="D3970" s="7">
        <v>32862.9</v>
      </c>
      <c r="E3970" s="31" t="s">
        <v>9</v>
      </c>
      <c r="F3970" s="32">
        <v>27411.4</v>
      </c>
      <c r="G3970" s="33">
        <f>(D3970-F3970)/F3970</f>
        <v>0.198877109523775</v>
      </c>
    </row>
    <row r="3971" ht="77.5" customHeight="1" spans="1:12">
      <c r="A3971" s="6" t="s">
        <v>6528</v>
      </c>
      <c r="B3971" s="12" t="s">
        <v>6529</v>
      </c>
      <c r="C3971" s="4" t="s">
        <v>6499</v>
      </c>
      <c r="D3971" s="7">
        <v>1153.2</v>
      </c>
      <c r="E3971" s="31" t="s">
        <v>9</v>
      </c>
      <c r="F3971" s="32">
        <v>750.95</v>
      </c>
      <c r="G3971" s="33">
        <f>(D3971-F3971)/F3971</f>
        <v>0.535654837206205</v>
      </c>
    </row>
    <row r="3972" ht="46.5" customHeight="1" spans="1:12">
      <c r="A3972" s="40"/>
      <c r="B3972" s="12" t="s">
        <v>6530</v>
      </c>
      <c r="C3972" s="4"/>
      <c r="D3972" s="14"/>
      <c r="E3972" s="31" t="s">
        <v>9</v>
      </c>
    </row>
    <row r="3978" spans="1:12">
      <c r="A3978" s="41" t="s">
        <v>6531</v>
      </c>
      <c r="C3978" s="31"/>
      <c r="D3978" s="31"/>
      <c r="E3978" s="31" t="s">
        <v>9</v>
      </c>
    </row>
    <row r="3979" spans="1:12">
      <c r="A3979" s="6" t="s">
        <v>204</v>
      </c>
      <c r="B3979" s="12" t="s">
        <v>2</v>
      </c>
      <c r="C3979" s="4" t="s">
        <v>205</v>
      </c>
      <c r="D3979" s="14" t="s">
        <v>4</v>
      </c>
      <c r="E3979" s="31" t="s">
        <v>9</v>
      </c>
    </row>
    <row r="3980" ht="139.5" customHeight="1" spans="1:12">
      <c r="A3980" s="6" t="s">
        <v>6532</v>
      </c>
      <c r="B3980" s="12" t="s">
        <v>6533</v>
      </c>
      <c r="C3980" s="4"/>
      <c r="D3980" s="14"/>
      <c r="E3980" s="31" t="s">
        <v>9</v>
      </c>
    </row>
    <row r="3981" spans="1:12">
      <c r="A3981" s="6" t="s">
        <v>6534</v>
      </c>
      <c r="B3981" s="3" t="s">
        <v>6535</v>
      </c>
      <c r="C3981" s="4"/>
      <c r="D3981" s="14"/>
      <c r="E3981" s="31" t="s">
        <v>9</v>
      </c>
    </row>
    <row r="3982" ht="31" customHeight="1" spans="1:12">
      <c r="A3982" s="6" t="s">
        <v>6536</v>
      </c>
      <c r="B3982" s="3" t="s">
        <v>6537</v>
      </c>
      <c r="C3982" s="4" t="s">
        <v>575</v>
      </c>
      <c r="D3982" s="7">
        <v>495.05</v>
      </c>
      <c r="E3982" s="31" t="s">
        <v>9</v>
      </c>
      <c r="F3982" s="32">
        <v>355.2</v>
      </c>
      <c r="G3982" s="33">
        <f>(D3982-F3982)/F3982</f>
        <v>0.393721846846847</v>
      </c>
    </row>
    <row r="3983" spans="1:12">
      <c r="A3983" s="6" t="s">
        <v>6538</v>
      </c>
      <c r="B3983" s="3" t="s">
        <v>6539</v>
      </c>
      <c r="C3983" s="4" t="s">
        <v>575</v>
      </c>
      <c r="D3983" s="7">
        <v>530.9</v>
      </c>
      <c r="E3983" s="31" t="s">
        <v>9</v>
      </c>
      <c r="F3983" s="32">
        <v>384.5</v>
      </c>
      <c r="G3983" s="33">
        <f>(D3983-F3983)/F3983</f>
        <v>0.38075422626788</v>
      </c>
      <c r="L3983" s="34" t="s">
        <v>6540</v>
      </c>
    </row>
    <row r="3984" ht="31" customHeight="1" spans="1:12">
      <c r="A3984" s="6" t="s">
        <v>6541</v>
      </c>
      <c r="B3984" s="3" t="s">
        <v>6542</v>
      </c>
      <c r="C3984" s="4" t="s">
        <v>575</v>
      </c>
      <c r="D3984" s="7">
        <v>539.85</v>
      </c>
      <c r="E3984" s="31" t="s">
        <v>9</v>
      </c>
      <c r="F3984" s="32">
        <v>391.8</v>
      </c>
      <c r="G3984" s="33">
        <f>(D3984-F3984)/F3984</f>
        <v>0.377871362940276</v>
      </c>
    </row>
    <row r="3985" ht="46.5" customHeight="1" spans="1:7">
      <c r="A3985" s="6" t="s">
        <v>6543</v>
      </c>
      <c r="B3985" s="3" t="s">
        <v>6544</v>
      </c>
      <c r="C3985" s="4"/>
      <c r="D3985" s="14"/>
      <c r="E3985" s="31" t="s">
        <v>9</v>
      </c>
    </row>
    <row r="3986" ht="31" customHeight="1" spans="1:7">
      <c r="A3986" s="6" t="s">
        <v>6545</v>
      </c>
      <c r="B3986" s="3" t="s">
        <v>6537</v>
      </c>
      <c r="C3986" s="4" t="s">
        <v>575</v>
      </c>
      <c r="D3986" s="7">
        <v>598.6</v>
      </c>
      <c r="E3986" s="31" t="s">
        <v>9</v>
      </c>
      <c r="F3986" s="32">
        <v>415.05</v>
      </c>
      <c r="G3986" s="33">
        <f>(D3986-F3986)/F3986</f>
        <v>0.44223587519576</v>
      </c>
    </row>
    <row r="3987" spans="1:7">
      <c r="A3987" s="6" t="s">
        <v>6546</v>
      </c>
      <c r="B3987" s="3" t="s">
        <v>6539</v>
      </c>
      <c r="C3987" s="4" t="s">
        <v>575</v>
      </c>
      <c r="D3987" s="7">
        <v>634.45</v>
      </c>
      <c r="E3987" s="31" t="s">
        <v>9</v>
      </c>
      <c r="F3987" s="32">
        <v>444.9</v>
      </c>
      <c r="G3987" s="33">
        <f>(D3987-F3987)/F3987</f>
        <v>0.42605079793212</v>
      </c>
    </row>
    <row r="3988" ht="31" customHeight="1" spans="1:7">
      <c r="A3988" s="6" t="s">
        <v>6547</v>
      </c>
      <c r="B3988" s="3" t="s">
        <v>6542</v>
      </c>
      <c r="C3988" s="4" t="s">
        <v>575</v>
      </c>
      <c r="D3988" s="7">
        <v>643.45</v>
      </c>
      <c r="E3988" s="31" t="s">
        <v>9</v>
      </c>
      <c r="F3988" s="32">
        <v>452.4</v>
      </c>
      <c r="G3988" s="33">
        <f>(D3988-F3988)/F3988</f>
        <v>0.422303271441203</v>
      </c>
    </row>
    <row r="3989" ht="62" customHeight="1" spans="1:7">
      <c r="A3989" s="6" t="s">
        <v>6548</v>
      </c>
      <c r="B3989" s="12" t="s">
        <v>6549</v>
      </c>
      <c r="C3989" s="4"/>
      <c r="D3989" s="14"/>
      <c r="E3989" s="31" t="s">
        <v>9</v>
      </c>
    </row>
    <row r="3990" ht="31" customHeight="1" spans="1:7">
      <c r="A3990" s="6" t="s">
        <v>6550</v>
      </c>
      <c r="B3990" s="3" t="s">
        <v>6551</v>
      </c>
      <c r="C3990" s="4" t="s">
        <v>12</v>
      </c>
      <c r="D3990" s="7">
        <v>1139.3</v>
      </c>
      <c r="E3990" s="31" t="s">
        <v>9</v>
      </c>
      <c r="F3990" s="32">
        <v>826.35</v>
      </c>
      <c r="G3990" s="33">
        <f>(D3990-F3990)/F3990</f>
        <v>0.378713620136746</v>
      </c>
    </row>
    <row r="3991" spans="1:7">
      <c r="A3991" s="6" t="s">
        <v>6552</v>
      </c>
      <c r="B3991" s="3" t="s">
        <v>6553</v>
      </c>
      <c r="C3991" s="4" t="s">
        <v>12</v>
      </c>
      <c r="D3991" s="7">
        <v>1115.4</v>
      </c>
      <c r="E3991" s="31" t="s">
        <v>9</v>
      </c>
      <c r="F3991" s="32">
        <v>866.6</v>
      </c>
      <c r="G3991" s="33">
        <f>(D3991-F3991)/F3991</f>
        <v>0.287099007615971</v>
      </c>
    </row>
    <row r="3992" ht="62" customHeight="1" spans="1:7">
      <c r="A3992" s="6" t="s">
        <v>6554</v>
      </c>
      <c r="B3992" s="12" t="s">
        <v>6555</v>
      </c>
      <c r="C3992" s="4"/>
      <c r="D3992" s="14"/>
      <c r="E3992" s="31" t="s">
        <v>9</v>
      </c>
    </row>
    <row r="3993" spans="1:7">
      <c r="A3993" s="6" t="s">
        <v>6556</v>
      </c>
      <c r="B3993" s="3" t="s">
        <v>6557</v>
      </c>
      <c r="C3993" s="4" t="s">
        <v>12</v>
      </c>
      <c r="D3993" s="7">
        <v>1176.8</v>
      </c>
      <c r="E3993" s="31" t="s">
        <v>9</v>
      </c>
      <c r="F3993" s="32">
        <v>741.5</v>
      </c>
      <c r="G3993" s="33">
        <f>(D3993-F3993)/F3993</f>
        <v>0.587053270397842</v>
      </c>
    </row>
    <row r="3994" spans="1:7">
      <c r="A3994" s="6" t="s">
        <v>6558</v>
      </c>
      <c r="B3994" s="3" t="s">
        <v>6559</v>
      </c>
      <c r="C3994" s="4" t="s">
        <v>12</v>
      </c>
      <c r="D3994" s="7">
        <v>1505.25</v>
      </c>
      <c r="E3994" s="31" t="s">
        <v>9</v>
      </c>
      <c r="F3994" s="32">
        <v>1003.95</v>
      </c>
      <c r="G3994" s="33">
        <f>(D3994-F3994)/F3994</f>
        <v>0.499327655759749</v>
      </c>
    </row>
    <row r="3995" spans="1:7">
      <c r="A3995" s="6" t="s">
        <v>6560</v>
      </c>
      <c r="B3995" s="3" t="s">
        <v>6561</v>
      </c>
      <c r="C3995" s="4" t="s">
        <v>12</v>
      </c>
      <c r="D3995" s="7">
        <v>1685.4</v>
      </c>
      <c r="E3995" s="31" t="s">
        <v>9</v>
      </c>
      <c r="F3995" s="32">
        <v>1153.9</v>
      </c>
      <c r="G3995" s="33">
        <f>(D3995-F3995)/F3995</f>
        <v>0.460611838114221</v>
      </c>
    </row>
    <row r="3996" ht="93" customHeight="1" spans="1:7">
      <c r="A3996" s="6" t="s">
        <v>6562</v>
      </c>
      <c r="B3996" s="12" t="s">
        <v>6563</v>
      </c>
      <c r="C3996" s="4"/>
      <c r="D3996" s="14"/>
      <c r="E3996" s="31" t="s">
        <v>9</v>
      </c>
    </row>
    <row r="3997" spans="1:7">
      <c r="A3997" s="6" t="s">
        <v>6564</v>
      </c>
      <c r="B3997" s="3" t="s">
        <v>6565</v>
      </c>
      <c r="C3997" s="4" t="s">
        <v>156</v>
      </c>
      <c r="D3997" s="7">
        <v>2823.85</v>
      </c>
      <c r="E3997" s="31" t="s">
        <v>9</v>
      </c>
      <c r="F3997" s="32">
        <v>2054.4</v>
      </c>
      <c r="G3997" s="33">
        <f>(D3997-F3997)/F3997</f>
        <v>0.37453757788162</v>
      </c>
    </row>
    <row r="3998" spans="1:7">
      <c r="A3998" s="6" t="s">
        <v>6566</v>
      </c>
      <c r="B3998" s="3" t="s">
        <v>6567</v>
      </c>
      <c r="C3998" s="4" t="s">
        <v>156</v>
      </c>
      <c r="D3998" s="7">
        <v>2966.1</v>
      </c>
      <c r="E3998" s="31" t="s">
        <v>9</v>
      </c>
      <c r="F3998" s="32">
        <v>2228.6</v>
      </c>
      <c r="G3998" s="33">
        <f>(D3998-F3998)/F3998</f>
        <v>0.330925244548147</v>
      </c>
    </row>
    <row r="3999" ht="124" customHeight="1" spans="1:7">
      <c r="A3999" s="6" t="s">
        <v>6568</v>
      </c>
      <c r="B3999" s="12" t="s">
        <v>6569</v>
      </c>
      <c r="C3999" s="4" t="s">
        <v>575</v>
      </c>
      <c r="D3999" s="7">
        <v>817.15</v>
      </c>
      <c r="E3999" s="31" t="s">
        <v>9</v>
      </c>
      <c r="F3999" s="32">
        <v>478.85</v>
      </c>
      <c r="G3999" s="33">
        <f>(D3999-F3999)/F3999</f>
        <v>0.706484285266785</v>
      </c>
    </row>
    <row r="4000" ht="62" customHeight="1" spans="1:7">
      <c r="A4000" s="6" t="s">
        <v>6570</v>
      </c>
      <c r="B4000" s="12" t="s">
        <v>6571</v>
      </c>
      <c r="C4000" s="4" t="s">
        <v>156</v>
      </c>
      <c r="D4000" s="7">
        <v>82.45</v>
      </c>
      <c r="E4000" s="31" t="s">
        <v>9</v>
      </c>
      <c r="F4000" s="32">
        <v>55.2</v>
      </c>
      <c r="G4000" s="33">
        <f>(D4000-F4000)/F4000</f>
        <v>0.493659420289855</v>
      </c>
    </row>
    <row r="4001" ht="124" customHeight="1" spans="1:7">
      <c r="A4001" s="6" t="s">
        <v>6572</v>
      </c>
      <c r="B4001" s="12" t="s">
        <v>6573</v>
      </c>
      <c r="C4001" s="4"/>
      <c r="D4001" s="14"/>
      <c r="E4001" s="31" t="s">
        <v>9</v>
      </c>
    </row>
    <row r="4002" ht="31" customHeight="1" spans="1:7">
      <c r="A4002" s="6" t="s">
        <v>6574</v>
      </c>
      <c r="B4002" s="3" t="s">
        <v>6575</v>
      </c>
      <c r="C4002" s="4" t="s">
        <v>575</v>
      </c>
      <c r="D4002" s="7">
        <v>680.55</v>
      </c>
      <c r="E4002" s="31" t="s">
        <v>9</v>
      </c>
      <c r="F4002" s="32">
        <v>455.85</v>
      </c>
      <c r="G4002" s="33">
        <f>(D4002-F4002)/F4002</f>
        <v>0.492925304376439</v>
      </c>
    </row>
    <row r="4003" ht="31" customHeight="1" spans="1:7">
      <c r="A4003" s="6" t="s">
        <v>6576</v>
      </c>
      <c r="B4003" s="3" t="s">
        <v>6577</v>
      </c>
      <c r="C4003" s="4" t="s">
        <v>575</v>
      </c>
      <c r="D4003" s="7">
        <v>716.4</v>
      </c>
      <c r="E4003" s="31" t="s">
        <v>9</v>
      </c>
      <c r="F4003" s="32">
        <v>485.15</v>
      </c>
      <c r="G4003" s="33">
        <f>(D4003-F4003)/F4003</f>
        <v>0.47665670411213</v>
      </c>
    </row>
    <row r="4004" ht="46.5" customHeight="1" spans="1:7">
      <c r="A4004" s="6" t="s">
        <v>6578</v>
      </c>
      <c r="B4004" s="12" t="s">
        <v>6579</v>
      </c>
      <c r="C4004" s="4"/>
      <c r="D4004" s="14"/>
      <c r="E4004" s="31" t="s">
        <v>9</v>
      </c>
    </row>
    <row r="4005" spans="1:7">
      <c r="A4005" s="6" t="s">
        <v>6580</v>
      </c>
      <c r="B4005" s="3" t="s">
        <v>6581</v>
      </c>
      <c r="C4005" s="4" t="s">
        <v>49</v>
      </c>
      <c r="D4005" s="7">
        <v>96.75</v>
      </c>
      <c r="E4005" s="31" t="s">
        <v>9</v>
      </c>
      <c r="F4005" s="32">
        <v>62.45</v>
      </c>
      <c r="G4005" s="33">
        <f>(D4005-F4005)/F4005</f>
        <v>0.549239391513211</v>
      </c>
    </row>
    <row r="4006" ht="31" customHeight="1" spans="1:7">
      <c r="A4006" s="6" t="s">
        <v>6582</v>
      </c>
      <c r="B4006" s="12" t="s">
        <v>6583</v>
      </c>
      <c r="C4006" s="4"/>
      <c r="D4006" s="14"/>
      <c r="E4006" s="31" t="s">
        <v>9</v>
      </c>
    </row>
    <row r="4007" spans="1:7">
      <c r="A4007" s="6" t="s">
        <v>6584</v>
      </c>
      <c r="B4007" s="3" t="s">
        <v>6535</v>
      </c>
      <c r="C4007" s="4" t="s">
        <v>575</v>
      </c>
      <c r="D4007" s="7">
        <v>12.8</v>
      </c>
      <c r="E4007" s="31" t="s">
        <v>9</v>
      </c>
      <c r="F4007" s="32">
        <v>11.6</v>
      </c>
      <c r="G4007" s="33">
        <f>(D4007-F4007)/F4007</f>
        <v>0.103448275862069</v>
      </c>
    </row>
    <row r="4008" spans="1:7">
      <c r="A4008" s="6" t="s">
        <v>6585</v>
      </c>
      <c r="B4008" s="3" t="s">
        <v>6586</v>
      </c>
      <c r="C4008" s="4" t="s">
        <v>575</v>
      </c>
      <c r="D4008" s="7">
        <v>12.8</v>
      </c>
      <c r="E4008" s="31" t="s">
        <v>9</v>
      </c>
      <c r="F4008" s="32">
        <v>11.6</v>
      </c>
      <c r="G4008" s="33">
        <f>(D4008-F4008)/F4008</f>
        <v>0.103448275862069</v>
      </c>
    </row>
    <row r="4009" ht="77.5" customHeight="1" spans="1:7">
      <c r="A4009" s="6" t="s">
        <v>6587</v>
      </c>
      <c r="B4009" s="12" t="s">
        <v>6588</v>
      </c>
      <c r="C4009" s="4" t="s">
        <v>12</v>
      </c>
      <c r="D4009" s="7">
        <v>4997.7</v>
      </c>
      <c r="E4009" s="31" t="s">
        <v>9</v>
      </c>
      <c r="F4009" s="32">
        <v>3176.2</v>
      </c>
      <c r="G4009" s="33">
        <f>(D4009-F4009)/F4009</f>
        <v>0.573484037529123</v>
      </c>
    </row>
    <row r="4010" ht="46.5" customHeight="1" spans="1:7">
      <c r="A4010" s="6" t="s">
        <v>6589</v>
      </c>
      <c r="B4010" s="12" t="s">
        <v>6590</v>
      </c>
      <c r="C4010" s="4"/>
      <c r="D4010" s="14"/>
      <c r="E4010" s="31" t="s">
        <v>9</v>
      </c>
    </row>
    <row r="4011" spans="1:7">
      <c r="A4011" s="6" t="s">
        <v>6591</v>
      </c>
      <c r="B4011" s="3" t="s">
        <v>6592</v>
      </c>
      <c r="C4011" s="4" t="s">
        <v>156</v>
      </c>
      <c r="D4011" s="7">
        <v>344.3</v>
      </c>
      <c r="E4011" s="31" t="s">
        <v>9</v>
      </c>
      <c r="F4011" s="32">
        <v>211.6</v>
      </c>
      <c r="G4011" s="33">
        <f>(D4011-F4011)/F4011</f>
        <v>0.627126654064272</v>
      </c>
    </row>
    <row r="4012" spans="1:7">
      <c r="A4012" s="6" t="s">
        <v>6593</v>
      </c>
      <c r="B4012" s="3" t="s">
        <v>6594</v>
      </c>
      <c r="C4012" s="4" t="s">
        <v>156</v>
      </c>
      <c r="D4012" s="7">
        <v>387</v>
      </c>
      <c r="E4012" s="31" t="s">
        <v>9</v>
      </c>
      <c r="F4012" s="32">
        <v>269.65</v>
      </c>
      <c r="G4012" s="33">
        <f>(D4012-F4012)/F4012</f>
        <v>0.435193769701465</v>
      </c>
    </row>
    <row r="4013" spans="1:7">
      <c r="A4013" s="6" t="s">
        <v>6595</v>
      </c>
      <c r="B4013" s="3" t="s">
        <v>6596</v>
      </c>
      <c r="C4013" s="4" t="s">
        <v>156</v>
      </c>
      <c r="D4013" s="7">
        <v>325.8</v>
      </c>
      <c r="E4013" s="31" t="s">
        <v>9</v>
      </c>
      <c r="F4013" s="32">
        <v>237.15</v>
      </c>
      <c r="G4013" s="33">
        <f>(D4013-F4013)/F4013</f>
        <v>0.373814041745731</v>
      </c>
    </row>
    <row r="4014" spans="1:7">
      <c r="A4014" s="6" t="s">
        <v>6597</v>
      </c>
      <c r="B4014" s="3" t="s">
        <v>6598</v>
      </c>
      <c r="C4014" s="4" t="s">
        <v>156</v>
      </c>
      <c r="D4014" s="7">
        <v>802.4</v>
      </c>
      <c r="E4014" s="31" t="s">
        <v>9</v>
      </c>
      <c r="F4014" s="32">
        <v>613.45</v>
      </c>
      <c r="G4014" s="33">
        <f>(D4014-F4014)/F4014</f>
        <v>0.308012062922813</v>
      </c>
    </row>
    <row r="4015" spans="1:7">
      <c r="A4015" s="6" t="s">
        <v>6599</v>
      </c>
      <c r="B4015" s="3" t="s">
        <v>6600</v>
      </c>
      <c r="C4015" s="4" t="s">
        <v>156</v>
      </c>
      <c r="D4015" s="7">
        <v>1478.15</v>
      </c>
      <c r="E4015" s="31" t="s">
        <v>9</v>
      </c>
      <c r="F4015" s="32">
        <v>1047.85</v>
      </c>
      <c r="G4015" s="33">
        <f>(D4015-F4015)/F4015</f>
        <v>0.410650379348189</v>
      </c>
    </row>
    <row r="4016" ht="31" customHeight="1" spans="1:7">
      <c r="A4016" s="6" t="s">
        <v>6601</v>
      </c>
      <c r="B4016" s="12" t="s">
        <v>6602</v>
      </c>
      <c r="C4016" s="4"/>
      <c r="D4016" s="14"/>
      <c r="E4016" s="31" t="s">
        <v>9</v>
      </c>
    </row>
    <row r="4017" spans="1:7">
      <c r="A4017" s="6" t="s">
        <v>6603</v>
      </c>
      <c r="B4017" s="3" t="s">
        <v>6604</v>
      </c>
      <c r="C4017" s="4" t="s">
        <v>156</v>
      </c>
      <c r="D4017" s="7">
        <v>575.75</v>
      </c>
      <c r="E4017" s="31" t="s">
        <v>9</v>
      </c>
      <c r="F4017" s="32">
        <v>463.75</v>
      </c>
      <c r="G4017" s="33">
        <f>(D4017-F4017)/F4017</f>
        <v>0.241509433962264</v>
      </c>
    </row>
    <row r="4018" spans="1:7">
      <c r="A4018" s="6" t="s">
        <v>6605</v>
      </c>
      <c r="B4018" s="3" t="s">
        <v>6606</v>
      </c>
      <c r="C4018" s="4" t="s">
        <v>156</v>
      </c>
      <c r="D4018" s="7">
        <v>631.55</v>
      </c>
      <c r="E4018" s="31" t="s">
        <v>9</v>
      </c>
      <c r="F4018" s="32">
        <v>509.3</v>
      </c>
      <c r="G4018" s="33">
        <f>(D4018-F4018)/F4018</f>
        <v>0.240035342627135</v>
      </c>
    </row>
    <row r="4019" spans="1:7">
      <c r="A4019" s="6" t="s">
        <v>6607</v>
      </c>
      <c r="B4019" s="3" t="s">
        <v>6608</v>
      </c>
      <c r="C4019" s="4" t="s">
        <v>156</v>
      </c>
      <c r="D4019" s="7">
        <v>645.5</v>
      </c>
      <c r="E4019" s="31" t="s">
        <v>9</v>
      </c>
      <c r="F4019" s="32">
        <v>520.7</v>
      </c>
      <c r="G4019" s="33">
        <f>(D4019-F4019)/F4019</f>
        <v>0.239677357403495</v>
      </c>
    </row>
    <row r="4020" ht="46.5" customHeight="1" spans="1:7">
      <c r="A4020" s="6" t="s">
        <v>6609</v>
      </c>
      <c r="B4020" s="12" t="s">
        <v>6610</v>
      </c>
      <c r="C4020" s="4" t="s">
        <v>156</v>
      </c>
      <c r="D4020" s="7">
        <v>528.85</v>
      </c>
      <c r="E4020" s="31" t="s">
        <v>9</v>
      </c>
      <c r="F4020" s="32">
        <v>359</v>
      </c>
      <c r="G4020" s="33">
        <f>(D4020-F4020)/F4020</f>
        <v>0.473119777158774</v>
      </c>
    </row>
    <row r="4021" ht="77.5" customHeight="1" spans="1:7">
      <c r="A4021" s="6" t="s">
        <v>6611</v>
      </c>
      <c r="B4021" s="12" t="s">
        <v>6612</v>
      </c>
      <c r="C4021" s="4" t="s">
        <v>575</v>
      </c>
      <c r="D4021" s="7">
        <v>402.8</v>
      </c>
      <c r="E4021" s="31" t="s">
        <v>9</v>
      </c>
      <c r="F4021" s="32">
        <v>315.1</v>
      </c>
      <c r="G4021" s="33">
        <f>(D4021-F4021)/F4021</f>
        <v>0.278324341478896</v>
      </c>
    </row>
    <row r="4022" ht="31" customHeight="1" spans="1:7">
      <c r="A4022" s="6" t="s">
        <v>6613</v>
      </c>
      <c r="B4022" s="12" t="s">
        <v>6614</v>
      </c>
      <c r="C4022" s="4"/>
      <c r="D4022" s="14"/>
      <c r="E4022" s="31" t="s">
        <v>9</v>
      </c>
    </row>
    <row r="4023" spans="1:7">
      <c r="A4023" s="6" t="s">
        <v>6615</v>
      </c>
      <c r="B4023" s="3" t="s">
        <v>6616</v>
      </c>
      <c r="C4023" s="4" t="s">
        <v>156</v>
      </c>
      <c r="D4023" s="7">
        <v>89.4</v>
      </c>
      <c r="E4023" s="31" t="s">
        <v>9</v>
      </c>
      <c r="F4023" s="32">
        <v>52</v>
      </c>
      <c r="G4023" s="33">
        <f>(D4023-F4023)/F4023</f>
        <v>0.719230769230769</v>
      </c>
    </row>
    <row r="4024" spans="1:7">
      <c r="A4024" s="6" t="s">
        <v>6617</v>
      </c>
      <c r="B4024" s="3" t="s">
        <v>6618</v>
      </c>
      <c r="C4024" s="4" t="s">
        <v>156</v>
      </c>
      <c r="D4024" s="7">
        <v>97.95</v>
      </c>
      <c r="E4024" s="31" t="s">
        <v>9</v>
      </c>
      <c r="F4024" s="32">
        <v>55.5</v>
      </c>
      <c r="G4024" s="33">
        <f>(D4024-F4024)/F4024</f>
        <v>0.764864864864865</v>
      </c>
    </row>
    <row r="4025" spans="1:7">
      <c r="A4025" s="6" t="s">
        <v>6619</v>
      </c>
      <c r="B4025" s="3" t="s">
        <v>6620</v>
      </c>
      <c r="C4025" s="4" t="s">
        <v>156</v>
      </c>
      <c r="D4025" s="7">
        <v>95.1</v>
      </c>
      <c r="E4025" s="31" t="s">
        <v>9</v>
      </c>
      <c r="F4025" s="32">
        <v>54.35</v>
      </c>
      <c r="G4025" s="33">
        <f>(D4025-F4025)/F4025</f>
        <v>0.749770009199632</v>
      </c>
    </row>
    <row r="4026" ht="31" customHeight="1" spans="1:7">
      <c r="A4026" s="6" t="s">
        <v>6621</v>
      </c>
      <c r="B4026" s="12" t="s">
        <v>6622</v>
      </c>
      <c r="C4026" s="4"/>
      <c r="D4026" s="14"/>
      <c r="E4026" s="31" t="s">
        <v>9</v>
      </c>
    </row>
    <row r="4027" spans="1:7">
      <c r="A4027" s="6" t="s">
        <v>6623</v>
      </c>
      <c r="B4027" s="3" t="s">
        <v>6624</v>
      </c>
      <c r="C4027" s="4" t="s">
        <v>156</v>
      </c>
      <c r="D4027" s="7">
        <v>107.9</v>
      </c>
      <c r="E4027" s="31" t="s">
        <v>9</v>
      </c>
      <c r="F4027" s="32">
        <v>62.5</v>
      </c>
      <c r="G4027" s="33">
        <f>(D4027-F4027)/F4027</f>
        <v>0.7264</v>
      </c>
    </row>
    <row r="4028" spans="1:7">
      <c r="A4028" s="6" t="s">
        <v>6625</v>
      </c>
      <c r="B4028" s="3" t="s">
        <v>6618</v>
      </c>
      <c r="C4028" s="4" t="s">
        <v>156</v>
      </c>
      <c r="D4028" s="7">
        <v>109.3</v>
      </c>
      <c r="E4028" s="31" t="s">
        <v>9</v>
      </c>
      <c r="F4028" s="32">
        <v>68.3</v>
      </c>
      <c r="G4028" s="33">
        <f>(D4028-F4028)/F4028</f>
        <v>0.600292825768668</v>
      </c>
    </row>
    <row r="4029" spans="1:7">
      <c r="A4029" s="6" t="s">
        <v>6626</v>
      </c>
      <c r="B4029" s="3" t="s">
        <v>6620</v>
      </c>
      <c r="C4029" s="4" t="s">
        <v>156</v>
      </c>
      <c r="D4029" s="7">
        <v>112.15</v>
      </c>
      <c r="E4029" s="31" t="s">
        <v>9</v>
      </c>
      <c r="F4029" s="32">
        <v>74.1</v>
      </c>
      <c r="G4029" s="33">
        <f>(D4029-F4029)/F4029</f>
        <v>0.513495276653172</v>
      </c>
    </row>
    <row r="4030" ht="108.5" customHeight="1" spans="1:7">
      <c r="A4030" s="6" t="s">
        <v>6627</v>
      </c>
      <c r="B4030" s="12" t="s">
        <v>6628</v>
      </c>
      <c r="C4030" s="4" t="s">
        <v>575</v>
      </c>
      <c r="D4030" s="7">
        <v>638.35</v>
      </c>
      <c r="E4030" s="31" t="s">
        <v>9</v>
      </c>
      <c r="F4030" s="32">
        <v>408.85</v>
      </c>
      <c r="G4030" s="33">
        <f>(D4030-F4030)/F4030</f>
        <v>0.561330561330561</v>
      </c>
    </row>
    <row r="4031" ht="77.5" customHeight="1" spans="1:7">
      <c r="A4031" s="6" t="s">
        <v>6629</v>
      </c>
      <c r="B4031" s="12" t="s">
        <v>6630</v>
      </c>
      <c r="C4031" s="4" t="s">
        <v>12</v>
      </c>
      <c r="D4031" s="7">
        <v>5325.9</v>
      </c>
      <c r="E4031" s="31" t="s">
        <v>9</v>
      </c>
      <c r="F4031" s="32">
        <v>4608.85</v>
      </c>
      <c r="G4031" s="33">
        <f>(D4031-F4031)/F4031</f>
        <v>0.15558111025527</v>
      </c>
    </row>
    <row r="4032" ht="62" customHeight="1" spans="1:7">
      <c r="A4032" s="6" t="s">
        <v>6631</v>
      </c>
      <c r="B4032" s="12" t="s">
        <v>6632</v>
      </c>
      <c r="C4032" s="4"/>
      <c r="D4032" s="14"/>
      <c r="E4032" s="31" t="s">
        <v>9</v>
      </c>
    </row>
    <row r="4033" spans="1:7">
      <c r="A4033" s="6" t="s">
        <v>6633</v>
      </c>
      <c r="B4033" s="3" t="s">
        <v>6634</v>
      </c>
      <c r="C4033" s="4" t="s">
        <v>49</v>
      </c>
      <c r="D4033" s="7">
        <v>148.1</v>
      </c>
      <c r="E4033" s="31" t="s">
        <v>9</v>
      </c>
      <c r="F4033" s="32">
        <v>96.65</v>
      </c>
      <c r="G4033" s="33">
        <f>(D4033-F4033)/F4033</f>
        <v>0.532333160889808</v>
      </c>
    </row>
    <row r="4034" spans="1:7">
      <c r="A4034" s="6" t="s">
        <v>6635</v>
      </c>
      <c r="B4034" s="3" t="s">
        <v>6636</v>
      </c>
      <c r="C4034" s="4" t="s">
        <v>49</v>
      </c>
      <c r="D4034" s="7">
        <v>200.95</v>
      </c>
      <c r="E4034" s="31" t="s">
        <v>9</v>
      </c>
      <c r="F4034" s="32">
        <v>133.2</v>
      </c>
      <c r="G4034" s="33">
        <f>(D4034-F4034)/F4034</f>
        <v>0.508633633633634</v>
      </c>
    </row>
    <row r="4035" spans="1:7">
      <c r="A4035" s="6" t="s">
        <v>6637</v>
      </c>
      <c r="B4035" s="3" t="s">
        <v>6638</v>
      </c>
      <c r="C4035" s="4" t="s">
        <v>49</v>
      </c>
      <c r="D4035" s="7">
        <v>363.2</v>
      </c>
      <c r="E4035" s="31" t="s">
        <v>9</v>
      </c>
      <c r="F4035" s="32">
        <v>245.85</v>
      </c>
      <c r="G4035" s="33">
        <f>(D4035-F4035)/F4035</f>
        <v>0.477323571283303</v>
      </c>
    </row>
    <row r="4036" spans="1:7">
      <c r="D4036" s="16"/>
    </row>
    <row r="4037" spans="1:7">
      <c r="D4037" s="16"/>
    </row>
    <row r="4038" spans="1:7">
      <c r="D4038" s="16"/>
    </row>
    <row r="4039" spans="1:7">
      <c r="D4039" s="16"/>
    </row>
    <row r="4040" spans="1:7">
      <c r="D4040" s="16"/>
    </row>
    <row r="4041" spans="1:7">
      <c r="A4041" s="41" t="s">
        <v>6639</v>
      </c>
      <c r="C4041" s="31"/>
      <c r="D4041" s="31"/>
    </row>
    <row r="4042" spans="1:7">
      <c r="A4042" s="6" t="s">
        <v>204</v>
      </c>
      <c r="B4042" s="12" t="s">
        <v>2</v>
      </c>
      <c r="C4042" s="4" t="s">
        <v>205</v>
      </c>
      <c r="D4042" s="14" t="s">
        <v>4</v>
      </c>
    </row>
    <row r="4043" ht="201.5" customHeight="1" spans="1:7">
      <c r="A4043" s="6" t="s">
        <v>6640</v>
      </c>
      <c r="B4043" s="12" t="s">
        <v>6641</v>
      </c>
      <c r="C4043" s="4"/>
      <c r="D4043" s="14"/>
    </row>
    <row r="4044" spans="1:7">
      <c r="A4044" s="6" t="s">
        <v>6642</v>
      </c>
      <c r="B4044" s="3" t="s">
        <v>6643</v>
      </c>
      <c r="C4044" s="4" t="s">
        <v>12</v>
      </c>
      <c r="D4044" s="7">
        <v>1515.6</v>
      </c>
      <c r="E4044" s="31" t="s">
        <v>9</v>
      </c>
      <c r="F4044" s="32">
        <v>1017.55</v>
      </c>
      <c r="G4044" s="33">
        <f>(D4044-F4044)/F4044</f>
        <v>0.489459977396688</v>
      </c>
    </row>
    <row r="4045" ht="124" customHeight="1" spans="1:7">
      <c r="A4045" s="6" t="s">
        <v>6644</v>
      </c>
      <c r="B4045" s="12" t="s">
        <v>6645</v>
      </c>
      <c r="C4045" s="4"/>
      <c r="D4045" s="14"/>
    </row>
    <row r="4046" spans="1:7">
      <c r="A4046" s="6" t="s">
        <v>6646</v>
      </c>
      <c r="B4046" s="3" t="s">
        <v>6647</v>
      </c>
      <c r="C4046" s="4" t="s">
        <v>12</v>
      </c>
      <c r="D4046" s="7">
        <v>2024.7</v>
      </c>
      <c r="E4046" s="31" t="s">
        <v>9</v>
      </c>
      <c r="F4046" s="32">
        <v>1253.3</v>
      </c>
      <c r="G4046" s="33">
        <f>(D4046-F4046)/F4046</f>
        <v>0.6154950929546</v>
      </c>
    </row>
    <row r="4047" ht="186" customHeight="1" spans="1:7">
      <c r="A4047" s="6" t="s">
        <v>6648</v>
      </c>
      <c r="B4047" s="12" t="s">
        <v>6649</v>
      </c>
      <c r="C4047" s="4" t="s">
        <v>12</v>
      </c>
      <c r="D4047" s="14">
        <v>769.6</v>
      </c>
      <c r="E4047" s="31" t="s">
        <v>9</v>
      </c>
    </row>
    <row r="4048" ht="46.5" customHeight="1" spans="1:7">
      <c r="A4048" s="6" t="s">
        <v>6650</v>
      </c>
      <c r="B4048" s="12" t="s">
        <v>6651</v>
      </c>
      <c r="C4048" s="4"/>
      <c r="D4048" s="14"/>
      <c r="E4048" s="31" t="s">
        <v>9</v>
      </c>
      <c r="G4048" s="33" t="e">
        <f>(D4048-F4048)/F4048</f>
        <v>#DIV/0!</v>
      </c>
    </row>
    <row r="4049" spans="1:16">
      <c r="A4049" s="6" t="s">
        <v>6652</v>
      </c>
      <c r="B4049" s="3" t="s">
        <v>6653</v>
      </c>
      <c r="C4049" s="4" t="s">
        <v>49</v>
      </c>
      <c r="D4049" s="7">
        <v>327.65</v>
      </c>
      <c r="E4049" s="31" t="s">
        <v>9</v>
      </c>
      <c r="F4049" s="32">
        <v>254.15</v>
      </c>
      <c r="G4049" s="33">
        <f>(D4049-F4049)/F4049</f>
        <v>0.289199291756836</v>
      </c>
    </row>
    <row r="4050" spans="1:16">
      <c r="A4050" s="6" t="s">
        <v>6654</v>
      </c>
      <c r="B4050" s="3" t="s">
        <v>6655</v>
      </c>
      <c r="C4050" s="4" t="s">
        <v>49</v>
      </c>
      <c r="D4050" s="7">
        <v>267.9</v>
      </c>
      <c r="E4050" s="31" t="s">
        <v>9</v>
      </c>
      <c r="F4050" s="32">
        <v>200.7</v>
      </c>
      <c r="G4050" s="33">
        <f>(D4050-F4050)/F4050</f>
        <v>0.334828101644245</v>
      </c>
    </row>
    <row r="4051" spans="1:16">
      <c r="A4051" s="6" t="s">
        <v>6656</v>
      </c>
      <c r="B4051" s="3" t="s">
        <v>6657</v>
      </c>
      <c r="C4051" s="4" t="s">
        <v>49</v>
      </c>
      <c r="D4051" s="7">
        <v>263.65</v>
      </c>
      <c r="E4051" s="31" t="s">
        <v>9</v>
      </c>
      <c r="F4051" s="32">
        <v>235.55</v>
      </c>
      <c r="G4051" s="33">
        <f>(D4051-F4051)/F4051</f>
        <v>0.119295266397792</v>
      </c>
    </row>
    <row r="4052" ht="145" customHeight="1" spans="1:16">
      <c r="A4052" s="6" t="s">
        <v>6658</v>
      </c>
      <c r="B4052" s="12" t="s">
        <v>6659</v>
      </c>
      <c r="C4052" s="4" t="s">
        <v>12</v>
      </c>
      <c r="D4052" s="14">
        <v>617.05</v>
      </c>
      <c r="E4052" s="31" t="s">
        <v>9</v>
      </c>
      <c r="M4052" s="58"/>
      <c r="N4052" s="58"/>
      <c r="O4052" s="58"/>
      <c r="P4052" s="58"/>
    </row>
    <row r="4053" ht="217" customHeight="1" spans="1:16">
      <c r="A4053" s="6" t="s">
        <v>6660</v>
      </c>
      <c r="B4053" s="12" t="s">
        <v>6661</v>
      </c>
      <c r="C4053" s="4" t="s">
        <v>12</v>
      </c>
      <c r="D4053" s="7">
        <v>688.9</v>
      </c>
      <c r="E4053" s="31" t="s">
        <v>9</v>
      </c>
    </row>
    <row r="4054" ht="387.5" customHeight="1" spans="1:16">
      <c r="A4054" s="6" t="s">
        <v>6662</v>
      </c>
      <c r="B4054" s="12" t="s">
        <v>6663</v>
      </c>
      <c r="C4054" s="4"/>
      <c r="D4054" s="14"/>
      <c r="E4054" s="31" t="s">
        <v>9</v>
      </c>
    </row>
    <row r="4055" spans="1:16">
      <c r="A4055" s="6" t="s">
        <v>6664</v>
      </c>
      <c r="B4055" s="3" t="s">
        <v>6665</v>
      </c>
      <c r="C4055" s="4" t="s">
        <v>12</v>
      </c>
      <c r="D4055" s="7">
        <v>1684.6</v>
      </c>
      <c r="E4055" s="31" t="s">
        <v>9</v>
      </c>
      <c r="F4055" s="32">
        <v>1034.65</v>
      </c>
      <c r="G4055" s="33">
        <f>(D4055-F4055)/F4055</f>
        <v>0.628183443676605</v>
      </c>
    </row>
    <row r="4056" ht="93" customHeight="1" spans="1:16">
      <c r="A4056" s="6" t="s">
        <v>6666</v>
      </c>
      <c r="B4056" s="12" t="s">
        <v>6667</v>
      </c>
      <c r="C4056" s="4"/>
      <c r="D4056" s="14"/>
      <c r="E4056" s="31" t="s">
        <v>9</v>
      </c>
    </row>
    <row r="4057" spans="1:16">
      <c r="A4057" s="6" t="s">
        <v>6668</v>
      </c>
      <c r="B4057" s="3" t="s">
        <v>6669</v>
      </c>
      <c r="C4057" s="4" t="s">
        <v>12</v>
      </c>
      <c r="D4057" s="7">
        <v>515.05</v>
      </c>
      <c r="E4057" s="31" t="s">
        <v>9</v>
      </c>
      <c r="F4057" s="32">
        <v>312</v>
      </c>
      <c r="G4057" s="33">
        <f>(D4057-F4057)/F4057</f>
        <v>0.650801282051282</v>
      </c>
    </row>
    <row r="4058" ht="108.5" customHeight="1" spans="1:16">
      <c r="A4058" s="6" t="s">
        <v>6670</v>
      </c>
      <c r="B4058" s="12" t="s">
        <v>6671</v>
      </c>
      <c r="C4058" s="4" t="s">
        <v>12</v>
      </c>
      <c r="D4058" s="7">
        <v>806.45</v>
      </c>
      <c r="E4058" s="31" t="s">
        <v>9</v>
      </c>
      <c r="F4058" s="32">
        <v>493.4</v>
      </c>
      <c r="G4058" s="33">
        <f>(D4058-F4058)/F4058</f>
        <v>0.63447507093636</v>
      </c>
    </row>
    <row r="4059" ht="93" customHeight="1" spans="1:16">
      <c r="A4059" s="6" t="s">
        <v>6672</v>
      </c>
      <c r="B4059" s="12" t="s">
        <v>6673</v>
      </c>
      <c r="C4059" s="4" t="s">
        <v>12</v>
      </c>
      <c r="D4059" s="7">
        <v>910.85</v>
      </c>
      <c r="E4059" s="31" t="s">
        <v>9</v>
      </c>
      <c r="F4059" s="32">
        <v>548.55</v>
      </c>
      <c r="G4059" s="33">
        <f>(D4059-F4059)/F4059</f>
        <v>0.660468507884423</v>
      </c>
    </row>
    <row r="4060" ht="93" customHeight="1" spans="1:16">
      <c r="A4060" s="6" t="s">
        <v>6674</v>
      </c>
      <c r="B4060" s="12" t="s">
        <v>6675</v>
      </c>
      <c r="C4060" s="4" t="s">
        <v>12</v>
      </c>
      <c r="D4060" s="7">
        <v>910.85</v>
      </c>
      <c r="E4060" s="31" t="s">
        <v>9</v>
      </c>
      <c r="F4060" s="32">
        <v>548.75</v>
      </c>
      <c r="G4060" s="33">
        <f>(D4060-F4060)/F4060</f>
        <v>0.659863325740319</v>
      </c>
    </row>
    <row r="4061" ht="31" customHeight="1" spans="1:16">
      <c r="A4061" s="6" t="s">
        <v>6676</v>
      </c>
      <c r="B4061" s="12" t="s">
        <v>6677</v>
      </c>
      <c r="C4061" s="4" t="s">
        <v>12</v>
      </c>
      <c r="D4061" s="7">
        <v>59.45</v>
      </c>
      <c r="E4061" s="31" t="s">
        <v>9</v>
      </c>
      <c r="F4061" s="32">
        <v>33.05</v>
      </c>
      <c r="G4061" s="33">
        <f>(D4061-F4061)/F4061</f>
        <v>0.798789712556732</v>
      </c>
    </row>
    <row r="4062" ht="31" customHeight="1" spans="1:16">
      <c r="A4062" s="6" t="s">
        <v>6678</v>
      </c>
      <c r="B4062" s="12" t="s">
        <v>6679</v>
      </c>
      <c r="C4062" s="4"/>
      <c r="D4062" s="14"/>
      <c r="E4062" s="31" t="s">
        <v>9</v>
      </c>
    </row>
    <row r="4063" spans="1:16">
      <c r="A4063" s="6" t="s">
        <v>6680</v>
      </c>
      <c r="B4063" s="3" t="s">
        <v>6681</v>
      </c>
      <c r="C4063" s="4" t="s">
        <v>12</v>
      </c>
      <c r="D4063" s="7">
        <v>17.55</v>
      </c>
      <c r="E4063" s="31" t="s">
        <v>9</v>
      </c>
      <c r="F4063" s="32">
        <v>11.95</v>
      </c>
      <c r="G4063" s="33">
        <f>(D4063-F4063)/F4063</f>
        <v>0.468619246861925</v>
      </c>
    </row>
    <row r="4064" spans="1:16">
      <c r="A4064" s="6" t="s">
        <v>6682</v>
      </c>
      <c r="B4064" s="3" t="s">
        <v>6683</v>
      </c>
      <c r="C4064" s="4" t="s">
        <v>12</v>
      </c>
      <c r="D4064" s="7">
        <v>22.1</v>
      </c>
      <c r="E4064" s="31" t="s">
        <v>9</v>
      </c>
      <c r="F4064" s="32">
        <v>15.1</v>
      </c>
      <c r="G4064" s="33">
        <f>(D4064-F4064)/F4064</f>
        <v>0.463576158940397</v>
      </c>
    </row>
    <row r="4065" spans="1:7">
      <c r="A4065" s="6" t="s">
        <v>6684</v>
      </c>
      <c r="B4065" s="12" t="s">
        <v>6685</v>
      </c>
      <c r="C4065" s="4"/>
      <c r="D4065" s="14"/>
      <c r="E4065" s="31" t="s">
        <v>9</v>
      </c>
    </row>
    <row r="4066" ht="31" customHeight="1" spans="1:7">
      <c r="A4066" s="6" t="s">
        <v>6686</v>
      </c>
      <c r="B4066" s="3" t="s">
        <v>6687</v>
      </c>
      <c r="C4066" s="4" t="s">
        <v>16</v>
      </c>
      <c r="D4066" s="7">
        <v>8042.3</v>
      </c>
      <c r="E4066" s="31" t="s">
        <v>9</v>
      </c>
      <c r="F4066" s="32">
        <v>5583.8</v>
      </c>
      <c r="G4066" s="33">
        <f>(D4066-F4066)/F4066</f>
        <v>0.440291557720549</v>
      </c>
    </row>
    <row r="4067" spans="1:7">
      <c r="A4067" s="6" t="s">
        <v>6688</v>
      </c>
      <c r="B4067" s="3" t="s">
        <v>788</v>
      </c>
      <c r="C4067" s="4" t="s">
        <v>16</v>
      </c>
      <c r="D4067" s="7">
        <v>16112.1</v>
      </c>
      <c r="E4067" s="31" t="s">
        <v>9</v>
      </c>
      <c r="F4067" s="32">
        <v>9280.65</v>
      </c>
      <c r="G4067" s="33">
        <f>(D4067-F4067)/F4067</f>
        <v>0.736096070857106</v>
      </c>
    </row>
    <row r="4068" spans="1:7">
      <c r="A4068" s="6" t="s">
        <v>6689</v>
      </c>
      <c r="B4068" s="3" t="s">
        <v>6690</v>
      </c>
      <c r="C4068" s="4" t="s">
        <v>16</v>
      </c>
      <c r="D4068" s="7">
        <v>15155.6</v>
      </c>
      <c r="E4068" s="31" t="s">
        <v>9</v>
      </c>
      <c r="F4068" s="32">
        <v>8404.25</v>
      </c>
      <c r="G4068" s="33">
        <f>(D4068-F4068)/F4068</f>
        <v>0.803325698307404</v>
      </c>
    </row>
    <row r="4069" ht="186" customHeight="1" spans="1:7">
      <c r="A4069" s="6" t="s">
        <v>6691</v>
      </c>
      <c r="B4069" s="12" t="s">
        <v>6692</v>
      </c>
      <c r="C4069" s="4" t="s">
        <v>575</v>
      </c>
      <c r="D4069" s="7">
        <v>388</v>
      </c>
      <c r="E4069" s="2"/>
      <c r="F4069" s="32">
        <v>376.4</v>
      </c>
      <c r="G4069" s="33">
        <f>(D4069-F4069)/F4069</f>
        <v>0.0308182784272052</v>
      </c>
    </row>
    <row r="4070" ht="124" customHeight="1" spans="1:7">
      <c r="A4070" s="6" t="s">
        <v>6693</v>
      </c>
      <c r="B4070" s="12" t="s">
        <v>6694</v>
      </c>
      <c r="C4070" s="4" t="s">
        <v>12</v>
      </c>
      <c r="D4070" s="7">
        <v>563.1</v>
      </c>
      <c r="E4070" s="31" t="s">
        <v>9</v>
      </c>
      <c r="F4070" s="32">
        <v>327.55</v>
      </c>
      <c r="G4070" s="33">
        <f>(D4070-F4070)/F4070</f>
        <v>0.719126850862464</v>
      </c>
    </row>
    <row r="4071" ht="201.5" customHeight="1" spans="1:7">
      <c r="A4071" s="6" t="s">
        <v>6695</v>
      </c>
      <c r="B4071" s="12" t="s">
        <v>6696</v>
      </c>
      <c r="C4071" s="4"/>
      <c r="D4071" s="14"/>
      <c r="E4071" s="2"/>
    </row>
    <row r="4072" spans="1:7">
      <c r="A4072" s="6" t="s">
        <v>6697</v>
      </c>
      <c r="B4072" s="3" t="s">
        <v>6698</v>
      </c>
      <c r="C4072" s="4" t="s">
        <v>12</v>
      </c>
      <c r="D4072" s="7">
        <v>472.9</v>
      </c>
      <c r="E4072" s="2"/>
      <c r="F4072" s="32">
        <v>468.1</v>
      </c>
      <c r="G4072" s="33">
        <f>(D4072-F4072)/F4072</f>
        <v>0.010254219183935</v>
      </c>
    </row>
    <row r="4073" spans="1:7">
      <c r="A4073" s="6" t="s">
        <v>6699</v>
      </c>
      <c r="B4073" s="3" t="s">
        <v>6700</v>
      </c>
      <c r="C4073" s="4" t="s">
        <v>12</v>
      </c>
      <c r="D4073" s="7">
        <v>362.8</v>
      </c>
      <c r="E4073" s="2"/>
      <c r="F4073" s="32">
        <v>362.35</v>
      </c>
      <c r="G4073" s="33">
        <f>(D4073-F4073)/F4073</f>
        <v>0.00124189319718501</v>
      </c>
    </row>
    <row r="4074" ht="108.5" customHeight="1" spans="1:7">
      <c r="A4074" s="6" t="s">
        <v>6701</v>
      </c>
      <c r="B4074" s="12" t="s">
        <v>6702</v>
      </c>
      <c r="C4074" s="4" t="s">
        <v>12</v>
      </c>
      <c r="D4074" s="7">
        <v>447.35</v>
      </c>
      <c r="E4074" s="31" t="s">
        <v>9</v>
      </c>
      <c r="F4074" s="32">
        <v>368.2</v>
      </c>
      <c r="G4074" s="33">
        <f>(D4074-F4074)/F4074</f>
        <v>0.214964693101575</v>
      </c>
    </row>
    <row r="4075" ht="170.5" customHeight="1" spans="1:7">
      <c r="A4075" s="6" t="s">
        <v>6703</v>
      </c>
      <c r="B4075" s="12" t="s">
        <v>6704</v>
      </c>
      <c r="C4075" s="4" t="s">
        <v>12</v>
      </c>
      <c r="D4075" s="7">
        <v>309.6</v>
      </c>
      <c r="E4075" s="2"/>
      <c r="F4075" s="32">
        <v>316.15</v>
      </c>
      <c r="G4075" s="33">
        <f>(D4075-F4075)/F4075</f>
        <v>-0.0207180136011386</v>
      </c>
    </row>
    <row r="4076" ht="108.5" customHeight="1" spans="1:7">
      <c r="A4076" s="6" t="s">
        <v>6705</v>
      </c>
      <c r="B4076" s="12" t="s">
        <v>6706</v>
      </c>
      <c r="C4076" s="4" t="s">
        <v>12</v>
      </c>
      <c r="D4076" s="7">
        <v>597</v>
      </c>
      <c r="E4076" s="31" t="s">
        <v>9</v>
      </c>
      <c r="F4076" s="32">
        <v>391.8</v>
      </c>
      <c r="G4076" s="33">
        <f>(D4076-F4076)/F4076</f>
        <v>0.523736600306279</v>
      </c>
    </row>
    <row r="4077" ht="124" customHeight="1" spans="1:7">
      <c r="A4077" s="6" t="s">
        <v>6707</v>
      </c>
      <c r="B4077" s="12" t="s">
        <v>6708</v>
      </c>
      <c r="C4077" s="4"/>
      <c r="D4077" s="14"/>
      <c r="E4077" s="31" t="s">
        <v>9</v>
      </c>
    </row>
    <row r="4078" ht="77.5" customHeight="1" spans="1:7">
      <c r="A4078" s="6" t="s">
        <v>6709</v>
      </c>
      <c r="B4078" s="3" t="s">
        <v>6710</v>
      </c>
      <c r="C4078" s="4" t="s">
        <v>49</v>
      </c>
      <c r="D4078" s="7">
        <v>547.7</v>
      </c>
      <c r="E4078" s="31" t="s">
        <v>9</v>
      </c>
      <c r="F4078" s="32">
        <v>514</v>
      </c>
      <c r="G4078" s="33">
        <f>(D4078-F4078)/F4078</f>
        <v>0.0655642023346304</v>
      </c>
    </row>
    <row r="4079" ht="77.5" customHeight="1" spans="1:7">
      <c r="A4079" s="6" t="s">
        <v>6711</v>
      </c>
      <c r="B4079" s="3" t="s">
        <v>6712</v>
      </c>
      <c r="C4079" s="4" t="s">
        <v>6713</v>
      </c>
      <c r="D4079" s="7">
        <v>23.05</v>
      </c>
      <c r="E4079" s="31" t="s">
        <v>9</v>
      </c>
      <c r="F4079" s="32">
        <v>18.45</v>
      </c>
      <c r="G4079" s="33">
        <f>(D4079-F4079)/F4079</f>
        <v>0.249322493224932</v>
      </c>
    </row>
    <row r="4080" ht="124" customHeight="1" spans="1:7">
      <c r="A4080" s="6" t="s">
        <v>6714</v>
      </c>
      <c r="B4080" s="12" t="s">
        <v>6715</v>
      </c>
      <c r="C4080" s="4" t="s">
        <v>49</v>
      </c>
      <c r="D4080" s="7">
        <v>573.45</v>
      </c>
      <c r="E4080" s="31" t="s">
        <v>9</v>
      </c>
      <c r="F4080" s="32">
        <v>538.9</v>
      </c>
      <c r="G4080" s="33">
        <f>(D4080-F4080)/F4080</f>
        <v>0.0641120801632957</v>
      </c>
    </row>
    <row r="4081" spans="1:7">
      <c r="B4081" s="53"/>
      <c r="D4081" s="16"/>
    </row>
    <row r="4082" spans="1:7">
      <c r="B4082" s="53"/>
      <c r="D4082" s="16"/>
    </row>
    <row r="4083" spans="1:7">
      <c r="B4083" s="53"/>
      <c r="D4083" s="16"/>
    </row>
    <row r="4084" spans="1:7">
      <c r="B4084" s="53"/>
      <c r="D4084" s="16"/>
    </row>
    <row r="4085" spans="1:7">
      <c r="B4085" s="53"/>
      <c r="D4085" s="16"/>
    </row>
    <row r="4086" spans="1:7">
      <c r="B4086" s="53"/>
      <c r="D4086" s="16"/>
    </row>
    <row r="4087" spans="1:7">
      <c r="B4087" s="53"/>
      <c r="D4087" s="16"/>
    </row>
    <row r="4088" spans="1:7">
      <c r="A4088" s="42" t="s">
        <v>6716</v>
      </c>
      <c r="C4088" s="31"/>
      <c r="D4088" s="31"/>
    </row>
    <row r="4089" spans="1:7">
      <c r="A4089" s="6" t="s">
        <v>204</v>
      </c>
      <c r="B4089" s="12" t="s">
        <v>2</v>
      </c>
      <c r="C4089" s="4" t="s">
        <v>205</v>
      </c>
      <c r="D4089" s="14" t="s">
        <v>4</v>
      </c>
    </row>
    <row r="4090" ht="77.5" customHeight="1" spans="1:7">
      <c r="A4090" s="6" t="s">
        <v>6717</v>
      </c>
      <c r="B4090" s="12" t="s">
        <v>6718</v>
      </c>
      <c r="C4090" s="4"/>
      <c r="D4090" s="14"/>
      <c r="E4090" s="31" t="s">
        <v>9</v>
      </c>
    </row>
    <row r="4091" spans="1:7">
      <c r="A4091" s="6" t="s">
        <v>6719</v>
      </c>
      <c r="B4091" s="3" t="s">
        <v>6720</v>
      </c>
      <c r="C4091" s="4"/>
      <c r="D4091" s="14"/>
      <c r="E4091" s="31" t="s">
        <v>9</v>
      </c>
    </row>
    <row r="4092" spans="1:7">
      <c r="A4092" s="6" t="s">
        <v>6721</v>
      </c>
      <c r="B4092" s="3" t="s">
        <v>6722</v>
      </c>
      <c r="C4092" s="4" t="s">
        <v>49</v>
      </c>
      <c r="D4092" s="7">
        <v>707.75</v>
      </c>
      <c r="E4092" s="31" t="s">
        <v>9</v>
      </c>
      <c r="F4092" s="32">
        <v>370.7</v>
      </c>
      <c r="G4092" s="33">
        <f>(D4092-F4092)/F4092</f>
        <v>0.909225789047748</v>
      </c>
    </row>
    <row r="4093" spans="1:7">
      <c r="A4093" s="6" t="s">
        <v>6723</v>
      </c>
      <c r="B4093" s="3" t="s">
        <v>6724</v>
      </c>
      <c r="C4093" s="4" t="s">
        <v>49</v>
      </c>
      <c r="D4093" s="7">
        <v>774.05</v>
      </c>
      <c r="E4093" s="31" t="s">
        <v>9</v>
      </c>
      <c r="F4093" s="32">
        <v>405.45</v>
      </c>
      <c r="G4093" s="33">
        <f>(D4093-F4093)/F4093</f>
        <v>0.909113330866938</v>
      </c>
    </row>
    <row r="4094" spans="1:7">
      <c r="A4094" s="6" t="s">
        <v>6725</v>
      </c>
      <c r="B4094" s="3" t="s">
        <v>6726</v>
      </c>
      <c r="C4094" s="4" t="s">
        <v>49</v>
      </c>
      <c r="D4094" s="7">
        <v>990.8</v>
      </c>
      <c r="E4094" s="31" t="s">
        <v>9</v>
      </c>
      <c r="F4094" s="32">
        <v>518.95</v>
      </c>
      <c r="G4094" s="33">
        <f>(D4094-F4094)/F4094</f>
        <v>0.909239811157144</v>
      </c>
    </row>
    <row r="4095" spans="1:7">
      <c r="A4095" s="6" t="s">
        <v>6727</v>
      </c>
      <c r="B4095" s="3" t="s">
        <v>6728</v>
      </c>
      <c r="C4095" s="4"/>
      <c r="D4095" s="14"/>
      <c r="E4095" s="31" t="s">
        <v>9</v>
      </c>
    </row>
    <row r="4096" spans="1:7">
      <c r="A4096" s="6" t="s">
        <v>6729</v>
      </c>
      <c r="B4096" s="3" t="s">
        <v>6722</v>
      </c>
      <c r="C4096" s="4" t="s">
        <v>49</v>
      </c>
      <c r="D4096" s="7">
        <v>1695.1</v>
      </c>
      <c r="E4096" s="31" t="s">
        <v>9</v>
      </c>
      <c r="F4096" s="32">
        <v>855.1</v>
      </c>
      <c r="G4096" s="33">
        <f>(D4096-F4096)/F4096</f>
        <v>0.98234124663782</v>
      </c>
    </row>
    <row r="4097" spans="1:7">
      <c r="A4097" s="6" t="s">
        <v>6730</v>
      </c>
      <c r="B4097" s="3" t="s">
        <v>6724</v>
      </c>
      <c r="C4097" s="4" t="s">
        <v>49</v>
      </c>
      <c r="D4097" s="7">
        <v>1792.85</v>
      </c>
      <c r="E4097" s="31" t="s">
        <v>9</v>
      </c>
      <c r="F4097" s="32">
        <v>895.25</v>
      </c>
      <c r="G4097" s="33">
        <f>(D4097-F4097)/F4097</f>
        <v>1.00262496509355</v>
      </c>
    </row>
    <row r="4098" spans="1:7">
      <c r="A4098" s="6" t="s">
        <v>6731</v>
      </c>
      <c r="B4098" s="3" t="s">
        <v>6726</v>
      </c>
      <c r="C4098" s="4" t="s">
        <v>49</v>
      </c>
      <c r="D4098" s="7">
        <v>2131.45</v>
      </c>
      <c r="E4098" s="31" t="s">
        <v>9</v>
      </c>
      <c r="F4098" s="32">
        <v>1034.5</v>
      </c>
      <c r="G4098" s="33">
        <f>(D4098-F4098)/F4098</f>
        <v>1.06036732721121</v>
      </c>
    </row>
    <row r="4099" ht="77.5" customHeight="1" spans="1:7">
      <c r="A4099" s="6" t="s">
        <v>6732</v>
      </c>
      <c r="B4099" s="12" t="s">
        <v>6733</v>
      </c>
      <c r="C4099" s="4"/>
      <c r="D4099" s="14"/>
      <c r="E4099" s="31" t="s">
        <v>9</v>
      </c>
    </row>
    <row r="4100" spans="1:7">
      <c r="A4100" s="6" t="s">
        <v>6734</v>
      </c>
      <c r="B4100" s="3" t="s">
        <v>6720</v>
      </c>
      <c r="C4100" s="4"/>
      <c r="D4100" s="14"/>
      <c r="E4100" s="31" t="s">
        <v>9</v>
      </c>
    </row>
    <row r="4101" spans="1:7">
      <c r="A4101" s="6" t="s">
        <v>6735</v>
      </c>
      <c r="B4101" s="3" t="s">
        <v>6722</v>
      </c>
      <c r="C4101" s="4" t="s">
        <v>49</v>
      </c>
      <c r="D4101" s="7">
        <v>825.7</v>
      </c>
      <c r="E4101" s="31" t="s">
        <v>9</v>
      </c>
      <c r="F4101" s="32">
        <v>432.45</v>
      </c>
      <c r="G4101" s="33">
        <f>(D4101-F4101)/F4101</f>
        <v>0.909353682506648</v>
      </c>
    </row>
    <row r="4102" spans="1:7">
      <c r="A4102" s="6" t="s">
        <v>6736</v>
      </c>
      <c r="B4102" s="3" t="s">
        <v>6724</v>
      </c>
      <c r="C4102" s="4" t="s">
        <v>49</v>
      </c>
      <c r="D4102" s="7">
        <v>917.4</v>
      </c>
      <c r="E4102" s="31" t="s">
        <v>9</v>
      </c>
      <c r="F4102" s="32">
        <v>480.5</v>
      </c>
      <c r="G4102" s="33">
        <f>(D4102-F4102)/F4102</f>
        <v>0.909261186264308</v>
      </c>
    </row>
    <row r="4103" spans="1:7">
      <c r="A4103" s="6" t="s">
        <v>6737</v>
      </c>
      <c r="B4103" s="3" t="s">
        <v>6726</v>
      </c>
      <c r="C4103" s="4" t="s">
        <v>49</v>
      </c>
      <c r="D4103" s="7">
        <v>1238.5</v>
      </c>
      <c r="E4103" s="31" t="s">
        <v>9</v>
      </c>
      <c r="F4103" s="32">
        <v>648.7</v>
      </c>
      <c r="G4103" s="33">
        <f>(D4103-F4103)/F4103</f>
        <v>0.90920302142747</v>
      </c>
    </row>
    <row r="4104" spans="1:7">
      <c r="A4104" s="6" t="s">
        <v>6738</v>
      </c>
      <c r="B4104" s="3" t="s">
        <v>6728</v>
      </c>
      <c r="C4104" s="4"/>
      <c r="D4104" s="14"/>
      <c r="E4104" s="31" t="s">
        <v>9</v>
      </c>
    </row>
    <row r="4105" spans="1:7">
      <c r="A4105" s="6" t="s">
        <v>6739</v>
      </c>
      <c r="B4105" s="3" t="s">
        <v>6722</v>
      </c>
      <c r="C4105" s="4" t="s">
        <v>49</v>
      </c>
      <c r="D4105" s="7">
        <v>1870.6</v>
      </c>
      <c r="E4105" s="31" t="s">
        <v>9</v>
      </c>
      <c r="F4105" s="32">
        <v>927.1</v>
      </c>
      <c r="G4105" s="33">
        <f>(D4105-F4105)/F4105</f>
        <v>1.01768956962571</v>
      </c>
    </row>
    <row r="4106" spans="1:7">
      <c r="A4106" s="6" t="s">
        <v>6740</v>
      </c>
      <c r="B4106" s="3" t="s">
        <v>6724</v>
      </c>
      <c r="C4106" s="4" t="s">
        <v>49</v>
      </c>
      <c r="D4106" s="7">
        <v>1955.6</v>
      </c>
      <c r="E4106" s="31" t="s">
        <v>9</v>
      </c>
      <c r="F4106" s="32">
        <v>962.2</v>
      </c>
      <c r="G4106" s="33">
        <f>(D4106-F4106)/F4106</f>
        <v>1.03242569112451</v>
      </c>
    </row>
    <row r="4107" spans="1:7">
      <c r="A4107" s="6" t="s">
        <v>6741</v>
      </c>
      <c r="B4107" s="3" t="s">
        <v>6726</v>
      </c>
      <c r="C4107" s="4" t="s">
        <v>49</v>
      </c>
      <c r="D4107" s="7">
        <v>2496.55</v>
      </c>
      <c r="E4107" s="31" t="s">
        <v>9</v>
      </c>
      <c r="F4107" s="32">
        <v>1218.55</v>
      </c>
      <c r="G4107" s="33">
        <f>(D4107-F4107)/F4107</f>
        <v>1.04878749333224</v>
      </c>
    </row>
    <row r="4108" ht="62" customHeight="1" spans="1:7">
      <c r="A4108" s="6" t="s">
        <v>6742</v>
      </c>
      <c r="B4108" s="12" t="s">
        <v>6743</v>
      </c>
      <c r="C4108" s="4"/>
      <c r="D4108" s="14"/>
      <c r="E4108" s="31" t="s">
        <v>9</v>
      </c>
    </row>
    <row r="4109" spans="1:7">
      <c r="A4109" s="6" t="s">
        <v>6744</v>
      </c>
      <c r="B4109" s="3" t="s">
        <v>6745</v>
      </c>
      <c r="C4109" s="4" t="s">
        <v>49</v>
      </c>
      <c r="D4109" s="7">
        <v>672.3</v>
      </c>
      <c r="E4109" s="31" t="s">
        <v>9</v>
      </c>
      <c r="F4109" s="32">
        <v>289.85</v>
      </c>
      <c r="G4109" s="33">
        <f>(D4109-F4109)/F4109</f>
        <v>1.31947559082284</v>
      </c>
    </row>
    <row r="4110" spans="1:7">
      <c r="A4110" s="6" t="s">
        <v>6746</v>
      </c>
      <c r="B4110" s="3" t="s">
        <v>6747</v>
      </c>
      <c r="C4110" s="4" t="s">
        <v>49</v>
      </c>
      <c r="D4110" s="7">
        <v>793.25</v>
      </c>
      <c r="E4110" s="31" t="s">
        <v>9</v>
      </c>
      <c r="F4110" s="32">
        <v>572.3</v>
      </c>
      <c r="G4110" s="33">
        <f>(D4110-F4110)/F4110</f>
        <v>0.386073737550236</v>
      </c>
    </row>
    <row r="4111" spans="1:7">
      <c r="A4111" s="6" t="s">
        <v>6748</v>
      </c>
      <c r="B4111" s="3" t="s">
        <v>6749</v>
      </c>
      <c r="C4111" s="4" t="s">
        <v>49</v>
      </c>
      <c r="D4111" s="7">
        <v>1113.35</v>
      </c>
      <c r="E4111" s="31" t="s">
        <v>9</v>
      </c>
      <c r="F4111" s="32">
        <v>610.65</v>
      </c>
      <c r="G4111" s="33">
        <f>(D4111-F4111)/F4111</f>
        <v>0.82322115778269</v>
      </c>
    </row>
    <row r="4112" ht="62" customHeight="1" spans="1:7">
      <c r="A4112" s="6" t="s">
        <v>6750</v>
      </c>
      <c r="B4112" s="12" t="s">
        <v>6751</v>
      </c>
      <c r="C4112" s="4"/>
      <c r="D4112" s="14"/>
      <c r="E4112" s="31" t="s">
        <v>9</v>
      </c>
    </row>
    <row r="4113" spans="1:7">
      <c r="A4113" s="6" t="s">
        <v>6752</v>
      </c>
      <c r="B4113" s="3" t="s">
        <v>6745</v>
      </c>
      <c r="C4113" s="4" t="s">
        <v>49</v>
      </c>
      <c r="D4113" s="7">
        <v>686.55</v>
      </c>
      <c r="E4113" s="31" t="s">
        <v>9</v>
      </c>
      <c r="F4113" s="32">
        <v>448.05</v>
      </c>
      <c r="G4113" s="33">
        <f t="shared" ref="G4113:G4120" si="92">(D4113-F4113)/F4113</f>
        <v>0.532306662202879</v>
      </c>
    </row>
    <row r="4114" spans="1:7">
      <c r="A4114" s="6" t="s">
        <v>6753</v>
      </c>
      <c r="B4114" s="3" t="s">
        <v>6747</v>
      </c>
      <c r="C4114" s="4" t="s">
        <v>49</v>
      </c>
      <c r="D4114" s="7">
        <v>807.45</v>
      </c>
      <c r="E4114" s="31" t="s">
        <v>9</v>
      </c>
      <c r="F4114" s="32">
        <v>529.35</v>
      </c>
      <c r="G4114" s="33">
        <f t="shared" si="92"/>
        <v>0.525361292150751</v>
      </c>
    </row>
    <row r="4115" spans="1:7">
      <c r="A4115" s="6" t="s">
        <v>6754</v>
      </c>
      <c r="B4115" s="3" t="s">
        <v>6749</v>
      </c>
      <c r="C4115" s="4" t="s">
        <v>49</v>
      </c>
      <c r="D4115" s="7">
        <v>1255.7</v>
      </c>
      <c r="E4115" s="31" t="s">
        <v>9</v>
      </c>
      <c r="F4115" s="32">
        <v>821.15</v>
      </c>
      <c r="G4115" s="33">
        <f t="shared" si="92"/>
        <v>0.529196858064909</v>
      </c>
    </row>
    <row r="4116" ht="46.5" customHeight="1" spans="1:7">
      <c r="A4116" s="6" t="s">
        <v>6755</v>
      </c>
      <c r="B4116" s="12" t="s">
        <v>6756</v>
      </c>
      <c r="C4116" s="4" t="s">
        <v>16</v>
      </c>
      <c r="D4116" s="7">
        <v>1509.8</v>
      </c>
      <c r="E4116" s="31" t="s">
        <v>9</v>
      </c>
      <c r="F4116" s="32">
        <v>921.9</v>
      </c>
      <c r="G4116" s="33">
        <f t="shared" si="92"/>
        <v>0.637704740210435</v>
      </c>
    </row>
    <row r="4117" ht="46.5" customHeight="1" spans="1:7">
      <c r="A4117" s="6" t="s">
        <v>6757</v>
      </c>
      <c r="B4117" s="12" t="s">
        <v>6758</v>
      </c>
      <c r="C4117" s="4" t="s">
        <v>16</v>
      </c>
      <c r="D4117" s="7">
        <v>1538.25</v>
      </c>
      <c r="E4117" s="31" t="s">
        <v>9</v>
      </c>
      <c r="F4117" s="32">
        <v>1038.05</v>
      </c>
      <c r="G4117" s="33">
        <f t="shared" si="92"/>
        <v>0.481865035402919</v>
      </c>
    </row>
    <row r="4118" ht="46.5" customHeight="1" spans="1:7">
      <c r="A4118" s="6" t="s">
        <v>6759</v>
      </c>
      <c r="B4118" s="12" t="s">
        <v>6760</v>
      </c>
      <c r="C4118" s="4" t="s">
        <v>16</v>
      </c>
      <c r="D4118" s="7">
        <v>1538.25</v>
      </c>
      <c r="E4118" s="31" t="s">
        <v>9</v>
      </c>
      <c r="F4118" s="32">
        <v>1038.05</v>
      </c>
      <c r="G4118" s="33">
        <f t="shared" si="92"/>
        <v>0.481865035402919</v>
      </c>
    </row>
    <row r="4119" ht="46.5" customHeight="1" spans="1:7">
      <c r="A4119" s="6" t="s">
        <v>6761</v>
      </c>
      <c r="B4119" s="12" t="s">
        <v>6762</v>
      </c>
      <c r="C4119" s="4" t="s">
        <v>16</v>
      </c>
      <c r="D4119" s="7">
        <v>2024.5</v>
      </c>
      <c r="E4119" s="31" t="s">
        <v>9</v>
      </c>
      <c r="F4119" s="32">
        <v>1175.8</v>
      </c>
      <c r="G4119" s="33">
        <f t="shared" si="92"/>
        <v>0.721806429664909</v>
      </c>
    </row>
    <row r="4120" ht="77.5" customHeight="1" spans="1:7">
      <c r="A4120" s="6" t="s">
        <v>6763</v>
      </c>
      <c r="B4120" s="12" t="s">
        <v>6764</v>
      </c>
      <c r="C4120" s="4" t="s">
        <v>156</v>
      </c>
      <c r="D4120" s="7">
        <v>1399.95</v>
      </c>
      <c r="E4120" s="31" t="s">
        <v>9</v>
      </c>
      <c r="F4120" s="32">
        <v>959.35</v>
      </c>
      <c r="G4120" s="33">
        <f t="shared" si="92"/>
        <v>0.459269296919789</v>
      </c>
    </row>
    <row r="4121" ht="93" customHeight="1" spans="1:7">
      <c r="A4121" s="6" t="s">
        <v>6765</v>
      </c>
      <c r="B4121" s="12" t="s">
        <v>6766</v>
      </c>
      <c r="C4121" s="4"/>
      <c r="D4121" s="14"/>
      <c r="E4121" s="31" t="s">
        <v>9</v>
      </c>
    </row>
    <row r="4122" spans="1:7">
      <c r="A4122" s="6" t="s">
        <v>6767</v>
      </c>
      <c r="B4122" s="3" t="s">
        <v>6768</v>
      </c>
      <c r="C4122" s="4" t="s">
        <v>49</v>
      </c>
      <c r="D4122" s="7">
        <v>1359.25</v>
      </c>
      <c r="E4122" s="31" t="s">
        <v>9</v>
      </c>
      <c r="F4122" s="32">
        <v>890.1</v>
      </c>
      <c r="G4122" s="33">
        <f>(D4122-F4122)/F4122</f>
        <v>0.527075609482081</v>
      </c>
    </row>
    <row r="4123" spans="1:7">
      <c r="A4123" s="6" t="s">
        <v>6769</v>
      </c>
      <c r="B4123" s="3" t="s">
        <v>6770</v>
      </c>
      <c r="C4123" s="4" t="s">
        <v>49</v>
      </c>
      <c r="D4123" s="7">
        <v>1972.25</v>
      </c>
      <c r="E4123" s="31" t="s">
        <v>9</v>
      </c>
      <c r="F4123" s="32">
        <v>1210.6</v>
      </c>
      <c r="G4123" s="33">
        <f>(D4123-F4123)/F4123</f>
        <v>0.629150834297043</v>
      </c>
    </row>
    <row r="4124" spans="1:7">
      <c r="A4124" s="6" t="s">
        <v>6771</v>
      </c>
      <c r="B4124" s="3" t="s">
        <v>6772</v>
      </c>
      <c r="C4124" s="4" t="s">
        <v>49</v>
      </c>
      <c r="D4124" s="7">
        <v>2442.75</v>
      </c>
      <c r="E4124" s="31" t="s">
        <v>9</v>
      </c>
      <c r="F4124" s="32">
        <v>1525.9</v>
      </c>
      <c r="G4124" s="33">
        <f>(D4124-F4124)/F4124</f>
        <v>0.600858509731961</v>
      </c>
    </row>
    <row r="4125" ht="108.5" customHeight="1" spans="1:7">
      <c r="A4125" s="6" t="s">
        <v>6773</v>
      </c>
      <c r="B4125" s="12" t="s">
        <v>6774</v>
      </c>
      <c r="C4125" s="4"/>
      <c r="D4125" s="14"/>
      <c r="E4125" s="31" t="s">
        <v>9</v>
      </c>
    </row>
    <row r="4126" spans="1:7">
      <c r="A4126" s="6" t="s">
        <v>6775</v>
      </c>
      <c r="B4126" s="3" t="s">
        <v>6745</v>
      </c>
      <c r="C4126" s="4" t="s">
        <v>49</v>
      </c>
      <c r="D4126" s="7">
        <v>1456.8</v>
      </c>
      <c r="E4126" s="31" t="s">
        <v>9</v>
      </c>
      <c r="F4126" s="32">
        <v>950.75</v>
      </c>
      <c r="G4126" s="33">
        <f>(D4126-F4126)/F4126</f>
        <v>0.532264002103602</v>
      </c>
    </row>
    <row r="4127" spans="1:7">
      <c r="A4127" s="6" t="s">
        <v>6776</v>
      </c>
      <c r="B4127" s="3" t="s">
        <v>6747</v>
      </c>
      <c r="C4127" s="4" t="s">
        <v>49</v>
      </c>
      <c r="D4127" s="7">
        <v>2102.25</v>
      </c>
      <c r="E4127" s="31" t="s">
        <v>9</v>
      </c>
      <c r="F4127" s="32">
        <v>1291.5</v>
      </c>
      <c r="G4127" s="33">
        <f>(D4127-F4127)/F4127</f>
        <v>0.627758420441347</v>
      </c>
    </row>
    <row r="4128" spans="1:7">
      <c r="A4128" s="6" t="s">
        <v>6777</v>
      </c>
      <c r="B4128" s="3" t="s">
        <v>6749</v>
      </c>
      <c r="C4128" s="4" t="s">
        <v>49</v>
      </c>
      <c r="D4128" s="7">
        <v>2571.05</v>
      </c>
      <c r="E4128" s="31" t="s">
        <v>9</v>
      </c>
      <c r="F4128" s="32">
        <v>1607.5</v>
      </c>
      <c r="G4128" s="33">
        <f>(D4128-F4128)/F4128</f>
        <v>0.599409020217729</v>
      </c>
    </row>
    <row r="4129" ht="124" customHeight="1" spans="1:7">
      <c r="A4129" s="6" t="s">
        <v>6778</v>
      </c>
      <c r="B4129" s="12" t="s">
        <v>6779</v>
      </c>
      <c r="C4129" s="4" t="s">
        <v>6780</v>
      </c>
      <c r="D4129" s="7">
        <v>1085.05</v>
      </c>
      <c r="E4129" s="31" t="s">
        <v>9</v>
      </c>
      <c r="F4129" s="32">
        <v>542.2</v>
      </c>
      <c r="G4129" s="33">
        <f>(D4129-F4129)/F4129</f>
        <v>1.00119881962375</v>
      </c>
    </row>
    <row r="4130" ht="31" customHeight="1" spans="1:7">
      <c r="A4130" s="6" t="s">
        <v>6781</v>
      </c>
      <c r="B4130" s="12" t="s">
        <v>6782</v>
      </c>
      <c r="C4130" s="4"/>
      <c r="D4130" s="14"/>
      <c r="E4130" s="31" t="s">
        <v>9</v>
      </c>
    </row>
    <row r="4131" spans="1:7">
      <c r="A4131" s="6" t="s">
        <v>6783</v>
      </c>
      <c r="B4131" s="3" t="s">
        <v>4504</v>
      </c>
      <c r="C4131" s="4" t="s">
        <v>156</v>
      </c>
      <c r="D4131" s="7">
        <v>224.1</v>
      </c>
      <c r="E4131" s="31" t="s">
        <v>9</v>
      </c>
      <c r="F4131" s="32">
        <v>146.35</v>
      </c>
      <c r="G4131" s="33">
        <f>(D4131-F4131)/F4131</f>
        <v>0.53126067646054</v>
      </c>
    </row>
    <row r="4132" spans="1:7">
      <c r="A4132" s="6" t="s">
        <v>6784</v>
      </c>
      <c r="B4132" s="3" t="s">
        <v>5362</v>
      </c>
      <c r="C4132" s="4" t="s">
        <v>156</v>
      </c>
      <c r="D4132" s="7">
        <v>246.45</v>
      </c>
      <c r="E4132" s="31" t="s">
        <v>9</v>
      </c>
      <c r="F4132" s="32">
        <v>182.95</v>
      </c>
      <c r="G4132" s="33">
        <f>(D4132-F4132)/F4132</f>
        <v>0.347089368679967</v>
      </c>
    </row>
    <row r="4133" spans="1:7">
      <c r="A4133" s="6" t="s">
        <v>6785</v>
      </c>
      <c r="B4133" s="3" t="s">
        <v>5364</v>
      </c>
      <c r="C4133" s="4" t="s">
        <v>156</v>
      </c>
      <c r="D4133" s="7">
        <v>321.15</v>
      </c>
      <c r="E4133" s="31" t="s">
        <v>9</v>
      </c>
      <c r="F4133" s="32">
        <v>231.75</v>
      </c>
      <c r="G4133" s="33">
        <f>(D4133-F4133)/F4133</f>
        <v>0.385760517799353</v>
      </c>
    </row>
    <row r="4134" ht="46.5" customHeight="1" spans="1:7">
      <c r="A4134" s="6" t="s">
        <v>6786</v>
      </c>
      <c r="B4134" s="12" t="s">
        <v>6787</v>
      </c>
      <c r="C4134" s="4"/>
      <c r="D4134" s="14"/>
      <c r="E4134" s="31" t="s">
        <v>9</v>
      </c>
    </row>
    <row r="4135" spans="1:7">
      <c r="A4135" s="6" t="s">
        <v>6788</v>
      </c>
      <c r="B4135" s="3" t="s">
        <v>6789</v>
      </c>
      <c r="C4135" s="4" t="s">
        <v>156</v>
      </c>
      <c r="D4135" s="7">
        <v>1911.4</v>
      </c>
      <c r="E4135" s="31" t="s">
        <v>9</v>
      </c>
      <c r="F4135" s="32">
        <v>962.05</v>
      </c>
      <c r="G4135" s="33">
        <f>(D4135-F4135)/F4135</f>
        <v>0.986799022919807</v>
      </c>
    </row>
    <row r="4136" spans="1:7">
      <c r="A4136" s="6" t="s">
        <v>6790</v>
      </c>
      <c r="B4136" s="3" t="s">
        <v>6791</v>
      </c>
      <c r="C4136" s="4" t="s">
        <v>156</v>
      </c>
      <c r="D4136" s="7">
        <v>2019.05</v>
      </c>
      <c r="E4136" s="31" t="s">
        <v>9</v>
      </c>
      <c r="F4136" s="32">
        <v>1017.7</v>
      </c>
      <c r="G4136" s="33">
        <f>(D4136-F4136)/F4136</f>
        <v>0.983934361796207</v>
      </c>
    </row>
    <row r="4137" spans="1:7">
      <c r="A4137" s="6" t="s">
        <v>6792</v>
      </c>
      <c r="B4137" s="3" t="s">
        <v>6793</v>
      </c>
      <c r="C4137" s="4" t="s">
        <v>156</v>
      </c>
      <c r="D4137" s="7">
        <v>2293.65</v>
      </c>
      <c r="E4137" s="31" t="s">
        <v>9</v>
      </c>
      <c r="F4137" s="32">
        <v>1154.45</v>
      </c>
      <c r="G4137" s="33">
        <f>(D4137-F4137)/F4137</f>
        <v>0.986790246437698</v>
      </c>
    </row>
    <row r="4138" ht="31" customHeight="1" spans="1:7">
      <c r="A4138" s="6" t="s">
        <v>6794</v>
      </c>
      <c r="B4138" s="12" t="s">
        <v>6795</v>
      </c>
      <c r="C4138" s="4"/>
      <c r="D4138" s="14"/>
      <c r="E4138" s="31" t="s">
        <v>9</v>
      </c>
    </row>
    <row r="4139" spans="1:7">
      <c r="A4139" s="6" t="s">
        <v>6796</v>
      </c>
      <c r="B4139" s="3" t="s">
        <v>4504</v>
      </c>
      <c r="C4139" s="4" t="s">
        <v>156</v>
      </c>
      <c r="D4139" s="7">
        <v>265.1</v>
      </c>
      <c r="E4139" s="31" t="s">
        <v>9</v>
      </c>
      <c r="F4139" s="32">
        <v>184.3</v>
      </c>
      <c r="G4139" s="33">
        <f>(D4139-F4139)/F4139</f>
        <v>0.438415626695605</v>
      </c>
    </row>
    <row r="4140" spans="1:7">
      <c r="A4140" s="6" t="s">
        <v>6797</v>
      </c>
      <c r="B4140" s="3" t="s">
        <v>5362</v>
      </c>
      <c r="C4140" s="4" t="s">
        <v>156</v>
      </c>
      <c r="D4140" s="7">
        <v>322</v>
      </c>
      <c r="E4140" s="31" t="s">
        <v>9</v>
      </c>
      <c r="F4140" s="32">
        <v>230.75</v>
      </c>
      <c r="G4140" s="33">
        <f>(D4140-F4140)/F4140</f>
        <v>0.395449620801733</v>
      </c>
    </row>
    <row r="4141" spans="1:7">
      <c r="A4141" s="6" t="s">
        <v>6798</v>
      </c>
      <c r="B4141" s="3" t="s">
        <v>5364</v>
      </c>
      <c r="C4141" s="4" t="s">
        <v>156</v>
      </c>
      <c r="D4141" s="7">
        <v>357.6</v>
      </c>
      <c r="E4141" s="31" t="s">
        <v>9</v>
      </c>
      <c r="F4141" s="32">
        <v>253.95</v>
      </c>
      <c r="G4141" s="33">
        <f>(D4141-F4141)/F4141</f>
        <v>0.408151210868281</v>
      </c>
    </row>
    <row r="4147" spans="1:7">
      <c r="A4147" s="42" t="s">
        <v>6799</v>
      </c>
      <c r="C4147" s="31"/>
      <c r="D4147" s="31"/>
      <c r="E4147" s="31" t="s">
        <v>9</v>
      </c>
    </row>
    <row r="4148" spans="1:7">
      <c r="A4148" s="6" t="s">
        <v>204</v>
      </c>
      <c r="B4148" s="12" t="s">
        <v>2</v>
      </c>
      <c r="C4148" s="4" t="s">
        <v>205</v>
      </c>
      <c r="D4148" s="14" t="s">
        <v>4</v>
      </c>
      <c r="E4148" s="31" t="s">
        <v>9</v>
      </c>
    </row>
    <row r="4149" ht="62" customHeight="1" spans="1:7">
      <c r="A4149" s="6" t="s">
        <v>6800</v>
      </c>
      <c r="B4149" s="12" t="s">
        <v>6801</v>
      </c>
      <c r="C4149" s="4" t="s">
        <v>12</v>
      </c>
      <c r="D4149" s="7">
        <v>72.45</v>
      </c>
      <c r="E4149" s="31" t="s">
        <v>9</v>
      </c>
      <c r="F4149" s="32">
        <v>29.65</v>
      </c>
      <c r="G4149" s="33">
        <f>(D4149-F4149)/F4149</f>
        <v>1.44350758853288</v>
      </c>
    </row>
    <row r="4150" ht="201.5" customHeight="1" spans="1:7">
      <c r="A4150" s="6" t="s">
        <v>6802</v>
      </c>
      <c r="B4150" s="12" t="s">
        <v>6803</v>
      </c>
      <c r="C4150" s="4" t="s">
        <v>12</v>
      </c>
      <c r="D4150" s="7">
        <v>338.25</v>
      </c>
      <c r="E4150" s="31" t="s">
        <v>9</v>
      </c>
    </row>
    <row r="4151" ht="186" customHeight="1" spans="1:7">
      <c r="A4151" s="6" t="s">
        <v>6804</v>
      </c>
      <c r="B4151" s="12" t="s">
        <v>6805</v>
      </c>
      <c r="C4151" s="4" t="s">
        <v>12</v>
      </c>
      <c r="D4151" s="7">
        <v>211.05</v>
      </c>
      <c r="E4151" s="31" t="s">
        <v>9</v>
      </c>
      <c r="F4151" s="32">
        <v>90.7</v>
      </c>
      <c r="G4151" s="33">
        <f t="shared" ref="G4151:G4156" si="93">(D4151-F4151)/F4151</f>
        <v>1.32690187431092</v>
      </c>
    </row>
    <row r="4152" ht="62" customHeight="1" spans="1:7">
      <c r="A4152" s="6" t="s">
        <v>6806</v>
      </c>
      <c r="B4152" s="12" t="s">
        <v>6807</v>
      </c>
      <c r="C4152" s="4" t="s">
        <v>12</v>
      </c>
      <c r="D4152" s="7">
        <v>77.9</v>
      </c>
      <c r="E4152" s="31" t="s">
        <v>9</v>
      </c>
      <c r="F4152" s="32">
        <v>36.9</v>
      </c>
      <c r="G4152" s="33">
        <f t="shared" si="93"/>
        <v>1.11111111111111</v>
      </c>
    </row>
    <row r="4153" ht="62" customHeight="1" spans="1:7">
      <c r="A4153" s="6" t="s">
        <v>6808</v>
      </c>
      <c r="B4153" s="12" t="s">
        <v>6809</v>
      </c>
      <c r="C4153" s="4" t="s">
        <v>12</v>
      </c>
      <c r="D4153" s="7">
        <v>374.3</v>
      </c>
      <c r="E4153" s="31" t="s">
        <v>9</v>
      </c>
      <c r="F4153" s="32">
        <v>159.7</v>
      </c>
      <c r="G4153" s="33">
        <f t="shared" si="93"/>
        <v>1.34376956793989</v>
      </c>
    </row>
    <row r="4154" ht="62" customHeight="1" spans="1:7">
      <c r="A4154" s="6" t="s">
        <v>6810</v>
      </c>
      <c r="B4154" s="12" t="s">
        <v>6811</v>
      </c>
      <c r="C4154" s="4" t="s">
        <v>12</v>
      </c>
      <c r="D4154" s="7">
        <v>374.3</v>
      </c>
      <c r="E4154" s="31" t="s">
        <v>9</v>
      </c>
      <c r="F4154" s="32">
        <v>159.7</v>
      </c>
      <c r="G4154" s="33">
        <f t="shared" si="93"/>
        <v>1.34376956793989</v>
      </c>
    </row>
    <row r="4155" ht="93" customHeight="1" spans="1:7">
      <c r="A4155" s="6" t="s">
        <v>6812</v>
      </c>
      <c r="B4155" s="12" t="s">
        <v>6813</v>
      </c>
      <c r="C4155" s="4" t="s">
        <v>12</v>
      </c>
      <c r="D4155" s="7">
        <v>329.05</v>
      </c>
      <c r="E4155" s="31" t="s">
        <v>9</v>
      </c>
      <c r="F4155" s="32">
        <v>267.8</v>
      </c>
      <c r="G4155" s="33">
        <f t="shared" si="93"/>
        <v>0.228715459297984</v>
      </c>
    </row>
    <row r="4156" ht="108.5" customHeight="1" spans="1:7">
      <c r="A4156" s="6" t="s">
        <v>6814</v>
      </c>
      <c r="B4156" s="12" t="s">
        <v>6815</v>
      </c>
      <c r="C4156" s="4" t="s">
        <v>12</v>
      </c>
      <c r="D4156" s="7">
        <v>109.9</v>
      </c>
      <c r="E4156" s="31" t="s">
        <v>9</v>
      </c>
      <c r="F4156" s="32">
        <v>55.15</v>
      </c>
      <c r="G4156" s="33">
        <f t="shared" si="93"/>
        <v>0.992747053490481</v>
      </c>
    </row>
    <row r="4157" spans="1:7">
      <c r="B4157" s="53"/>
      <c r="D4157" s="16"/>
    </row>
    <row r="4158" spans="1:7">
      <c r="B4158" s="53"/>
      <c r="D4158" s="16"/>
    </row>
    <row r="4159" spans="1:7">
      <c r="B4159" s="53"/>
      <c r="D4159" s="16"/>
    </row>
    <row r="4160" spans="1:7">
      <c r="B4160" s="53"/>
      <c r="D4160" s="16"/>
    </row>
    <row r="4161" spans="1:7">
      <c r="B4161" s="53"/>
      <c r="D4161" s="16"/>
    </row>
    <row r="4162" spans="1:7">
      <c r="B4162" s="53"/>
      <c r="D4162" s="16"/>
    </row>
    <row r="4163" spans="1:7">
      <c r="B4163" s="53"/>
      <c r="D4163" s="16"/>
    </row>
    <row r="4164" spans="1:7">
      <c r="A4164" s="42" t="s">
        <v>6816</v>
      </c>
      <c r="C4164" s="31"/>
      <c r="D4164" s="31"/>
      <c r="E4164" s="31" t="s">
        <v>9</v>
      </c>
    </row>
    <row r="4165" spans="1:7">
      <c r="A4165" s="6" t="s">
        <v>204</v>
      </c>
      <c r="B4165" s="12" t="s">
        <v>2</v>
      </c>
      <c r="C4165" s="4" t="s">
        <v>205</v>
      </c>
      <c r="D4165" s="14" t="s">
        <v>4</v>
      </c>
      <c r="E4165" s="31" t="s">
        <v>9</v>
      </c>
    </row>
    <row r="4166" ht="124" customHeight="1" spans="1:7">
      <c r="A4166" s="6" t="s">
        <v>6817</v>
      </c>
      <c r="B4166" s="12" t="s">
        <v>6818</v>
      </c>
      <c r="C4166" s="4" t="s">
        <v>575</v>
      </c>
      <c r="D4166" s="7">
        <v>414.3</v>
      </c>
      <c r="E4166" s="31" t="s">
        <v>9</v>
      </c>
      <c r="F4166" s="32">
        <v>338.25</v>
      </c>
      <c r="G4166" s="33">
        <f>(D4166-F4166)/F4166</f>
        <v>0.224833702882483</v>
      </c>
    </row>
    <row r="4167" ht="409.5" customHeight="1" spans="1:7">
      <c r="A4167" s="6" t="s">
        <v>6819</v>
      </c>
      <c r="B4167" s="12" t="s">
        <v>6820</v>
      </c>
      <c r="C4167" s="4" t="s">
        <v>12</v>
      </c>
      <c r="D4167" s="7">
        <v>3510.5</v>
      </c>
      <c r="E4167" s="31" t="s">
        <v>9</v>
      </c>
    </row>
    <row r="4168" ht="310" customHeight="1" spans="1:7">
      <c r="A4168" s="6" t="s">
        <v>6821</v>
      </c>
      <c r="B4168" s="12" t="s">
        <v>6822</v>
      </c>
      <c r="C4168" s="4" t="s">
        <v>12</v>
      </c>
      <c r="D4168" s="7">
        <v>3718.7</v>
      </c>
      <c r="E4168" s="31" t="s">
        <v>9</v>
      </c>
    </row>
    <row r="4169" ht="108.5" customHeight="1" spans="1:7">
      <c r="A4169" s="6" t="s">
        <v>6823</v>
      </c>
      <c r="B4169" s="12" t="s">
        <v>6824</v>
      </c>
      <c r="C4169" s="4" t="s">
        <v>12</v>
      </c>
      <c r="D4169" s="7">
        <v>3671.5</v>
      </c>
      <c r="E4169" s="31" t="s">
        <v>9</v>
      </c>
      <c r="F4169" s="32">
        <v>2941.6</v>
      </c>
      <c r="G4169" s="33">
        <f>(D4169-F4169)/F4169</f>
        <v>0.248130269241229</v>
      </c>
    </row>
    <row r="4170" ht="139.5" customHeight="1" spans="1:7">
      <c r="A4170" s="6" t="s">
        <v>6825</v>
      </c>
      <c r="B4170" s="12" t="s">
        <v>6826</v>
      </c>
      <c r="C4170" s="4" t="s">
        <v>12</v>
      </c>
      <c r="D4170" s="7">
        <v>2159.65</v>
      </c>
      <c r="E4170" s="31" t="s">
        <v>9</v>
      </c>
      <c r="F4170" s="32">
        <v>1542.6</v>
      </c>
      <c r="G4170" s="33">
        <f>(D4170-F4170)/F4170</f>
        <v>0.400006482561909</v>
      </c>
    </row>
    <row r="4171" ht="217" customHeight="1" spans="1:7">
      <c r="A4171" s="6" t="s">
        <v>6827</v>
      </c>
      <c r="B4171" s="12" t="s">
        <v>6828</v>
      </c>
      <c r="C4171" s="4" t="s">
        <v>12</v>
      </c>
      <c r="D4171" s="7">
        <v>2450.15</v>
      </c>
      <c r="E4171" s="31" t="s">
        <v>9</v>
      </c>
    </row>
    <row r="4172" ht="294.5" customHeight="1" spans="1:7">
      <c r="A4172" s="6" t="s">
        <v>6829</v>
      </c>
      <c r="B4172" s="12" t="s">
        <v>6830</v>
      </c>
      <c r="C4172" s="4" t="s">
        <v>12</v>
      </c>
      <c r="D4172" s="7">
        <v>9502.35</v>
      </c>
      <c r="E4172" s="31" t="s">
        <v>9</v>
      </c>
    </row>
    <row r="4173" spans="1:7">
      <c r="B4173" s="53"/>
      <c r="D4173" s="16"/>
    </row>
    <row r="4174" spans="1:7">
      <c r="B4174" s="53"/>
      <c r="D4174" s="16"/>
    </row>
    <row r="4175" spans="1:7">
      <c r="B4175" s="53"/>
      <c r="D4175" s="16"/>
    </row>
    <row r="4176" spans="1:7">
      <c r="B4176" s="53"/>
      <c r="D4176" s="16"/>
    </row>
    <row r="4177" spans="1:7">
      <c r="B4177" s="53"/>
      <c r="D4177" s="16"/>
    </row>
    <row r="4178" spans="1:7">
      <c r="B4178" s="53"/>
      <c r="D4178" s="16"/>
    </row>
    <row r="4179" spans="1:7">
      <c r="B4179" s="53"/>
      <c r="D4179" s="16"/>
    </row>
    <row r="4180" spans="1:7">
      <c r="B4180" s="53"/>
      <c r="D4180" s="16"/>
    </row>
    <row r="4181" spans="1:7">
      <c r="A4181" s="42" t="s">
        <v>6831</v>
      </c>
      <c r="C4181" s="31"/>
      <c r="D4181" s="31"/>
    </row>
    <row r="4182" spans="1:7">
      <c r="A4182" s="6" t="s">
        <v>204</v>
      </c>
      <c r="B4182" s="12" t="s">
        <v>2</v>
      </c>
      <c r="C4182" s="4" t="s">
        <v>205</v>
      </c>
      <c r="D4182" s="14" t="s">
        <v>4</v>
      </c>
    </row>
    <row r="4183" ht="155" customHeight="1" spans="1:7">
      <c r="A4183" s="6" t="s">
        <v>6832</v>
      </c>
      <c r="B4183" s="12" t="s">
        <v>6833</v>
      </c>
      <c r="C4183" s="4" t="s">
        <v>12</v>
      </c>
      <c r="D4183" s="7">
        <v>6145.85</v>
      </c>
      <c r="F4183" s="32">
        <v>4959.2</v>
      </c>
      <c r="G4183" s="33">
        <f t="shared" ref="G4183:G4191" si="94">(D4183-F4183)/F4183</f>
        <v>0.239282545571867</v>
      </c>
    </row>
    <row r="4184" ht="124" customHeight="1" spans="1:7">
      <c r="A4184" s="6" t="s">
        <v>6834</v>
      </c>
      <c r="B4184" s="12" t="s">
        <v>6835</v>
      </c>
      <c r="C4184" s="4" t="s">
        <v>12</v>
      </c>
      <c r="D4184" s="7">
        <v>6033.55</v>
      </c>
      <c r="F4184" s="32">
        <v>4769.55</v>
      </c>
      <c r="G4184" s="33">
        <f t="shared" si="94"/>
        <v>0.265014519189441</v>
      </c>
    </row>
    <row r="4185" ht="186" customHeight="1" spans="1:7">
      <c r="A4185" s="6" t="s">
        <v>6836</v>
      </c>
      <c r="B4185" s="12" t="s">
        <v>6837</v>
      </c>
      <c r="C4185" s="4" t="s">
        <v>12</v>
      </c>
      <c r="D4185" s="7">
        <v>6283.85</v>
      </c>
      <c r="F4185" s="32">
        <v>4784.75</v>
      </c>
      <c r="G4185" s="33">
        <f t="shared" si="94"/>
        <v>0.313307905324207</v>
      </c>
    </row>
    <row r="4186" ht="108.5" customHeight="1" spans="1:7">
      <c r="A4186" s="6" t="s">
        <v>6838</v>
      </c>
      <c r="B4186" s="12" t="s">
        <v>6839</v>
      </c>
      <c r="C4186" s="4" t="s">
        <v>12</v>
      </c>
      <c r="D4186" s="7">
        <v>6935.75</v>
      </c>
      <c r="F4186" s="32">
        <v>4918</v>
      </c>
      <c r="G4186" s="33">
        <f t="shared" si="94"/>
        <v>0.41027856852379</v>
      </c>
    </row>
    <row r="4187" ht="108.5" customHeight="1" spans="1:7">
      <c r="A4187" s="6" t="s">
        <v>6840</v>
      </c>
      <c r="B4187" s="12" t="s">
        <v>6841</v>
      </c>
      <c r="C4187" s="4" t="s">
        <v>12</v>
      </c>
      <c r="D4187" s="7">
        <v>4555.75</v>
      </c>
      <c r="F4187" s="32">
        <v>3016.1</v>
      </c>
      <c r="G4187" s="33">
        <f t="shared" si="94"/>
        <v>0.510477106196744</v>
      </c>
    </row>
    <row r="4188" ht="77.5" customHeight="1" spans="1:7">
      <c r="A4188" s="6" t="s">
        <v>6842</v>
      </c>
      <c r="B4188" s="12" t="s">
        <v>6843</v>
      </c>
      <c r="C4188" s="4" t="s">
        <v>6844</v>
      </c>
      <c r="D4188" s="7">
        <v>325.95</v>
      </c>
      <c r="F4188" s="32">
        <v>228.65</v>
      </c>
      <c r="G4188" s="33">
        <f t="shared" si="94"/>
        <v>0.425541220205554</v>
      </c>
    </row>
    <row r="4189" ht="62" customHeight="1" spans="1:7">
      <c r="A4189" s="6" t="s">
        <v>6845</v>
      </c>
      <c r="B4189" s="12" t="s">
        <v>6846</v>
      </c>
      <c r="C4189" s="4" t="s">
        <v>12</v>
      </c>
      <c r="D4189" s="7">
        <v>6012.1</v>
      </c>
      <c r="F4189" s="32">
        <v>4430</v>
      </c>
      <c r="G4189" s="33">
        <f t="shared" si="94"/>
        <v>0.357133182844244</v>
      </c>
    </row>
    <row r="4190" ht="62" customHeight="1" spans="1:7">
      <c r="A4190" s="6" t="s">
        <v>6847</v>
      </c>
      <c r="B4190" s="12" t="s">
        <v>6848</v>
      </c>
      <c r="C4190" s="4" t="s">
        <v>49</v>
      </c>
      <c r="D4190" s="7">
        <v>4830.1</v>
      </c>
      <c r="F4190" s="32">
        <v>3586.65</v>
      </c>
      <c r="G4190" s="33">
        <f t="shared" si="94"/>
        <v>0.346688413979619</v>
      </c>
    </row>
    <row r="4191" ht="139.5" customHeight="1" spans="1:7">
      <c r="A4191" s="6" t="s">
        <v>6849</v>
      </c>
      <c r="B4191" s="12" t="s">
        <v>6850</v>
      </c>
      <c r="C4191" s="4" t="s">
        <v>12</v>
      </c>
      <c r="D4191" s="7">
        <v>4039.1</v>
      </c>
      <c r="F4191" s="32">
        <v>2714.4</v>
      </c>
      <c r="G4191" s="33">
        <f t="shared" si="94"/>
        <v>0.488026819923372</v>
      </c>
    </row>
    <row r="4192" ht="46.5" customHeight="1" spans="1:7">
      <c r="A4192" s="6" t="s">
        <v>6851</v>
      </c>
      <c r="B4192" s="12" t="s">
        <v>6852</v>
      </c>
      <c r="C4192" s="4"/>
      <c r="D4192" s="14"/>
    </row>
    <row r="4193" spans="1:7">
      <c r="A4193" s="6" t="s">
        <v>6853</v>
      </c>
      <c r="B4193" s="3" t="s">
        <v>6854</v>
      </c>
      <c r="C4193" s="4" t="s">
        <v>12</v>
      </c>
      <c r="D4193" s="7">
        <v>2942</v>
      </c>
      <c r="F4193" s="32">
        <v>2012.95</v>
      </c>
      <c r="G4193" s="33">
        <f>(D4193-F4193)/F4193</f>
        <v>0.461536550833354</v>
      </c>
    </row>
    <row r="4194" spans="1:7">
      <c r="A4194" s="6" t="s">
        <v>6855</v>
      </c>
      <c r="B4194" s="3" t="s">
        <v>6856</v>
      </c>
      <c r="C4194" s="4" t="s">
        <v>12</v>
      </c>
      <c r="D4194" s="7">
        <v>3332</v>
      </c>
      <c r="F4194" s="32">
        <v>2312.55</v>
      </c>
      <c r="G4194" s="33">
        <f>(D4194-F4194)/F4194</f>
        <v>0.440833711703531</v>
      </c>
    </row>
    <row r="4195" spans="1:7">
      <c r="A4195" s="6" t="s">
        <v>6857</v>
      </c>
      <c r="B4195" s="3" t="s">
        <v>6858</v>
      </c>
      <c r="C4195" s="4" t="s">
        <v>12</v>
      </c>
      <c r="D4195" s="7">
        <v>3923.65</v>
      </c>
      <c r="F4195" s="32">
        <v>2770.7</v>
      </c>
      <c r="G4195" s="33">
        <f>(D4195-F4195)/F4195</f>
        <v>0.41612227956834</v>
      </c>
    </row>
    <row r="4196" spans="1:7">
      <c r="A4196" s="6" t="s">
        <v>6859</v>
      </c>
      <c r="B4196" s="3" t="s">
        <v>6860</v>
      </c>
      <c r="C4196" s="4" t="s">
        <v>12</v>
      </c>
      <c r="D4196" s="7">
        <v>4906.8</v>
      </c>
      <c r="F4196" s="32">
        <v>3528.4</v>
      </c>
      <c r="G4196" s="33">
        <f>(D4196-F4196)/F4196</f>
        <v>0.390658655481238</v>
      </c>
    </row>
    <row r="4197" spans="1:7">
      <c r="A4197" s="6" t="s">
        <v>6861</v>
      </c>
      <c r="B4197" s="3" t="s">
        <v>6862</v>
      </c>
      <c r="C4197" s="4" t="s">
        <v>12</v>
      </c>
      <c r="D4197" s="7">
        <v>5601.55</v>
      </c>
      <c r="F4197" s="32">
        <v>4068.25</v>
      </c>
      <c r="G4197" s="33">
        <f>(D4197-F4197)/F4197</f>
        <v>0.376894241995944</v>
      </c>
    </row>
    <row r="4198" ht="93" customHeight="1" spans="1:7">
      <c r="A4198" s="6" t="s">
        <v>6863</v>
      </c>
      <c r="B4198" s="12" t="s">
        <v>6864</v>
      </c>
      <c r="C4198" s="4"/>
      <c r="D4198" s="14"/>
    </row>
    <row r="4199" spans="1:7">
      <c r="A4199" s="6" t="s">
        <v>6865</v>
      </c>
      <c r="B4199" s="3" t="s">
        <v>6860</v>
      </c>
      <c r="C4199" s="4" t="s">
        <v>12</v>
      </c>
      <c r="D4199" s="7">
        <v>5127.6</v>
      </c>
      <c r="F4199" s="32">
        <v>3791.75</v>
      </c>
      <c r="G4199" s="33">
        <f t="shared" ref="G4199:G4211" si="95">(D4199-F4199)/F4199</f>
        <v>0.352304344959452</v>
      </c>
    </row>
    <row r="4200" spans="1:7">
      <c r="A4200" s="6" t="s">
        <v>6866</v>
      </c>
      <c r="B4200" s="3" t="s">
        <v>6862</v>
      </c>
      <c r="C4200" s="4" t="s">
        <v>12</v>
      </c>
      <c r="D4200" s="7">
        <v>5824.1</v>
      </c>
      <c r="F4200" s="32">
        <v>4332.55</v>
      </c>
      <c r="G4200" s="33">
        <f t="shared" si="95"/>
        <v>0.344266078868103</v>
      </c>
    </row>
    <row r="4201" ht="139.5" customHeight="1" spans="1:7">
      <c r="A4201" s="6" t="s">
        <v>6867</v>
      </c>
      <c r="B4201" s="12" t="s">
        <v>6868</v>
      </c>
      <c r="C4201" s="4" t="s">
        <v>12</v>
      </c>
      <c r="D4201" s="7">
        <v>1004.55</v>
      </c>
      <c r="F4201" s="32">
        <v>649.1</v>
      </c>
      <c r="G4201" s="33">
        <f t="shared" si="95"/>
        <v>0.547604375288861</v>
      </c>
    </row>
    <row r="4202" ht="139.5" customHeight="1" spans="1:7">
      <c r="A4202" s="6" t="s">
        <v>6869</v>
      </c>
      <c r="B4202" s="12" t="s">
        <v>6870</v>
      </c>
      <c r="C4202" s="4" t="s">
        <v>12</v>
      </c>
      <c r="D4202" s="7">
        <v>1091.65</v>
      </c>
      <c r="F4202" s="32">
        <v>685.75</v>
      </c>
      <c r="G4202" s="33">
        <f t="shared" si="95"/>
        <v>0.591906671527525</v>
      </c>
    </row>
    <row r="4203" ht="108.5" customHeight="1" spans="1:7">
      <c r="A4203" s="6" t="s">
        <v>6871</v>
      </c>
      <c r="B4203" s="12" t="s">
        <v>6872</v>
      </c>
      <c r="C4203" s="4" t="s">
        <v>49</v>
      </c>
      <c r="D4203" s="7">
        <v>450.95</v>
      </c>
      <c r="F4203" s="32">
        <v>294.65</v>
      </c>
      <c r="G4203" s="33">
        <f t="shared" si="95"/>
        <v>0.530459867639572</v>
      </c>
    </row>
    <row r="4204" ht="108.5" customHeight="1" spans="1:7">
      <c r="A4204" s="6" t="s">
        <v>6873</v>
      </c>
      <c r="B4204" s="12" t="s">
        <v>6874</v>
      </c>
      <c r="C4204" s="4" t="s">
        <v>12</v>
      </c>
      <c r="D4204" s="7">
        <v>5350.55</v>
      </c>
      <c r="F4204" s="32">
        <v>3536.05</v>
      </c>
      <c r="G4204" s="33">
        <f t="shared" si="95"/>
        <v>0.513143196504574</v>
      </c>
    </row>
    <row r="4205" ht="31" customHeight="1" spans="1:7">
      <c r="A4205" s="6" t="s">
        <v>6875</v>
      </c>
      <c r="B4205" s="12" t="s">
        <v>6876</v>
      </c>
      <c r="C4205" s="4" t="s">
        <v>156</v>
      </c>
      <c r="D4205" s="7">
        <v>144.05</v>
      </c>
      <c r="F4205" s="32">
        <v>82.3</v>
      </c>
      <c r="G4205" s="33">
        <f t="shared" si="95"/>
        <v>0.750303766707169</v>
      </c>
    </row>
    <row r="4206" ht="77.5" customHeight="1" spans="1:7">
      <c r="A4206" s="6" t="s">
        <v>6877</v>
      </c>
      <c r="B4206" s="12" t="s">
        <v>6878</v>
      </c>
      <c r="C4206" s="4" t="s">
        <v>12</v>
      </c>
      <c r="D4206" s="7">
        <v>249.9</v>
      </c>
      <c r="F4206" s="32">
        <v>135.2</v>
      </c>
      <c r="G4206" s="33">
        <f t="shared" si="95"/>
        <v>0.848372781065089</v>
      </c>
    </row>
    <row r="4207" ht="77.5" customHeight="1" spans="1:7">
      <c r="A4207" s="6" t="s">
        <v>6879</v>
      </c>
      <c r="B4207" s="12" t="s">
        <v>6880</v>
      </c>
      <c r="C4207" s="4" t="s">
        <v>12</v>
      </c>
      <c r="D4207" s="7">
        <v>276.5</v>
      </c>
      <c r="F4207" s="32">
        <v>153.1</v>
      </c>
      <c r="G4207" s="33">
        <f t="shared" si="95"/>
        <v>0.806009144350098</v>
      </c>
    </row>
    <row r="4208" ht="77.5" customHeight="1" spans="1:7">
      <c r="A4208" s="6" t="s">
        <v>6881</v>
      </c>
      <c r="B4208" s="12" t="s">
        <v>6882</v>
      </c>
      <c r="C4208" s="4" t="s">
        <v>12</v>
      </c>
      <c r="D4208" s="7">
        <v>401.7</v>
      </c>
      <c r="F4208" s="32">
        <v>241.25</v>
      </c>
      <c r="G4208" s="33">
        <f t="shared" si="95"/>
        <v>0.665077720207254</v>
      </c>
    </row>
    <row r="4209" ht="77.5" customHeight="1" spans="1:7">
      <c r="A4209" s="6" t="s">
        <v>6883</v>
      </c>
      <c r="B4209" s="12" t="s">
        <v>6884</v>
      </c>
      <c r="C4209" s="4" t="s">
        <v>12</v>
      </c>
      <c r="D4209" s="7">
        <v>555.05</v>
      </c>
      <c r="F4209" s="32">
        <v>346</v>
      </c>
      <c r="G4209" s="33">
        <f t="shared" si="95"/>
        <v>0.604190751445087</v>
      </c>
    </row>
    <row r="4210" ht="186" customHeight="1" spans="1:7">
      <c r="A4210" s="6" t="s">
        <v>6885</v>
      </c>
      <c r="B4210" s="12" t="s">
        <v>6886</v>
      </c>
      <c r="C4210" s="4" t="s">
        <v>12</v>
      </c>
      <c r="D4210" s="7">
        <v>986.95</v>
      </c>
      <c r="F4210" s="32">
        <v>657.8</v>
      </c>
      <c r="G4210" s="33">
        <f t="shared" si="95"/>
        <v>0.500380054727881</v>
      </c>
    </row>
    <row r="4211" ht="155" customHeight="1" spans="1:7">
      <c r="A4211" s="6" t="s">
        <v>6887</v>
      </c>
      <c r="B4211" s="12" t="s">
        <v>6888</v>
      </c>
      <c r="C4211" s="4" t="s">
        <v>12</v>
      </c>
      <c r="D4211" s="7">
        <v>1166.95</v>
      </c>
      <c r="F4211" s="32">
        <v>780.45</v>
      </c>
      <c r="G4211" s="33">
        <f t="shared" si="95"/>
        <v>0.495227112563265</v>
      </c>
    </row>
    <row r="4212" ht="62" customHeight="1" spans="1:7">
      <c r="A4212" s="6" t="s">
        <v>6889</v>
      </c>
      <c r="B4212" s="12" t="s">
        <v>6890</v>
      </c>
      <c r="C4212" s="4"/>
      <c r="D4212" s="14"/>
    </row>
    <row r="4213" spans="1:7">
      <c r="A4213" s="6" t="s">
        <v>6891</v>
      </c>
      <c r="B4213" s="3" t="s">
        <v>6892</v>
      </c>
      <c r="C4213" s="4" t="s">
        <v>12</v>
      </c>
      <c r="D4213" s="7">
        <v>393.85</v>
      </c>
      <c r="F4213" s="32">
        <v>269.35</v>
      </c>
      <c r="G4213" s="33">
        <f t="shared" ref="G4213:G4227" si="96">(D4213-F4213)/F4213</f>
        <v>0.462223872285131</v>
      </c>
    </row>
    <row r="4214" spans="1:7">
      <c r="A4214" s="6" t="s">
        <v>6893</v>
      </c>
      <c r="B4214" s="3" t="s">
        <v>6894</v>
      </c>
      <c r="C4214" s="4" t="s">
        <v>12</v>
      </c>
      <c r="D4214" s="7">
        <v>411.1</v>
      </c>
      <c r="F4214" s="32">
        <v>294.95</v>
      </c>
      <c r="G4214" s="33">
        <f t="shared" si="96"/>
        <v>0.393795558569249</v>
      </c>
    </row>
    <row r="4215" spans="1:7">
      <c r="A4215" s="6" t="s">
        <v>6895</v>
      </c>
      <c r="B4215" s="3" t="s">
        <v>6896</v>
      </c>
      <c r="C4215" s="4" t="s">
        <v>12</v>
      </c>
      <c r="D4215" s="7">
        <v>645.8</v>
      </c>
      <c r="F4215" s="32">
        <v>397.15</v>
      </c>
      <c r="G4215" s="33">
        <f t="shared" si="96"/>
        <v>0.626085861765076</v>
      </c>
    </row>
    <row r="4216" spans="1:7">
      <c r="A4216" s="6" t="s">
        <v>6897</v>
      </c>
      <c r="B4216" s="3" t="s">
        <v>6898</v>
      </c>
      <c r="C4216" s="4" t="s">
        <v>12</v>
      </c>
      <c r="D4216" s="7">
        <v>663.05</v>
      </c>
      <c r="F4216" s="32">
        <v>435.45</v>
      </c>
      <c r="G4216" s="33">
        <f t="shared" si="96"/>
        <v>0.522677689746239</v>
      </c>
    </row>
    <row r="4217" spans="1:7">
      <c r="A4217" s="6" t="s">
        <v>6899</v>
      </c>
      <c r="B4217" s="3" t="s">
        <v>6900</v>
      </c>
      <c r="C4217" s="4" t="s">
        <v>12</v>
      </c>
      <c r="D4217" s="7">
        <v>681.8</v>
      </c>
      <c r="F4217" s="32">
        <v>461</v>
      </c>
      <c r="G4217" s="33">
        <f t="shared" si="96"/>
        <v>0.478958785249458</v>
      </c>
    </row>
    <row r="4218" spans="1:7">
      <c r="A4218" s="6" t="s">
        <v>6901</v>
      </c>
      <c r="B4218" s="3" t="s">
        <v>6902</v>
      </c>
      <c r="C4218" s="4" t="s">
        <v>12</v>
      </c>
      <c r="D4218" s="7">
        <v>699.05</v>
      </c>
      <c r="F4218" s="32">
        <v>515.15</v>
      </c>
      <c r="G4218" s="33">
        <f t="shared" si="96"/>
        <v>0.356983402892361</v>
      </c>
    </row>
    <row r="4219" spans="1:7">
      <c r="A4219" s="6" t="s">
        <v>6903</v>
      </c>
      <c r="B4219" s="3" t="s">
        <v>6904</v>
      </c>
      <c r="C4219" s="4" t="s">
        <v>12</v>
      </c>
      <c r="D4219" s="7">
        <v>843</v>
      </c>
      <c r="F4219" s="32">
        <v>550.45</v>
      </c>
      <c r="G4219" s="33">
        <f t="shared" si="96"/>
        <v>0.531474248342265</v>
      </c>
    </row>
    <row r="4220" spans="1:7">
      <c r="A4220" s="6" t="s">
        <v>6905</v>
      </c>
      <c r="B4220" s="3" t="s">
        <v>6906</v>
      </c>
      <c r="C4220" s="4" t="s">
        <v>12</v>
      </c>
      <c r="D4220" s="7">
        <v>933.75</v>
      </c>
      <c r="F4220" s="32">
        <v>652.65</v>
      </c>
      <c r="G4220" s="33">
        <f t="shared" si="96"/>
        <v>0.430705584923006</v>
      </c>
    </row>
    <row r="4221" spans="1:7">
      <c r="A4221" s="6" t="s">
        <v>6907</v>
      </c>
      <c r="B4221" s="3" t="s">
        <v>6908</v>
      </c>
      <c r="C4221" s="4" t="s">
        <v>12</v>
      </c>
      <c r="D4221" s="7">
        <v>1022.95</v>
      </c>
      <c r="F4221" s="32">
        <v>716.55</v>
      </c>
      <c r="G4221" s="33">
        <f t="shared" si="96"/>
        <v>0.427604493754797</v>
      </c>
    </row>
    <row r="4222" spans="1:7">
      <c r="A4222" s="6" t="s">
        <v>6909</v>
      </c>
      <c r="B4222" s="3" t="s">
        <v>6910</v>
      </c>
      <c r="C4222" s="4" t="s">
        <v>12</v>
      </c>
      <c r="D4222" s="7">
        <v>1202.9</v>
      </c>
      <c r="F4222" s="32">
        <v>844.3</v>
      </c>
      <c r="G4222" s="33">
        <f t="shared" si="96"/>
        <v>0.42473054601445</v>
      </c>
    </row>
    <row r="4223" spans="1:7">
      <c r="A4223" s="6" t="s">
        <v>6911</v>
      </c>
      <c r="B4223" s="3" t="s">
        <v>6912</v>
      </c>
      <c r="C4223" s="4" t="s">
        <v>12</v>
      </c>
      <c r="D4223" s="7">
        <v>1337.5</v>
      </c>
      <c r="F4223" s="32">
        <v>918.4</v>
      </c>
      <c r="G4223" s="33">
        <f t="shared" si="96"/>
        <v>0.456337108013937</v>
      </c>
    </row>
    <row r="4224" spans="1:7">
      <c r="A4224" s="6" t="s">
        <v>6913</v>
      </c>
      <c r="B4224" s="3" t="s">
        <v>6914</v>
      </c>
      <c r="C4224" s="4" t="s">
        <v>12</v>
      </c>
      <c r="D4224" s="7">
        <v>1562.85</v>
      </c>
      <c r="F4224" s="32">
        <v>1088.35</v>
      </c>
      <c r="G4224" s="33">
        <f t="shared" si="96"/>
        <v>0.435981072265356</v>
      </c>
    </row>
    <row r="4225" spans="1:7">
      <c r="A4225" s="6" t="s">
        <v>6915</v>
      </c>
      <c r="B4225" s="3" t="s">
        <v>6916</v>
      </c>
      <c r="C4225" s="4" t="s">
        <v>12</v>
      </c>
      <c r="D4225" s="7">
        <v>1742.8</v>
      </c>
      <c r="F4225" s="32">
        <v>1227.6</v>
      </c>
      <c r="G4225" s="33">
        <f t="shared" si="96"/>
        <v>0.419680677745194</v>
      </c>
    </row>
    <row r="4226" spans="1:7">
      <c r="A4226" s="6" t="s">
        <v>6917</v>
      </c>
      <c r="B4226" s="3" t="s">
        <v>6918</v>
      </c>
      <c r="C4226" s="4" t="s">
        <v>12</v>
      </c>
      <c r="D4226" s="7">
        <v>1833.6</v>
      </c>
      <c r="F4226" s="32">
        <v>1291.5</v>
      </c>
      <c r="G4226" s="33">
        <f t="shared" si="96"/>
        <v>0.419744483159117</v>
      </c>
    </row>
    <row r="4227" spans="1:7">
      <c r="A4227" s="6" t="s">
        <v>6919</v>
      </c>
      <c r="B4227" s="3" t="s">
        <v>6920</v>
      </c>
      <c r="C4227" s="4" t="s">
        <v>12</v>
      </c>
      <c r="D4227" s="7">
        <v>1922.8</v>
      </c>
      <c r="F4227" s="32">
        <v>1403.95</v>
      </c>
      <c r="G4227" s="33">
        <f t="shared" si="96"/>
        <v>0.369564443178176</v>
      </c>
    </row>
    <row r="4228" ht="124" customHeight="1" spans="1:7">
      <c r="A4228" s="6" t="s">
        <v>6921</v>
      </c>
      <c r="B4228" s="12" t="s">
        <v>6922</v>
      </c>
      <c r="C4228" s="4"/>
      <c r="D4228" s="14"/>
    </row>
    <row r="4229" spans="1:7">
      <c r="A4229" s="6" t="s">
        <v>6923</v>
      </c>
      <c r="B4229" s="3" t="s">
        <v>6924</v>
      </c>
      <c r="C4229" s="4" t="s">
        <v>12</v>
      </c>
      <c r="D4229" s="7">
        <v>1153.95</v>
      </c>
      <c r="F4229" s="32">
        <v>790.3</v>
      </c>
      <c r="G4229" s="33">
        <f>(D4229-F4229)/F4229</f>
        <v>0.46014171833481</v>
      </c>
    </row>
    <row r="4230" spans="1:7">
      <c r="A4230" s="6" t="s">
        <v>6925</v>
      </c>
      <c r="B4230" s="3" t="s">
        <v>6926</v>
      </c>
      <c r="C4230" s="4" t="s">
        <v>12</v>
      </c>
      <c r="D4230" s="7">
        <v>1462.9</v>
      </c>
      <c r="F4230" s="32">
        <v>997.1</v>
      </c>
      <c r="G4230" s="33">
        <f>(D4230-F4230)/F4230</f>
        <v>0.467154748771437</v>
      </c>
    </row>
    <row r="4231" ht="248" customHeight="1" spans="1:7">
      <c r="A4231" s="6" t="s">
        <v>6927</v>
      </c>
      <c r="B4231" s="12" t="s">
        <v>6928</v>
      </c>
      <c r="C4231" s="4"/>
      <c r="D4231" s="14"/>
    </row>
    <row r="4232" spans="1:7">
      <c r="A4232" s="6" t="s">
        <v>6929</v>
      </c>
      <c r="B4232" s="12" t="s">
        <v>6930</v>
      </c>
      <c r="C4232" s="4" t="s">
        <v>12</v>
      </c>
      <c r="D4232" s="7">
        <v>2207</v>
      </c>
    </row>
    <row r="4233" ht="46.5" customHeight="1" spans="1:7">
      <c r="A4233" s="6" t="s">
        <v>6931</v>
      </c>
      <c r="B4233" s="12" t="s">
        <v>6932</v>
      </c>
      <c r="C4233" s="4" t="s">
        <v>12</v>
      </c>
      <c r="D4233" s="7">
        <v>2301.1</v>
      </c>
    </row>
    <row r="4234" ht="62" customHeight="1" spans="1:7">
      <c r="A4234" s="6" t="s">
        <v>6933</v>
      </c>
      <c r="B4234" s="12" t="s">
        <v>6934</v>
      </c>
      <c r="C4234" s="4"/>
      <c r="D4234" s="14"/>
    </row>
    <row r="4235" ht="31" customHeight="1" spans="1:7">
      <c r="A4235" s="6" t="s">
        <v>6935</v>
      </c>
      <c r="B4235" s="3" t="s">
        <v>6936</v>
      </c>
      <c r="C4235" s="4" t="s">
        <v>12</v>
      </c>
      <c r="D4235" s="7">
        <v>2630.4</v>
      </c>
      <c r="F4235" s="32">
        <v>1761.15</v>
      </c>
      <c r="G4235" s="33">
        <f>(D4235-F4235)/F4235</f>
        <v>0.493569542628396</v>
      </c>
    </row>
    <row r="4236" ht="93" customHeight="1" spans="1:7">
      <c r="A4236" s="6" t="s">
        <v>6937</v>
      </c>
      <c r="B4236" s="12" t="s">
        <v>6938</v>
      </c>
      <c r="C4236" s="4"/>
      <c r="D4236" s="14"/>
    </row>
    <row r="4237" ht="31" customHeight="1" spans="1:7">
      <c r="A4237" s="6" t="s">
        <v>6939</v>
      </c>
      <c r="B4237" s="3" t="s">
        <v>6940</v>
      </c>
      <c r="C4237" s="4" t="s">
        <v>12</v>
      </c>
      <c r="D4237" s="7">
        <v>3117.6</v>
      </c>
      <c r="F4237" s="32">
        <v>2150.2</v>
      </c>
      <c r="G4237" s="33">
        <f>(D4237-F4237)/F4237</f>
        <v>0.449911636126872</v>
      </c>
    </row>
    <row r="4238" ht="124" customHeight="1" spans="1:7">
      <c r="A4238" s="6" t="s">
        <v>6941</v>
      </c>
      <c r="B4238" s="12" t="s">
        <v>6942</v>
      </c>
      <c r="C4238" s="4" t="s">
        <v>12</v>
      </c>
      <c r="D4238" s="7">
        <v>1781.2</v>
      </c>
      <c r="F4238" s="32">
        <v>1291.2</v>
      </c>
      <c r="G4238" s="33">
        <f>(D4238-F4238)/F4238</f>
        <v>0.379491945477076</v>
      </c>
    </row>
    <row r="4239" ht="62" customHeight="1" spans="1:7">
      <c r="A4239" s="6" t="s">
        <v>6943</v>
      </c>
      <c r="B4239" s="12" t="s">
        <v>6944</v>
      </c>
      <c r="C4239" s="4"/>
      <c r="D4239" s="14"/>
    </row>
    <row r="4240" spans="1:7">
      <c r="A4240" s="6" t="s">
        <v>6945</v>
      </c>
      <c r="B4240" s="3" t="s">
        <v>6946</v>
      </c>
      <c r="C4240" s="4" t="s">
        <v>12</v>
      </c>
      <c r="D4240" s="7">
        <v>1852.05</v>
      </c>
      <c r="F4240" s="32">
        <v>1352.9</v>
      </c>
      <c r="G4240" s="33">
        <f>(D4240-F4240)/F4240</f>
        <v>0.368948185379555</v>
      </c>
    </row>
    <row r="4241" ht="31" customHeight="1" spans="1:7">
      <c r="A4241" s="6" t="s">
        <v>6947</v>
      </c>
      <c r="B4241" s="3" t="s">
        <v>6948</v>
      </c>
      <c r="C4241" s="4" t="s">
        <v>12</v>
      </c>
      <c r="D4241" s="7">
        <v>1907.35</v>
      </c>
      <c r="F4241" s="32">
        <v>1452.9</v>
      </c>
      <c r="G4241" s="33">
        <f>(D4241-F4241)/F4241</f>
        <v>0.312788216670108</v>
      </c>
    </row>
    <row r="4242" ht="263.5" customHeight="1" spans="1:7">
      <c r="A4242" s="6" t="s">
        <v>6949</v>
      </c>
      <c r="B4242" s="12" t="s">
        <v>6950</v>
      </c>
      <c r="C4242" s="4"/>
      <c r="D4242" s="14"/>
    </row>
    <row r="4243" spans="1:7">
      <c r="A4243" s="6" t="s">
        <v>6951</v>
      </c>
      <c r="B4243" s="3" t="s">
        <v>6952</v>
      </c>
      <c r="C4243" s="4" t="s">
        <v>12</v>
      </c>
      <c r="D4243" s="7">
        <v>2333.6</v>
      </c>
      <c r="F4243" s="32">
        <v>1535</v>
      </c>
      <c r="G4243" s="33">
        <f>(D4243-F4243)/F4243</f>
        <v>0.520260586319218</v>
      </c>
    </row>
    <row r="4244" spans="1:7">
      <c r="A4244" s="6" t="s">
        <v>6953</v>
      </c>
      <c r="B4244" s="3" t="s">
        <v>6954</v>
      </c>
      <c r="C4244" s="4" t="s">
        <v>12</v>
      </c>
      <c r="D4244" s="7">
        <v>2671.2</v>
      </c>
      <c r="F4244" s="32">
        <v>1783.8</v>
      </c>
      <c r="G4244" s="33">
        <f>(D4244-F4244)/F4244</f>
        <v>0.497477295660948</v>
      </c>
    </row>
    <row r="4245" ht="31" customHeight="1" spans="1:7">
      <c r="A4245" s="6" t="s">
        <v>6955</v>
      </c>
      <c r="B4245" s="3" t="s">
        <v>6956</v>
      </c>
      <c r="C4245" s="4" t="s">
        <v>12</v>
      </c>
      <c r="D4245" s="7">
        <v>2447.15</v>
      </c>
      <c r="F4245" s="32">
        <v>1621.6</v>
      </c>
      <c r="G4245" s="33">
        <f>(D4245-F4245)/F4245</f>
        <v>0.509095954612728</v>
      </c>
    </row>
    <row r="4246" spans="1:7">
      <c r="A4246" s="40"/>
      <c r="B4246" s="12" t="s">
        <v>6957</v>
      </c>
      <c r="C4246" s="4"/>
      <c r="D4246" s="14"/>
    </row>
    <row r="4247" ht="77.5" customHeight="1" spans="1:7">
      <c r="A4247" s="6" t="s">
        <v>6958</v>
      </c>
      <c r="B4247" s="12" t="s">
        <v>6959</v>
      </c>
      <c r="C4247" s="4"/>
      <c r="D4247" s="14"/>
    </row>
    <row r="4248" spans="1:7">
      <c r="A4248" s="6" t="s">
        <v>6960</v>
      </c>
      <c r="B4248" s="3" t="s">
        <v>6961</v>
      </c>
      <c r="C4248" s="4" t="s">
        <v>12</v>
      </c>
      <c r="D4248" s="7">
        <v>378</v>
      </c>
      <c r="F4248" s="32">
        <v>167.15</v>
      </c>
      <c r="G4248" s="33">
        <f>(D4248-F4248)/F4248</f>
        <v>1.2614418187257</v>
      </c>
    </row>
    <row r="4249" spans="1:7">
      <c r="A4249" s="6" t="s">
        <v>6962</v>
      </c>
      <c r="B4249" s="3" t="s">
        <v>6963</v>
      </c>
      <c r="C4249" s="4" t="s">
        <v>12</v>
      </c>
      <c r="D4249" s="7">
        <v>256.35</v>
      </c>
      <c r="F4249" s="32">
        <v>111.55</v>
      </c>
      <c r="G4249" s="33">
        <f>(D4249-F4249)/F4249</f>
        <v>1.29807261317795</v>
      </c>
    </row>
    <row r="4250" spans="1:7">
      <c r="A4250" s="6" t="s">
        <v>6964</v>
      </c>
      <c r="B4250" s="3" t="s">
        <v>6965</v>
      </c>
      <c r="C4250" s="4" t="s">
        <v>12</v>
      </c>
      <c r="D4250" s="7">
        <v>126.75</v>
      </c>
      <c r="F4250" s="32">
        <v>56.2</v>
      </c>
      <c r="G4250" s="33">
        <f>(D4250-F4250)/F4250</f>
        <v>1.25533807829181</v>
      </c>
    </row>
    <row r="4251" ht="77.5" customHeight="1" spans="1:7">
      <c r="A4251" s="6" t="s">
        <v>6966</v>
      </c>
      <c r="B4251" s="12" t="s">
        <v>6967</v>
      </c>
      <c r="C4251" s="4"/>
      <c r="D4251" s="14"/>
    </row>
    <row r="4252" spans="1:7">
      <c r="A4252" s="6" t="s">
        <v>6968</v>
      </c>
      <c r="B4252" s="3" t="s">
        <v>6969</v>
      </c>
      <c r="C4252" s="4" t="s">
        <v>49</v>
      </c>
      <c r="D4252" s="7">
        <v>8.25</v>
      </c>
      <c r="F4252" s="32">
        <v>4.15</v>
      </c>
      <c r="G4252" s="33">
        <f>(D4252-F4252)/F4252</f>
        <v>0.987951807228916</v>
      </c>
    </row>
    <row r="4253" spans="1:7">
      <c r="A4253" s="6" t="s">
        <v>6970</v>
      </c>
      <c r="B4253" s="3" t="s">
        <v>6971</v>
      </c>
      <c r="C4253" s="4" t="s">
        <v>49</v>
      </c>
      <c r="D4253" s="7">
        <v>16.45</v>
      </c>
      <c r="F4253" s="32">
        <v>8.3</v>
      </c>
      <c r="G4253" s="33">
        <f>(D4253-F4253)/F4253</f>
        <v>0.981927710843373</v>
      </c>
    </row>
    <row r="4254" ht="77.5" customHeight="1" spans="1:7">
      <c r="A4254" s="6" t="s">
        <v>6972</v>
      </c>
      <c r="B4254" s="12" t="s">
        <v>6973</v>
      </c>
      <c r="C4254" s="4"/>
      <c r="D4254" s="14"/>
    </row>
    <row r="4255" spans="1:7">
      <c r="A4255" s="6" t="s">
        <v>6974</v>
      </c>
      <c r="B4255" s="3" t="s">
        <v>6975</v>
      </c>
      <c r="C4255" s="4" t="s">
        <v>156</v>
      </c>
      <c r="D4255" s="7">
        <v>141.2</v>
      </c>
      <c r="F4255" s="32">
        <v>71.15</v>
      </c>
      <c r="G4255" s="33">
        <f>(D4255-F4255)/F4255</f>
        <v>0.98453970484891</v>
      </c>
    </row>
    <row r="4256" ht="31" customHeight="1" spans="1:7">
      <c r="A4256" s="6" t="s">
        <v>6976</v>
      </c>
      <c r="B4256" s="12" t="s">
        <v>6977</v>
      </c>
      <c r="C4256" s="4"/>
      <c r="D4256" s="14"/>
    </row>
    <row r="4257" ht="31" customHeight="1" spans="1:7">
      <c r="A4257" s="6" t="s">
        <v>6978</v>
      </c>
      <c r="B4257" s="3" t="s">
        <v>6979</v>
      </c>
      <c r="C4257" s="4" t="s">
        <v>12</v>
      </c>
      <c r="D4257" s="7">
        <v>141.2</v>
      </c>
      <c r="F4257" s="32">
        <v>87.55</v>
      </c>
      <c r="G4257" s="33">
        <f>(D4257-F4257)/F4257</f>
        <v>0.61279268989149</v>
      </c>
    </row>
    <row r="4258" spans="1:7">
      <c r="A4258" s="6" t="s">
        <v>6980</v>
      </c>
      <c r="B4258" s="3" t="s">
        <v>6981</v>
      </c>
      <c r="C4258" s="4" t="s">
        <v>12</v>
      </c>
      <c r="D4258" s="7">
        <v>285.2</v>
      </c>
      <c r="F4258" s="32">
        <v>314.95</v>
      </c>
      <c r="G4258" s="33">
        <f>(D4258-F4258)/F4258</f>
        <v>-0.0944594380060327</v>
      </c>
    </row>
    <row r="4259" ht="46.5" customHeight="1" spans="1:7">
      <c r="A4259" s="6" t="s">
        <v>6982</v>
      </c>
      <c r="B4259" s="12" t="s">
        <v>6983</v>
      </c>
      <c r="C4259" s="4"/>
      <c r="D4259" s="14"/>
    </row>
    <row r="4260" ht="77.5" customHeight="1" spans="1:7">
      <c r="A4260" s="40"/>
      <c r="B4260" s="12" t="s">
        <v>6984</v>
      </c>
      <c r="C4260" s="4"/>
      <c r="D4260" s="14"/>
    </row>
    <row r="4261" spans="1:7">
      <c r="A4261" s="6" t="s">
        <v>6985</v>
      </c>
      <c r="B4261" s="3" t="s">
        <v>6986</v>
      </c>
      <c r="C4261" s="4" t="s">
        <v>12</v>
      </c>
      <c r="D4261" s="7">
        <v>388.65</v>
      </c>
      <c r="F4261" s="32">
        <v>203.85</v>
      </c>
      <c r="G4261" s="33">
        <f>(D4261-F4261)/F4261</f>
        <v>0.906548933038999</v>
      </c>
    </row>
    <row r="4262" spans="1:7">
      <c r="A4262" s="6" t="s">
        <v>6987</v>
      </c>
      <c r="B4262" s="3" t="s">
        <v>6988</v>
      </c>
      <c r="C4262" s="4" t="s">
        <v>12</v>
      </c>
      <c r="D4262" s="7">
        <v>587.35</v>
      </c>
      <c r="F4262" s="32">
        <v>330.9</v>
      </c>
      <c r="G4262" s="33">
        <f>(D4262-F4262)/F4262</f>
        <v>0.775007555152614</v>
      </c>
    </row>
    <row r="4263" spans="1:7">
      <c r="A4263" s="6" t="s">
        <v>6989</v>
      </c>
      <c r="B4263" s="3" t="s">
        <v>6990</v>
      </c>
      <c r="C4263" s="4" t="s">
        <v>12</v>
      </c>
      <c r="D4263" s="7">
        <v>1174.7</v>
      </c>
      <c r="F4263" s="32">
        <v>661.75</v>
      </c>
      <c r="G4263" s="33">
        <f>(D4263-F4263)/F4263</f>
        <v>0.775141669814885</v>
      </c>
    </row>
    <row r="4264" ht="77.5" customHeight="1" spans="1:7">
      <c r="A4264" s="6" t="s">
        <v>6991</v>
      </c>
      <c r="B4264" s="12" t="s">
        <v>6992</v>
      </c>
      <c r="C4264" s="4"/>
      <c r="D4264" s="14"/>
    </row>
    <row r="4265" ht="93" customHeight="1" spans="1:7">
      <c r="A4265" s="40"/>
      <c r="B4265" s="12" t="s">
        <v>6993</v>
      </c>
      <c r="C4265" s="4"/>
      <c r="D4265" s="14"/>
    </row>
    <row r="4266" spans="1:7">
      <c r="A4266" s="6" t="s">
        <v>6994</v>
      </c>
      <c r="B4266" s="3" t="s">
        <v>6995</v>
      </c>
      <c r="C4266" s="4" t="s">
        <v>12</v>
      </c>
      <c r="D4266" s="7">
        <v>569.15</v>
      </c>
      <c r="F4266" s="32">
        <v>478.4</v>
      </c>
      <c r="G4266" s="33">
        <f>(D4266-F4266)/F4266</f>
        <v>0.189694816053512</v>
      </c>
    </row>
    <row r="4267" spans="1:7">
      <c r="A4267" s="6" t="s">
        <v>6996</v>
      </c>
      <c r="B4267" s="3" t="s">
        <v>6997</v>
      </c>
      <c r="C4267" s="4" t="s">
        <v>12</v>
      </c>
      <c r="D4267" s="7">
        <v>853.7</v>
      </c>
      <c r="F4267" s="32">
        <v>717.65</v>
      </c>
      <c r="G4267" s="33">
        <f>(D4267-F4267)/F4267</f>
        <v>0.189577091897164</v>
      </c>
    </row>
    <row r="4268" ht="93" customHeight="1" spans="1:7">
      <c r="A4268" s="6" t="s">
        <v>6998</v>
      </c>
      <c r="B4268" s="12" t="s">
        <v>6999</v>
      </c>
      <c r="C4268" s="4"/>
      <c r="D4268" s="14"/>
    </row>
    <row r="4269" ht="108.5" customHeight="1" spans="1:7">
      <c r="A4269" s="40"/>
      <c r="B4269" s="12" t="s">
        <v>7000</v>
      </c>
      <c r="C4269" s="4"/>
      <c r="D4269" s="14"/>
    </row>
    <row r="4270" spans="1:7">
      <c r="A4270" s="6" t="s">
        <v>7001</v>
      </c>
      <c r="B4270" s="3" t="s">
        <v>6995</v>
      </c>
      <c r="C4270" s="4" t="s">
        <v>12</v>
      </c>
      <c r="D4270" s="7">
        <v>569.15</v>
      </c>
    </row>
    <row r="4271" spans="1:7">
      <c r="A4271" s="6" t="s">
        <v>7002</v>
      </c>
      <c r="B4271" s="3" t="s">
        <v>6997</v>
      </c>
      <c r="C4271" s="4" t="s">
        <v>12</v>
      </c>
      <c r="D4271" s="7">
        <v>853.7</v>
      </c>
    </row>
    <row r="4272" spans="1:7">
      <c r="A4272" s="6" t="s">
        <v>7003</v>
      </c>
      <c r="B4272" s="3" t="s">
        <v>7004</v>
      </c>
      <c r="C4272" s="4" t="s">
        <v>12</v>
      </c>
      <c r="D4272" s="7">
        <v>1138.25</v>
      </c>
    </row>
    <row r="4273" ht="62" customHeight="1" spans="1:7">
      <c r="A4273" s="6" t="s">
        <v>7005</v>
      </c>
      <c r="B4273" s="12" t="s">
        <v>7006</v>
      </c>
      <c r="C4273" s="4"/>
      <c r="D4273" s="14"/>
    </row>
    <row r="4274" spans="1:7">
      <c r="A4274" s="40"/>
      <c r="B4274" s="12" t="s">
        <v>7007</v>
      </c>
      <c r="C4274" s="4"/>
      <c r="D4274" s="14"/>
    </row>
    <row r="4275" ht="31" customHeight="1" spans="1:7">
      <c r="A4275" s="6" t="s">
        <v>7008</v>
      </c>
      <c r="B4275" s="3" t="s">
        <v>7009</v>
      </c>
      <c r="C4275" s="4" t="s">
        <v>575</v>
      </c>
      <c r="D4275" s="7">
        <v>119.3</v>
      </c>
      <c r="F4275" s="32">
        <v>69.5</v>
      </c>
      <c r="G4275" s="33">
        <f>(D4275-F4275)/F4275</f>
        <v>0.716546762589928</v>
      </c>
    </row>
    <row r="4276" ht="31" customHeight="1" spans="1:7">
      <c r="A4276" s="6" t="s">
        <v>7010</v>
      </c>
      <c r="B4276" s="3" t="s">
        <v>7011</v>
      </c>
      <c r="C4276" s="4" t="s">
        <v>575</v>
      </c>
      <c r="D4276" s="7">
        <v>124</v>
      </c>
      <c r="F4276" s="32">
        <v>73</v>
      </c>
      <c r="G4276" s="33">
        <f>(D4276-F4276)/F4276</f>
        <v>0.698630136986301</v>
      </c>
    </row>
    <row r="4277" spans="1:7">
      <c r="A4277" s="6" t="s">
        <v>7012</v>
      </c>
      <c r="B4277" s="3" t="s">
        <v>7013</v>
      </c>
      <c r="C4277" s="4" t="s">
        <v>575</v>
      </c>
      <c r="D4277" s="7">
        <v>553.4</v>
      </c>
      <c r="F4277" s="32">
        <v>644.45</v>
      </c>
      <c r="G4277" s="33">
        <f>(D4277-F4277)/F4277</f>
        <v>-0.141283264799441</v>
      </c>
    </row>
    <row r="4278" ht="46.5" customHeight="1" spans="1:7">
      <c r="A4278" s="6" t="s">
        <v>7014</v>
      </c>
      <c r="B4278" s="12" t="s">
        <v>7015</v>
      </c>
      <c r="C4278" s="4"/>
      <c r="D4278" s="14"/>
    </row>
    <row r="4279" spans="1:7">
      <c r="A4279" s="6" t="s">
        <v>7016</v>
      </c>
      <c r="B4279" s="3" t="s">
        <v>7017</v>
      </c>
      <c r="C4279" s="4" t="s">
        <v>12</v>
      </c>
      <c r="D4279" s="7">
        <v>54.25</v>
      </c>
      <c r="F4279" s="32">
        <v>39.05</v>
      </c>
      <c r="G4279" s="33">
        <f>(D4279-F4279)/F4279</f>
        <v>0.389244558258643</v>
      </c>
    </row>
    <row r="4280" ht="46.5" customHeight="1" spans="1:7">
      <c r="A4280" s="6" t="s">
        <v>7018</v>
      </c>
      <c r="B4280" s="12" t="s">
        <v>7019</v>
      </c>
      <c r="C4280" s="4" t="s">
        <v>12</v>
      </c>
      <c r="D4280" s="7">
        <v>382.4</v>
      </c>
      <c r="F4280" s="32">
        <v>252.6</v>
      </c>
      <c r="G4280" s="33">
        <f>(D4280-F4280)/F4280</f>
        <v>0.513855898653998</v>
      </c>
    </row>
    <row r="4281" ht="77.5" customHeight="1" spans="1:7">
      <c r="A4281" s="6" t="s">
        <v>7020</v>
      </c>
      <c r="B4281" s="12" t="s">
        <v>7021</v>
      </c>
      <c r="C4281" s="4"/>
      <c r="D4281" s="14"/>
    </row>
    <row r="4282" ht="62" customHeight="1" spans="1:7">
      <c r="A4282" s="40"/>
      <c r="B4282" s="12" t="s">
        <v>7022</v>
      </c>
      <c r="C4282" s="4"/>
      <c r="D4282" s="14"/>
    </row>
    <row r="4283" spans="1:7">
      <c r="A4283" s="6" t="s">
        <v>7023</v>
      </c>
      <c r="B4283" s="3" t="s">
        <v>7024</v>
      </c>
      <c r="C4283" s="4" t="s">
        <v>12</v>
      </c>
      <c r="D4283" s="7">
        <v>746.9</v>
      </c>
      <c r="F4283" s="32">
        <v>498.45</v>
      </c>
      <c r="G4283" s="33">
        <f>(D4283-F4283)/F4283</f>
        <v>0.49844518005818</v>
      </c>
    </row>
    <row r="4284" spans="1:7">
      <c r="A4284" s="6" t="s">
        <v>7025</v>
      </c>
      <c r="B4284" s="3" t="s">
        <v>6995</v>
      </c>
      <c r="C4284" s="4" t="s">
        <v>12</v>
      </c>
      <c r="D4284" s="7">
        <v>1151.05</v>
      </c>
      <c r="F4284" s="32">
        <v>831.3</v>
      </c>
      <c r="G4284" s="33">
        <f>(D4284-F4284)/F4284</f>
        <v>0.384638517983881</v>
      </c>
    </row>
    <row r="4285" spans="1:7">
      <c r="A4285" s="6" t="s">
        <v>7026</v>
      </c>
      <c r="B4285" s="3" t="s">
        <v>6997</v>
      </c>
      <c r="C4285" s="4" t="s">
        <v>12</v>
      </c>
      <c r="D4285" s="7">
        <v>1628.85</v>
      </c>
      <c r="F4285" s="32">
        <v>1217.6</v>
      </c>
      <c r="G4285" s="33">
        <f>(D4285-F4285)/F4285</f>
        <v>0.337754599211564</v>
      </c>
    </row>
    <row r="4286" ht="46.5" customHeight="1" spans="1:7">
      <c r="A4286" s="6" t="s">
        <v>7027</v>
      </c>
      <c r="B4286" s="12" t="s">
        <v>7028</v>
      </c>
      <c r="C4286" s="4" t="s">
        <v>156</v>
      </c>
      <c r="D4286" s="7">
        <v>236.9</v>
      </c>
      <c r="F4286" s="32">
        <v>147.5</v>
      </c>
      <c r="G4286" s="33">
        <f>(D4286-F4286)/F4286</f>
        <v>0.606101694915254</v>
      </c>
    </row>
    <row r="4287" ht="62" customHeight="1" spans="1:7">
      <c r="A4287" s="6" t="s">
        <v>7029</v>
      </c>
      <c r="B4287" s="12" t="s">
        <v>7030</v>
      </c>
      <c r="C4287" s="4" t="s">
        <v>12</v>
      </c>
      <c r="D4287" s="7">
        <v>902.55</v>
      </c>
      <c r="F4287" s="32">
        <v>601.6</v>
      </c>
      <c r="G4287" s="33">
        <f>(D4287-F4287)/F4287</f>
        <v>0.500249335106383</v>
      </c>
    </row>
    <row r="4288" spans="1:7">
      <c r="A4288" s="40"/>
      <c r="B4288" s="12" t="s">
        <v>7031</v>
      </c>
      <c r="C4288" s="4"/>
      <c r="D4288" s="14"/>
    </row>
    <row r="4289" ht="409.5" customHeight="1" spans="1:7">
      <c r="A4289" s="6" t="s">
        <v>7032</v>
      </c>
      <c r="B4289" s="12" t="s">
        <v>7033</v>
      </c>
      <c r="C4289" s="4" t="s">
        <v>575</v>
      </c>
      <c r="D4289" s="7">
        <v>285.9</v>
      </c>
      <c r="F4289" s="32">
        <v>174.1</v>
      </c>
      <c r="G4289" s="33">
        <f>(D4289-F4289)/F4289</f>
        <v>0.642159678345778</v>
      </c>
    </row>
    <row r="4290" ht="155" customHeight="1" spans="1:7">
      <c r="A4290" s="6" t="s">
        <v>7034</v>
      </c>
      <c r="B4290" s="12" t="s">
        <v>7035</v>
      </c>
      <c r="C4290" s="4"/>
      <c r="D4290" s="14"/>
    </row>
    <row r="4291" ht="77.5" customHeight="1" spans="1:7">
      <c r="A4291" s="6" t="s">
        <v>7036</v>
      </c>
      <c r="B4291" s="3" t="s">
        <v>7037</v>
      </c>
      <c r="C4291" s="4" t="s">
        <v>12</v>
      </c>
      <c r="D4291" s="7">
        <v>3903.35</v>
      </c>
    </row>
    <row r="4292" ht="77.5" customHeight="1" spans="1:7">
      <c r="A4292" s="6" t="s">
        <v>7038</v>
      </c>
      <c r="B4292" s="3" t="s">
        <v>7039</v>
      </c>
      <c r="C4292" s="4" t="s">
        <v>12</v>
      </c>
      <c r="D4292" s="7">
        <v>2901.8</v>
      </c>
    </row>
    <row r="4293" ht="77.5" customHeight="1" spans="1:7">
      <c r="A4293" s="6" t="s">
        <v>7040</v>
      </c>
      <c r="B4293" s="3" t="s">
        <v>7041</v>
      </c>
      <c r="C4293" s="4" t="s">
        <v>12</v>
      </c>
      <c r="D4293" s="7">
        <v>3167.85</v>
      </c>
    </row>
    <row r="4294" ht="108.5" customHeight="1" spans="1:7">
      <c r="A4294" s="6" t="s">
        <v>7042</v>
      </c>
      <c r="B4294" s="12" t="s">
        <v>7043</v>
      </c>
      <c r="C4294" s="4"/>
      <c r="D4294" s="14"/>
    </row>
    <row r="4295" ht="31" customHeight="1" spans="1:7">
      <c r="A4295" s="6" t="s">
        <v>7044</v>
      </c>
      <c r="B4295" s="3" t="s">
        <v>7045</v>
      </c>
      <c r="C4295" s="4" t="s">
        <v>12</v>
      </c>
      <c r="D4295" s="7">
        <v>2221.05</v>
      </c>
    </row>
    <row r="4296" ht="31" customHeight="1" spans="1:7">
      <c r="A4296" s="6" t="s">
        <v>7046</v>
      </c>
      <c r="B4296" s="3" t="s">
        <v>7047</v>
      </c>
      <c r="C4296" s="4" t="s">
        <v>12</v>
      </c>
      <c r="D4296" s="7">
        <v>2189.75</v>
      </c>
    </row>
    <row r="4297" ht="46.5" customHeight="1" spans="1:7">
      <c r="A4297" s="6" t="s">
        <v>7048</v>
      </c>
      <c r="B4297" s="12" t="s">
        <v>7049</v>
      </c>
      <c r="C4297" s="4" t="s">
        <v>12</v>
      </c>
      <c r="D4297" s="7">
        <v>298.75</v>
      </c>
      <c r="F4297" s="32">
        <v>238.05</v>
      </c>
      <c r="G4297" s="33">
        <f>(D4297-F4297)/F4297</f>
        <v>0.254988447805083</v>
      </c>
    </row>
    <row r="4298" ht="46.5" customHeight="1" spans="1:7">
      <c r="A4298" s="6" t="s">
        <v>7050</v>
      </c>
      <c r="B4298" s="12" t="s">
        <v>7051</v>
      </c>
      <c r="C4298" s="4"/>
      <c r="D4298" s="14"/>
    </row>
    <row r="4299" ht="31" customHeight="1" spans="1:7">
      <c r="A4299" s="6" t="s">
        <v>7052</v>
      </c>
      <c r="B4299" s="3" t="s">
        <v>7053</v>
      </c>
      <c r="C4299" s="4" t="s">
        <v>12</v>
      </c>
      <c r="D4299" s="7">
        <v>1430.15</v>
      </c>
    </row>
    <row r="4300" ht="31" customHeight="1" spans="1:7">
      <c r="A4300" s="6" t="s">
        <v>7054</v>
      </c>
      <c r="B4300" s="3" t="s">
        <v>7055</v>
      </c>
      <c r="C4300" s="4" t="s">
        <v>12</v>
      </c>
      <c r="D4300" s="7">
        <v>991.95</v>
      </c>
    </row>
    <row r="4301" ht="201.5" customHeight="1" spans="1:7">
      <c r="A4301" s="6" t="s">
        <v>7056</v>
      </c>
      <c r="B4301" s="12" t="s">
        <v>7057</v>
      </c>
      <c r="C4301" s="4" t="s">
        <v>12</v>
      </c>
      <c r="D4301" s="7">
        <v>4347.15</v>
      </c>
      <c r="F4301" s="32">
        <v>3246.15</v>
      </c>
      <c r="G4301" s="33">
        <f>(D4301-F4301)/F4301</f>
        <v>0.33917101797514</v>
      </c>
    </row>
    <row r="4302" spans="1:7">
      <c r="A4302" s="45"/>
      <c r="B4302" s="46"/>
      <c r="C4302" s="34"/>
      <c r="D4302" s="34"/>
    </row>
    <row r="4303" ht="201.5" customHeight="1" spans="1:7">
      <c r="A4303" s="6" t="s">
        <v>7058</v>
      </c>
      <c r="B4303" s="12" t="s">
        <v>7059</v>
      </c>
      <c r="C4303" s="4" t="s">
        <v>12</v>
      </c>
      <c r="D4303" s="7">
        <v>4701.6</v>
      </c>
      <c r="F4303" s="32">
        <v>3436.35</v>
      </c>
      <c r="G4303" s="33">
        <f>(D4303-F4303)/F4303</f>
        <v>0.368195905539308</v>
      </c>
    </row>
    <row r="4304" ht="387.5" customHeight="1" spans="1:7">
      <c r="A4304" s="6" t="s">
        <v>7060</v>
      </c>
      <c r="B4304" s="12" t="s">
        <v>7061</v>
      </c>
      <c r="C4304" s="4" t="s">
        <v>12</v>
      </c>
      <c r="D4304" s="7">
        <v>451.35</v>
      </c>
      <c r="F4304" s="32">
        <v>149.45</v>
      </c>
      <c r="G4304" s="33">
        <f>(D4304-F4304)/F4304</f>
        <v>2.02007360321178</v>
      </c>
    </row>
    <row r="4305" ht="248" customHeight="1" spans="1:7">
      <c r="A4305" s="6" t="s">
        <v>7062</v>
      </c>
      <c r="B4305" s="12" t="s">
        <v>7063</v>
      </c>
      <c r="C4305" s="4"/>
      <c r="D4305" s="14"/>
    </row>
    <row r="4306" spans="1:7">
      <c r="A4306" s="6" t="s">
        <v>7064</v>
      </c>
      <c r="B4306" s="3" t="s">
        <v>7065</v>
      </c>
      <c r="C4306" s="4" t="s">
        <v>12</v>
      </c>
      <c r="D4306" s="7">
        <v>1315.7</v>
      </c>
      <c r="F4306" s="32">
        <v>1123.3</v>
      </c>
      <c r="G4306" s="33">
        <f>(D4306-F4306)/F4306</f>
        <v>0.171281046915339</v>
      </c>
    </row>
    <row r="4307" spans="1:7">
      <c r="A4307" s="6" t="s">
        <v>7066</v>
      </c>
      <c r="B4307" s="3" t="s">
        <v>7067</v>
      </c>
      <c r="C4307" s="4" t="s">
        <v>12</v>
      </c>
      <c r="D4307" s="7">
        <v>1487.5</v>
      </c>
      <c r="F4307" s="32">
        <v>1277.45</v>
      </c>
      <c r="G4307" s="33">
        <f>(D4307-F4307)/F4307</f>
        <v>0.164429136169713</v>
      </c>
    </row>
    <row r="4308" spans="1:7">
      <c r="A4308" s="6" t="s">
        <v>7068</v>
      </c>
      <c r="B4308" s="3" t="s">
        <v>7069</v>
      </c>
      <c r="C4308" s="4" t="s">
        <v>12</v>
      </c>
      <c r="D4308" s="7">
        <v>1840.05</v>
      </c>
      <c r="F4308" s="32">
        <v>1561.9</v>
      </c>
      <c r="G4308" s="33">
        <f>(D4308-F4308)/F4308</f>
        <v>0.178084384403611</v>
      </c>
    </row>
    <row r="4309" spans="1:7">
      <c r="A4309" s="6" t="s">
        <v>7070</v>
      </c>
      <c r="B4309" s="3" t="s">
        <v>7071</v>
      </c>
      <c r="C4309" s="4" t="s">
        <v>12</v>
      </c>
      <c r="D4309" s="7">
        <v>2141.8</v>
      </c>
      <c r="F4309" s="32">
        <v>1871.7</v>
      </c>
      <c r="G4309" s="33">
        <f>(D4309-F4309)/F4309</f>
        <v>0.144307314206337</v>
      </c>
    </row>
    <row r="4310" spans="1:7">
      <c r="A4310" s="6" t="s">
        <v>7072</v>
      </c>
      <c r="B4310" s="3" t="s">
        <v>7073</v>
      </c>
      <c r="C4310" s="4" t="s">
        <v>12</v>
      </c>
      <c r="D4310" s="7">
        <v>2518.2</v>
      </c>
      <c r="F4310" s="32">
        <v>2215</v>
      </c>
      <c r="G4310" s="33">
        <f>(D4310-F4310)/F4310</f>
        <v>0.136884875846501</v>
      </c>
    </row>
    <row r="4311" ht="232.5" customHeight="1" spans="1:7">
      <c r="A4311" s="6" t="s">
        <v>7074</v>
      </c>
      <c r="B4311" s="12" t="s">
        <v>7075</v>
      </c>
      <c r="C4311" s="4"/>
      <c r="D4311" s="14"/>
    </row>
    <row r="4312" ht="31" customHeight="1" spans="1:7">
      <c r="A4312" s="6" t="s">
        <v>7076</v>
      </c>
      <c r="B4312" s="3" t="s">
        <v>7077</v>
      </c>
      <c r="C4312" s="4" t="s">
        <v>12</v>
      </c>
      <c r="D4312" s="7">
        <v>1527.5</v>
      </c>
      <c r="F4312" s="32">
        <v>1200</v>
      </c>
      <c r="G4312" s="33">
        <f>(D4312-F4312)/F4312</f>
        <v>0.272916666666667</v>
      </c>
    </row>
    <row r="4313" ht="31" customHeight="1" spans="1:7">
      <c r="A4313" s="6" t="s">
        <v>7078</v>
      </c>
      <c r="B4313" s="3" t="s">
        <v>7079</v>
      </c>
      <c r="C4313" s="4" t="s">
        <v>12</v>
      </c>
      <c r="D4313" s="7">
        <v>1635.05</v>
      </c>
    </row>
    <row r="4314" ht="31" customHeight="1" spans="1:7">
      <c r="A4314" s="6" t="s">
        <v>7080</v>
      </c>
      <c r="B4314" s="3" t="s">
        <v>7081</v>
      </c>
      <c r="C4314" s="4" t="s">
        <v>12</v>
      </c>
      <c r="D4314" s="7">
        <v>2068.25</v>
      </c>
    </row>
    <row r="4315" ht="31" customHeight="1" spans="1:7">
      <c r="A4315" s="6" t="s">
        <v>7082</v>
      </c>
      <c r="B4315" s="3" t="s">
        <v>7083</v>
      </c>
      <c r="C4315" s="4" t="s">
        <v>12</v>
      </c>
      <c r="D4315" s="7">
        <v>1841.2</v>
      </c>
      <c r="F4315" s="32">
        <v>1417.75</v>
      </c>
      <c r="G4315" s="33">
        <f>(D4315-F4315)/F4315</f>
        <v>0.298677481925586</v>
      </c>
    </row>
    <row r="4316" ht="31" customHeight="1" spans="1:7">
      <c r="A4316" s="6" t="s">
        <v>7084</v>
      </c>
      <c r="B4316" s="3" t="s">
        <v>7085</v>
      </c>
      <c r="C4316" s="4" t="s">
        <v>12</v>
      </c>
      <c r="D4316" s="7">
        <v>1784.4</v>
      </c>
    </row>
    <row r="4317" ht="31" customHeight="1" spans="1:7">
      <c r="A4317" s="6" t="s">
        <v>7086</v>
      </c>
      <c r="B4317" s="3" t="s">
        <v>7087</v>
      </c>
      <c r="C4317" s="4" t="s">
        <v>12</v>
      </c>
      <c r="D4317" s="7">
        <v>2326.65</v>
      </c>
    </row>
    <row r="4318" ht="170.5" customHeight="1" spans="1:7">
      <c r="A4318" s="6" t="s">
        <v>7088</v>
      </c>
      <c r="B4318" s="12" t="s">
        <v>7089</v>
      </c>
      <c r="C4318" s="4" t="s">
        <v>12</v>
      </c>
      <c r="D4318" s="7">
        <v>1477.3</v>
      </c>
    </row>
    <row r="4319" ht="325.5" customHeight="1" spans="1:7">
      <c r="A4319" s="6" t="s">
        <v>7090</v>
      </c>
      <c r="B4319" s="12" t="s">
        <v>7091</v>
      </c>
      <c r="C4319" s="4" t="s">
        <v>12</v>
      </c>
      <c r="D4319" s="7">
        <v>283.25</v>
      </c>
    </row>
    <row r="4320" ht="248" customHeight="1" spans="1:7">
      <c r="A4320" s="6" t="s">
        <v>7092</v>
      </c>
      <c r="B4320" s="12" t="s">
        <v>7093</v>
      </c>
      <c r="C4320" s="4" t="s">
        <v>16</v>
      </c>
      <c r="D4320" s="7">
        <v>2604.3</v>
      </c>
    </row>
    <row r="4321" ht="186" customHeight="1" spans="1:4">
      <c r="A4321" s="6" t="s">
        <v>7094</v>
      </c>
      <c r="B4321" s="12" t="s">
        <v>7095</v>
      </c>
      <c r="C4321" s="4" t="s">
        <v>12</v>
      </c>
      <c r="D4321" s="7">
        <v>287.4</v>
      </c>
    </row>
    <row r="4322" ht="46.5" customHeight="1" spans="1:4">
      <c r="A4322" s="6" t="s">
        <v>7096</v>
      </c>
      <c r="B4322" s="12" t="s">
        <v>7097</v>
      </c>
      <c r="C4322" s="4" t="s">
        <v>12</v>
      </c>
      <c r="D4322" s="7">
        <v>254.75</v>
      </c>
    </row>
    <row r="4323" ht="108.5" customHeight="1" spans="1:4">
      <c r="A4323" s="6" t="s">
        <v>7098</v>
      </c>
      <c r="B4323" s="12" t="s">
        <v>7099</v>
      </c>
      <c r="C4323" s="4" t="s">
        <v>12</v>
      </c>
      <c r="D4323" s="7">
        <v>371.25</v>
      </c>
    </row>
    <row r="4324" ht="93" customHeight="1" spans="1:4">
      <c r="A4324" s="6" t="s">
        <v>7100</v>
      </c>
      <c r="B4324" s="12" t="s">
        <v>7101</v>
      </c>
      <c r="C4324" s="4" t="s">
        <v>49</v>
      </c>
      <c r="D4324" s="7">
        <v>92.45</v>
      </c>
    </row>
    <row r="4325" ht="93" customHeight="1" spans="1:4">
      <c r="A4325" s="6" t="s">
        <v>7102</v>
      </c>
      <c r="B4325" s="12" t="s">
        <v>7103</v>
      </c>
      <c r="C4325" s="4" t="s">
        <v>49</v>
      </c>
      <c r="D4325" s="7">
        <v>49.3</v>
      </c>
    </row>
    <row r="4326" ht="62" customHeight="1" spans="1:4">
      <c r="A4326" s="6" t="s">
        <v>7104</v>
      </c>
      <c r="B4326" s="12" t="s">
        <v>7105</v>
      </c>
      <c r="C4326" s="4" t="s">
        <v>49</v>
      </c>
      <c r="D4326" s="7">
        <v>49.95</v>
      </c>
    </row>
    <row r="4327" ht="77.5" customHeight="1" spans="1:4">
      <c r="A4327" s="6" t="s">
        <v>7106</v>
      </c>
      <c r="B4327" s="12" t="s">
        <v>7107</v>
      </c>
      <c r="C4327" s="4" t="s">
        <v>12</v>
      </c>
      <c r="D4327" s="7">
        <v>136.45</v>
      </c>
    </row>
    <row r="4328" ht="62" customHeight="1" spans="1:4">
      <c r="A4328" s="6" t="s">
        <v>7108</v>
      </c>
      <c r="B4328" s="12" t="s">
        <v>7109</v>
      </c>
      <c r="C4328" s="4" t="s">
        <v>49</v>
      </c>
      <c r="D4328" s="7">
        <v>49.93</v>
      </c>
    </row>
    <row r="4329" ht="77.5" customHeight="1" spans="1:4">
      <c r="A4329" s="6" t="s">
        <v>7110</v>
      </c>
      <c r="B4329" s="12" t="s">
        <v>7111</v>
      </c>
      <c r="C4329" s="4" t="s">
        <v>575</v>
      </c>
      <c r="D4329" s="7">
        <v>182.05</v>
      </c>
    </row>
    <row r="4330" ht="46.5" customHeight="1" spans="1:4">
      <c r="A4330" s="6" t="s">
        <v>7112</v>
      </c>
      <c r="B4330" s="12" t="s">
        <v>7113</v>
      </c>
      <c r="C4330" s="4" t="s">
        <v>575</v>
      </c>
      <c r="D4330" s="7">
        <v>27.1</v>
      </c>
    </row>
    <row r="4331" ht="31" customHeight="1" spans="1:4">
      <c r="A4331" s="6" t="s">
        <v>7114</v>
      </c>
      <c r="B4331" s="12" t="s">
        <v>7115</v>
      </c>
      <c r="C4331" s="4"/>
      <c r="D4331" s="14"/>
    </row>
    <row r="4332" spans="1:4">
      <c r="A4332" s="6" t="s">
        <v>7116</v>
      </c>
      <c r="B4332" s="3" t="s">
        <v>7117</v>
      </c>
      <c r="C4332" s="4" t="s">
        <v>12</v>
      </c>
      <c r="D4332" s="7">
        <v>106.8</v>
      </c>
    </row>
    <row r="4333" ht="77.5" customHeight="1" spans="1:4">
      <c r="A4333" s="6" t="s">
        <v>7118</v>
      </c>
      <c r="B4333" s="12" t="s">
        <v>7119</v>
      </c>
      <c r="C4333" s="4" t="s">
        <v>12</v>
      </c>
      <c r="D4333" s="7">
        <v>1525.6</v>
      </c>
    </row>
    <row r="4334" ht="186" customHeight="1" spans="1:4">
      <c r="A4334" s="6" t="s">
        <v>7120</v>
      </c>
      <c r="B4334" s="12" t="s">
        <v>7121</v>
      </c>
      <c r="C4334" s="4" t="s">
        <v>12</v>
      </c>
      <c r="D4334" s="7">
        <v>2673.7</v>
      </c>
    </row>
    <row r="4335" ht="263.5" customHeight="1" spans="1:4">
      <c r="A4335" s="6" t="s">
        <v>7122</v>
      </c>
      <c r="B4335" s="12" t="s">
        <v>7123</v>
      </c>
      <c r="C4335" s="4" t="s">
        <v>12</v>
      </c>
      <c r="D4335" s="7">
        <v>3935.35</v>
      </c>
    </row>
    <row r="4336" ht="31" customHeight="1" spans="1:4">
      <c r="A4336" s="6" t="s">
        <v>7124</v>
      </c>
      <c r="B4336" s="12" t="s">
        <v>7125</v>
      </c>
      <c r="C4336" s="4"/>
      <c r="D4336" s="7"/>
    </row>
    <row r="4337" spans="1:7">
      <c r="A4337" s="6" t="s">
        <v>7126</v>
      </c>
      <c r="B4337" s="3" t="s">
        <v>754</v>
      </c>
      <c r="C4337" s="4" t="s">
        <v>16</v>
      </c>
      <c r="D4337" s="7">
        <v>7387.25</v>
      </c>
    </row>
    <row r="4338" ht="46.5" customHeight="1" spans="1:7">
      <c r="A4338" s="6" t="s">
        <v>7127</v>
      </c>
      <c r="B4338" s="12" t="s">
        <v>7128</v>
      </c>
      <c r="C4338" s="4"/>
      <c r="D4338" s="7"/>
    </row>
    <row r="4339" spans="1:7">
      <c r="A4339" s="6" t="s">
        <v>7129</v>
      </c>
      <c r="B4339" s="3" t="s">
        <v>754</v>
      </c>
      <c r="C4339" s="4" t="s">
        <v>16</v>
      </c>
      <c r="D4339" s="7">
        <v>9844.65</v>
      </c>
    </row>
    <row r="4340" ht="46.5" customHeight="1" spans="1:7">
      <c r="A4340" s="6" t="s">
        <v>7130</v>
      </c>
      <c r="B4340" s="12" t="s">
        <v>7131</v>
      </c>
      <c r="C4340" s="4"/>
      <c r="D4340" s="7"/>
    </row>
    <row r="4341" spans="1:7">
      <c r="A4341" s="6" t="s">
        <v>7132</v>
      </c>
      <c r="B4341" s="3" t="s">
        <v>7133</v>
      </c>
      <c r="C4341" s="4" t="s">
        <v>12</v>
      </c>
      <c r="D4341" s="7">
        <v>897.15</v>
      </c>
    </row>
    <row r="4342" ht="46.5" customHeight="1" spans="1:7">
      <c r="A4342" s="6" t="s">
        <v>7134</v>
      </c>
      <c r="B4342" s="12" t="s">
        <v>7135</v>
      </c>
      <c r="C4342" s="4"/>
      <c r="D4342" s="7"/>
    </row>
    <row r="4343" spans="1:7">
      <c r="A4343" s="6" t="s">
        <v>7136</v>
      </c>
      <c r="B4343" s="3" t="s">
        <v>752</v>
      </c>
      <c r="C4343" s="4" t="s">
        <v>12</v>
      </c>
      <c r="D4343" s="7">
        <v>1099.15</v>
      </c>
    </row>
    <row r="4344" ht="77.5" customHeight="1" spans="1:7">
      <c r="A4344" s="6" t="s">
        <v>7137</v>
      </c>
      <c r="B4344" s="12" t="s">
        <v>7138</v>
      </c>
      <c r="C4344" s="4" t="s">
        <v>12</v>
      </c>
      <c r="D4344" s="7">
        <v>829.75</v>
      </c>
    </row>
    <row r="4345" spans="1:7">
      <c r="A4345" s="40"/>
      <c r="B4345" s="12" t="s">
        <v>7139</v>
      </c>
      <c r="C4345" s="4"/>
      <c r="D4345" s="14"/>
      <c r="E4345" s="31" t="s">
        <v>9</v>
      </c>
    </row>
    <row r="4346" ht="155" customHeight="1" spans="1:7">
      <c r="A4346" s="6" t="s">
        <v>7140</v>
      </c>
      <c r="B4346" s="12" t="s">
        <v>7141</v>
      </c>
      <c r="C4346" s="4"/>
      <c r="D4346" s="14"/>
      <c r="E4346" s="31" t="s">
        <v>9</v>
      </c>
    </row>
    <row r="4347" ht="31" customHeight="1" spans="1:7">
      <c r="A4347" s="40"/>
      <c r="B4347" s="12" t="s">
        <v>7142</v>
      </c>
      <c r="C4347" s="4"/>
      <c r="D4347" s="14"/>
    </row>
    <row r="4348" spans="1:7">
      <c r="A4348" s="6" t="s">
        <v>7143</v>
      </c>
      <c r="B4348" s="3" t="s">
        <v>7144</v>
      </c>
      <c r="C4348" s="4"/>
      <c r="D4348" s="14"/>
      <c r="E4348" s="31" t="s">
        <v>9</v>
      </c>
    </row>
    <row r="4349" spans="1:7">
      <c r="A4349" s="6" t="s">
        <v>7145</v>
      </c>
      <c r="B4349" s="3" t="s">
        <v>7146</v>
      </c>
      <c r="C4349" s="4" t="s">
        <v>49</v>
      </c>
      <c r="D4349" s="7">
        <v>1287.25</v>
      </c>
      <c r="E4349" s="31" t="s">
        <v>9</v>
      </c>
      <c r="F4349" s="32">
        <v>878.65</v>
      </c>
      <c r="G4349" s="33">
        <f t="shared" ref="G4349:G4356" si="97">(D4349-F4349)/F4349</f>
        <v>0.465031582541399</v>
      </c>
    </row>
    <row r="4350" spans="1:7">
      <c r="A4350" s="6" t="s">
        <v>7147</v>
      </c>
      <c r="B4350" s="3" t="s">
        <v>7148</v>
      </c>
      <c r="C4350" s="4" t="s">
        <v>49</v>
      </c>
      <c r="D4350" s="7">
        <v>1501.4</v>
      </c>
      <c r="E4350" s="31" t="s">
        <v>9</v>
      </c>
      <c r="F4350" s="32">
        <v>1032.55</v>
      </c>
      <c r="G4350" s="33">
        <f t="shared" si="97"/>
        <v>0.454070020822236</v>
      </c>
    </row>
    <row r="4351" spans="1:7">
      <c r="A4351" s="6" t="s">
        <v>7149</v>
      </c>
      <c r="B4351" s="3" t="s">
        <v>7150</v>
      </c>
      <c r="C4351" s="4" t="s">
        <v>49</v>
      </c>
      <c r="D4351" s="7">
        <v>1822.6</v>
      </c>
      <c r="E4351" s="31" t="s">
        <v>9</v>
      </c>
      <c r="F4351" s="32">
        <v>1263.45</v>
      </c>
      <c r="G4351" s="33">
        <f t="shared" si="97"/>
        <v>0.442558075111797</v>
      </c>
    </row>
    <row r="4352" spans="1:7">
      <c r="A4352" s="6" t="s">
        <v>7151</v>
      </c>
      <c r="B4352" s="3" t="s">
        <v>7152</v>
      </c>
      <c r="C4352" s="4" t="s">
        <v>49</v>
      </c>
      <c r="D4352" s="7">
        <v>2217</v>
      </c>
      <c r="E4352" s="31" t="s">
        <v>9</v>
      </c>
      <c r="F4352" s="32">
        <v>1546.55</v>
      </c>
      <c r="G4352" s="33">
        <f t="shared" si="97"/>
        <v>0.433513303805244</v>
      </c>
    </row>
    <row r="4353" spans="1:7">
      <c r="A4353" s="6" t="s">
        <v>7153</v>
      </c>
      <c r="B4353" s="3" t="s">
        <v>7154</v>
      </c>
      <c r="C4353" s="4" t="s">
        <v>49</v>
      </c>
      <c r="D4353" s="7">
        <v>2717.1</v>
      </c>
      <c r="E4353" s="31" t="s">
        <v>9</v>
      </c>
      <c r="F4353" s="32">
        <v>1905.95</v>
      </c>
      <c r="G4353" s="33">
        <f t="shared" si="97"/>
        <v>0.425588289304546</v>
      </c>
    </row>
    <row r="4354" spans="1:7">
      <c r="A4354" s="6" t="s">
        <v>7155</v>
      </c>
      <c r="B4354" s="3" t="s">
        <v>7156</v>
      </c>
      <c r="C4354" s="4" t="s">
        <v>49</v>
      </c>
      <c r="D4354" s="7">
        <v>3217.2</v>
      </c>
      <c r="E4354" s="31" t="s">
        <v>9</v>
      </c>
      <c r="F4354" s="32">
        <v>2265.3</v>
      </c>
      <c r="G4354" s="33">
        <f t="shared" si="97"/>
        <v>0.420209243808767</v>
      </c>
    </row>
    <row r="4355" spans="1:7">
      <c r="A4355" s="6" t="s">
        <v>7157</v>
      </c>
      <c r="B4355" s="3" t="s">
        <v>7158</v>
      </c>
      <c r="C4355" s="4" t="s">
        <v>49</v>
      </c>
      <c r="D4355" s="7">
        <v>3717.25</v>
      </c>
      <c r="E4355" s="31" t="s">
        <v>9</v>
      </c>
      <c r="F4355" s="32">
        <v>2624.7</v>
      </c>
      <c r="G4355" s="33">
        <f t="shared" si="97"/>
        <v>0.416257096049072</v>
      </c>
    </row>
    <row r="4356" spans="1:7">
      <c r="A4356" s="6" t="s">
        <v>7159</v>
      </c>
      <c r="B4356" s="3" t="s">
        <v>7160</v>
      </c>
      <c r="C4356" s="4" t="s">
        <v>49</v>
      </c>
      <c r="D4356" s="7">
        <v>4217.35</v>
      </c>
      <c r="E4356" s="31" t="s">
        <v>9</v>
      </c>
      <c r="F4356" s="32">
        <v>2984.1</v>
      </c>
      <c r="G4356" s="33">
        <f t="shared" si="97"/>
        <v>0.41327368385778</v>
      </c>
    </row>
    <row r="4357" spans="1:7">
      <c r="A4357" s="6" t="s">
        <v>7161</v>
      </c>
      <c r="B4357" s="3" t="s">
        <v>7162</v>
      </c>
      <c r="C4357" s="4"/>
      <c r="D4357" s="14"/>
      <c r="E4357" s="31" t="s">
        <v>9</v>
      </c>
    </row>
    <row r="4358" spans="1:7">
      <c r="A4358" s="6" t="s">
        <v>7163</v>
      </c>
      <c r="B4358" s="3" t="s">
        <v>7164</v>
      </c>
      <c r="C4358" s="4" t="s">
        <v>49</v>
      </c>
      <c r="D4358" s="7">
        <v>18.4</v>
      </c>
      <c r="E4358" s="31" t="s">
        <v>9</v>
      </c>
      <c r="F4358" s="32">
        <v>17.1</v>
      </c>
      <c r="G4358" s="33">
        <f t="shared" ref="G4358:G4365" si="98">(D4358-F4358)/F4358</f>
        <v>0.0760233918128653</v>
      </c>
    </row>
    <row r="4359" spans="1:7">
      <c r="A4359" s="6" t="s">
        <v>7165</v>
      </c>
      <c r="B4359" s="3" t="s">
        <v>7166</v>
      </c>
      <c r="C4359" s="4" t="s">
        <v>49</v>
      </c>
      <c r="D4359" s="7">
        <v>22.1</v>
      </c>
      <c r="E4359" s="31" t="s">
        <v>9</v>
      </c>
      <c r="F4359" s="32">
        <v>20.55</v>
      </c>
      <c r="G4359" s="33">
        <f t="shared" si="98"/>
        <v>0.0754257907542579</v>
      </c>
    </row>
    <row r="4360" spans="1:7">
      <c r="A4360" s="6" t="s">
        <v>7167</v>
      </c>
      <c r="B4360" s="3" t="s">
        <v>7168</v>
      </c>
      <c r="C4360" s="4" t="s">
        <v>49</v>
      </c>
      <c r="D4360" s="7">
        <v>27.65</v>
      </c>
      <c r="E4360" s="31" t="s">
        <v>9</v>
      </c>
      <c r="F4360" s="32">
        <v>25.7</v>
      </c>
      <c r="G4360" s="33">
        <f t="shared" si="98"/>
        <v>0.0758754863813229</v>
      </c>
    </row>
    <row r="4361" spans="1:7">
      <c r="A4361" s="6" t="s">
        <v>7169</v>
      </c>
      <c r="B4361" s="3" t="s">
        <v>7170</v>
      </c>
      <c r="C4361" s="4" t="s">
        <v>49</v>
      </c>
      <c r="D4361" s="7">
        <v>34.4</v>
      </c>
      <c r="E4361" s="31" t="s">
        <v>9</v>
      </c>
      <c r="F4361" s="32">
        <v>31.95</v>
      </c>
      <c r="G4361" s="33">
        <f t="shared" si="98"/>
        <v>0.0766823161189358</v>
      </c>
    </row>
    <row r="4362" spans="1:7">
      <c r="A4362" s="6" t="s">
        <v>7171</v>
      </c>
      <c r="B4362" s="3" t="s">
        <v>7172</v>
      </c>
      <c r="C4362" s="4" t="s">
        <v>49</v>
      </c>
      <c r="D4362" s="7">
        <v>43</v>
      </c>
      <c r="E4362" s="31" t="s">
        <v>9</v>
      </c>
      <c r="F4362" s="32">
        <v>39.95</v>
      </c>
      <c r="G4362" s="33">
        <f t="shared" si="98"/>
        <v>0.0763454317897371</v>
      </c>
    </row>
    <row r="4363" spans="1:7">
      <c r="A4363" s="6" t="s">
        <v>7173</v>
      </c>
      <c r="B4363" s="3" t="s">
        <v>7174</v>
      </c>
      <c r="C4363" s="4" t="s">
        <v>49</v>
      </c>
      <c r="D4363" s="7">
        <v>51.6</v>
      </c>
      <c r="E4363" s="31" t="s">
        <v>9</v>
      </c>
      <c r="F4363" s="32">
        <v>47.95</v>
      </c>
      <c r="G4363" s="33">
        <f t="shared" si="98"/>
        <v>0.0761209593326381</v>
      </c>
    </row>
    <row r="4364" spans="1:7">
      <c r="A4364" s="6" t="s">
        <v>7175</v>
      </c>
      <c r="B4364" s="3" t="s">
        <v>7176</v>
      </c>
      <c r="C4364" s="4" t="s">
        <v>49</v>
      </c>
      <c r="D4364" s="7">
        <v>60.2</v>
      </c>
      <c r="E4364" s="31" t="s">
        <v>9</v>
      </c>
      <c r="F4364" s="32">
        <v>55.95</v>
      </c>
      <c r="G4364" s="33">
        <f t="shared" si="98"/>
        <v>0.0759606791778373</v>
      </c>
    </row>
    <row r="4365" spans="1:7">
      <c r="A4365" s="6" t="s">
        <v>7177</v>
      </c>
      <c r="B4365" s="3" t="s">
        <v>7178</v>
      </c>
      <c r="C4365" s="4" t="s">
        <v>49</v>
      </c>
      <c r="D4365" s="7">
        <v>68.8</v>
      </c>
      <c r="E4365" s="31" t="s">
        <v>9</v>
      </c>
      <c r="F4365" s="32">
        <v>63.95</v>
      </c>
      <c r="G4365" s="33">
        <f t="shared" si="98"/>
        <v>0.0758405003909303</v>
      </c>
    </row>
    <row r="4366" spans="1:7">
      <c r="A4366" s="6" t="s">
        <v>7179</v>
      </c>
      <c r="B4366" s="3" t="s">
        <v>7180</v>
      </c>
      <c r="C4366" s="4"/>
      <c r="D4366" s="14"/>
      <c r="E4366" s="31" t="s">
        <v>9</v>
      </c>
    </row>
    <row r="4367" spans="1:7">
      <c r="A4367" s="6" t="s">
        <v>7181</v>
      </c>
      <c r="B4367" s="3" t="s">
        <v>7164</v>
      </c>
      <c r="C4367" s="4" t="s">
        <v>49</v>
      </c>
      <c r="D4367" s="7">
        <v>29.5</v>
      </c>
      <c r="E4367" s="31" t="s">
        <v>9</v>
      </c>
      <c r="F4367" s="32">
        <v>27.4</v>
      </c>
      <c r="G4367" s="33">
        <f t="shared" ref="G4367:G4374" si="99">(D4367-F4367)/F4367</f>
        <v>0.0766423357664234</v>
      </c>
    </row>
    <row r="4368" spans="1:7">
      <c r="A4368" s="6" t="s">
        <v>7182</v>
      </c>
      <c r="B4368" s="3" t="s">
        <v>7166</v>
      </c>
      <c r="C4368" s="4" t="s">
        <v>49</v>
      </c>
      <c r="D4368" s="7">
        <v>35.35</v>
      </c>
      <c r="E4368" s="31" t="s">
        <v>9</v>
      </c>
      <c r="F4368" s="32">
        <v>32.9</v>
      </c>
      <c r="G4368" s="33">
        <f t="shared" si="99"/>
        <v>0.0744680851063831</v>
      </c>
    </row>
    <row r="4369" spans="1:7">
      <c r="A4369" s="6" t="s">
        <v>7183</v>
      </c>
      <c r="B4369" s="3" t="s">
        <v>7168</v>
      </c>
      <c r="C4369" s="4" t="s">
        <v>49</v>
      </c>
      <c r="D4369" s="7">
        <v>44.2</v>
      </c>
      <c r="E4369" s="31" t="s">
        <v>9</v>
      </c>
      <c r="F4369" s="32">
        <v>41.1</v>
      </c>
      <c r="G4369" s="33">
        <f t="shared" si="99"/>
        <v>0.0754257907542579</v>
      </c>
    </row>
    <row r="4370" spans="1:7">
      <c r="A4370" s="6" t="s">
        <v>7184</v>
      </c>
      <c r="B4370" s="3" t="s">
        <v>7170</v>
      </c>
      <c r="C4370" s="4" t="s">
        <v>49</v>
      </c>
      <c r="D4370" s="7">
        <v>55</v>
      </c>
      <c r="E4370" s="31" t="s">
        <v>9</v>
      </c>
      <c r="F4370" s="32">
        <v>51.15</v>
      </c>
      <c r="G4370" s="33">
        <f t="shared" si="99"/>
        <v>0.0752688172043011</v>
      </c>
    </row>
    <row r="4371" spans="1:7">
      <c r="A4371" s="6" t="s">
        <v>7185</v>
      </c>
      <c r="B4371" s="3" t="s">
        <v>7172</v>
      </c>
      <c r="C4371" s="4" t="s">
        <v>49</v>
      </c>
      <c r="D4371" s="7">
        <v>68.8</v>
      </c>
      <c r="E4371" s="31" t="s">
        <v>9</v>
      </c>
      <c r="F4371" s="32">
        <v>63.95</v>
      </c>
      <c r="G4371" s="33">
        <f t="shared" si="99"/>
        <v>0.0758405003909303</v>
      </c>
    </row>
    <row r="4372" spans="1:7">
      <c r="A4372" s="6" t="s">
        <v>7186</v>
      </c>
      <c r="B4372" s="3" t="s">
        <v>7174</v>
      </c>
      <c r="C4372" s="4" t="s">
        <v>49</v>
      </c>
      <c r="D4372" s="7">
        <v>82.55</v>
      </c>
      <c r="E4372" s="31" t="s">
        <v>9</v>
      </c>
      <c r="F4372" s="32">
        <v>76.7</v>
      </c>
      <c r="G4372" s="33">
        <f t="shared" si="99"/>
        <v>0.0762711864406779</v>
      </c>
    </row>
    <row r="4373" spans="1:7">
      <c r="A4373" s="6" t="s">
        <v>7187</v>
      </c>
      <c r="B4373" s="3" t="s">
        <v>7176</v>
      </c>
      <c r="C4373" s="4" t="s">
        <v>49</v>
      </c>
      <c r="D4373" s="7">
        <v>96.3</v>
      </c>
      <c r="E4373" s="31" t="s">
        <v>9</v>
      </c>
      <c r="F4373" s="32">
        <v>89.5</v>
      </c>
      <c r="G4373" s="33">
        <f t="shared" si="99"/>
        <v>0.0759776536312849</v>
      </c>
    </row>
    <row r="4374" spans="1:7">
      <c r="A4374" s="6" t="s">
        <v>7188</v>
      </c>
      <c r="B4374" s="3" t="s">
        <v>7178</v>
      </c>
      <c r="C4374" s="4" t="s">
        <v>49</v>
      </c>
      <c r="D4374" s="7">
        <v>110.05</v>
      </c>
      <c r="E4374" s="31" t="s">
        <v>9</v>
      </c>
      <c r="F4374" s="32">
        <v>102.3</v>
      </c>
      <c r="G4374" s="33">
        <f t="shared" si="99"/>
        <v>0.0757575757575758</v>
      </c>
    </row>
    <row r="4375" ht="155" customHeight="1" spans="1:7">
      <c r="A4375" s="6" t="s">
        <v>7189</v>
      </c>
      <c r="B4375" s="12" t="s">
        <v>7190</v>
      </c>
      <c r="C4375" s="4"/>
      <c r="D4375" s="14"/>
      <c r="E4375" s="31" t="s">
        <v>9</v>
      </c>
    </row>
    <row r="4376" spans="1:7">
      <c r="A4376" s="6" t="s">
        <v>7191</v>
      </c>
      <c r="B4376" s="3" t="s">
        <v>7192</v>
      </c>
      <c r="C4376" s="4" t="s">
        <v>16</v>
      </c>
      <c r="D4376" s="7">
        <v>20928.7</v>
      </c>
      <c r="E4376" s="31" t="s">
        <v>9</v>
      </c>
      <c r="F4376" s="32">
        <v>13765.1</v>
      </c>
      <c r="G4376" s="33">
        <f>(D4376-F4376)/F4376</f>
        <v>0.520417577787303</v>
      </c>
    </row>
    <row r="4377" spans="1:7">
      <c r="A4377" s="6" t="s">
        <v>7193</v>
      </c>
      <c r="B4377" s="3" t="s">
        <v>7194</v>
      </c>
      <c r="C4377" s="4" t="s">
        <v>16</v>
      </c>
      <c r="D4377" s="7">
        <v>245.65</v>
      </c>
      <c r="E4377" s="31" t="s">
        <v>9</v>
      </c>
      <c r="F4377" s="32">
        <v>228.3</v>
      </c>
      <c r="G4377" s="33">
        <f>(D4377-F4377)/F4377</f>
        <v>0.0759964958388086</v>
      </c>
    </row>
    <row r="4378" spans="1:7">
      <c r="A4378" s="6" t="s">
        <v>7195</v>
      </c>
      <c r="B4378" s="3" t="s">
        <v>7196</v>
      </c>
      <c r="C4378" s="4" t="s">
        <v>16</v>
      </c>
      <c r="D4378" s="7">
        <v>450.4</v>
      </c>
      <c r="E4378" s="31" t="s">
        <v>9</v>
      </c>
      <c r="F4378" s="32">
        <v>418.55</v>
      </c>
      <c r="G4378" s="33">
        <f>(D4378-F4378)/F4378</f>
        <v>0.0760960458726555</v>
      </c>
    </row>
    <row r="4379" spans="1:7">
      <c r="A4379" s="6" t="s">
        <v>7197</v>
      </c>
      <c r="B4379" s="3" t="s">
        <v>7198</v>
      </c>
      <c r="C4379" s="4" t="s">
        <v>16</v>
      </c>
      <c r="D4379" s="7">
        <v>573.2</v>
      </c>
      <c r="E4379" s="31" t="s">
        <v>9</v>
      </c>
      <c r="F4379" s="32">
        <v>532.75</v>
      </c>
      <c r="G4379" s="33">
        <f>(D4379-F4379)/F4379</f>
        <v>0.0759267949319569</v>
      </c>
    </row>
    <row r="4380" ht="77.5" customHeight="1" spans="1:7">
      <c r="A4380" s="6" t="s">
        <v>7199</v>
      </c>
      <c r="B4380" s="12" t="s">
        <v>7200</v>
      </c>
      <c r="C4380" s="4" t="s">
        <v>575</v>
      </c>
      <c r="D4380" s="7">
        <v>192.35</v>
      </c>
      <c r="E4380" s="31" t="s">
        <v>9</v>
      </c>
      <c r="F4380" s="32">
        <v>130.75</v>
      </c>
      <c r="G4380" s="33">
        <f>(D4380-F4380)/F4380</f>
        <v>0.47112810707457</v>
      </c>
    </row>
    <row r="4381" ht="46.5" customHeight="1" spans="1:7">
      <c r="A4381" s="6" t="s">
        <v>7201</v>
      </c>
      <c r="B4381" s="12" t="s">
        <v>7202</v>
      </c>
      <c r="C4381" s="4"/>
      <c r="D4381" s="14"/>
      <c r="E4381" s="31" t="s">
        <v>9</v>
      </c>
    </row>
    <row r="4382" spans="1:7">
      <c r="A4382" s="6" t="s">
        <v>7203</v>
      </c>
      <c r="B4382" s="3" t="s">
        <v>7204</v>
      </c>
      <c r="C4382" s="4" t="s">
        <v>7205</v>
      </c>
      <c r="D4382" s="7">
        <v>540.85</v>
      </c>
      <c r="E4382" s="31" t="s">
        <v>9</v>
      </c>
      <c r="F4382" s="32">
        <v>389.85</v>
      </c>
      <c r="G4382" s="33">
        <f>(D4382-F4382)/F4382</f>
        <v>0.387328459663973</v>
      </c>
    </row>
    <row r="4383" spans="1:7">
      <c r="A4383" s="6" t="s">
        <v>7206</v>
      </c>
      <c r="B4383" s="3" t="s">
        <v>7207</v>
      </c>
      <c r="C4383" s="4" t="s">
        <v>7205</v>
      </c>
      <c r="D4383" s="7">
        <v>117.3</v>
      </c>
      <c r="E4383" s="31" t="s">
        <v>9</v>
      </c>
      <c r="F4383" s="32">
        <v>73</v>
      </c>
      <c r="G4383" s="33">
        <f>(D4383-F4383)/F4383</f>
        <v>0.606849315068493</v>
      </c>
    </row>
    <row r="4384" ht="93" customHeight="1" spans="1:7">
      <c r="A4384" s="6" t="s">
        <v>7208</v>
      </c>
      <c r="B4384" s="12" t="s">
        <v>7209</v>
      </c>
      <c r="C4384" s="4"/>
      <c r="D4384" s="14"/>
      <c r="E4384" s="31" t="s">
        <v>9</v>
      </c>
    </row>
    <row r="4385" spans="1:7">
      <c r="A4385" s="6" t="s">
        <v>7210</v>
      </c>
      <c r="B4385" s="3" t="s">
        <v>7211</v>
      </c>
      <c r="C4385" s="4" t="s">
        <v>12</v>
      </c>
      <c r="D4385" s="7">
        <v>203.5</v>
      </c>
      <c r="E4385" s="31" t="s">
        <v>9</v>
      </c>
      <c r="F4385" s="32">
        <v>217.45</v>
      </c>
      <c r="G4385" s="33">
        <f>(D4385-F4385)/F4385</f>
        <v>-0.0641526787767302</v>
      </c>
    </row>
    <row r="4386" spans="1:7">
      <c r="A4386" s="6" t="s">
        <v>7212</v>
      </c>
      <c r="B4386" s="3" t="s">
        <v>7213</v>
      </c>
      <c r="C4386" s="4" t="s">
        <v>12</v>
      </c>
      <c r="D4386" s="7">
        <v>345.15</v>
      </c>
      <c r="E4386" s="31" t="s">
        <v>9</v>
      </c>
      <c r="F4386" s="32">
        <v>367.15</v>
      </c>
      <c r="G4386" s="33">
        <f>(D4386-F4386)/F4386</f>
        <v>-0.0599210132098597</v>
      </c>
    </row>
    <row r="4387" spans="1:7">
      <c r="A4387" s="6" t="s">
        <v>7214</v>
      </c>
      <c r="B4387" s="3" t="s">
        <v>7215</v>
      </c>
      <c r="C4387" s="4" t="s">
        <v>16</v>
      </c>
      <c r="D4387" s="7">
        <v>2720.3</v>
      </c>
      <c r="E4387" s="31" t="s">
        <v>9</v>
      </c>
      <c r="F4387" s="32">
        <v>2642.6</v>
      </c>
      <c r="G4387" s="33">
        <f>(D4387-F4387)/F4387</f>
        <v>0.0294028608188906</v>
      </c>
    </row>
    <row r="4388" ht="31" customHeight="1" spans="1:7">
      <c r="A4388" s="6" t="s">
        <v>7216</v>
      </c>
      <c r="B4388" s="12" t="s">
        <v>7217</v>
      </c>
      <c r="C4388" s="4"/>
      <c r="D4388" s="14"/>
      <c r="E4388" s="31" t="s">
        <v>9</v>
      </c>
    </row>
    <row r="4389" spans="1:7">
      <c r="A4389" s="6" t="s">
        <v>7218</v>
      </c>
      <c r="B4389" s="3" t="s">
        <v>7219</v>
      </c>
      <c r="C4389" s="4" t="s">
        <v>49</v>
      </c>
      <c r="D4389" s="7">
        <v>178.95</v>
      </c>
      <c r="E4389" s="31" t="s">
        <v>9</v>
      </c>
    </row>
    <row r="4390" ht="46.5" customHeight="1" spans="1:7">
      <c r="A4390" s="6" t="s">
        <v>7220</v>
      </c>
      <c r="B4390" s="12" t="s">
        <v>7221</v>
      </c>
      <c r="C4390" s="4"/>
      <c r="D4390" s="14"/>
      <c r="E4390" s="31" t="s">
        <v>9</v>
      </c>
    </row>
    <row r="4391" spans="1:7">
      <c r="A4391" s="6" t="s">
        <v>7222</v>
      </c>
      <c r="B4391" s="3" t="s">
        <v>7223</v>
      </c>
      <c r="C4391" s="4" t="s">
        <v>156</v>
      </c>
      <c r="D4391" s="7">
        <v>28.9</v>
      </c>
      <c r="E4391" s="31" t="s">
        <v>9</v>
      </c>
      <c r="F4391" s="32">
        <v>17.55</v>
      </c>
      <c r="G4391" s="33">
        <f>(D4391-F4391)/F4391</f>
        <v>0.646723646723647</v>
      </c>
    </row>
    <row r="4392" spans="1:7">
      <c r="A4392" s="6" t="s">
        <v>7224</v>
      </c>
      <c r="B4392" s="3" t="s">
        <v>7225</v>
      </c>
      <c r="C4392" s="4" t="s">
        <v>156</v>
      </c>
      <c r="D4392" s="7">
        <v>36</v>
      </c>
      <c r="E4392" s="31" t="s">
        <v>9</v>
      </c>
      <c r="F4392" s="32">
        <v>23.4</v>
      </c>
      <c r="G4392" s="33">
        <f>(D4392-F4392)/F4392</f>
        <v>0.538461538461539</v>
      </c>
    </row>
    <row r="4393" spans="1:7">
      <c r="A4393" s="6" t="s">
        <v>7226</v>
      </c>
      <c r="B4393" s="3" t="s">
        <v>7227</v>
      </c>
      <c r="C4393" s="4" t="s">
        <v>156</v>
      </c>
      <c r="D4393" s="7">
        <v>51.65</v>
      </c>
      <c r="E4393" s="31" t="s">
        <v>9</v>
      </c>
      <c r="F4393" s="32">
        <v>35</v>
      </c>
      <c r="G4393" s="33">
        <f>(D4393-F4393)/F4393</f>
        <v>0.475714285714286</v>
      </c>
    </row>
    <row r="4394" ht="62" customHeight="1" spans="1:7">
      <c r="A4394" s="6" t="s">
        <v>7228</v>
      </c>
      <c r="B4394" s="12" t="s">
        <v>7229</v>
      </c>
      <c r="C4394" s="4"/>
      <c r="D4394" s="14"/>
      <c r="E4394" s="31" t="s">
        <v>9</v>
      </c>
    </row>
    <row r="4395" ht="31" customHeight="1" spans="1:7">
      <c r="A4395" s="6" t="s">
        <v>7230</v>
      </c>
      <c r="B4395" s="3" t="s">
        <v>7231</v>
      </c>
      <c r="C4395" s="4" t="s">
        <v>575</v>
      </c>
      <c r="D4395" s="7">
        <v>85.05</v>
      </c>
      <c r="E4395" s="31" t="s">
        <v>9</v>
      </c>
      <c r="F4395" s="32">
        <v>65</v>
      </c>
      <c r="G4395" s="33">
        <f>(D4395-F4395)/F4395</f>
        <v>0.308461538461538</v>
      </c>
    </row>
    <row r="4396" ht="124" customHeight="1" spans="1:7">
      <c r="A4396" s="6" t="s">
        <v>7232</v>
      </c>
      <c r="B4396" s="12" t="s">
        <v>7233</v>
      </c>
      <c r="C4396" s="4" t="s">
        <v>12</v>
      </c>
      <c r="D4396" s="7">
        <v>29.25</v>
      </c>
    </row>
    <row r="4397" ht="232.5" customHeight="1" spans="1:7">
      <c r="A4397" s="6" t="s">
        <v>7234</v>
      </c>
      <c r="B4397" s="12" t="s">
        <v>7235</v>
      </c>
      <c r="C4397" s="4" t="s">
        <v>12</v>
      </c>
      <c r="D4397" s="7">
        <v>2293.3</v>
      </c>
    </row>
    <row r="4398" ht="403" customHeight="1" spans="1:7">
      <c r="A4398" s="6" t="s">
        <v>7236</v>
      </c>
      <c r="B4398" s="12" t="s">
        <v>7237</v>
      </c>
      <c r="C4398" s="4" t="s">
        <v>12</v>
      </c>
      <c r="D4398" s="7">
        <v>762.75</v>
      </c>
    </row>
    <row r="4399" ht="93" customHeight="1" spans="1:7">
      <c r="A4399" s="6" t="s">
        <v>7238</v>
      </c>
      <c r="B4399" s="12" t="s">
        <v>7239</v>
      </c>
      <c r="C4399" s="4"/>
      <c r="D4399" s="14"/>
    </row>
    <row r="4400" ht="31" customHeight="1" spans="1:7">
      <c r="A4400" s="6" t="s">
        <v>7240</v>
      </c>
      <c r="B4400" s="3" t="s">
        <v>7241</v>
      </c>
      <c r="C4400" s="4" t="s">
        <v>12</v>
      </c>
      <c r="D4400" s="7">
        <v>271.45</v>
      </c>
    </row>
    <row r="4401" ht="31" customHeight="1" spans="1:4">
      <c r="A4401" s="6" t="s">
        <v>7242</v>
      </c>
      <c r="B4401" s="3" t="s">
        <v>7243</v>
      </c>
      <c r="C4401" s="4" t="s">
        <v>12</v>
      </c>
      <c r="D4401" s="7">
        <v>310.3</v>
      </c>
    </row>
    <row r="4402" ht="31" customHeight="1" spans="1:4">
      <c r="A4402" s="6" t="s">
        <v>7244</v>
      </c>
      <c r="B4402" s="3" t="s">
        <v>7245</v>
      </c>
      <c r="C4402" s="4" t="s">
        <v>12</v>
      </c>
      <c r="D4402" s="7">
        <v>385</v>
      </c>
    </row>
    <row r="4403" ht="31" customHeight="1" spans="1:4">
      <c r="A4403" s="6" t="s">
        <v>7246</v>
      </c>
      <c r="B4403" s="3" t="s">
        <v>7247</v>
      </c>
      <c r="C4403" s="4" t="s">
        <v>12</v>
      </c>
      <c r="D4403" s="7">
        <v>440.25</v>
      </c>
    </row>
    <row r="4404" ht="31" customHeight="1" spans="1:4">
      <c r="A4404" s="6" t="s">
        <v>7248</v>
      </c>
      <c r="B4404" s="3" t="s">
        <v>7249</v>
      </c>
      <c r="C4404" s="4" t="s">
        <v>12</v>
      </c>
      <c r="D4404" s="7">
        <v>470.1</v>
      </c>
    </row>
    <row r="4405" ht="31" customHeight="1" spans="1:4">
      <c r="A4405" s="6" t="s">
        <v>7250</v>
      </c>
      <c r="B4405" s="3" t="s">
        <v>7251</v>
      </c>
      <c r="C4405" s="4" t="s">
        <v>12</v>
      </c>
      <c r="D4405" s="7">
        <v>580.65</v>
      </c>
    </row>
    <row r="4406" ht="31" customHeight="1" spans="1:4">
      <c r="A4406" s="6" t="s">
        <v>7252</v>
      </c>
      <c r="B4406" s="3" t="s">
        <v>7253</v>
      </c>
      <c r="C4406" s="4" t="s">
        <v>12</v>
      </c>
      <c r="D4406" s="7">
        <v>677.75</v>
      </c>
    </row>
    <row r="4407" ht="31" customHeight="1" spans="1:4">
      <c r="A4407" s="6" t="s">
        <v>7254</v>
      </c>
      <c r="B4407" s="3" t="s">
        <v>7255</v>
      </c>
      <c r="C4407" s="4" t="s">
        <v>12</v>
      </c>
      <c r="D4407" s="7">
        <v>819.65</v>
      </c>
    </row>
    <row r="4408" ht="31" customHeight="1" spans="1:4">
      <c r="A4408" s="6" t="s">
        <v>7256</v>
      </c>
      <c r="B4408" s="3" t="s">
        <v>7257</v>
      </c>
      <c r="C4408" s="4" t="s">
        <v>12</v>
      </c>
      <c r="D4408" s="7">
        <v>942.15</v>
      </c>
    </row>
    <row r="4409" ht="108.5" customHeight="1" spans="1:4">
      <c r="A4409" s="6" t="s">
        <v>7258</v>
      </c>
      <c r="B4409" s="12" t="s">
        <v>7259</v>
      </c>
      <c r="C4409" s="4"/>
      <c r="D4409" s="14"/>
    </row>
    <row r="4410" ht="31" customHeight="1" spans="1:4">
      <c r="A4410" s="6" t="s">
        <v>7260</v>
      </c>
      <c r="B4410" s="3" t="s">
        <v>7261</v>
      </c>
      <c r="C4410" s="4" t="s">
        <v>12</v>
      </c>
      <c r="D4410" s="7">
        <v>229.65</v>
      </c>
    </row>
    <row r="4411" ht="31" customHeight="1" spans="1:4">
      <c r="A4411" s="6" t="s">
        <v>7262</v>
      </c>
      <c r="B4411" s="3" t="s">
        <v>7263</v>
      </c>
      <c r="C4411" s="4" t="s">
        <v>12</v>
      </c>
      <c r="D4411" s="7">
        <v>329.7</v>
      </c>
    </row>
    <row r="4412" ht="31" customHeight="1" spans="1:4">
      <c r="A4412" s="6" t="s">
        <v>7264</v>
      </c>
      <c r="B4412" s="3" t="s">
        <v>7265</v>
      </c>
      <c r="C4412" s="4" t="s">
        <v>12</v>
      </c>
      <c r="D4412" s="7">
        <v>416.35</v>
      </c>
    </row>
    <row r="4413" ht="186" customHeight="1" spans="1:4">
      <c r="A4413" s="6" t="s">
        <v>7266</v>
      </c>
      <c r="B4413" s="12" t="s">
        <v>7267</v>
      </c>
      <c r="C4413" s="4"/>
      <c r="D4413" s="14"/>
    </row>
    <row r="4414" ht="46.5" customHeight="1" spans="1:4">
      <c r="A4414" s="40"/>
      <c r="B4414" s="12" t="s">
        <v>7268</v>
      </c>
      <c r="C4414" s="4"/>
      <c r="D4414" s="14"/>
    </row>
    <row r="4415" spans="1:4">
      <c r="A4415" s="6" t="s">
        <v>7269</v>
      </c>
      <c r="B4415" s="3" t="s">
        <v>7270</v>
      </c>
      <c r="C4415" s="4" t="s">
        <v>49</v>
      </c>
      <c r="D4415" s="7">
        <v>705.85</v>
      </c>
    </row>
    <row r="4416" spans="1:4">
      <c r="A4416" s="6" t="s">
        <v>7271</v>
      </c>
      <c r="B4416" s="3" t="s">
        <v>7272</v>
      </c>
      <c r="C4416" s="4" t="s">
        <v>49</v>
      </c>
      <c r="D4416" s="7">
        <v>926.35</v>
      </c>
    </row>
    <row r="4417" spans="1:4">
      <c r="A4417" s="6" t="s">
        <v>7273</v>
      </c>
      <c r="B4417" s="3" t="s">
        <v>7274</v>
      </c>
      <c r="C4417" s="4" t="s">
        <v>49</v>
      </c>
      <c r="D4417" s="7">
        <v>947.7</v>
      </c>
    </row>
    <row r="4418" spans="1:4">
      <c r="A4418" s="6" t="s">
        <v>7275</v>
      </c>
      <c r="B4418" s="3" t="s">
        <v>7276</v>
      </c>
      <c r="C4418" s="4" t="s">
        <v>49</v>
      </c>
      <c r="D4418" s="7">
        <v>1075.7</v>
      </c>
    </row>
    <row r="4419" spans="1:4">
      <c r="A4419" s="6" t="s">
        <v>7277</v>
      </c>
      <c r="B4419" s="3" t="s">
        <v>7278</v>
      </c>
      <c r="C4419" s="4" t="s">
        <v>49</v>
      </c>
      <c r="D4419" s="7">
        <v>1111.3</v>
      </c>
    </row>
    <row r="4420" spans="1:4">
      <c r="A4420" s="6" t="s">
        <v>7279</v>
      </c>
      <c r="B4420" s="3" t="s">
        <v>7280</v>
      </c>
      <c r="C4420" s="4" t="s">
        <v>49</v>
      </c>
      <c r="D4420" s="7">
        <v>1381.6</v>
      </c>
    </row>
    <row r="4421" spans="1:4">
      <c r="A4421" s="6" t="s">
        <v>7281</v>
      </c>
      <c r="B4421" s="3" t="s">
        <v>7282</v>
      </c>
      <c r="C4421" s="4" t="s">
        <v>49</v>
      </c>
      <c r="D4421" s="7">
        <v>1637.65</v>
      </c>
    </row>
    <row r="4422" ht="170.5" customHeight="1" spans="1:4">
      <c r="A4422" s="6" t="s">
        <v>7283</v>
      </c>
      <c r="B4422" s="12" t="s">
        <v>7284</v>
      </c>
      <c r="C4422" s="4"/>
      <c r="D4422" s="14"/>
    </row>
    <row r="4423" spans="1:4">
      <c r="A4423" s="6" t="s">
        <v>7285</v>
      </c>
      <c r="B4423" s="3" t="s">
        <v>1111</v>
      </c>
      <c r="C4423" s="4" t="s">
        <v>12</v>
      </c>
      <c r="D4423" s="7">
        <v>4346.7</v>
      </c>
    </row>
    <row r="4424" spans="1:4">
      <c r="A4424" s="6" t="s">
        <v>7286</v>
      </c>
      <c r="B4424" s="3" t="s">
        <v>1331</v>
      </c>
      <c r="C4424" s="4" t="s">
        <v>12</v>
      </c>
      <c r="D4424" s="7">
        <v>5015.35</v>
      </c>
    </row>
    <row r="4425" ht="201.5" customHeight="1" spans="1:4">
      <c r="A4425" s="6" t="s">
        <v>7287</v>
      </c>
      <c r="B4425" s="12" t="s">
        <v>7288</v>
      </c>
      <c r="C4425" s="4"/>
      <c r="D4425" s="14"/>
    </row>
    <row r="4426" spans="1:4">
      <c r="A4426" s="6" t="s">
        <v>7289</v>
      </c>
      <c r="B4426" s="3" t="s">
        <v>1111</v>
      </c>
      <c r="C4426" s="4" t="s">
        <v>12</v>
      </c>
      <c r="D4426" s="7">
        <v>4764.2</v>
      </c>
    </row>
    <row r="4427" spans="1:4">
      <c r="A4427" s="6" t="s">
        <v>7290</v>
      </c>
      <c r="B4427" s="3" t="s">
        <v>1331</v>
      </c>
      <c r="C4427" s="4" t="s">
        <v>12</v>
      </c>
      <c r="D4427" s="7">
        <v>5432.85</v>
      </c>
    </row>
    <row r="4428" ht="217" customHeight="1" spans="1:4">
      <c r="A4428" s="6" t="s">
        <v>7291</v>
      </c>
      <c r="B4428" s="12" t="s">
        <v>7292</v>
      </c>
      <c r="C4428" s="4"/>
      <c r="D4428" s="14"/>
    </row>
    <row r="4429" spans="1:4">
      <c r="A4429" s="6" t="s">
        <v>7293</v>
      </c>
      <c r="B4429" s="3" t="s">
        <v>1222</v>
      </c>
      <c r="C4429" s="4" t="s">
        <v>12</v>
      </c>
      <c r="D4429" s="7">
        <v>2992.9</v>
      </c>
    </row>
    <row r="4430" spans="1:4">
      <c r="A4430" s="6" t="s">
        <v>7294</v>
      </c>
      <c r="B4430" s="3" t="s">
        <v>558</v>
      </c>
      <c r="C4430" s="4" t="s">
        <v>12</v>
      </c>
      <c r="D4430" s="7">
        <v>3889.15</v>
      </c>
    </row>
    <row r="4431" ht="155" customHeight="1" spans="1:4">
      <c r="A4431" s="6" t="s">
        <v>7295</v>
      </c>
      <c r="B4431" s="12" t="s">
        <v>7296</v>
      </c>
      <c r="C4431" s="4"/>
      <c r="D4431" s="14"/>
    </row>
    <row r="4432" spans="1:4">
      <c r="A4432" s="6" t="s">
        <v>7297</v>
      </c>
      <c r="B4432" s="3" t="s">
        <v>7298</v>
      </c>
      <c r="C4432" s="4" t="s">
        <v>12</v>
      </c>
      <c r="D4432" s="7">
        <v>1099.35</v>
      </c>
    </row>
    <row r="4433" spans="1:4">
      <c r="A4433" s="6" t="s">
        <v>7299</v>
      </c>
      <c r="B4433" s="3" t="s">
        <v>1215</v>
      </c>
      <c r="C4433" s="4" t="s">
        <v>12</v>
      </c>
      <c r="D4433" s="7">
        <v>1711.1</v>
      </c>
    </row>
    <row r="4434" ht="232.5" customHeight="1" spans="1:4">
      <c r="A4434" s="6" t="s">
        <v>7300</v>
      </c>
      <c r="B4434" s="12" t="s">
        <v>7301</v>
      </c>
      <c r="C4434" s="4" t="s">
        <v>12</v>
      </c>
      <c r="D4434" s="7">
        <v>3437.15</v>
      </c>
    </row>
    <row r="4435" ht="387.5" customHeight="1" spans="1:4">
      <c r="A4435" s="6" t="s">
        <v>7302</v>
      </c>
      <c r="B4435" s="12" t="s">
        <v>7303</v>
      </c>
      <c r="C4435" s="4"/>
      <c r="D4435" s="14"/>
    </row>
    <row r="4436" spans="1:4">
      <c r="A4436" s="6" t="s">
        <v>7304</v>
      </c>
      <c r="B4436" s="3" t="s">
        <v>7305</v>
      </c>
      <c r="C4436" s="4" t="s">
        <v>12</v>
      </c>
      <c r="D4436" s="7">
        <v>6320</v>
      </c>
    </row>
    <row r="4437" spans="1:4">
      <c r="A4437" s="6" t="s">
        <v>7306</v>
      </c>
      <c r="B4437" s="3" t="s">
        <v>7307</v>
      </c>
      <c r="C4437" s="4" t="s">
        <v>12</v>
      </c>
      <c r="D4437" s="7">
        <v>5991.4</v>
      </c>
    </row>
    <row r="4438" ht="356.5" customHeight="1" spans="1:4">
      <c r="A4438" s="6" t="s">
        <v>7308</v>
      </c>
      <c r="B4438" s="12" t="s">
        <v>7309</v>
      </c>
      <c r="C4438" s="4"/>
      <c r="D4438" s="14"/>
    </row>
    <row r="4439" spans="1:4">
      <c r="A4439" s="6" t="s">
        <v>7310</v>
      </c>
      <c r="B4439" s="3" t="s">
        <v>7311</v>
      </c>
      <c r="C4439" s="4" t="s">
        <v>12</v>
      </c>
      <c r="D4439" s="7">
        <v>6230.9</v>
      </c>
    </row>
    <row r="4440" spans="1:4">
      <c r="A4440" s="6" t="s">
        <v>7312</v>
      </c>
      <c r="B4440" s="3" t="s">
        <v>7313</v>
      </c>
      <c r="C4440" s="4" t="s">
        <v>12</v>
      </c>
      <c r="D4440" s="7">
        <v>5842.5</v>
      </c>
    </row>
    <row r="4441" ht="186" customHeight="1" spans="1:4">
      <c r="A4441" s="6" t="s">
        <v>7314</v>
      </c>
      <c r="B4441" s="12" t="s">
        <v>7315</v>
      </c>
      <c r="C4441" s="4" t="s">
        <v>12</v>
      </c>
      <c r="D4441" s="7">
        <v>269.4</v>
      </c>
    </row>
    <row r="4442" ht="155" customHeight="1" spans="1:4">
      <c r="A4442" s="6" t="s">
        <v>7316</v>
      </c>
      <c r="B4442" s="12" t="s">
        <v>7317</v>
      </c>
      <c r="C4442" s="4"/>
      <c r="D4442" s="7"/>
    </row>
    <row r="4443" ht="31" customHeight="1" spans="1:4">
      <c r="A4443" s="6" t="s">
        <v>7318</v>
      </c>
      <c r="B4443" s="12" t="s">
        <v>7319</v>
      </c>
      <c r="C4443" s="4" t="s">
        <v>12</v>
      </c>
      <c r="D4443" s="7">
        <v>3189.1</v>
      </c>
    </row>
    <row r="4444" ht="31" customHeight="1" spans="1:4">
      <c r="A4444" s="6" t="s">
        <v>7320</v>
      </c>
      <c r="B4444" s="12" t="s">
        <v>7321</v>
      </c>
      <c r="C4444" s="4" t="s">
        <v>12</v>
      </c>
      <c r="D4444" s="7">
        <v>1713.55</v>
      </c>
    </row>
    <row r="4445" ht="93" customHeight="1" spans="1:4">
      <c r="A4445" s="6" t="s">
        <v>7322</v>
      </c>
      <c r="B4445" s="12" t="s">
        <v>7323</v>
      </c>
      <c r="C4445" s="4"/>
      <c r="D4445" s="14"/>
    </row>
    <row r="4446" ht="31" customHeight="1" spans="1:4">
      <c r="A4446" s="6" t="s">
        <v>7324</v>
      </c>
      <c r="B4446" s="12" t="s">
        <v>7325</v>
      </c>
      <c r="C4446" s="4" t="s">
        <v>12</v>
      </c>
      <c r="D4446" s="7">
        <v>2926.7</v>
      </c>
    </row>
    <row r="4447" ht="31" customHeight="1" spans="1:4">
      <c r="A4447" s="6" t="s">
        <v>7326</v>
      </c>
      <c r="B4447" s="12" t="s">
        <v>7327</v>
      </c>
      <c r="C4447" s="4" t="s">
        <v>12</v>
      </c>
      <c r="D4447" s="7">
        <v>3805.05</v>
      </c>
    </row>
  </sheetData>
  <autoFilter xmlns:etc="http://www.wps.cn/officeDocument/2017/etCustomData" ref="C1:C4447" etc:filterBottomFollowUsedRange="0">
    <extLst/>
  </autoFilter>
  <printOptions horizontalCentered="1"/>
  <pageMargins left="0.2" right="0.2" top="0.25" bottom="0.5" header="0.3" footer="0.3"/>
  <pageSetup paperSize="1" scale="9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50"/>
  <sheetViews>
    <sheetView tabSelected="1" zoomScale="70" zoomScaleNormal="70" topLeftCell="A1224" workbookViewId="0">
      <selection activeCell="B1233" sqref="B1233"/>
    </sheetView>
  </sheetViews>
  <sheetFormatPr defaultColWidth="8.72727272727273" defaultRowHeight="16" customHeight="1"/>
  <cols>
    <col min="1" max="1" width="13.5727272727273" customWidth="1"/>
    <col min="2" max="2" width="41.9090909090909" customWidth="1"/>
    <col min="4" max="4" width="12.0909090909091" customWidth="1"/>
    <col min="5" max="5" width="69.5454545454545" customWidth="1"/>
    <col min="6" max="6" width="11.6545454545455" style="1" customWidth="1"/>
    <col min="7" max="7" width="194.272727272727" customWidth="1"/>
    <col min="8" max="23" width="8.72727272727273" customWidth="1"/>
  </cols>
  <sheetData>
    <row r="1" ht="12.5"/>
    <row r="2" ht="51" customHeight="1" spans="1:11">
      <c r="A2" s="2" t="s">
        <v>1</v>
      </c>
      <c r="B2" s="3" t="s">
        <v>2</v>
      </c>
      <c r="C2" s="4" t="s">
        <v>3</v>
      </c>
      <c r="D2" s="4" t="s">
        <v>7328</v>
      </c>
      <c r="E2" t="s">
        <v>7329</v>
      </c>
      <c r="F2" s="5" t="s">
        <v>7330</v>
      </c>
      <c r="G2" t="s">
        <v>7331</v>
      </c>
    </row>
    <row r="3" ht="15.5" spans="1:11">
      <c r="A3" s="6" t="s">
        <v>10</v>
      </c>
      <c r="B3" s="3" t="s">
        <v>11</v>
      </c>
      <c r="C3" s="4" t="s">
        <v>12</v>
      </c>
      <c r="D3" s="7">
        <v>129.85</v>
      </c>
      <c r="E3" s="8" t="s">
        <v>7332</v>
      </c>
      <c r="F3" s="9">
        <v>100</v>
      </c>
      <c r="G3" s="10" t="s">
        <v>7333</v>
      </c>
      <c r="H3" s="11"/>
      <c r="I3" s="11"/>
      <c r="J3" s="11"/>
      <c r="K3" s="11"/>
    </row>
    <row r="4" ht="15.5" spans="1:11">
      <c r="A4" s="6" t="s">
        <v>15</v>
      </c>
      <c r="B4" s="3" t="s">
        <v>11</v>
      </c>
      <c r="C4" s="4" t="s">
        <v>16</v>
      </c>
      <c r="D4" s="7">
        <v>395.3</v>
      </c>
      <c r="E4" s="8" t="s">
        <v>7334</v>
      </c>
      <c r="F4" s="9">
        <v>10</v>
      </c>
      <c r="G4" s="10" t="s">
        <v>7335</v>
      </c>
      <c r="H4" s="11"/>
      <c r="I4" s="11"/>
      <c r="J4" s="11"/>
      <c r="K4" s="11"/>
    </row>
    <row r="5" ht="15.5" spans="1:11">
      <c r="A5" s="6" t="s">
        <v>19</v>
      </c>
      <c r="B5" s="3" t="s">
        <v>11</v>
      </c>
      <c r="C5" s="4" t="s">
        <v>16</v>
      </c>
      <c r="D5" s="7">
        <v>197.9</v>
      </c>
      <c r="E5" s="8" t="s">
        <v>7334</v>
      </c>
      <c r="F5" s="9">
        <v>10</v>
      </c>
      <c r="G5" s="10" t="s">
        <v>7335</v>
      </c>
      <c r="H5" s="11"/>
      <c r="I5" s="11"/>
      <c r="J5" s="11"/>
      <c r="K5" s="11"/>
    </row>
    <row r="6" ht="62" spans="1:11">
      <c r="A6" s="6" t="s">
        <v>20</v>
      </c>
      <c r="B6" s="12" t="s">
        <v>21</v>
      </c>
      <c r="C6" s="4" t="s">
        <v>16</v>
      </c>
      <c r="D6" s="7">
        <v>5.25</v>
      </c>
      <c r="E6" s="8" t="s">
        <v>7334</v>
      </c>
      <c r="F6" s="9">
        <v>10</v>
      </c>
      <c r="G6" s="10" t="s">
        <v>7335</v>
      </c>
      <c r="H6" s="11"/>
      <c r="I6" s="11"/>
      <c r="J6" s="11"/>
      <c r="K6" s="11"/>
    </row>
    <row r="7" ht="31" spans="1:11">
      <c r="A7" s="6" t="s">
        <v>22</v>
      </c>
      <c r="B7" s="12" t="s">
        <v>23</v>
      </c>
      <c r="C7" s="4" t="s">
        <v>16</v>
      </c>
      <c r="D7" s="7">
        <v>14.25</v>
      </c>
      <c r="E7" s="8" t="s">
        <v>7334</v>
      </c>
      <c r="F7" s="9">
        <v>10</v>
      </c>
      <c r="G7" s="10" t="s">
        <v>7335</v>
      </c>
      <c r="H7" s="11"/>
      <c r="I7" s="11"/>
      <c r="J7" s="11"/>
      <c r="K7" s="11"/>
    </row>
    <row r="8" ht="15.5" spans="1:11">
      <c r="A8" s="6" t="s">
        <v>26</v>
      </c>
      <c r="B8" s="3" t="s">
        <v>11</v>
      </c>
      <c r="C8" s="4" t="s">
        <v>16</v>
      </c>
      <c r="D8" s="7">
        <v>177.5</v>
      </c>
      <c r="E8" s="8" t="s">
        <v>7334</v>
      </c>
      <c r="F8" s="9">
        <v>10</v>
      </c>
      <c r="G8" s="10" t="s">
        <v>7335</v>
      </c>
      <c r="H8" s="11"/>
      <c r="I8" s="11"/>
      <c r="J8" s="11"/>
      <c r="K8" s="11"/>
    </row>
    <row r="9" ht="15.5" spans="1:11">
      <c r="A9" s="6" t="s">
        <v>29</v>
      </c>
      <c r="B9" s="3" t="s">
        <v>30</v>
      </c>
      <c r="C9" s="4" t="s">
        <v>16</v>
      </c>
      <c r="D9" s="7">
        <v>498.9</v>
      </c>
      <c r="E9" s="8" t="s">
        <v>7334</v>
      </c>
      <c r="F9" s="9">
        <v>10</v>
      </c>
      <c r="G9" s="10" t="s">
        <v>7335</v>
      </c>
      <c r="H9" s="11"/>
      <c r="I9" s="11"/>
      <c r="J9" s="11"/>
      <c r="K9" s="11"/>
    </row>
    <row r="10" ht="15.5" spans="1:11">
      <c r="A10" s="6" t="s">
        <v>31</v>
      </c>
      <c r="B10" s="3" t="s">
        <v>32</v>
      </c>
      <c r="C10" s="4" t="s">
        <v>16</v>
      </c>
      <c r="D10" s="7">
        <v>874.4</v>
      </c>
      <c r="E10" s="8" t="s">
        <v>7334</v>
      </c>
      <c r="F10" s="9">
        <v>10</v>
      </c>
      <c r="G10" s="10" t="s">
        <v>7335</v>
      </c>
      <c r="H10" s="11"/>
      <c r="I10" s="11"/>
      <c r="J10" s="11"/>
      <c r="K10" s="11"/>
    </row>
    <row r="11" ht="15.5" spans="1:11">
      <c r="A11" s="6" t="s">
        <v>33</v>
      </c>
      <c r="B11" s="3" t="s">
        <v>34</v>
      </c>
      <c r="C11" s="4" t="s">
        <v>16</v>
      </c>
      <c r="D11" s="7">
        <v>1432.95</v>
      </c>
      <c r="E11" s="8" t="s">
        <v>7334</v>
      </c>
      <c r="F11" s="9">
        <v>10</v>
      </c>
      <c r="G11" s="10" t="s">
        <v>7335</v>
      </c>
      <c r="H11" s="11"/>
      <c r="I11" s="11"/>
      <c r="J11" s="11"/>
      <c r="K11" s="11"/>
    </row>
    <row r="12" ht="15.5" spans="1:11">
      <c r="A12" s="6" t="s">
        <v>37</v>
      </c>
      <c r="B12" s="3" t="s">
        <v>38</v>
      </c>
      <c r="C12" s="4" t="s">
        <v>16</v>
      </c>
      <c r="D12" s="7">
        <v>260.3</v>
      </c>
      <c r="E12" s="8" t="s">
        <v>7334</v>
      </c>
      <c r="F12" s="9">
        <v>10</v>
      </c>
      <c r="G12" s="10" t="s">
        <v>7335</v>
      </c>
      <c r="H12" s="11"/>
      <c r="I12" s="11"/>
      <c r="J12" s="11"/>
      <c r="K12" s="11"/>
    </row>
    <row r="13" ht="15.5" spans="1:11">
      <c r="A13" s="6" t="s">
        <v>41</v>
      </c>
      <c r="B13" s="3" t="s">
        <v>30</v>
      </c>
      <c r="C13" s="4" t="s">
        <v>16</v>
      </c>
      <c r="D13" s="7">
        <v>632.95</v>
      </c>
      <c r="E13" s="8" t="s">
        <v>7336</v>
      </c>
      <c r="F13" s="9">
        <v>100</v>
      </c>
      <c r="G13" s="10" t="s">
        <v>7337</v>
      </c>
      <c r="H13" s="11"/>
      <c r="I13" s="11"/>
      <c r="J13" s="11"/>
      <c r="K13" s="11"/>
    </row>
    <row r="14" ht="15.5" spans="1:11">
      <c r="A14" s="6" t="s">
        <v>42</v>
      </c>
      <c r="B14" s="3" t="s">
        <v>32</v>
      </c>
      <c r="C14" s="4" t="s">
        <v>16</v>
      </c>
      <c r="D14" s="7">
        <v>1049.8</v>
      </c>
      <c r="E14" s="8" t="s">
        <v>7334</v>
      </c>
      <c r="F14" s="9">
        <v>10</v>
      </c>
      <c r="G14" s="10" t="s">
        <v>7335</v>
      </c>
      <c r="H14" s="11"/>
      <c r="I14" s="11"/>
      <c r="J14" s="11"/>
      <c r="K14" s="11"/>
    </row>
    <row r="15" ht="15.5" spans="1:11">
      <c r="A15" s="6" t="s">
        <v>43</v>
      </c>
      <c r="B15" s="3" t="s">
        <v>34</v>
      </c>
      <c r="C15" s="4" t="s">
        <v>16</v>
      </c>
      <c r="D15" s="7">
        <v>1523.05</v>
      </c>
      <c r="E15" s="8" t="s">
        <v>7334</v>
      </c>
      <c r="F15" s="9">
        <v>10</v>
      </c>
      <c r="G15" s="10" t="s">
        <v>7335</v>
      </c>
      <c r="H15" s="11"/>
      <c r="I15" s="11"/>
      <c r="J15" s="11"/>
      <c r="K15" s="11"/>
    </row>
    <row r="16" ht="31" spans="1:11">
      <c r="A16" s="6" t="s">
        <v>47</v>
      </c>
      <c r="B16" s="3" t="s">
        <v>48</v>
      </c>
      <c r="C16" s="4" t="s">
        <v>49</v>
      </c>
      <c r="D16" s="7">
        <v>215.6</v>
      </c>
      <c r="E16" s="8" t="s">
        <v>7338</v>
      </c>
      <c r="F16" s="9">
        <v>180</v>
      </c>
      <c r="G16" s="10" t="s">
        <v>7339</v>
      </c>
      <c r="H16" s="11"/>
      <c r="I16" s="11"/>
      <c r="J16" s="11"/>
      <c r="K16" s="11"/>
    </row>
    <row r="17" ht="31" spans="1:11">
      <c r="A17" s="6" t="s">
        <v>50</v>
      </c>
      <c r="B17" s="3" t="s">
        <v>51</v>
      </c>
      <c r="C17" s="4" t="s">
        <v>49</v>
      </c>
      <c r="D17" s="7">
        <v>352.15</v>
      </c>
      <c r="E17" s="8" t="s">
        <v>7340</v>
      </c>
      <c r="F17" s="9">
        <v>110</v>
      </c>
      <c r="G17" s="10" t="s">
        <v>7341</v>
      </c>
      <c r="H17" s="11"/>
      <c r="I17" s="11"/>
      <c r="J17" s="11"/>
      <c r="K17" s="11"/>
    </row>
    <row r="18" ht="31" spans="1:11">
      <c r="A18" s="6" t="s">
        <v>52</v>
      </c>
      <c r="B18" s="3" t="s">
        <v>53</v>
      </c>
      <c r="C18" s="4" t="s">
        <v>49</v>
      </c>
      <c r="D18" s="7">
        <v>549.75</v>
      </c>
      <c r="E18" s="8" t="s">
        <v>7342</v>
      </c>
      <c r="F18" s="9">
        <v>60</v>
      </c>
      <c r="G18" s="10" t="s">
        <v>7343</v>
      </c>
      <c r="H18" s="11"/>
      <c r="I18" s="11"/>
      <c r="J18" s="11"/>
      <c r="K18" s="11"/>
    </row>
    <row r="19" ht="31" spans="1:11">
      <c r="A19" s="6" t="s">
        <v>61</v>
      </c>
      <c r="B19" s="3" t="s">
        <v>62</v>
      </c>
      <c r="C19" s="4" t="s">
        <v>49</v>
      </c>
      <c r="D19" s="7">
        <v>403.3</v>
      </c>
      <c r="E19" s="8" t="s">
        <v>7344</v>
      </c>
      <c r="F19" s="9">
        <v>180</v>
      </c>
      <c r="G19" s="10" t="s">
        <v>7345</v>
      </c>
      <c r="H19" s="8"/>
      <c r="I19" s="8"/>
      <c r="J19" s="8"/>
      <c r="K19" s="8"/>
    </row>
    <row r="20" ht="31" spans="1:11">
      <c r="A20" s="6" t="s">
        <v>63</v>
      </c>
      <c r="B20" s="3" t="s">
        <v>64</v>
      </c>
      <c r="C20" s="4" t="s">
        <v>49</v>
      </c>
      <c r="D20" s="7">
        <v>998.65</v>
      </c>
      <c r="E20" s="8" t="s">
        <v>7346</v>
      </c>
      <c r="F20" s="9">
        <v>80</v>
      </c>
      <c r="G20" s="10" t="s">
        <v>7347</v>
      </c>
      <c r="H20" s="8"/>
      <c r="I20" s="8"/>
      <c r="J20" s="8"/>
      <c r="K20" s="8"/>
    </row>
    <row r="21" ht="31" spans="1:11">
      <c r="A21" s="6" t="s">
        <v>65</v>
      </c>
      <c r="B21" s="3" t="s">
        <v>66</v>
      </c>
      <c r="C21" s="4" t="s">
        <v>49</v>
      </c>
      <c r="D21" s="7">
        <v>1149.1</v>
      </c>
      <c r="E21" s="8" t="s">
        <v>7348</v>
      </c>
      <c r="F21" s="9">
        <v>30</v>
      </c>
      <c r="G21" s="10" t="s">
        <v>7349</v>
      </c>
      <c r="H21" s="8"/>
      <c r="I21" s="8"/>
      <c r="J21" s="8"/>
      <c r="K21" s="8"/>
    </row>
    <row r="22" ht="31" spans="1:11">
      <c r="A22" s="6" t="s">
        <v>68</v>
      </c>
      <c r="B22" s="3" t="s">
        <v>62</v>
      </c>
      <c r="C22" s="4" t="s">
        <v>49</v>
      </c>
      <c r="D22" s="7">
        <v>603.2</v>
      </c>
      <c r="E22" s="8" t="s">
        <v>7344</v>
      </c>
      <c r="F22" s="9">
        <v>180</v>
      </c>
      <c r="G22" s="10" t="s">
        <v>7350</v>
      </c>
      <c r="H22" s="8"/>
      <c r="I22" s="8"/>
      <c r="J22" s="8"/>
      <c r="K22" s="8"/>
    </row>
    <row r="23" ht="31" spans="1:11">
      <c r="A23" s="6" t="s">
        <v>69</v>
      </c>
      <c r="B23" s="3" t="s">
        <v>64</v>
      </c>
      <c r="C23" s="4" t="s">
        <v>49</v>
      </c>
      <c r="D23" s="7">
        <v>1493.6</v>
      </c>
      <c r="E23" s="8" t="s">
        <v>7346</v>
      </c>
      <c r="F23" s="9">
        <v>80</v>
      </c>
      <c r="G23" s="10" t="s">
        <v>7351</v>
      </c>
      <c r="H23" s="8"/>
      <c r="I23" s="8"/>
      <c r="J23" s="8"/>
      <c r="K23" s="8"/>
    </row>
    <row r="24" ht="31" spans="1:11">
      <c r="A24" s="6" t="s">
        <v>70</v>
      </c>
      <c r="B24" s="3" t="s">
        <v>71</v>
      </c>
      <c r="C24" s="4" t="s">
        <v>49</v>
      </c>
      <c r="D24" s="7">
        <v>1718.45</v>
      </c>
      <c r="E24" s="8" t="s">
        <v>7348</v>
      </c>
      <c r="F24" s="9">
        <v>30</v>
      </c>
      <c r="G24" s="10" t="s">
        <v>7352</v>
      </c>
      <c r="H24" s="8"/>
      <c r="I24" s="8"/>
      <c r="J24" s="8"/>
      <c r="K24" s="8"/>
    </row>
    <row r="25" ht="31" spans="1:11">
      <c r="A25" s="6" t="s">
        <v>73</v>
      </c>
      <c r="B25" s="3" t="s">
        <v>62</v>
      </c>
      <c r="C25" s="4" t="s">
        <v>49</v>
      </c>
      <c r="D25" s="7">
        <v>826.8</v>
      </c>
      <c r="E25" s="8" t="s">
        <v>7344</v>
      </c>
      <c r="F25" s="9">
        <v>180</v>
      </c>
      <c r="G25" s="10" t="s">
        <v>7350</v>
      </c>
      <c r="H25" s="8"/>
      <c r="I25" s="8"/>
      <c r="J25" s="8"/>
      <c r="K25" s="8"/>
    </row>
    <row r="26" ht="31" spans="1:11">
      <c r="A26" s="6" t="s">
        <v>74</v>
      </c>
      <c r="B26" s="3" t="s">
        <v>64</v>
      </c>
      <c r="C26" s="4" t="s">
        <v>49</v>
      </c>
      <c r="D26" s="7">
        <v>2047.3</v>
      </c>
      <c r="E26" s="8" t="s">
        <v>7346</v>
      </c>
      <c r="F26" s="9">
        <v>80</v>
      </c>
      <c r="G26" s="10" t="s">
        <v>7351</v>
      </c>
      <c r="H26" s="8"/>
      <c r="I26" s="8"/>
      <c r="J26" s="8"/>
      <c r="K26" s="8"/>
    </row>
    <row r="27" ht="31" spans="1:11">
      <c r="A27" s="6" t="s">
        <v>75</v>
      </c>
      <c r="B27" s="3" t="s">
        <v>71</v>
      </c>
      <c r="C27" s="4" t="s">
        <v>49</v>
      </c>
      <c r="D27" s="7">
        <v>2355.75</v>
      </c>
      <c r="E27" s="8" t="s">
        <v>7348</v>
      </c>
      <c r="F27" s="9">
        <v>30</v>
      </c>
      <c r="G27" s="10" t="s">
        <v>7352</v>
      </c>
      <c r="H27" s="8"/>
      <c r="I27" s="8"/>
      <c r="J27" s="8"/>
      <c r="K27" s="8"/>
    </row>
    <row r="28" ht="31" spans="1:11">
      <c r="A28" s="6" t="s">
        <v>79</v>
      </c>
      <c r="B28" s="3" t="s">
        <v>64</v>
      </c>
      <c r="C28" s="4" t="s">
        <v>49</v>
      </c>
      <c r="D28" s="7">
        <v>729.8</v>
      </c>
      <c r="E28" s="8" t="s">
        <v>7353</v>
      </c>
      <c r="F28" s="9">
        <v>300</v>
      </c>
      <c r="G28" s="10" t="s">
        <v>7354</v>
      </c>
      <c r="H28" s="8"/>
      <c r="I28" s="8"/>
      <c r="J28" s="8"/>
      <c r="K28" s="8"/>
    </row>
    <row r="29" ht="31" spans="1:11">
      <c r="A29" s="6" t="s">
        <v>80</v>
      </c>
      <c r="B29" s="3" t="s">
        <v>66</v>
      </c>
      <c r="C29" s="4" t="s">
        <v>49</v>
      </c>
      <c r="D29" s="7">
        <v>867.45</v>
      </c>
      <c r="E29" s="8" t="s">
        <v>7353</v>
      </c>
      <c r="F29" s="9">
        <v>300</v>
      </c>
      <c r="G29" s="10" t="s">
        <v>7355</v>
      </c>
      <c r="H29" s="8"/>
      <c r="I29" s="8"/>
      <c r="J29" s="8"/>
      <c r="K29" s="8"/>
    </row>
    <row r="30" ht="31" spans="1:11">
      <c r="A30" s="6" t="s">
        <v>82</v>
      </c>
      <c r="B30" s="3" t="s">
        <v>64</v>
      </c>
      <c r="C30" s="4" t="s">
        <v>49</v>
      </c>
      <c r="D30" s="7">
        <v>1091.45</v>
      </c>
      <c r="E30" s="8" t="s">
        <v>7353</v>
      </c>
      <c r="F30" s="9">
        <v>300</v>
      </c>
      <c r="G30" s="10" t="s">
        <v>7354</v>
      </c>
      <c r="H30" s="8"/>
      <c r="I30" s="8"/>
      <c r="J30" s="8"/>
      <c r="K30" s="8"/>
    </row>
    <row r="31" ht="31" spans="1:11">
      <c r="A31" s="6" t="s">
        <v>83</v>
      </c>
      <c r="B31" s="3" t="s">
        <v>66</v>
      </c>
      <c r="C31" s="4" t="s">
        <v>49</v>
      </c>
      <c r="D31" s="7">
        <v>1297.4</v>
      </c>
      <c r="E31" s="8" t="s">
        <v>7353</v>
      </c>
      <c r="F31" s="9">
        <v>300</v>
      </c>
      <c r="G31" s="10" t="s">
        <v>7355</v>
      </c>
      <c r="H31" s="8"/>
      <c r="I31" s="8"/>
      <c r="J31" s="8"/>
      <c r="K31" s="8"/>
    </row>
    <row r="32" ht="31" spans="1:11">
      <c r="A32" s="6" t="s">
        <v>85</v>
      </c>
      <c r="B32" s="3" t="s">
        <v>64</v>
      </c>
      <c r="C32" s="4" t="s">
        <v>49</v>
      </c>
      <c r="D32" s="7">
        <v>1496.1</v>
      </c>
      <c r="E32" s="8" t="s">
        <v>7353</v>
      </c>
      <c r="F32" s="9">
        <v>300</v>
      </c>
      <c r="G32" s="10" t="s">
        <v>7354</v>
      </c>
      <c r="H32" s="8"/>
      <c r="I32" s="8"/>
      <c r="J32" s="8"/>
      <c r="K32" s="8"/>
    </row>
    <row r="33" ht="31" spans="1:11">
      <c r="A33" s="6" t="s">
        <v>86</v>
      </c>
      <c r="B33" s="3" t="s">
        <v>66</v>
      </c>
      <c r="C33" s="4" t="s">
        <v>49</v>
      </c>
      <c r="D33" s="7">
        <v>1778.15</v>
      </c>
      <c r="E33" s="8" t="s">
        <v>7353</v>
      </c>
      <c r="F33" s="9">
        <v>300</v>
      </c>
      <c r="G33" s="10" t="s">
        <v>7355</v>
      </c>
      <c r="H33" s="8"/>
      <c r="I33" s="8"/>
      <c r="J33" s="8"/>
      <c r="K33" s="8"/>
    </row>
    <row r="34" ht="31" spans="1:11">
      <c r="A34" s="6" t="s">
        <v>90</v>
      </c>
      <c r="B34" s="3" t="s">
        <v>66</v>
      </c>
      <c r="C34" s="4" t="s">
        <v>49</v>
      </c>
      <c r="D34" s="7">
        <v>2352.25</v>
      </c>
      <c r="E34" s="8" t="s">
        <v>7356</v>
      </c>
      <c r="F34" s="9">
        <v>100</v>
      </c>
      <c r="G34" s="10" t="s">
        <v>7357</v>
      </c>
      <c r="H34" s="8"/>
      <c r="I34" s="8"/>
      <c r="J34" s="8"/>
      <c r="K34" s="8"/>
    </row>
    <row r="35" ht="15.5" spans="1:11">
      <c r="A35" s="6" t="s">
        <v>93</v>
      </c>
      <c r="B35" s="3" t="s">
        <v>94</v>
      </c>
      <c r="C35" s="4" t="s">
        <v>12</v>
      </c>
      <c r="D35" s="7">
        <v>139.95</v>
      </c>
      <c r="E35" s="8" t="s">
        <v>7358</v>
      </c>
      <c r="F35" s="9">
        <v>900</v>
      </c>
      <c r="G35" s="10" t="s">
        <v>7359</v>
      </c>
      <c r="H35" s="8"/>
      <c r="I35" s="8"/>
      <c r="J35" s="8"/>
      <c r="K35" s="8"/>
    </row>
    <row r="36" ht="31" spans="1:11">
      <c r="A36" s="6" t="s">
        <v>95</v>
      </c>
      <c r="B36" s="3" t="s">
        <v>96</v>
      </c>
      <c r="C36" s="4" t="s">
        <v>12</v>
      </c>
      <c r="D36" s="7">
        <v>155.3</v>
      </c>
      <c r="E36" s="8" t="s">
        <v>7358</v>
      </c>
      <c r="F36" s="9">
        <v>900</v>
      </c>
      <c r="G36" s="10" t="s">
        <v>7360</v>
      </c>
      <c r="H36" s="8"/>
      <c r="I36" s="8"/>
      <c r="J36" s="8"/>
      <c r="K36" s="8"/>
    </row>
    <row r="37" ht="31" spans="1:11">
      <c r="A37" s="6" t="s">
        <v>97</v>
      </c>
      <c r="B37" s="3" t="s">
        <v>98</v>
      </c>
      <c r="C37" s="4" t="s">
        <v>12</v>
      </c>
      <c r="D37" s="7">
        <v>189.65</v>
      </c>
      <c r="E37" s="8" t="s">
        <v>7358</v>
      </c>
      <c r="F37" s="9">
        <v>900</v>
      </c>
      <c r="G37" s="10" t="s">
        <v>7360</v>
      </c>
      <c r="H37" s="8"/>
      <c r="I37" s="8"/>
      <c r="J37" s="8"/>
      <c r="K37" s="8"/>
    </row>
    <row r="38" ht="15.5" spans="1:11">
      <c r="A38" s="6" t="s">
        <v>101</v>
      </c>
      <c r="B38" s="3" t="s">
        <v>94</v>
      </c>
      <c r="C38" s="4" t="s">
        <v>12</v>
      </c>
      <c r="D38" s="7">
        <v>151.5</v>
      </c>
      <c r="E38" s="8" t="s">
        <v>7361</v>
      </c>
      <c r="F38" s="9">
        <v>66</v>
      </c>
      <c r="G38" s="10" t="s">
        <v>7362</v>
      </c>
      <c r="H38" s="8"/>
      <c r="I38" s="8"/>
      <c r="J38" s="8"/>
      <c r="K38" s="8"/>
    </row>
    <row r="39" ht="31" spans="1:11">
      <c r="A39" s="6" t="s">
        <v>102</v>
      </c>
      <c r="B39" s="3" t="s">
        <v>96</v>
      </c>
      <c r="C39" s="4" t="s">
        <v>12</v>
      </c>
      <c r="D39" s="7">
        <v>184</v>
      </c>
      <c r="E39" s="8" t="s">
        <v>7361</v>
      </c>
      <c r="F39" s="9">
        <v>66</v>
      </c>
      <c r="G39" s="10" t="s">
        <v>7363</v>
      </c>
      <c r="H39" s="8"/>
      <c r="I39" s="8"/>
      <c r="J39" s="8"/>
      <c r="K39" s="8"/>
    </row>
    <row r="40" ht="31" spans="1:11">
      <c r="A40" s="6" t="s">
        <v>103</v>
      </c>
      <c r="B40" s="3" t="s">
        <v>98</v>
      </c>
      <c r="C40" s="4" t="s">
        <v>12</v>
      </c>
      <c r="D40" s="7">
        <v>218.2</v>
      </c>
      <c r="E40" s="8" t="s">
        <v>7361</v>
      </c>
      <c r="F40" s="9">
        <v>66</v>
      </c>
      <c r="G40" s="10" t="s">
        <v>7363</v>
      </c>
      <c r="H40" s="8"/>
      <c r="I40" s="8"/>
      <c r="J40" s="8"/>
      <c r="K40" s="8"/>
    </row>
    <row r="41" ht="15.5" spans="1:11">
      <c r="A41" s="6" t="s">
        <v>106</v>
      </c>
      <c r="B41" s="3" t="s">
        <v>94</v>
      </c>
      <c r="C41" s="4" t="s">
        <v>12</v>
      </c>
      <c r="D41" s="7">
        <v>125.8</v>
      </c>
      <c r="E41" s="8" t="s">
        <v>7364</v>
      </c>
      <c r="F41" s="9">
        <v>450</v>
      </c>
      <c r="G41" s="10" t="s">
        <v>7365</v>
      </c>
      <c r="H41" s="8"/>
      <c r="I41" s="8"/>
      <c r="J41" s="8"/>
      <c r="K41" s="8"/>
    </row>
    <row r="42" ht="31" spans="1:11">
      <c r="A42" s="6" t="s">
        <v>107</v>
      </c>
      <c r="B42" s="3" t="s">
        <v>96</v>
      </c>
      <c r="C42" s="4" t="s">
        <v>12</v>
      </c>
      <c r="D42" s="7">
        <v>144.1</v>
      </c>
      <c r="E42" s="8" t="s">
        <v>7364</v>
      </c>
      <c r="F42" s="9">
        <v>450</v>
      </c>
      <c r="G42" s="10" t="s">
        <v>7366</v>
      </c>
      <c r="H42" s="8"/>
      <c r="I42" s="8"/>
      <c r="J42" s="8"/>
      <c r="K42" s="8"/>
    </row>
    <row r="43" ht="31" spans="1:11">
      <c r="A43" s="6" t="s">
        <v>108</v>
      </c>
      <c r="B43" s="3" t="s">
        <v>98</v>
      </c>
      <c r="C43" s="4" t="s">
        <v>12</v>
      </c>
      <c r="D43" s="7">
        <v>163.15</v>
      </c>
      <c r="E43" s="8" t="s">
        <v>7364</v>
      </c>
      <c r="F43" s="9">
        <v>450</v>
      </c>
      <c r="G43" s="10" t="s">
        <v>7366</v>
      </c>
      <c r="H43" s="8"/>
      <c r="I43" s="8"/>
      <c r="J43" s="8"/>
      <c r="K43" s="8"/>
    </row>
    <row r="44" ht="77.5" spans="1:11">
      <c r="A44" s="6" t="s">
        <v>109</v>
      </c>
      <c r="B44" s="12" t="s">
        <v>110</v>
      </c>
      <c r="C44" s="4" t="s">
        <v>12</v>
      </c>
      <c r="D44" s="7">
        <v>1692.45</v>
      </c>
      <c r="E44" s="8" t="s">
        <v>7367</v>
      </c>
      <c r="F44" s="9">
        <v>90</v>
      </c>
      <c r="G44" s="10" t="s">
        <v>7368</v>
      </c>
      <c r="H44" s="8"/>
      <c r="I44" s="8"/>
      <c r="J44" s="8"/>
      <c r="K44" s="8"/>
    </row>
    <row r="45" ht="15.5" spans="1:11">
      <c r="A45" s="6" t="s">
        <v>113</v>
      </c>
      <c r="B45" s="3" t="s">
        <v>94</v>
      </c>
      <c r="C45" s="4" t="s">
        <v>12</v>
      </c>
      <c r="D45" s="7">
        <v>72.05</v>
      </c>
      <c r="E45" s="8" t="s">
        <v>7367</v>
      </c>
      <c r="F45" s="9">
        <v>90</v>
      </c>
      <c r="G45" s="10" t="s">
        <v>7369</v>
      </c>
      <c r="H45" s="8"/>
      <c r="I45" s="8"/>
      <c r="J45" s="8"/>
      <c r="K45" s="8"/>
    </row>
    <row r="46" ht="31" spans="1:11">
      <c r="A46" s="6" t="s">
        <v>114</v>
      </c>
      <c r="B46" s="3" t="s">
        <v>96</v>
      </c>
      <c r="C46" s="4" t="s">
        <v>12</v>
      </c>
      <c r="D46" s="7">
        <v>81.6</v>
      </c>
      <c r="E46" s="8" t="s">
        <v>7367</v>
      </c>
      <c r="F46" s="9">
        <v>90</v>
      </c>
      <c r="G46" s="10" t="s">
        <v>7370</v>
      </c>
      <c r="H46" s="8"/>
      <c r="I46" s="8"/>
      <c r="J46" s="8"/>
      <c r="K46" s="8"/>
    </row>
    <row r="47" ht="31" spans="1:11">
      <c r="A47" s="6" t="s">
        <v>115</v>
      </c>
      <c r="B47" s="3" t="s">
        <v>98</v>
      </c>
      <c r="C47" s="4" t="s">
        <v>12</v>
      </c>
      <c r="D47" s="7">
        <v>97.25</v>
      </c>
      <c r="E47" s="8" t="s">
        <v>7367</v>
      </c>
      <c r="F47" s="9">
        <v>90</v>
      </c>
      <c r="G47" s="10" t="s">
        <v>7370</v>
      </c>
      <c r="H47" s="8"/>
      <c r="I47" s="8"/>
      <c r="J47" s="8"/>
      <c r="K47" s="8"/>
    </row>
    <row r="48" ht="15.5" spans="1:11">
      <c r="A48" s="6" t="s">
        <v>118</v>
      </c>
      <c r="B48" s="3" t="s">
        <v>94</v>
      </c>
      <c r="C48" s="4" t="s">
        <v>12</v>
      </c>
      <c r="D48" s="7">
        <v>66.4</v>
      </c>
      <c r="E48" s="8" t="s">
        <v>7361</v>
      </c>
      <c r="F48" s="9">
        <v>66</v>
      </c>
      <c r="G48" s="10" t="s">
        <v>7371</v>
      </c>
      <c r="H48" s="8"/>
      <c r="I48" s="8"/>
      <c r="J48" s="8"/>
      <c r="K48" s="8"/>
    </row>
    <row r="49" ht="31" spans="1:11">
      <c r="A49" s="6" t="s">
        <v>119</v>
      </c>
      <c r="B49" s="3" t="s">
        <v>96</v>
      </c>
      <c r="C49" s="4" t="s">
        <v>12</v>
      </c>
      <c r="D49" s="7">
        <v>81.65</v>
      </c>
      <c r="E49" s="8" t="s">
        <v>7361</v>
      </c>
      <c r="F49" s="9">
        <v>66</v>
      </c>
      <c r="G49" s="10" t="s">
        <v>7371</v>
      </c>
      <c r="H49" s="8"/>
      <c r="I49" s="8"/>
      <c r="J49" s="8"/>
      <c r="K49" s="8"/>
    </row>
    <row r="50" ht="31" spans="1:11">
      <c r="A50" s="6" t="s">
        <v>120</v>
      </c>
      <c r="B50" s="3" t="s">
        <v>98</v>
      </c>
      <c r="C50" s="4" t="s">
        <v>12</v>
      </c>
      <c r="D50" s="7">
        <v>101.85</v>
      </c>
      <c r="E50" s="8" t="s">
        <v>7361</v>
      </c>
      <c r="F50" s="9">
        <v>66</v>
      </c>
      <c r="G50" s="10" t="s">
        <v>7372</v>
      </c>
      <c r="H50" s="8"/>
      <c r="I50" s="8"/>
      <c r="J50" s="8"/>
      <c r="K50" s="8"/>
    </row>
    <row r="51" ht="15.5" spans="1:11">
      <c r="A51" s="6" t="s">
        <v>123</v>
      </c>
      <c r="B51" s="3" t="s">
        <v>94</v>
      </c>
      <c r="C51" s="4" t="s">
        <v>12</v>
      </c>
      <c r="D51" s="7">
        <v>44.85</v>
      </c>
      <c r="E51" s="8" t="s">
        <v>7364</v>
      </c>
      <c r="F51" s="9">
        <v>450</v>
      </c>
      <c r="G51" s="10" t="s">
        <v>7373</v>
      </c>
      <c r="H51" s="8"/>
      <c r="I51" s="8"/>
      <c r="J51" s="8"/>
      <c r="K51" s="8"/>
    </row>
    <row r="52" ht="31" spans="1:11">
      <c r="A52" s="6" t="s">
        <v>124</v>
      </c>
      <c r="B52" s="3" t="s">
        <v>96</v>
      </c>
      <c r="C52" s="4" t="s">
        <v>12</v>
      </c>
      <c r="D52" s="7">
        <v>54.95</v>
      </c>
      <c r="E52" s="8" t="s">
        <v>7364</v>
      </c>
      <c r="F52" s="9">
        <v>450</v>
      </c>
      <c r="G52" s="10" t="s">
        <v>7373</v>
      </c>
      <c r="H52" s="8"/>
      <c r="I52" s="8"/>
      <c r="J52" s="8"/>
      <c r="K52" s="8"/>
    </row>
    <row r="53" ht="31" spans="1:11">
      <c r="A53" s="6" t="s">
        <v>125</v>
      </c>
      <c r="B53" s="3" t="s">
        <v>98</v>
      </c>
      <c r="C53" s="4" t="s">
        <v>12</v>
      </c>
      <c r="D53" s="7">
        <v>71.3</v>
      </c>
      <c r="E53" s="8" t="s">
        <v>7364</v>
      </c>
      <c r="F53" s="9">
        <v>450</v>
      </c>
      <c r="G53" s="10" t="s">
        <v>7373</v>
      </c>
      <c r="H53" s="8"/>
      <c r="I53" s="8"/>
      <c r="J53" s="8"/>
      <c r="K53" s="8"/>
    </row>
    <row r="54" ht="62" spans="1:11">
      <c r="A54" s="6" t="s">
        <v>126</v>
      </c>
      <c r="B54" s="12" t="s">
        <v>127</v>
      </c>
      <c r="C54" s="4" t="s">
        <v>12</v>
      </c>
      <c r="D54" s="7">
        <v>872.55</v>
      </c>
      <c r="E54" s="8" t="s">
        <v>7367</v>
      </c>
      <c r="F54" s="9">
        <v>90</v>
      </c>
      <c r="G54" s="10" t="s">
        <v>7374</v>
      </c>
      <c r="H54" s="8"/>
      <c r="I54" s="8"/>
      <c r="J54" s="8"/>
      <c r="K54" s="8"/>
    </row>
    <row r="55" ht="31" spans="1:11">
      <c r="A55" s="6" t="s">
        <v>130</v>
      </c>
      <c r="B55" s="3" t="s">
        <v>131</v>
      </c>
      <c r="C55" s="4" t="s">
        <v>132</v>
      </c>
      <c r="D55" s="13">
        <v>0.2</v>
      </c>
      <c r="E55" s="8" t="s">
        <v>7375</v>
      </c>
      <c r="F55" s="9">
        <v>20</v>
      </c>
      <c r="G55" s="10" t="s">
        <v>7375</v>
      </c>
      <c r="H55" s="8"/>
      <c r="I55" s="8"/>
      <c r="J55" s="8"/>
      <c r="K55" s="8"/>
    </row>
    <row r="56" ht="31" spans="1:11">
      <c r="A56" s="6" t="s">
        <v>133</v>
      </c>
      <c r="B56" s="3" t="s">
        <v>134</v>
      </c>
      <c r="C56" s="4" t="s">
        <v>132</v>
      </c>
      <c r="D56" s="13">
        <v>0.25</v>
      </c>
      <c r="E56" s="8" t="s">
        <v>7376</v>
      </c>
      <c r="F56" s="9">
        <v>25</v>
      </c>
      <c r="G56" s="10" t="s">
        <v>7376</v>
      </c>
      <c r="H56" s="8"/>
      <c r="I56" s="8"/>
      <c r="J56" s="8"/>
      <c r="K56" s="8"/>
    </row>
    <row r="57" ht="93" spans="1:11">
      <c r="A57" s="6" t="s">
        <v>136</v>
      </c>
      <c r="B57" s="12" t="s">
        <v>137</v>
      </c>
      <c r="C57" s="4" t="s">
        <v>16</v>
      </c>
      <c r="D57" s="7">
        <v>196</v>
      </c>
      <c r="E57" s="8" t="s">
        <v>7334</v>
      </c>
      <c r="F57" s="9">
        <v>10</v>
      </c>
      <c r="G57" s="10" t="s">
        <v>7335</v>
      </c>
      <c r="H57" s="8"/>
      <c r="I57" s="8"/>
      <c r="J57" s="8"/>
      <c r="K57" s="8"/>
    </row>
    <row r="58" ht="108.5" spans="1:11">
      <c r="A58" s="6" t="s">
        <v>138</v>
      </c>
      <c r="B58" s="12" t="s">
        <v>139</v>
      </c>
      <c r="C58" s="4" t="s">
        <v>16</v>
      </c>
      <c r="D58" s="7">
        <v>700.5</v>
      </c>
      <c r="E58" s="8" t="s">
        <v>7334</v>
      </c>
      <c r="F58" s="9">
        <v>10</v>
      </c>
      <c r="G58" s="10" t="s">
        <v>7377</v>
      </c>
      <c r="H58" s="8"/>
      <c r="I58" s="8"/>
      <c r="J58" s="8"/>
      <c r="K58" s="8"/>
    </row>
    <row r="59" ht="15.5" spans="1:11">
      <c r="A59" s="6" t="s">
        <v>142</v>
      </c>
      <c r="B59" s="3" t="s">
        <v>11</v>
      </c>
      <c r="C59" s="4" t="s">
        <v>16</v>
      </c>
      <c r="D59" s="7">
        <v>126.8</v>
      </c>
      <c r="E59" s="8" t="s">
        <v>7334</v>
      </c>
      <c r="F59" s="9">
        <v>10</v>
      </c>
      <c r="G59" s="10" t="s">
        <v>7335</v>
      </c>
      <c r="H59" s="8"/>
      <c r="I59" s="8"/>
      <c r="J59" s="8"/>
      <c r="K59" s="8"/>
    </row>
    <row r="60" ht="15.5" spans="1:11">
      <c r="A60" s="6" t="s">
        <v>143</v>
      </c>
      <c r="B60" s="3" t="s">
        <v>144</v>
      </c>
      <c r="C60" s="4" t="s">
        <v>16</v>
      </c>
      <c r="D60" s="7">
        <v>227.4</v>
      </c>
      <c r="E60" s="8" t="s">
        <v>7334</v>
      </c>
      <c r="F60" s="9">
        <v>10</v>
      </c>
      <c r="G60" s="10" t="s">
        <v>7335</v>
      </c>
      <c r="H60" s="8"/>
      <c r="I60" s="8"/>
      <c r="J60" s="8"/>
      <c r="K60" s="8"/>
    </row>
    <row r="61" ht="62" spans="1:11">
      <c r="A61" s="6" t="s">
        <v>145</v>
      </c>
      <c r="B61" s="12" t="s">
        <v>146</v>
      </c>
      <c r="C61" s="4" t="s">
        <v>16</v>
      </c>
      <c r="D61" s="7">
        <v>2123.75</v>
      </c>
      <c r="E61" s="8" t="s">
        <v>7334</v>
      </c>
      <c r="F61" s="9">
        <v>10</v>
      </c>
      <c r="G61" s="10" t="s">
        <v>7335</v>
      </c>
      <c r="H61" s="8"/>
      <c r="I61" s="8"/>
      <c r="J61" s="8"/>
      <c r="K61" s="8"/>
    </row>
    <row r="62" ht="15.5" spans="1:11">
      <c r="A62" s="6" t="s">
        <v>149</v>
      </c>
      <c r="B62" s="3" t="s">
        <v>11</v>
      </c>
      <c r="C62" s="4" t="s">
        <v>12</v>
      </c>
      <c r="D62" s="7">
        <v>34.15</v>
      </c>
      <c r="E62" s="8" t="s">
        <v>7332</v>
      </c>
      <c r="F62" s="9">
        <v>100</v>
      </c>
      <c r="G62" s="10" t="s">
        <v>7378</v>
      </c>
      <c r="H62" s="8"/>
      <c r="I62" s="8"/>
      <c r="J62" s="8"/>
      <c r="K62" s="8"/>
    </row>
    <row r="63" ht="15.5" spans="1:11">
      <c r="A63" s="6" t="s">
        <v>152</v>
      </c>
      <c r="B63" s="3" t="s">
        <v>11</v>
      </c>
      <c r="C63" s="4" t="s">
        <v>12</v>
      </c>
      <c r="D63" s="7">
        <v>34.6</v>
      </c>
      <c r="E63" s="8" t="s">
        <v>7332</v>
      </c>
      <c r="F63" s="9">
        <v>100</v>
      </c>
      <c r="G63" s="10" t="s">
        <v>7378</v>
      </c>
      <c r="H63" s="8"/>
      <c r="I63" s="8"/>
      <c r="J63" s="8"/>
      <c r="K63" s="8"/>
    </row>
    <row r="64" ht="15.5" spans="1:11">
      <c r="A64" s="6" t="s">
        <v>155</v>
      </c>
      <c r="B64" s="3" t="s">
        <v>11</v>
      </c>
      <c r="C64" s="4" t="s">
        <v>156</v>
      </c>
      <c r="D64" s="7">
        <v>82.45</v>
      </c>
      <c r="E64" s="8" t="s">
        <v>7379</v>
      </c>
      <c r="F64" s="9">
        <v>10</v>
      </c>
      <c r="G64" s="10" t="s">
        <v>7380</v>
      </c>
      <c r="H64" s="8"/>
      <c r="I64" s="8"/>
      <c r="J64" s="8"/>
      <c r="K64" s="8"/>
    </row>
    <row r="65" ht="15.5" spans="1:11">
      <c r="A65" s="6" t="s">
        <v>157</v>
      </c>
      <c r="B65" s="3" t="s">
        <v>30</v>
      </c>
      <c r="C65" s="4" t="s">
        <v>156</v>
      </c>
      <c r="D65" s="7">
        <v>194.25</v>
      </c>
      <c r="E65" s="8" t="s">
        <v>7379</v>
      </c>
      <c r="F65" s="9">
        <v>10</v>
      </c>
      <c r="G65" s="10" t="s">
        <v>7380</v>
      </c>
      <c r="H65" s="8"/>
      <c r="I65" s="8"/>
      <c r="J65" s="8"/>
      <c r="K65" s="8"/>
    </row>
    <row r="66" ht="15.5" spans="1:11">
      <c r="A66" s="6" t="s">
        <v>158</v>
      </c>
      <c r="B66" s="3" t="s">
        <v>32</v>
      </c>
      <c r="C66" s="4" t="s">
        <v>156</v>
      </c>
      <c r="D66" s="7">
        <v>319.3</v>
      </c>
      <c r="E66" s="8" t="s">
        <v>7379</v>
      </c>
      <c r="F66" s="9">
        <v>10</v>
      </c>
      <c r="G66" s="10" t="s">
        <v>7380</v>
      </c>
      <c r="H66" s="8"/>
      <c r="I66" s="8"/>
      <c r="J66" s="8"/>
      <c r="K66" s="8"/>
    </row>
    <row r="67" ht="15.5" spans="1:11">
      <c r="A67" s="6" t="s">
        <v>159</v>
      </c>
      <c r="B67" s="3" t="s">
        <v>34</v>
      </c>
      <c r="C67" s="4" t="s">
        <v>156</v>
      </c>
      <c r="D67" s="7">
        <v>461.3</v>
      </c>
      <c r="E67" s="8" t="s">
        <v>7379</v>
      </c>
      <c r="F67" s="9">
        <v>10</v>
      </c>
      <c r="G67" s="10" t="s">
        <v>7380</v>
      </c>
      <c r="H67" s="8"/>
      <c r="I67" s="8"/>
      <c r="J67" s="8"/>
      <c r="K67" s="8"/>
    </row>
    <row r="68" ht="108.5" spans="1:11">
      <c r="A68" s="6" t="s">
        <v>160</v>
      </c>
      <c r="B68" s="12" t="s">
        <v>161</v>
      </c>
      <c r="C68" s="4" t="s">
        <v>12</v>
      </c>
      <c r="D68" s="7">
        <v>17.6</v>
      </c>
      <c r="E68" s="8" t="s">
        <v>7332</v>
      </c>
      <c r="F68" s="9">
        <v>100</v>
      </c>
      <c r="G68" s="10" t="s">
        <v>7378</v>
      </c>
      <c r="H68" s="8"/>
      <c r="I68" s="8"/>
      <c r="J68" s="8"/>
      <c r="K68" s="8"/>
    </row>
    <row r="69" ht="46.5" spans="1:11">
      <c r="A69" s="6" t="s">
        <v>162</v>
      </c>
      <c r="B69" s="12" t="s">
        <v>163</v>
      </c>
      <c r="C69" s="4" t="s">
        <v>12</v>
      </c>
      <c r="D69" s="7">
        <v>8.95</v>
      </c>
      <c r="E69" s="8" t="s">
        <v>7332</v>
      </c>
      <c r="F69" s="9">
        <v>100</v>
      </c>
      <c r="G69" s="10" t="s">
        <v>7378</v>
      </c>
      <c r="H69" s="8"/>
      <c r="I69" s="8"/>
      <c r="J69" s="8"/>
      <c r="K69" s="8"/>
    </row>
    <row r="70" ht="31" spans="1:11">
      <c r="A70" s="6" t="s">
        <v>166</v>
      </c>
      <c r="B70" s="3" t="s">
        <v>167</v>
      </c>
      <c r="C70" s="4" t="s">
        <v>156</v>
      </c>
      <c r="D70" s="7">
        <v>532.35</v>
      </c>
      <c r="E70" s="8" t="s">
        <v>7381</v>
      </c>
      <c r="F70" s="9">
        <v>1</v>
      </c>
      <c r="G70" s="10" t="s">
        <v>7382</v>
      </c>
      <c r="H70" s="8"/>
      <c r="I70" s="8"/>
      <c r="J70" s="8"/>
      <c r="K70" s="8"/>
    </row>
    <row r="71" ht="31" spans="1:11">
      <c r="A71" s="6" t="s">
        <v>168</v>
      </c>
      <c r="B71" s="3" t="s">
        <v>169</v>
      </c>
      <c r="C71" s="4" t="s">
        <v>156</v>
      </c>
      <c r="D71" s="7">
        <v>2373.5</v>
      </c>
      <c r="E71" s="8" t="s">
        <v>7381</v>
      </c>
      <c r="F71" s="9">
        <v>1</v>
      </c>
      <c r="G71" s="10" t="s">
        <v>7383</v>
      </c>
      <c r="H71" s="8"/>
      <c r="I71" s="8"/>
      <c r="J71" s="8"/>
      <c r="K71" s="8"/>
    </row>
    <row r="72" ht="31" spans="1:11">
      <c r="A72" s="6" t="s">
        <v>170</v>
      </c>
      <c r="B72" s="3" t="s">
        <v>171</v>
      </c>
      <c r="C72" s="4" t="s">
        <v>156</v>
      </c>
      <c r="D72" s="7">
        <v>11020.15</v>
      </c>
      <c r="E72" s="8" t="s">
        <v>7381</v>
      </c>
      <c r="F72" s="9">
        <v>1</v>
      </c>
      <c r="G72" s="10" t="s">
        <v>7384</v>
      </c>
      <c r="H72" s="8"/>
      <c r="I72" s="8"/>
      <c r="J72" s="8"/>
      <c r="K72" s="8"/>
    </row>
    <row r="73" ht="15.5" spans="1:11">
      <c r="A73" s="6" t="s">
        <v>172</v>
      </c>
      <c r="B73" s="3" t="s">
        <v>173</v>
      </c>
      <c r="C73" s="4" t="s">
        <v>156</v>
      </c>
      <c r="D73" s="7">
        <v>22075.2</v>
      </c>
      <c r="E73" s="8" t="s">
        <v>7381</v>
      </c>
      <c r="F73" s="9">
        <v>1</v>
      </c>
      <c r="G73" s="10" t="s">
        <v>7385</v>
      </c>
      <c r="H73" s="8"/>
      <c r="I73" s="8"/>
      <c r="J73" s="8"/>
      <c r="K73" s="8"/>
    </row>
    <row r="74" ht="31" spans="1:11">
      <c r="A74" s="6" t="s">
        <v>176</v>
      </c>
      <c r="B74" s="3" t="s">
        <v>177</v>
      </c>
      <c r="C74" s="4" t="s">
        <v>178</v>
      </c>
      <c r="D74" s="7">
        <v>234.75</v>
      </c>
      <c r="E74" s="8" t="s">
        <v>7386</v>
      </c>
      <c r="F74" s="9">
        <v>100</v>
      </c>
      <c r="G74" s="10" t="s">
        <v>7387</v>
      </c>
      <c r="H74" s="8"/>
      <c r="I74" s="8"/>
      <c r="J74" s="8"/>
      <c r="K74" s="8"/>
    </row>
    <row r="75" ht="31" spans="1:11">
      <c r="A75" s="6" t="s">
        <v>183</v>
      </c>
      <c r="B75" s="3" t="s">
        <v>184</v>
      </c>
      <c r="C75" s="4" t="s">
        <v>49</v>
      </c>
      <c r="D75" s="7">
        <v>38.9</v>
      </c>
      <c r="E75" s="8" t="s">
        <v>7388</v>
      </c>
      <c r="F75" s="9">
        <v>10</v>
      </c>
      <c r="G75" s="10" t="s">
        <v>7389</v>
      </c>
      <c r="H75" s="8"/>
      <c r="I75" s="8"/>
      <c r="J75" s="8"/>
      <c r="K75" s="8"/>
    </row>
    <row r="76" ht="31" spans="1:11">
      <c r="A76" s="6" t="s">
        <v>187</v>
      </c>
      <c r="B76" s="3" t="s">
        <v>184</v>
      </c>
      <c r="C76" s="4" t="s">
        <v>49</v>
      </c>
      <c r="D76" s="7">
        <v>53.45</v>
      </c>
      <c r="E76" s="8" t="s">
        <v>7388</v>
      </c>
      <c r="F76" s="9">
        <v>10</v>
      </c>
      <c r="G76" s="10" t="s">
        <v>7389</v>
      </c>
      <c r="H76" s="8"/>
      <c r="I76" s="8"/>
      <c r="J76" s="8"/>
      <c r="K76" s="8"/>
    </row>
    <row r="77" ht="31" spans="1:11">
      <c r="A77" s="6" t="s">
        <v>190</v>
      </c>
      <c r="B77" s="3" t="s">
        <v>191</v>
      </c>
      <c r="C77" s="4" t="s">
        <v>12</v>
      </c>
      <c r="D77" s="7">
        <v>310.05</v>
      </c>
      <c r="E77" s="8" t="s">
        <v>7390</v>
      </c>
      <c r="F77" s="9">
        <v>9</v>
      </c>
      <c r="G77" s="10" t="s">
        <v>7391</v>
      </c>
      <c r="H77" s="8"/>
      <c r="I77" s="8"/>
      <c r="J77" s="8"/>
      <c r="K77" s="8"/>
    </row>
    <row r="78" ht="31" spans="1:11">
      <c r="A78" s="6" t="s">
        <v>194</v>
      </c>
      <c r="B78" s="3" t="s">
        <v>191</v>
      </c>
      <c r="C78" s="4" t="s">
        <v>49</v>
      </c>
      <c r="D78" s="7">
        <v>43</v>
      </c>
      <c r="E78" s="8" t="s">
        <v>7388</v>
      </c>
      <c r="F78" s="9">
        <v>10</v>
      </c>
      <c r="G78" s="10" t="s">
        <v>7389</v>
      </c>
      <c r="H78" s="8"/>
      <c r="I78" s="8"/>
      <c r="J78" s="8"/>
      <c r="K78" s="8"/>
    </row>
    <row r="79" ht="108.5" spans="1:11">
      <c r="A79" s="6" t="s">
        <v>195</v>
      </c>
      <c r="B79" s="3" t="s">
        <v>196</v>
      </c>
      <c r="C79" s="4" t="s">
        <v>49</v>
      </c>
      <c r="D79" s="7">
        <v>279.7</v>
      </c>
      <c r="E79" s="8" t="s">
        <v>7388</v>
      </c>
      <c r="F79" s="9">
        <v>10</v>
      </c>
      <c r="G79" s="10" t="s">
        <v>7389</v>
      </c>
      <c r="H79" s="8"/>
      <c r="I79" s="8"/>
      <c r="J79" s="8"/>
      <c r="K79" s="8"/>
    </row>
    <row r="80" ht="46.5" spans="1:11">
      <c r="A80" s="6" t="s">
        <v>197</v>
      </c>
      <c r="B80" s="12" t="s">
        <v>198</v>
      </c>
      <c r="C80" s="4" t="s">
        <v>16</v>
      </c>
      <c r="D80" s="7">
        <v>93.05</v>
      </c>
      <c r="E80" s="8" t="s">
        <v>7334</v>
      </c>
      <c r="F80" s="9">
        <v>10</v>
      </c>
      <c r="G80" s="10" t="s">
        <v>7335</v>
      </c>
      <c r="H80" s="8"/>
      <c r="I80" s="8"/>
      <c r="J80" s="8"/>
      <c r="K80" s="8"/>
    </row>
    <row r="81" ht="77.5" spans="1:11">
      <c r="A81" s="6" t="s">
        <v>199</v>
      </c>
      <c r="B81" s="12" t="s">
        <v>200</v>
      </c>
      <c r="C81" s="4" t="s">
        <v>16</v>
      </c>
      <c r="D81" s="7">
        <v>281.05</v>
      </c>
      <c r="E81" s="8" t="s">
        <v>7392</v>
      </c>
      <c r="F81" s="9">
        <v>1</v>
      </c>
      <c r="G81" s="10" t="s">
        <v>7393</v>
      </c>
      <c r="H81" s="8"/>
      <c r="I81" s="8"/>
      <c r="J81" s="8"/>
      <c r="K81" s="8"/>
    </row>
    <row r="82" ht="217" spans="1:11">
      <c r="A82" s="6" t="s">
        <v>201</v>
      </c>
      <c r="B82" s="12" t="s">
        <v>202</v>
      </c>
      <c r="C82" s="4" t="s">
        <v>16</v>
      </c>
      <c r="D82" s="7">
        <v>308.2</v>
      </c>
      <c r="E82" s="8" t="s">
        <v>7334</v>
      </c>
      <c r="F82" s="9">
        <v>10</v>
      </c>
      <c r="G82" s="10" t="s">
        <v>7335</v>
      </c>
      <c r="H82" s="8"/>
      <c r="I82" s="8"/>
      <c r="J82" s="8"/>
      <c r="K82" s="8"/>
    </row>
    <row r="83" ht="15.5" spans="1:11">
      <c r="A83" s="6" t="s">
        <v>204</v>
      </c>
      <c r="B83" s="12" t="s">
        <v>2</v>
      </c>
      <c r="C83" s="4" t="s">
        <v>3</v>
      </c>
      <c r="D83" s="14" t="s">
        <v>4</v>
      </c>
    </row>
    <row r="84" ht="31" spans="1:11">
      <c r="A84" s="6" t="s">
        <v>206</v>
      </c>
      <c r="B84" s="12" t="s">
        <v>207</v>
      </c>
      <c r="C84" s="4" t="s">
        <v>16</v>
      </c>
      <c r="D84" s="7">
        <v>6658.25</v>
      </c>
      <c r="E84" s="8" t="s">
        <v>7334</v>
      </c>
      <c r="F84" s="9">
        <v>10</v>
      </c>
      <c r="G84" s="8" t="s">
        <v>7377</v>
      </c>
    </row>
    <row r="85" ht="31" spans="1:11">
      <c r="A85" s="6" t="s">
        <v>208</v>
      </c>
      <c r="B85" s="12" t="s">
        <v>209</v>
      </c>
      <c r="C85" s="4" t="s">
        <v>16</v>
      </c>
      <c r="D85" s="7">
        <v>5138</v>
      </c>
      <c r="E85" s="8" t="s">
        <v>7394</v>
      </c>
      <c r="F85" s="9">
        <v>1</v>
      </c>
      <c r="G85" s="8" t="s">
        <v>7395</v>
      </c>
    </row>
    <row r="86" ht="31" spans="1:11">
      <c r="A86" s="6" t="s">
        <v>210</v>
      </c>
      <c r="B86" s="12" t="s">
        <v>7396</v>
      </c>
      <c r="C86" s="4" t="s">
        <v>16</v>
      </c>
      <c r="D86" s="7">
        <v>4379.05</v>
      </c>
      <c r="E86" s="8" t="s">
        <v>7394</v>
      </c>
      <c r="F86" s="9">
        <v>1</v>
      </c>
      <c r="G86" s="8" t="s">
        <v>7395</v>
      </c>
    </row>
    <row r="87" ht="31" spans="1:11">
      <c r="A87" s="6" t="s">
        <v>212</v>
      </c>
      <c r="B87" s="12" t="s">
        <v>213</v>
      </c>
      <c r="C87" s="4" t="s">
        <v>16</v>
      </c>
      <c r="D87" s="7">
        <v>3708.8</v>
      </c>
      <c r="E87" s="8" t="s">
        <v>7394</v>
      </c>
      <c r="F87" s="9">
        <v>1</v>
      </c>
      <c r="G87" s="8" t="s">
        <v>7395</v>
      </c>
    </row>
    <row r="88" ht="31" spans="1:11">
      <c r="A88" s="6" t="s">
        <v>214</v>
      </c>
      <c r="B88" s="12" t="s">
        <v>215</v>
      </c>
      <c r="C88" s="4" t="s">
        <v>16</v>
      </c>
      <c r="D88" s="7">
        <v>3347.85</v>
      </c>
      <c r="E88" s="8" t="s">
        <v>7394</v>
      </c>
      <c r="F88" s="9">
        <v>1</v>
      </c>
      <c r="G88" s="8" t="s">
        <v>7395</v>
      </c>
    </row>
    <row r="89" ht="31" spans="1:11">
      <c r="A89" s="6" t="s">
        <v>216</v>
      </c>
      <c r="B89" s="12" t="s">
        <v>217</v>
      </c>
      <c r="C89" s="4" t="s">
        <v>16</v>
      </c>
      <c r="D89" s="7">
        <v>3038.5</v>
      </c>
      <c r="E89" s="8" t="s">
        <v>7394</v>
      </c>
      <c r="F89" s="9">
        <v>1</v>
      </c>
      <c r="G89" s="8" t="s">
        <v>7395</v>
      </c>
    </row>
    <row r="90" ht="31" spans="1:11">
      <c r="A90" s="6" t="s">
        <v>218</v>
      </c>
      <c r="B90" s="12" t="s">
        <v>219</v>
      </c>
      <c r="C90" s="4" t="s">
        <v>16</v>
      </c>
      <c r="D90" s="7">
        <v>5584.5</v>
      </c>
      <c r="E90" s="8" t="s">
        <v>7394</v>
      </c>
      <c r="F90" s="9">
        <v>1</v>
      </c>
      <c r="G90" s="8" t="s">
        <v>7395</v>
      </c>
    </row>
    <row r="91" ht="31" spans="1:11">
      <c r="A91" s="6" t="s">
        <v>220</v>
      </c>
      <c r="B91" s="12" t="s">
        <v>221</v>
      </c>
      <c r="C91" s="4" t="s">
        <v>16</v>
      </c>
      <c r="D91" s="7">
        <v>4881.95</v>
      </c>
      <c r="E91" s="8" t="s">
        <v>7394</v>
      </c>
      <c r="F91" s="9">
        <v>1</v>
      </c>
      <c r="G91" s="8" t="s">
        <v>7395</v>
      </c>
    </row>
    <row r="92" ht="31" spans="1:11">
      <c r="A92" s="6" t="s">
        <v>222</v>
      </c>
      <c r="B92" s="12" t="s">
        <v>223</v>
      </c>
      <c r="C92" s="4" t="s">
        <v>16</v>
      </c>
      <c r="D92" s="7">
        <v>4211.7</v>
      </c>
      <c r="E92" s="8" t="s">
        <v>7394</v>
      </c>
      <c r="F92" s="9">
        <v>1</v>
      </c>
      <c r="G92" s="8" t="s">
        <v>7395</v>
      </c>
    </row>
    <row r="93" ht="31" spans="1:11">
      <c r="A93" s="6" t="s">
        <v>224</v>
      </c>
      <c r="B93" s="12" t="s">
        <v>225</v>
      </c>
      <c r="C93" s="4" t="s">
        <v>16</v>
      </c>
      <c r="D93" s="7">
        <v>3850.75</v>
      </c>
      <c r="E93" s="8" t="s">
        <v>7394</v>
      </c>
      <c r="F93" s="9">
        <v>1</v>
      </c>
      <c r="G93" s="8" t="s">
        <v>7395</v>
      </c>
    </row>
    <row r="94" ht="31" spans="1:11">
      <c r="A94" s="6" t="s">
        <v>226</v>
      </c>
      <c r="B94" s="12" t="s">
        <v>227</v>
      </c>
      <c r="C94" s="4" t="s">
        <v>16</v>
      </c>
      <c r="D94" s="7">
        <v>3541.4</v>
      </c>
      <c r="E94" s="8" t="s">
        <v>7394</v>
      </c>
      <c r="F94" s="9">
        <v>1</v>
      </c>
      <c r="G94" s="8" t="s">
        <v>7395</v>
      </c>
    </row>
    <row r="95" ht="31" spans="1:11">
      <c r="A95" s="6" t="s">
        <v>228</v>
      </c>
      <c r="B95" s="12" t="s">
        <v>229</v>
      </c>
      <c r="C95" s="4" t="s">
        <v>16</v>
      </c>
      <c r="D95" s="7">
        <v>5252</v>
      </c>
      <c r="E95" s="8" t="s">
        <v>7394</v>
      </c>
      <c r="F95" s="9">
        <v>1</v>
      </c>
      <c r="G95" s="8" t="s">
        <v>7395</v>
      </c>
    </row>
    <row r="96" ht="31" spans="1:11">
      <c r="A96" s="6" t="s">
        <v>230</v>
      </c>
      <c r="B96" s="12" t="s">
        <v>231</v>
      </c>
      <c r="C96" s="4" t="s">
        <v>16</v>
      </c>
      <c r="D96" s="7">
        <v>5328</v>
      </c>
      <c r="E96" s="8" t="s">
        <v>7394</v>
      </c>
      <c r="F96" s="9">
        <v>1</v>
      </c>
      <c r="G96" s="8" t="s">
        <v>7395</v>
      </c>
    </row>
    <row r="97" ht="31" spans="1:7">
      <c r="A97" s="6" t="s">
        <v>232</v>
      </c>
      <c r="B97" s="12" t="s">
        <v>233</v>
      </c>
      <c r="C97" s="4" t="s">
        <v>16</v>
      </c>
      <c r="D97" s="7">
        <v>3561.85</v>
      </c>
      <c r="E97" s="8" t="s">
        <v>7394</v>
      </c>
      <c r="F97" s="9">
        <v>1</v>
      </c>
      <c r="G97" s="8" t="s">
        <v>7395</v>
      </c>
    </row>
    <row r="98" ht="31" spans="1:7">
      <c r="A98" s="6" t="s">
        <v>234</v>
      </c>
      <c r="B98" s="12" t="s">
        <v>235</v>
      </c>
      <c r="C98" s="4" t="s">
        <v>16</v>
      </c>
      <c r="D98" s="7">
        <v>8961.9</v>
      </c>
      <c r="E98" s="8" t="s">
        <v>7394</v>
      </c>
      <c r="F98" s="9">
        <v>1</v>
      </c>
      <c r="G98" s="8" t="s">
        <v>7395</v>
      </c>
    </row>
    <row r="99" ht="31" spans="1:7">
      <c r="A99" s="6" t="s">
        <v>236</v>
      </c>
      <c r="B99" s="12" t="s">
        <v>237</v>
      </c>
      <c r="C99" s="4" t="s">
        <v>16</v>
      </c>
      <c r="D99" s="7">
        <v>7318.5</v>
      </c>
      <c r="E99" s="8" t="s">
        <v>7394</v>
      </c>
      <c r="F99" s="9">
        <v>1</v>
      </c>
      <c r="G99" s="8" t="s">
        <v>7395</v>
      </c>
    </row>
    <row r="100" ht="31" spans="1:7">
      <c r="A100" s="6" t="s">
        <v>238</v>
      </c>
      <c r="B100" s="12" t="s">
        <v>239</v>
      </c>
      <c r="C100" s="4" t="s">
        <v>16</v>
      </c>
      <c r="D100" s="7">
        <v>5218.5</v>
      </c>
      <c r="E100" s="8" t="s">
        <v>7394</v>
      </c>
      <c r="F100" s="9">
        <v>1</v>
      </c>
      <c r="G100" s="8" t="s">
        <v>7395</v>
      </c>
    </row>
    <row r="101" ht="15.5" spans="1:7">
      <c r="A101" s="6" t="s">
        <v>240</v>
      </c>
      <c r="B101" s="12" t="s">
        <v>241</v>
      </c>
      <c r="C101" s="4" t="s">
        <v>16</v>
      </c>
      <c r="D101" s="7">
        <v>940.55</v>
      </c>
      <c r="E101" s="8" t="s">
        <v>7394</v>
      </c>
      <c r="F101" s="9">
        <v>1</v>
      </c>
      <c r="G101" s="8" t="s">
        <v>7395</v>
      </c>
    </row>
    <row r="102" ht="31" spans="1:7">
      <c r="A102" s="6" t="s">
        <v>242</v>
      </c>
      <c r="B102" s="12" t="s">
        <v>243</v>
      </c>
      <c r="C102" s="4" t="s">
        <v>16</v>
      </c>
      <c r="D102" s="7">
        <v>2880.65</v>
      </c>
      <c r="E102" s="8" t="s">
        <v>7334</v>
      </c>
      <c r="F102" s="9">
        <v>10</v>
      </c>
      <c r="G102" s="8" t="s">
        <v>7377</v>
      </c>
    </row>
    <row r="103" ht="15.5" spans="1:7">
      <c r="A103" s="6" t="s">
        <v>204</v>
      </c>
      <c r="B103" s="12" t="s">
        <v>2</v>
      </c>
      <c r="C103" s="4" t="s">
        <v>3</v>
      </c>
      <c r="D103" s="14" t="s">
        <v>4</v>
      </c>
    </row>
    <row r="104" ht="62" spans="1:7">
      <c r="A104" s="6" t="s">
        <v>248</v>
      </c>
      <c r="B104" s="3" t="s">
        <v>249</v>
      </c>
      <c r="C104" s="4" t="s">
        <v>16</v>
      </c>
      <c r="D104" s="7">
        <v>8340.85</v>
      </c>
      <c r="E104" s="8" t="s">
        <v>7392</v>
      </c>
      <c r="F104" s="1">
        <v>1</v>
      </c>
      <c r="G104" s="8" t="s">
        <v>7393</v>
      </c>
    </row>
    <row r="105" ht="93" spans="1:7">
      <c r="A105" s="6" t="s">
        <v>250</v>
      </c>
      <c r="B105" s="3" t="s">
        <v>251</v>
      </c>
      <c r="C105" s="4" t="s">
        <v>16</v>
      </c>
      <c r="D105" s="7">
        <v>8127.8</v>
      </c>
      <c r="E105" s="8" t="s">
        <v>7392</v>
      </c>
      <c r="F105" s="1">
        <v>1</v>
      </c>
      <c r="G105" s="8" t="s">
        <v>7393</v>
      </c>
    </row>
    <row r="106" ht="62" spans="1:7">
      <c r="A106" s="6" t="s">
        <v>252</v>
      </c>
      <c r="B106" s="3" t="s">
        <v>253</v>
      </c>
      <c r="C106" s="4" t="s">
        <v>16</v>
      </c>
      <c r="D106" s="7">
        <v>7878.5</v>
      </c>
      <c r="E106" s="8" t="s">
        <v>7392</v>
      </c>
      <c r="F106" s="1">
        <v>1</v>
      </c>
      <c r="G106" s="9" t="s">
        <v>7393</v>
      </c>
    </row>
    <row r="107" ht="108.5" spans="1:7">
      <c r="A107" s="6" t="s">
        <v>254</v>
      </c>
      <c r="B107" s="3" t="s">
        <v>255</v>
      </c>
      <c r="C107" s="4" t="s">
        <v>16</v>
      </c>
      <c r="D107" s="7">
        <v>7654.85</v>
      </c>
      <c r="E107" s="8" t="s">
        <v>7392</v>
      </c>
      <c r="F107" s="9">
        <v>1</v>
      </c>
      <c r="G107" s="8" t="s">
        <v>7393</v>
      </c>
    </row>
    <row r="108" ht="62" spans="1:7">
      <c r="A108" s="6" t="s">
        <v>256</v>
      </c>
      <c r="B108" s="3" t="s">
        <v>257</v>
      </c>
      <c r="C108" s="4" t="s">
        <v>16</v>
      </c>
      <c r="D108" s="7">
        <v>7780.3</v>
      </c>
      <c r="E108" s="8" t="s">
        <v>7392</v>
      </c>
      <c r="F108" s="1">
        <v>1</v>
      </c>
      <c r="G108" s="8" t="s">
        <v>7393</v>
      </c>
    </row>
    <row r="109" ht="62" spans="1:7">
      <c r="A109" s="6" t="s">
        <v>258</v>
      </c>
      <c r="B109" s="3" t="s">
        <v>259</v>
      </c>
      <c r="C109" s="4" t="s">
        <v>16</v>
      </c>
      <c r="D109" s="7">
        <v>7294.7</v>
      </c>
      <c r="E109" s="8" t="s">
        <v>7392</v>
      </c>
      <c r="F109" s="1">
        <v>1</v>
      </c>
      <c r="G109" s="8" t="s">
        <v>7393</v>
      </c>
    </row>
    <row r="110" ht="77.5" spans="1:7">
      <c r="A110" s="6" t="s">
        <v>260</v>
      </c>
      <c r="B110" s="3" t="s">
        <v>261</v>
      </c>
      <c r="C110" s="4" t="s">
        <v>16</v>
      </c>
      <c r="D110" s="7">
        <v>6347.75</v>
      </c>
      <c r="E110" s="8" t="s">
        <v>7392</v>
      </c>
      <c r="F110" s="1">
        <v>1</v>
      </c>
      <c r="G110" s="8" t="s">
        <v>7393</v>
      </c>
    </row>
    <row r="111" ht="77.5" spans="1:7">
      <c r="A111" s="6" t="s">
        <v>262</v>
      </c>
      <c r="B111" s="3" t="s">
        <v>263</v>
      </c>
      <c r="C111" s="4" t="s">
        <v>16</v>
      </c>
      <c r="D111" s="7">
        <v>5639.85</v>
      </c>
      <c r="E111" s="8" t="s">
        <v>7392</v>
      </c>
      <c r="F111" s="1">
        <v>1</v>
      </c>
      <c r="G111" s="8" t="s">
        <v>7393</v>
      </c>
    </row>
    <row r="112" ht="62" spans="1:7">
      <c r="A112" s="6" t="s">
        <v>264</v>
      </c>
      <c r="B112" s="3" t="s">
        <v>265</v>
      </c>
      <c r="C112" s="4" t="s">
        <v>16</v>
      </c>
      <c r="D112" s="7">
        <v>7178.75</v>
      </c>
      <c r="E112" s="8" t="s">
        <v>7392</v>
      </c>
      <c r="F112" s="1">
        <v>1</v>
      </c>
      <c r="G112" s="8" t="s">
        <v>7393</v>
      </c>
    </row>
    <row r="113" ht="77.5" spans="1:7">
      <c r="A113" s="6" t="s">
        <v>266</v>
      </c>
      <c r="B113" s="3" t="s">
        <v>267</v>
      </c>
      <c r="C113" s="4" t="s">
        <v>16</v>
      </c>
      <c r="D113" s="7">
        <v>5572</v>
      </c>
      <c r="E113" s="8" t="s">
        <v>7392</v>
      </c>
      <c r="F113" s="1">
        <v>1</v>
      </c>
      <c r="G113" s="8" t="s">
        <v>7393</v>
      </c>
    </row>
    <row r="114" ht="62" spans="1:7">
      <c r="A114" s="6" t="s">
        <v>268</v>
      </c>
      <c r="B114" s="3" t="s">
        <v>269</v>
      </c>
      <c r="C114" s="4" t="s">
        <v>16</v>
      </c>
      <c r="D114" s="7">
        <v>6812</v>
      </c>
      <c r="E114" s="8" t="s">
        <v>7392</v>
      </c>
      <c r="F114" s="1">
        <v>1</v>
      </c>
      <c r="G114" s="8" t="s">
        <v>7393</v>
      </c>
    </row>
    <row r="115" ht="77.5" spans="1:7">
      <c r="A115" s="6" t="s">
        <v>270</v>
      </c>
      <c r="B115" s="3" t="s">
        <v>271</v>
      </c>
      <c r="C115" s="4" t="s">
        <v>16</v>
      </c>
      <c r="D115" s="7">
        <v>5205.25</v>
      </c>
      <c r="E115" s="8" t="s">
        <v>7392</v>
      </c>
      <c r="F115" s="1">
        <v>1</v>
      </c>
      <c r="G115" s="8" t="s">
        <v>7393</v>
      </c>
    </row>
    <row r="116" ht="62" spans="1:7">
      <c r="A116" s="6" t="s">
        <v>272</v>
      </c>
      <c r="B116" s="3" t="s">
        <v>273</v>
      </c>
      <c r="C116" s="4" t="s">
        <v>16</v>
      </c>
      <c r="D116" s="7">
        <v>6518.6</v>
      </c>
      <c r="E116" s="8" t="s">
        <v>7392</v>
      </c>
      <c r="F116" s="1">
        <v>1</v>
      </c>
      <c r="G116" s="8" t="s">
        <v>7393</v>
      </c>
    </row>
    <row r="117" ht="77.5" spans="1:7">
      <c r="A117" s="6" t="s">
        <v>274</v>
      </c>
      <c r="B117" s="3" t="s">
        <v>275</v>
      </c>
      <c r="C117" s="4" t="s">
        <v>16</v>
      </c>
      <c r="D117" s="7">
        <v>4911.85</v>
      </c>
      <c r="E117" s="8" t="s">
        <v>7392</v>
      </c>
      <c r="F117" s="1">
        <v>1</v>
      </c>
      <c r="G117" s="8" t="s">
        <v>7393</v>
      </c>
    </row>
    <row r="118" ht="62" spans="1:7">
      <c r="A118" s="6" t="s">
        <v>276</v>
      </c>
      <c r="B118" s="3" t="s">
        <v>277</v>
      </c>
      <c r="C118" s="4" t="s">
        <v>16</v>
      </c>
      <c r="D118" s="7">
        <v>6189.65</v>
      </c>
      <c r="E118" s="8" t="s">
        <v>7392</v>
      </c>
      <c r="F118" s="1">
        <v>1</v>
      </c>
      <c r="G118" s="8" t="s">
        <v>7393</v>
      </c>
    </row>
    <row r="119" ht="77.5" spans="1:7">
      <c r="A119" s="6" t="s">
        <v>278</v>
      </c>
      <c r="B119" s="3" t="s">
        <v>279</v>
      </c>
      <c r="C119" s="4" t="s">
        <v>16</v>
      </c>
      <c r="D119" s="7">
        <v>6667.25</v>
      </c>
      <c r="E119" s="8" t="s">
        <v>7392</v>
      </c>
      <c r="F119" s="1">
        <v>1</v>
      </c>
      <c r="G119" s="8" t="s">
        <v>7393</v>
      </c>
    </row>
    <row r="120" ht="77.5" spans="1:7">
      <c r="A120" s="6" t="s">
        <v>280</v>
      </c>
      <c r="B120" s="3" t="s">
        <v>281</v>
      </c>
      <c r="C120" s="4" t="s">
        <v>16</v>
      </c>
      <c r="D120" s="7">
        <v>5130.65</v>
      </c>
      <c r="E120" s="8" t="s">
        <v>7392</v>
      </c>
      <c r="F120" s="1">
        <v>1</v>
      </c>
      <c r="G120" s="8" t="s">
        <v>7393</v>
      </c>
    </row>
    <row r="121" ht="77.5" spans="1:7">
      <c r="A121" s="6" t="s">
        <v>282</v>
      </c>
      <c r="B121" s="3" t="s">
        <v>283</v>
      </c>
      <c r="C121" s="4" t="s">
        <v>16</v>
      </c>
      <c r="D121" s="7">
        <v>6311.95</v>
      </c>
      <c r="E121" s="8" t="s">
        <v>7392</v>
      </c>
      <c r="F121" s="1">
        <v>1</v>
      </c>
      <c r="G121" s="8" t="s">
        <v>7393</v>
      </c>
    </row>
    <row r="122" ht="77.5" spans="1:7">
      <c r="A122" s="6" t="s">
        <v>284</v>
      </c>
      <c r="B122" s="3" t="s">
        <v>285</v>
      </c>
      <c r="C122" s="4" t="s">
        <v>16</v>
      </c>
      <c r="D122" s="7">
        <v>4796.4</v>
      </c>
      <c r="E122" s="8" t="s">
        <v>7392</v>
      </c>
      <c r="F122" s="1">
        <v>1</v>
      </c>
      <c r="G122" s="8" t="s">
        <v>7393</v>
      </c>
    </row>
    <row r="123" ht="62" spans="1:7">
      <c r="A123" s="6" t="s">
        <v>288</v>
      </c>
      <c r="B123" s="3" t="s">
        <v>289</v>
      </c>
      <c r="C123" s="4" t="s">
        <v>16</v>
      </c>
      <c r="D123" s="7">
        <v>10357.55</v>
      </c>
      <c r="E123" s="8" t="s">
        <v>7392</v>
      </c>
      <c r="F123" s="1">
        <v>1</v>
      </c>
      <c r="G123" s="8" t="s">
        <v>7393</v>
      </c>
    </row>
    <row r="124" ht="108.5" spans="1:7">
      <c r="A124" s="6" t="s">
        <v>290</v>
      </c>
      <c r="B124" s="3" t="s">
        <v>291</v>
      </c>
      <c r="C124" s="4" t="s">
        <v>16</v>
      </c>
      <c r="D124" s="7">
        <v>10144.5</v>
      </c>
      <c r="E124" s="8" t="s">
        <v>7392</v>
      </c>
      <c r="F124" s="1">
        <v>1</v>
      </c>
      <c r="G124" s="8" t="s">
        <v>7393</v>
      </c>
    </row>
    <row r="125" ht="62" spans="1:7">
      <c r="A125" s="6" t="s">
        <v>292</v>
      </c>
      <c r="B125" s="3" t="s">
        <v>293</v>
      </c>
      <c r="C125" s="4" t="s">
        <v>16</v>
      </c>
      <c r="D125" s="7">
        <v>9895.2</v>
      </c>
      <c r="E125" s="8" t="s">
        <v>7392</v>
      </c>
      <c r="F125" s="1">
        <v>1</v>
      </c>
      <c r="G125" s="8" t="s">
        <v>7393</v>
      </c>
    </row>
    <row r="126" ht="93" spans="1:7">
      <c r="A126" s="6" t="s">
        <v>294</v>
      </c>
      <c r="B126" s="3" t="s">
        <v>295</v>
      </c>
      <c r="C126" s="4" t="s">
        <v>16</v>
      </c>
      <c r="D126" s="7">
        <v>9671.5</v>
      </c>
      <c r="E126" s="8" t="s">
        <v>7392</v>
      </c>
      <c r="F126" s="1">
        <v>1</v>
      </c>
      <c r="G126" s="8" t="s">
        <v>7393</v>
      </c>
    </row>
    <row r="127" ht="62" spans="1:7">
      <c r="A127" s="6" t="s">
        <v>296</v>
      </c>
      <c r="B127" s="3" t="s">
        <v>297</v>
      </c>
      <c r="C127" s="4" t="s">
        <v>16</v>
      </c>
      <c r="D127" s="7">
        <v>9311.4</v>
      </c>
      <c r="E127" s="8" t="s">
        <v>7392</v>
      </c>
      <c r="F127" s="1">
        <v>1</v>
      </c>
      <c r="G127" s="8" t="s">
        <v>7393</v>
      </c>
    </row>
    <row r="128" ht="77.5" spans="1:7">
      <c r="A128" s="6" t="s">
        <v>298</v>
      </c>
      <c r="B128" s="3" t="s">
        <v>299</v>
      </c>
      <c r="C128" s="4" t="s">
        <v>16</v>
      </c>
      <c r="D128" s="7">
        <v>8364.45</v>
      </c>
      <c r="E128" s="8" t="s">
        <v>7392</v>
      </c>
      <c r="F128" s="1">
        <v>1</v>
      </c>
      <c r="G128" s="8" t="s">
        <v>7393</v>
      </c>
    </row>
    <row r="129" ht="77.5" spans="1:7">
      <c r="A129" s="6" t="s">
        <v>300</v>
      </c>
      <c r="B129" s="3" t="s">
        <v>301</v>
      </c>
      <c r="C129" s="4" t="s">
        <v>16</v>
      </c>
      <c r="D129" s="7">
        <v>7656.55</v>
      </c>
      <c r="E129" s="8" t="s">
        <v>7392</v>
      </c>
      <c r="F129" s="1">
        <v>1</v>
      </c>
      <c r="G129" s="8" t="s">
        <v>7393</v>
      </c>
    </row>
    <row r="130" ht="62" spans="1:7">
      <c r="A130" s="6" t="s">
        <v>302</v>
      </c>
      <c r="B130" s="3" t="s">
        <v>303</v>
      </c>
      <c r="C130" s="4" t="s">
        <v>16</v>
      </c>
      <c r="D130" s="7">
        <v>8519.2</v>
      </c>
      <c r="E130" s="8" t="s">
        <v>7392</v>
      </c>
      <c r="F130" s="1">
        <v>1</v>
      </c>
      <c r="G130" s="8" t="s">
        <v>7393</v>
      </c>
    </row>
    <row r="131" ht="77.5" spans="1:7">
      <c r="A131" s="6" t="s">
        <v>304</v>
      </c>
      <c r="B131" s="3" t="s">
        <v>305</v>
      </c>
      <c r="C131" s="4" t="s">
        <v>16</v>
      </c>
      <c r="D131" s="7">
        <v>6912.45</v>
      </c>
      <c r="E131" s="8" t="s">
        <v>7392</v>
      </c>
      <c r="F131" s="1">
        <v>1</v>
      </c>
      <c r="G131" s="8" t="s">
        <v>7393</v>
      </c>
    </row>
    <row r="132" ht="15.5" spans="1:7">
      <c r="A132" s="6" t="s">
        <v>308</v>
      </c>
      <c r="B132" s="3" t="s">
        <v>309</v>
      </c>
      <c r="C132" s="4" t="s">
        <v>12</v>
      </c>
      <c r="D132" s="7">
        <v>392.15</v>
      </c>
      <c r="E132" s="8" t="s">
        <v>7397</v>
      </c>
      <c r="F132" s="1">
        <v>10</v>
      </c>
      <c r="G132" s="8" t="s">
        <v>7398</v>
      </c>
    </row>
    <row r="133" ht="62" spans="1:7">
      <c r="A133" s="6" t="s">
        <v>310</v>
      </c>
      <c r="B133" s="3" t="s">
        <v>311</v>
      </c>
      <c r="C133" s="4" t="s">
        <v>12</v>
      </c>
      <c r="D133" s="7">
        <v>842.5</v>
      </c>
      <c r="E133" s="8" t="s">
        <v>7399</v>
      </c>
      <c r="F133" s="1">
        <v>15</v>
      </c>
      <c r="G133" s="8" t="s">
        <v>7400</v>
      </c>
    </row>
    <row r="134" ht="31" spans="1:7">
      <c r="A134" s="6" t="s">
        <v>312</v>
      </c>
      <c r="B134" s="3" t="s">
        <v>313</v>
      </c>
      <c r="C134" s="4" t="s">
        <v>12</v>
      </c>
      <c r="D134" s="7">
        <v>961.3</v>
      </c>
      <c r="E134" s="8" t="s">
        <v>7401</v>
      </c>
      <c r="F134" s="1">
        <v>4.5</v>
      </c>
      <c r="G134" s="8" t="s">
        <v>7402</v>
      </c>
    </row>
    <row r="135" ht="62" spans="1:7">
      <c r="A135" s="6" t="s">
        <v>316</v>
      </c>
      <c r="B135" s="3" t="s">
        <v>317</v>
      </c>
      <c r="C135" s="4" t="s">
        <v>16</v>
      </c>
      <c r="D135" s="7">
        <v>8340.85</v>
      </c>
      <c r="E135" s="8" t="s">
        <v>7403</v>
      </c>
      <c r="F135" s="1">
        <v>6</v>
      </c>
      <c r="G135" s="8" t="s">
        <v>7404</v>
      </c>
    </row>
    <row r="136" ht="93" spans="1:7">
      <c r="A136" s="6" t="s">
        <v>318</v>
      </c>
      <c r="B136" s="3" t="s">
        <v>319</v>
      </c>
      <c r="C136" s="4" t="s">
        <v>16</v>
      </c>
      <c r="D136" s="7">
        <v>8127.8</v>
      </c>
      <c r="E136" s="8" t="s">
        <v>7403</v>
      </c>
      <c r="F136" s="1">
        <v>6</v>
      </c>
      <c r="G136" s="8" t="s">
        <v>7404</v>
      </c>
    </row>
    <row r="137" ht="62" spans="1:7">
      <c r="A137" s="6" t="s">
        <v>323</v>
      </c>
      <c r="B137" s="3" t="s">
        <v>324</v>
      </c>
      <c r="C137" s="4" t="s">
        <v>16</v>
      </c>
      <c r="D137" s="7">
        <v>10105.1</v>
      </c>
      <c r="E137" s="8" t="s">
        <v>7405</v>
      </c>
      <c r="F137" s="1">
        <v>4.5</v>
      </c>
      <c r="G137" s="8" t="s">
        <v>7406</v>
      </c>
    </row>
    <row r="138" ht="108.5" spans="1:7">
      <c r="A138" s="6" t="s">
        <v>325</v>
      </c>
      <c r="B138" s="3" t="s">
        <v>326</v>
      </c>
      <c r="C138" s="4" t="s">
        <v>16</v>
      </c>
      <c r="D138" s="7">
        <v>9893.45</v>
      </c>
      <c r="E138" s="8" t="s">
        <v>7405</v>
      </c>
      <c r="F138" s="1">
        <v>4.5</v>
      </c>
      <c r="G138" s="8" t="s">
        <v>7406</v>
      </c>
    </row>
    <row r="139" ht="62" spans="1:7">
      <c r="A139" s="6" t="s">
        <v>329</v>
      </c>
      <c r="B139" s="3" t="s">
        <v>330</v>
      </c>
      <c r="C139" s="4" t="s">
        <v>16</v>
      </c>
      <c r="D139" s="7">
        <v>8726.85</v>
      </c>
      <c r="E139" s="8" t="s">
        <v>7403</v>
      </c>
      <c r="F139" s="1">
        <v>6</v>
      </c>
      <c r="G139" s="8" t="s">
        <v>7407</v>
      </c>
    </row>
    <row r="140" ht="108.5" spans="1:7">
      <c r="A140" s="6" t="s">
        <v>331</v>
      </c>
      <c r="B140" s="3" t="s">
        <v>332</v>
      </c>
      <c r="C140" s="15" t="s">
        <v>16</v>
      </c>
      <c r="D140" s="16">
        <v>8514.85</v>
      </c>
      <c r="E140" s="8" t="s">
        <v>7403</v>
      </c>
      <c r="F140" s="1">
        <v>6</v>
      </c>
      <c r="G140" s="8" t="s">
        <v>7407</v>
      </c>
    </row>
    <row r="141" ht="62" spans="1:7">
      <c r="A141" s="6" t="s">
        <v>335</v>
      </c>
      <c r="B141" s="3" t="s">
        <v>336</v>
      </c>
      <c r="C141" s="4" t="s">
        <v>16</v>
      </c>
      <c r="D141" s="7">
        <v>17889.25</v>
      </c>
      <c r="E141" s="8" t="s">
        <v>7403</v>
      </c>
      <c r="F141" s="1">
        <v>6</v>
      </c>
      <c r="G141" s="8" t="s">
        <v>7408</v>
      </c>
    </row>
    <row r="142" ht="108.5" spans="1:7">
      <c r="A142" s="6" t="s">
        <v>337</v>
      </c>
      <c r="B142" s="3" t="s">
        <v>338</v>
      </c>
      <c r="C142" s="4" t="s">
        <v>16</v>
      </c>
      <c r="D142" s="7">
        <v>17677.25</v>
      </c>
      <c r="E142" s="8" t="s">
        <v>7403</v>
      </c>
      <c r="F142" s="1">
        <v>6</v>
      </c>
      <c r="G142" s="8" t="s">
        <v>7408</v>
      </c>
    </row>
    <row r="143" ht="62" spans="1:7">
      <c r="A143" s="6" t="s">
        <v>341</v>
      </c>
      <c r="B143" s="3" t="s">
        <v>342</v>
      </c>
      <c r="C143" s="4" t="s">
        <v>16</v>
      </c>
      <c r="D143" s="7">
        <v>14624.2</v>
      </c>
      <c r="E143" s="8" t="s">
        <v>7409</v>
      </c>
      <c r="F143" s="1">
        <v>0.05</v>
      </c>
      <c r="G143" s="8" t="s">
        <v>7410</v>
      </c>
    </row>
    <row r="144" ht="108.5" spans="1:7">
      <c r="A144" s="6" t="s">
        <v>343</v>
      </c>
      <c r="B144" s="3" t="s">
        <v>344</v>
      </c>
      <c r="C144" s="4" t="s">
        <v>16</v>
      </c>
      <c r="D144" s="7">
        <v>14526.2</v>
      </c>
      <c r="E144" s="8" t="s">
        <v>7409</v>
      </c>
      <c r="F144" s="1">
        <v>0.05</v>
      </c>
      <c r="G144" s="8" t="s">
        <v>7410</v>
      </c>
    </row>
    <row r="145" ht="248" spans="1:7">
      <c r="A145" s="6" t="s">
        <v>345</v>
      </c>
      <c r="B145" s="12" t="s">
        <v>346</v>
      </c>
      <c r="C145" s="4" t="s">
        <v>156</v>
      </c>
      <c r="D145" s="7">
        <v>929.8</v>
      </c>
      <c r="E145" s="8" t="s">
        <v>7411</v>
      </c>
      <c r="F145" s="1">
        <v>1</v>
      </c>
      <c r="G145" s="8" t="s">
        <v>7412</v>
      </c>
    </row>
    <row r="146" ht="248" spans="1:7">
      <c r="A146" s="6" t="s">
        <v>347</v>
      </c>
      <c r="B146" s="12" t="s">
        <v>348</v>
      </c>
      <c r="C146" s="4" t="s">
        <v>156</v>
      </c>
      <c r="D146" s="7">
        <v>900.15</v>
      </c>
      <c r="E146" s="8" t="s">
        <v>7411</v>
      </c>
      <c r="F146" s="1">
        <v>1</v>
      </c>
      <c r="G146" s="8" t="s">
        <v>7412</v>
      </c>
    </row>
    <row r="147" ht="248" spans="1:7">
      <c r="A147" s="6" t="s">
        <v>349</v>
      </c>
      <c r="B147" s="12" t="s">
        <v>350</v>
      </c>
      <c r="C147" s="4" t="s">
        <v>156</v>
      </c>
      <c r="D147" s="7">
        <v>878.9</v>
      </c>
      <c r="E147" s="8" t="s">
        <v>7411</v>
      </c>
      <c r="F147" s="1">
        <v>1</v>
      </c>
      <c r="G147" s="8" t="s">
        <v>7412</v>
      </c>
    </row>
    <row r="148" ht="93" spans="1:7">
      <c r="A148" s="6" t="s">
        <v>352</v>
      </c>
      <c r="B148" s="12" t="s">
        <v>353</v>
      </c>
      <c r="C148" s="4" t="s">
        <v>12</v>
      </c>
      <c r="D148" s="7">
        <v>410.85</v>
      </c>
      <c r="E148" s="8" t="s">
        <v>7397</v>
      </c>
      <c r="F148" s="1">
        <v>10</v>
      </c>
      <c r="G148" s="8" t="s">
        <v>7413</v>
      </c>
    </row>
    <row r="149" ht="124" spans="1:7">
      <c r="A149" s="17" t="s">
        <v>354</v>
      </c>
      <c r="B149" s="12" t="s">
        <v>355</v>
      </c>
      <c r="C149" s="15" t="s">
        <v>12</v>
      </c>
      <c r="D149" s="16">
        <v>402.5</v>
      </c>
      <c r="E149" s="8" t="s">
        <v>7397</v>
      </c>
      <c r="F149" s="1">
        <v>10</v>
      </c>
      <c r="G149" s="8" t="s">
        <v>7413</v>
      </c>
    </row>
    <row r="150" ht="93" spans="1:7">
      <c r="A150" s="6" t="s">
        <v>356</v>
      </c>
      <c r="B150" s="12" t="s">
        <v>7414</v>
      </c>
      <c r="C150" s="4" t="s">
        <v>12</v>
      </c>
      <c r="D150" s="7">
        <v>495.75</v>
      </c>
      <c r="E150" s="8" t="s">
        <v>7397</v>
      </c>
      <c r="F150" s="1">
        <v>10</v>
      </c>
      <c r="G150" s="8" t="s">
        <v>7413</v>
      </c>
    </row>
    <row r="151" ht="124" spans="1:7">
      <c r="A151" s="17" t="s">
        <v>358</v>
      </c>
      <c r="B151" s="12" t="s">
        <v>359</v>
      </c>
      <c r="C151" s="15" t="s">
        <v>12</v>
      </c>
      <c r="D151" s="16">
        <v>484.6</v>
      </c>
      <c r="E151" s="8" t="s">
        <v>7397</v>
      </c>
      <c r="F151" s="1">
        <v>10</v>
      </c>
      <c r="G151" s="8" t="s">
        <v>7413</v>
      </c>
    </row>
    <row r="152" ht="62" spans="1:7">
      <c r="A152" s="6" t="s">
        <v>360</v>
      </c>
      <c r="B152" s="12" t="s">
        <v>361</v>
      </c>
      <c r="C152" s="4" t="s">
        <v>362</v>
      </c>
      <c r="D152" s="7">
        <v>18.15</v>
      </c>
      <c r="E152" s="8" t="s">
        <v>7415</v>
      </c>
      <c r="F152" s="1">
        <v>1</v>
      </c>
      <c r="G152" s="8" t="s">
        <v>7416</v>
      </c>
    </row>
    <row r="153" ht="108.5" spans="1:7">
      <c r="A153" s="6" t="s">
        <v>363</v>
      </c>
      <c r="B153" s="12" t="s">
        <v>364</v>
      </c>
      <c r="C153" s="4" t="s">
        <v>12</v>
      </c>
      <c r="D153" s="7">
        <v>146.15</v>
      </c>
      <c r="E153" s="8" t="s">
        <v>7397</v>
      </c>
      <c r="F153" s="1">
        <v>10</v>
      </c>
      <c r="G153" s="8" t="s">
        <v>7417</v>
      </c>
    </row>
    <row r="154" ht="46.5" spans="1:7">
      <c r="A154" s="6" t="s">
        <v>366</v>
      </c>
      <c r="B154" s="12" t="s">
        <v>367</v>
      </c>
      <c r="C154" s="4" t="s">
        <v>16</v>
      </c>
      <c r="D154" s="7">
        <v>169.45</v>
      </c>
      <c r="E154" s="8" t="s">
        <v>7418</v>
      </c>
      <c r="F154" s="1">
        <v>5.3</v>
      </c>
      <c r="G154" s="8" t="s">
        <v>7419</v>
      </c>
    </row>
    <row r="155" ht="62" spans="1:7">
      <c r="A155" s="6" t="s">
        <v>368</v>
      </c>
      <c r="B155" s="12" t="s">
        <v>369</v>
      </c>
      <c r="C155" s="4" t="s">
        <v>370</v>
      </c>
      <c r="D155" s="7">
        <v>1098.8</v>
      </c>
      <c r="E155" s="8" t="s">
        <v>7420</v>
      </c>
      <c r="F155" s="1">
        <v>4.2</v>
      </c>
      <c r="G155" s="8" t="s">
        <v>7421</v>
      </c>
    </row>
    <row r="156" ht="31" spans="1:7">
      <c r="A156" s="6" t="s">
        <v>372</v>
      </c>
      <c r="B156" s="12" t="s">
        <v>373</v>
      </c>
      <c r="C156" s="4" t="s">
        <v>16</v>
      </c>
      <c r="D156" s="7">
        <v>467.55</v>
      </c>
      <c r="E156" s="8" t="s">
        <v>7392</v>
      </c>
      <c r="F156" s="1">
        <v>1</v>
      </c>
      <c r="G156" s="8" t="s">
        <v>7393</v>
      </c>
    </row>
    <row r="157" ht="170.5" spans="1:7">
      <c r="A157" s="6" t="s">
        <v>374</v>
      </c>
      <c r="B157" s="12" t="s">
        <v>375</v>
      </c>
      <c r="C157" s="4" t="s">
        <v>12</v>
      </c>
      <c r="D157" s="7">
        <v>749.3</v>
      </c>
      <c r="E157" s="8" t="s">
        <v>7397</v>
      </c>
      <c r="F157" s="1">
        <v>10</v>
      </c>
      <c r="G157" s="8" t="s">
        <v>7413</v>
      </c>
    </row>
    <row r="158" ht="170.5" spans="1:7">
      <c r="A158" s="17" t="s">
        <v>376</v>
      </c>
      <c r="B158" s="12" t="s">
        <v>377</v>
      </c>
      <c r="C158" s="18" t="s">
        <v>12</v>
      </c>
      <c r="D158" s="16">
        <v>702.3</v>
      </c>
      <c r="E158" s="8" t="s">
        <v>7397</v>
      </c>
      <c r="F158" s="1">
        <v>10</v>
      </c>
      <c r="G158" s="8" t="s">
        <v>7413</v>
      </c>
    </row>
    <row r="159" ht="170.5" spans="1:7">
      <c r="A159" s="17" t="s">
        <v>378</v>
      </c>
      <c r="B159" s="12" t="s">
        <v>379</v>
      </c>
      <c r="C159" s="19" t="s">
        <v>12</v>
      </c>
      <c r="D159" s="16">
        <v>666.9</v>
      </c>
      <c r="E159" s="8" t="s">
        <v>7397</v>
      </c>
      <c r="F159" s="1">
        <v>10</v>
      </c>
      <c r="G159" s="8" t="s">
        <v>7413</v>
      </c>
    </row>
    <row r="160" ht="139.5" spans="1:7">
      <c r="A160" s="6" t="s">
        <v>380</v>
      </c>
      <c r="B160" s="12" t="s">
        <v>381</v>
      </c>
      <c r="C160" s="4" t="s">
        <v>362</v>
      </c>
      <c r="D160" s="7">
        <v>70.35</v>
      </c>
      <c r="E160" s="8" t="s">
        <v>7415</v>
      </c>
      <c r="F160" s="1">
        <v>1</v>
      </c>
      <c r="G160" s="8" t="s">
        <v>7422</v>
      </c>
    </row>
    <row r="161" ht="31" spans="1:7">
      <c r="A161" s="6" t="s">
        <v>386</v>
      </c>
      <c r="B161" s="3" t="s">
        <v>7423</v>
      </c>
      <c r="C161" s="4" t="s">
        <v>16</v>
      </c>
      <c r="D161" s="7">
        <v>8835.15</v>
      </c>
      <c r="E161" s="8" t="s">
        <v>7424</v>
      </c>
      <c r="F161" s="1">
        <v>1</v>
      </c>
      <c r="G161" s="8" t="s">
        <v>7425</v>
      </c>
    </row>
    <row r="162" ht="31" spans="1:7">
      <c r="A162" s="6" t="s">
        <v>388</v>
      </c>
      <c r="B162" s="3" t="s">
        <v>389</v>
      </c>
      <c r="C162" s="4" t="s">
        <v>16</v>
      </c>
      <c r="D162" s="7">
        <v>8986.15</v>
      </c>
      <c r="E162" s="8" t="s">
        <v>7424</v>
      </c>
      <c r="F162" s="1">
        <v>1</v>
      </c>
      <c r="G162" s="8" t="s">
        <v>7425</v>
      </c>
    </row>
    <row r="163" ht="31" spans="1:7">
      <c r="A163" s="6" t="s">
        <v>390</v>
      </c>
      <c r="B163" s="3" t="s">
        <v>391</v>
      </c>
      <c r="C163" s="4" t="s">
        <v>16</v>
      </c>
      <c r="D163" s="7">
        <v>9212.6</v>
      </c>
      <c r="E163" s="8" t="s">
        <v>7424</v>
      </c>
      <c r="F163" s="1">
        <v>1</v>
      </c>
      <c r="G163" s="8" t="s">
        <v>7425</v>
      </c>
    </row>
    <row r="164" ht="31" spans="1:7">
      <c r="A164" s="6" t="s">
        <v>392</v>
      </c>
      <c r="B164" s="3" t="s">
        <v>393</v>
      </c>
      <c r="C164" s="4" t="s">
        <v>16</v>
      </c>
      <c r="D164" s="7">
        <v>9439.05</v>
      </c>
      <c r="E164" s="8" t="s">
        <v>7424</v>
      </c>
      <c r="F164" s="1">
        <v>1</v>
      </c>
      <c r="G164" s="8" t="s">
        <v>7425</v>
      </c>
    </row>
    <row r="165" ht="31" spans="1:7">
      <c r="A165" s="6" t="s">
        <v>396</v>
      </c>
      <c r="B165" s="3" t="s">
        <v>397</v>
      </c>
      <c r="C165" s="4" t="s">
        <v>16</v>
      </c>
      <c r="D165" s="7">
        <v>9190.8</v>
      </c>
      <c r="E165" s="8" t="s">
        <v>7424</v>
      </c>
      <c r="F165" s="1">
        <v>1</v>
      </c>
      <c r="G165" s="8" t="s">
        <v>7425</v>
      </c>
    </row>
    <row r="166" ht="31" spans="1:7">
      <c r="A166" s="6" t="s">
        <v>398</v>
      </c>
      <c r="B166" s="3" t="s">
        <v>389</v>
      </c>
      <c r="C166" s="4" t="s">
        <v>16</v>
      </c>
      <c r="D166" s="7">
        <v>9341.8</v>
      </c>
      <c r="E166" s="8" t="s">
        <v>7424</v>
      </c>
      <c r="F166" s="1">
        <v>1</v>
      </c>
      <c r="G166" s="8" t="s">
        <v>7425</v>
      </c>
    </row>
    <row r="167" ht="31" spans="1:7">
      <c r="A167" s="6" t="s">
        <v>399</v>
      </c>
      <c r="B167" s="3" t="s">
        <v>391</v>
      </c>
      <c r="C167" s="4" t="s">
        <v>16</v>
      </c>
      <c r="D167" s="7">
        <v>9568.25</v>
      </c>
      <c r="E167" s="8" t="s">
        <v>7424</v>
      </c>
      <c r="F167" s="1">
        <v>1</v>
      </c>
      <c r="G167" s="8" t="s">
        <v>7425</v>
      </c>
    </row>
    <row r="168" ht="31" spans="1:7">
      <c r="A168" s="6" t="s">
        <v>400</v>
      </c>
      <c r="B168" s="3" t="s">
        <v>393</v>
      </c>
      <c r="C168" s="4" t="s">
        <v>16</v>
      </c>
      <c r="D168" s="7">
        <v>9794.7</v>
      </c>
      <c r="E168" s="8" t="s">
        <v>7424</v>
      </c>
      <c r="F168" s="1">
        <v>1</v>
      </c>
      <c r="G168" s="8" t="s">
        <v>7425</v>
      </c>
    </row>
    <row r="169" ht="93" spans="1:7">
      <c r="A169" s="6" t="s">
        <v>405</v>
      </c>
      <c r="B169" s="3" t="s">
        <v>7426</v>
      </c>
      <c r="C169" s="4" t="s">
        <v>16</v>
      </c>
      <c r="D169" s="7">
        <v>7936.1</v>
      </c>
      <c r="E169" s="8" t="s">
        <v>7424</v>
      </c>
      <c r="F169" s="1">
        <v>1</v>
      </c>
      <c r="G169" s="8" t="s">
        <v>7425</v>
      </c>
    </row>
    <row r="170" ht="93" spans="1:7">
      <c r="A170" s="6" t="s">
        <v>407</v>
      </c>
      <c r="B170" s="3" t="s">
        <v>7427</v>
      </c>
      <c r="C170" s="4" t="s">
        <v>16</v>
      </c>
      <c r="D170" s="7">
        <v>8779.4</v>
      </c>
      <c r="E170" s="8" t="s">
        <v>7424</v>
      </c>
      <c r="F170" s="1">
        <v>1</v>
      </c>
      <c r="G170" s="8" t="s">
        <v>7425</v>
      </c>
    </row>
    <row r="171" ht="93" spans="1:7">
      <c r="A171" s="6" t="s">
        <v>409</v>
      </c>
      <c r="B171" s="3" t="s">
        <v>7428</v>
      </c>
      <c r="C171" s="4" t="s">
        <v>16</v>
      </c>
      <c r="D171" s="7">
        <v>9005.85</v>
      </c>
      <c r="E171" s="8" t="s">
        <v>7424</v>
      </c>
      <c r="F171" s="1">
        <v>1</v>
      </c>
      <c r="G171" s="8" t="s">
        <v>7425</v>
      </c>
    </row>
    <row r="172" ht="93" spans="1:7">
      <c r="A172" s="6" t="s">
        <v>411</v>
      </c>
      <c r="B172" s="3" t="s">
        <v>7429</v>
      </c>
      <c r="C172" s="4" t="s">
        <v>16</v>
      </c>
      <c r="D172" s="7">
        <v>9232.3</v>
      </c>
      <c r="E172" s="8" t="s">
        <v>7424</v>
      </c>
      <c r="F172" s="1">
        <v>1</v>
      </c>
      <c r="G172" s="8" t="s">
        <v>7425</v>
      </c>
    </row>
    <row r="173" ht="93" spans="1:7">
      <c r="A173" s="6" t="s">
        <v>414</v>
      </c>
      <c r="B173" s="3" t="s">
        <v>7426</v>
      </c>
      <c r="C173" s="4" t="s">
        <v>16</v>
      </c>
      <c r="D173" s="7">
        <v>8291.75</v>
      </c>
      <c r="E173" s="8" t="s">
        <v>7424</v>
      </c>
      <c r="F173" s="1">
        <v>1</v>
      </c>
      <c r="G173" s="8" t="s">
        <v>7425</v>
      </c>
    </row>
    <row r="174" ht="93" spans="1:7">
      <c r="A174" s="6" t="s">
        <v>415</v>
      </c>
      <c r="B174" s="3" t="s">
        <v>7430</v>
      </c>
      <c r="C174" s="4" t="s">
        <v>16</v>
      </c>
      <c r="D174" s="7">
        <v>9135.05</v>
      </c>
      <c r="E174" s="8" t="s">
        <v>7424</v>
      </c>
      <c r="F174" s="1">
        <v>1</v>
      </c>
      <c r="G174" s="8" t="s">
        <v>7425</v>
      </c>
    </row>
    <row r="175" ht="93" spans="1:7">
      <c r="A175" s="6" t="s">
        <v>417</v>
      </c>
      <c r="B175" s="3" t="s">
        <v>7431</v>
      </c>
      <c r="C175" s="4" t="s">
        <v>16</v>
      </c>
      <c r="D175" s="7">
        <v>9361.5</v>
      </c>
      <c r="E175" s="8" t="s">
        <v>7424</v>
      </c>
      <c r="F175" s="1">
        <v>1</v>
      </c>
      <c r="G175" s="8" t="s">
        <v>7425</v>
      </c>
    </row>
    <row r="176" ht="93" spans="1:7">
      <c r="A176" s="6" t="s">
        <v>419</v>
      </c>
      <c r="B176" s="3" t="s">
        <v>7432</v>
      </c>
      <c r="C176" s="4" t="s">
        <v>16</v>
      </c>
      <c r="D176" s="7">
        <v>9587.95</v>
      </c>
      <c r="E176" s="8" t="s">
        <v>7424</v>
      </c>
      <c r="F176" s="1">
        <v>1</v>
      </c>
      <c r="G176" s="8" t="s">
        <v>7425</v>
      </c>
    </row>
    <row r="177" ht="15.5" spans="1:7">
      <c r="A177" s="6" t="s">
        <v>204</v>
      </c>
      <c r="B177" s="12" t="s">
        <v>2</v>
      </c>
      <c r="C177" s="4" t="s">
        <v>3</v>
      </c>
      <c r="D177" s="14" t="s">
        <v>4</v>
      </c>
    </row>
    <row r="178" ht="62" spans="1:7">
      <c r="A178" s="6" t="s">
        <v>425</v>
      </c>
      <c r="B178" s="3" t="s">
        <v>426</v>
      </c>
      <c r="C178" s="4" t="s">
        <v>16</v>
      </c>
      <c r="D178" s="7">
        <v>9045.75</v>
      </c>
      <c r="E178" s="8" t="s">
        <v>7392</v>
      </c>
      <c r="F178" s="9">
        <f t="array" ref="F178">VALUE(_wpsfn.REGEXP(E178,"\d+(\.\d+)?"))</f>
        <v>1</v>
      </c>
      <c r="G178" s="8" t="s">
        <v>7395</v>
      </c>
    </row>
    <row r="179" ht="93" spans="1:7">
      <c r="A179" s="6" t="s">
        <v>427</v>
      </c>
      <c r="B179" s="3" t="s">
        <v>428</v>
      </c>
      <c r="C179" s="18" t="s">
        <v>16</v>
      </c>
      <c r="D179" s="16">
        <v>8874.95</v>
      </c>
      <c r="E179" s="8" t="s">
        <v>7394</v>
      </c>
      <c r="F179" s="9">
        <f t="array" ref="F179">VALUE(_wpsfn.REGEXP(E179,"\d+(\.\d+)?"))</f>
        <v>1</v>
      </c>
      <c r="G179" s="8" t="s">
        <v>7395</v>
      </c>
    </row>
    <row r="180" ht="62" spans="1:7">
      <c r="A180" s="6" t="s">
        <v>429</v>
      </c>
      <c r="B180" s="3" t="s">
        <v>253</v>
      </c>
      <c r="C180" s="4" t="s">
        <v>16</v>
      </c>
      <c r="D180" s="20">
        <v>8583.4</v>
      </c>
      <c r="E180" s="8" t="s">
        <v>7392</v>
      </c>
      <c r="F180" s="9">
        <f t="array" ref="F180">VALUE(_wpsfn.REGEXP(E180,"\d+(\.\d+)?"))</f>
        <v>1</v>
      </c>
      <c r="G180" s="8" t="s">
        <v>7395</v>
      </c>
    </row>
    <row r="181" ht="93" spans="1:7">
      <c r="A181" s="6" t="s">
        <v>430</v>
      </c>
      <c r="B181" s="3" t="s">
        <v>431</v>
      </c>
      <c r="C181" s="19" t="s">
        <v>16</v>
      </c>
      <c r="D181" s="16">
        <v>8404.05</v>
      </c>
      <c r="E181" s="8" t="s">
        <v>7394</v>
      </c>
      <c r="F181" s="9">
        <f t="array" ref="F181">VALUE(_wpsfn.REGEXP(E181,"\d+(\.\d+)?"))</f>
        <v>1</v>
      </c>
      <c r="G181" s="8" t="s">
        <v>7395</v>
      </c>
    </row>
    <row r="182" ht="62" spans="1:7">
      <c r="A182" s="6" t="s">
        <v>434</v>
      </c>
      <c r="B182" s="3" t="s">
        <v>435</v>
      </c>
      <c r="C182" s="4" t="s">
        <v>16</v>
      </c>
      <c r="D182" s="7">
        <v>10852.95</v>
      </c>
      <c r="E182" s="8" t="s">
        <v>7433</v>
      </c>
      <c r="F182" s="9">
        <f t="array" ref="F182">VALUE(_wpsfn.REGEXP(E182,"\d+(\.\d+)?"))</f>
        <v>91.8</v>
      </c>
      <c r="G182" s="8" t="s">
        <v>7434</v>
      </c>
    </row>
    <row r="183" ht="93" spans="1:7">
      <c r="A183" s="6" t="s">
        <v>436</v>
      </c>
      <c r="B183" s="3" t="s">
        <v>437</v>
      </c>
      <c r="C183" s="4" t="s">
        <v>16</v>
      </c>
      <c r="D183" s="16">
        <v>10682.15</v>
      </c>
      <c r="E183" s="8" t="s">
        <v>7435</v>
      </c>
      <c r="F183" s="9">
        <f t="array" ref="F183">VALUE(_wpsfn.REGEXP(E183,"\d+(\.\d+)?"))</f>
        <v>91.8</v>
      </c>
      <c r="G183" s="8" t="s">
        <v>7434</v>
      </c>
    </row>
    <row r="184" ht="201.5" spans="1:7">
      <c r="A184" s="6" t="s">
        <v>438</v>
      </c>
      <c r="B184" s="12" t="s">
        <v>439</v>
      </c>
      <c r="C184" s="4" t="s">
        <v>16</v>
      </c>
      <c r="D184" s="7">
        <v>11505.5</v>
      </c>
      <c r="E184" s="8" t="s">
        <v>7392</v>
      </c>
      <c r="F184" s="9">
        <f t="array" ref="F184">VALUE(_wpsfn.REGEXP(E184,"\d+(\.\d+)?"))</f>
        <v>1</v>
      </c>
      <c r="G184" s="8" t="s">
        <v>7393</v>
      </c>
    </row>
    <row r="185" ht="217" spans="1:7">
      <c r="A185" s="17" t="s">
        <v>440</v>
      </c>
      <c r="B185" s="12" t="s">
        <v>441</v>
      </c>
      <c r="C185" s="4" t="s">
        <v>16</v>
      </c>
      <c r="D185" s="16">
        <v>11334.7</v>
      </c>
      <c r="E185" s="8" t="s">
        <v>7394</v>
      </c>
      <c r="F185" s="9">
        <f t="array" ref="F185">VALUE(_wpsfn.REGEXP(E185,"\d+(\.\d+)?"))</f>
        <v>1</v>
      </c>
      <c r="G185" s="8" t="s">
        <v>7395</v>
      </c>
    </row>
    <row r="186" ht="139.5" spans="1:7">
      <c r="A186" s="6" t="s">
        <v>442</v>
      </c>
      <c r="B186" s="12" t="s">
        <v>443</v>
      </c>
      <c r="C186" s="4" t="s">
        <v>16</v>
      </c>
      <c r="D186" s="7">
        <v>8821.65</v>
      </c>
      <c r="E186" s="8" t="s">
        <v>7392</v>
      </c>
      <c r="F186" s="9">
        <f t="array" ref="F186">VALUE(_wpsfn.REGEXP(E186,"\d+(\.\d+)?"))</f>
        <v>1</v>
      </c>
      <c r="G186" s="8" t="s">
        <v>7393</v>
      </c>
    </row>
    <row r="187" ht="170.5" spans="1:7">
      <c r="A187" s="6" t="s">
        <v>444</v>
      </c>
      <c r="B187" s="12" t="s">
        <v>445</v>
      </c>
      <c r="C187" s="4" t="s">
        <v>16</v>
      </c>
      <c r="D187" s="7">
        <v>8650.85</v>
      </c>
      <c r="E187" s="8" t="s">
        <v>7394</v>
      </c>
      <c r="F187" s="9">
        <f t="array" ref="F187">VALUE(_wpsfn.REGEXP(E187,"\d+(\.\d+)?"))</f>
        <v>1</v>
      </c>
      <c r="G187" s="8" t="s">
        <v>7395</v>
      </c>
    </row>
    <row r="188" ht="155" spans="1:7">
      <c r="A188" s="6" t="s">
        <v>446</v>
      </c>
      <c r="B188" s="12" t="s">
        <v>447</v>
      </c>
      <c r="C188" s="4" t="s">
        <v>16</v>
      </c>
      <c r="D188" s="7">
        <v>12205.85</v>
      </c>
      <c r="E188" s="8" t="s">
        <v>7436</v>
      </c>
      <c r="F188" s="9">
        <f t="array" ref="F188">VALUE(_wpsfn.REGEXP(E188,"\d+(\.\d+)?"))</f>
        <v>26.73</v>
      </c>
      <c r="G188" s="8" t="s">
        <v>7437</v>
      </c>
    </row>
    <row r="189" ht="186" spans="1:7">
      <c r="A189" s="6" t="s">
        <v>448</v>
      </c>
      <c r="B189" s="12" t="s">
        <v>449</v>
      </c>
      <c r="C189" s="4" t="s">
        <v>16</v>
      </c>
      <c r="D189" s="7">
        <v>12035</v>
      </c>
      <c r="E189" s="8" t="s">
        <v>7438</v>
      </c>
      <c r="F189" s="9">
        <f t="array" ref="F189">VALUE(_wpsfn.REGEXP(E189,"\d+(\.\d+)?"))</f>
        <v>26.73</v>
      </c>
      <c r="G189" s="8" t="s">
        <v>7439</v>
      </c>
    </row>
    <row r="190" ht="139.5" spans="1:7">
      <c r="A190" s="6" t="s">
        <v>450</v>
      </c>
      <c r="B190" s="12" t="s">
        <v>451</v>
      </c>
      <c r="C190" s="4" t="s">
        <v>16</v>
      </c>
      <c r="D190" s="7">
        <v>11125.2</v>
      </c>
      <c r="E190" s="8" t="s">
        <v>7392</v>
      </c>
      <c r="F190" s="9">
        <f t="array" ref="F190">VALUE(_wpsfn.REGEXP(E190,"\d+(\.\d+)?"))</f>
        <v>1</v>
      </c>
      <c r="G190" s="8" t="s">
        <v>7393</v>
      </c>
    </row>
    <row r="191" ht="155" spans="1:7">
      <c r="A191" s="6" t="s">
        <v>452</v>
      </c>
      <c r="B191" s="12" t="s">
        <v>453</v>
      </c>
      <c r="C191" s="4" t="s">
        <v>16</v>
      </c>
      <c r="D191" s="7">
        <v>10954.4</v>
      </c>
      <c r="E191" s="8" t="s">
        <v>7394</v>
      </c>
      <c r="F191" s="9">
        <f t="array" ref="F191">VALUE(_wpsfn.REGEXP(E191,"\d+(\.\d+)?"))</f>
        <v>1</v>
      </c>
      <c r="G191" s="8" t="s">
        <v>7395</v>
      </c>
    </row>
    <row r="192" ht="124" spans="1:7">
      <c r="A192" s="6" t="s">
        <v>454</v>
      </c>
      <c r="B192" s="12" t="s">
        <v>455</v>
      </c>
      <c r="C192" s="4" t="s">
        <v>16</v>
      </c>
      <c r="D192" s="7">
        <v>8424.6</v>
      </c>
      <c r="E192" s="8" t="s">
        <v>7392</v>
      </c>
      <c r="F192" s="9">
        <f t="array" ref="F192">VALUE(_wpsfn.REGEXP(E192,"\d+(\.\d+)?"))</f>
        <v>1</v>
      </c>
      <c r="G192" s="8" t="s">
        <v>7393</v>
      </c>
    </row>
    <row r="193" ht="139.5" spans="1:7">
      <c r="A193" s="6" t="s">
        <v>456</v>
      </c>
      <c r="B193" s="12" t="s">
        <v>457</v>
      </c>
      <c r="C193" s="4" t="s">
        <v>16</v>
      </c>
      <c r="D193" s="7">
        <v>8253.8</v>
      </c>
      <c r="E193" s="8" t="s">
        <v>7394</v>
      </c>
      <c r="F193" s="9">
        <f t="array" ref="F193">VALUE(_wpsfn.REGEXP(E193,"\d+(\.\d+)?"))</f>
        <v>1</v>
      </c>
      <c r="G193" s="8" t="s">
        <v>7395</v>
      </c>
    </row>
    <row r="194" ht="170.5" spans="1:7">
      <c r="A194" s="6" t="s">
        <v>458</v>
      </c>
      <c r="B194" s="12" t="s">
        <v>459</v>
      </c>
      <c r="C194" s="4" t="s">
        <v>16</v>
      </c>
      <c r="D194" s="7">
        <v>11454.35</v>
      </c>
      <c r="E194" s="8" t="s">
        <v>7440</v>
      </c>
      <c r="F194" s="9">
        <f t="array" ref="F194">VALUE(_wpsfn.REGEXP(E194,"\d+(\.\d+)?"))</f>
        <v>6.6</v>
      </c>
      <c r="G194" s="8" t="s">
        <v>7441</v>
      </c>
    </row>
    <row r="195" ht="186" spans="1:7">
      <c r="A195" s="6" t="s">
        <v>460</v>
      </c>
      <c r="B195" s="12" t="s">
        <v>461</v>
      </c>
      <c r="C195" s="4" t="s">
        <v>16</v>
      </c>
      <c r="D195" s="7">
        <v>11283.55</v>
      </c>
      <c r="E195" s="8" t="s">
        <v>7442</v>
      </c>
      <c r="F195" s="9">
        <f t="array" ref="F195">VALUE(_wpsfn.REGEXP(E195,"\d+(\.\d+)?"))</f>
        <v>6.6</v>
      </c>
      <c r="G195" s="8" t="s">
        <v>7443</v>
      </c>
    </row>
    <row r="196" ht="31" spans="1:7">
      <c r="A196" s="6" t="s">
        <v>465</v>
      </c>
      <c r="B196" s="3" t="s">
        <v>466</v>
      </c>
      <c r="C196" s="4" t="s">
        <v>12</v>
      </c>
      <c r="D196" s="7">
        <v>392.15</v>
      </c>
      <c r="E196" s="8" t="s">
        <v>7397</v>
      </c>
      <c r="F196" s="9">
        <f t="array" ref="F196">VALUE(_wpsfn.REGEXP(E196,"\d+(\.\d+)?"))</f>
        <v>10</v>
      </c>
      <c r="G196" s="8" t="s">
        <v>7444</v>
      </c>
    </row>
    <row r="197" ht="46.5" spans="1:7">
      <c r="A197" s="6" t="s">
        <v>467</v>
      </c>
      <c r="B197" s="3" t="s">
        <v>468</v>
      </c>
      <c r="C197" s="4" t="s">
        <v>12</v>
      </c>
      <c r="D197" s="7">
        <v>842.5</v>
      </c>
      <c r="E197" s="8" t="s">
        <v>7399</v>
      </c>
      <c r="F197" s="9">
        <f t="array" ref="F197">VALUE(_wpsfn.REGEXP(E197,"\d+(\.\d+)?"))</f>
        <v>15</v>
      </c>
      <c r="G197" s="8" t="s">
        <v>7445</v>
      </c>
    </row>
    <row r="198" ht="31" spans="1:7">
      <c r="A198" s="6" t="s">
        <v>469</v>
      </c>
      <c r="B198" s="3" t="s">
        <v>470</v>
      </c>
      <c r="C198" s="4" t="s">
        <v>12</v>
      </c>
      <c r="D198" s="7">
        <v>927.25</v>
      </c>
      <c r="E198" s="8" t="s">
        <v>7446</v>
      </c>
      <c r="F198" s="9">
        <f t="array" ref="F198">VALUE(_wpsfn.REGEXP(E198,"\d+(\.\d+)?"))</f>
        <v>135</v>
      </c>
      <c r="G198" s="8" t="s">
        <v>7447</v>
      </c>
    </row>
    <row r="199" ht="15.5" spans="1:7">
      <c r="A199" s="6" t="s">
        <v>471</v>
      </c>
      <c r="B199" s="3" t="s">
        <v>472</v>
      </c>
      <c r="C199" s="4" t="s">
        <v>12</v>
      </c>
      <c r="D199" s="7">
        <v>927.25</v>
      </c>
      <c r="E199" s="8" t="s">
        <v>7446</v>
      </c>
      <c r="F199" s="9">
        <f t="array" ref="F199">VALUE(_wpsfn.REGEXP(E199,"\d+(\.\d+)?"))</f>
        <v>135</v>
      </c>
      <c r="G199" s="8" t="s">
        <v>7448</v>
      </c>
    </row>
    <row r="200" ht="31" spans="1:7">
      <c r="A200" s="6" t="s">
        <v>473</v>
      </c>
      <c r="B200" s="3" t="s">
        <v>474</v>
      </c>
      <c r="C200" s="4" t="s">
        <v>12</v>
      </c>
      <c r="D200" s="7">
        <v>736.4</v>
      </c>
      <c r="E200" s="8" t="s">
        <v>7449</v>
      </c>
      <c r="F200" s="9">
        <f t="array" ref="F200">VALUE(_wpsfn.REGEXP(E200,"\d+(\.\d+)?"))</f>
        <v>78</v>
      </c>
      <c r="G200" s="8" t="s">
        <v>7450</v>
      </c>
    </row>
    <row r="201" ht="31" spans="1:7">
      <c r="A201" s="6" t="s">
        <v>475</v>
      </c>
      <c r="B201" s="3" t="s">
        <v>476</v>
      </c>
      <c r="C201" s="4" t="s">
        <v>12</v>
      </c>
      <c r="D201" s="7">
        <v>961.3</v>
      </c>
      <c r="E201" s="8" t="s">
        <v>7451</v>
      </c>
      <c r="F201" s="9">
        <f t="array" ref="F201">VALUE(_wpsfn.REGEXP(E201,"\d+(\.\d+)?"))</f>
        <v>45</v>
      </c>
      <c r="G201" s="8" t="s">
        <v>7452</v>
      </c>
    </row>
    <row r="202" ht="31" spans="1:7">
      <c r="A202" s="6" t="s">
        <v>477</v>
      </c>
      <c r="B202" s="3" t="s">
        <v>478</v>
      </c>
      <c r="C202" s="4" t="s">
        <v>12</v>
      </c>
      <c r="D202" s="7">
        <v>764.95</v>
      </c>
      <c r="E202" s="8" t="s">
        <v>7453</v>
      </c>
      <c r="F202" s="9">
        <f t="array" ref="F202">VALUE(_wpsfn.REGEXP(E202,"\d+(\.\d+)?"))</f>
        <v>57.9</v>
      </c>
      <c r="G202" s="8" t="s">
        <v>7454</v>
      </c>
    </row>
    <row r="203" ht="15.5" spans="1:7">
      <c r="A203" s="6" t="s">
        <v>479</v>
      </c>
      <c r="B203" s="3" t="s">
        <v>480</v>
      </c>
      <c r="C203" s="4" t="s">
        <v>12</v>
      </c>
      <c r="D203" s="7">
        <v>798.35</v>
      </c>
      <c r="E203" s="8" t="s">
        <v>7455</v>
      </c>
      <c r="F203" s="9">
        <f t="array" ref="F203">VALUE(_wpsfn.REGEXP(E203,"\d+(\.\d+)?"))</f>
        <v>6.28</v>
      </c>
      <c r="G203" s="8" t="s">
        <v>7456</v>
      </c>
    </row>
    <row r="204" ht="15.5" spans="1:7">
      <c r="A204" s="6" t="s">
        <v>481</v>
      </c>
      <c r="B204" s="3" t="s">
        <v>482</v>
      </c>
      <c r="C204" s="4" t="s">
        <v>12</v>
      </c>
      <c r="D204" s="7">
        <v>2154.35</v>
      </c>
      <c r="E204" s="8" t="s">
        <v>7457</v>
      </c>
      <c r="F204" s="9">
        <f t="array" ref="F204">VALUE(_wpsfn.REGEXP(E204,"\d+(\.\d+)?"))</f>
        <v>203.7</v>
      </c>
      <c r="G204" s="8" t="s">
        <v>7458</v>
      </c>
    </row>
    <row r="205" ht="31" spans="1:7">
      <c r="A205" s="6" t="s">
        <v>483</v>
      </c>
      <c r="B205" s="3" t="s">
        <v>484</v>
      </c>
      <c r="C205" s="4" t="s">
        <v>12</v>
      </c>
      <c r="D205" s="7">
        <v>608.15</v>
      </c>
      <c r="E205" s="8" t="s">
        <v>7459</v>
      </c>
      <c r="F205" s="9">
        <f t="array" ref="F205">VALUE(_wpsfn.REGEXP(E205,"\d+(\.\d+)?"))</f>
        <v>333.1</v>
      </c>
      <c r="G205" s="8" t="s">
        <v>7460</v>
      </c>
    </row>
    <row r="206" ht="15.5" spans="1:7">
      <c r="A206" s="6" t="s">
        <v>485</v>
      </c>
      <c r="B206" s="3" t="s">
        <v>486</v>
      </c>
      <c r="C206" s="4" t="s">
        <v>12</v>
      </c>
      <c r="D206" s="7">
        <v>803.25</v>
      </c>
      <c r="E206" s="8" t="s">
        <v>7461</v>
      </c>
      <c r="F206" s="9">
        <f t="array" ref="F206">VALUE(_wpsfn.REGEXP(E206,"\d+(\.\d+)?"))</f>
        <v>15.8</v>
      </c>
      <c r="G206" s="8" t="s">
        <v>7462</v>
      </c>
    </row>
    <row r="207" ht="15.5" spans="1:7">
      <c r="A207" s="6" t="s">
        <v>487</v>
      </c>
      <c r="B207" s="3" t="s">
        <v>488</v>
      </c>
      <c r="C207" s="4" t="s">
        <v>12</v>
      </c>
      <c r="D207" s="7">
        <v>263.65</v>
      </c>
      <c r="E207" s="8" t="s">
        <v>7463</v>
      </c>
      <c r="F207" s="9">
        <f t="array" ref="F207">VALUE(_wpsfn.REGEXP(E207,"\d+(\.\d+)?"))</f>
        <v>26.39</v>
      </c>
      <c r="G207" s="8" t="s">
        <v>7464</v>
      </c>
    </row>
    <row r="208" ht="46.5" spans="1:7">
      <c r="A208" s="6" t="s">
        <v>489</v>
      </c>
      <c r="B208" s="3" t="s">
        <v>7465</v>
      </c>
      <c r="C208" s="4" t="s">
        <v>12</v>
      </c>
      <c r="D208" s="7">
        <v>1296.7</v>
      </c>
      <c r="E208" s="8" t="s">
        <v>7466</v>
      </c>
      <c r="F208" s="9">
        <f t="array" ref="F208">VALUE(_wpsfn.REGEXP(E208,"\d+(\.\d+)?"))</f>
        <v>239</v>
      </c>
      <c r="G208" s="8" t="s">
        <v>7467</v>
      </c>
    </row>
    <row r="209" ht="46.5" spans="1:7">
      <c r="A209" s="6" t="s">
        <v>491</v>
      </c>
      <c r="B209" s="3" t="s">
        <v>492</v>
      </c>
      <c r="C209" s="4" t="s">
        <v>12</v>
      </c>
      <c r="D209" s="13">
        <v>0.2</v>
      </c>
      <c r="F209" s="9"/>
    </row>
    <row r="210" ht="62" spans="1:7">
      <c r="A210" s="6" t="s">
        <v>493</v>
      </c>
      <c r="B210" s="3" t="s">
        <v>494</v>
      </c>
      <c r="C210" s="4" t="s">
        <v>12</v>
      </c>
      <c r="D210" s="7">
        <v>392.15</v>
      </c>
      <c r="E210" s="8" t="s">
        <v>7468</v>
      </c>
      <c r="F210" s="9">
        <f t="array" ref="F210">VALUE(_wpsfn.REGEXP(E210,"\d+(\.\d+)?"))</f>
        <v>0.84</v>
      </c>
      <c r="G210" s="8" t="s">
        <v>7469</v>
      </c>
    </row>
    <row r="211" ht="15.5" spans="1:7">
      <c r="A211" s="6" t="s">
        <v>497</v>
      </c>
      <c r="B211" s="3" t="s">
        <v>498</v>
      </c>
      <c r="C211" s="4" t="s">
        <v>49</v>
      </c>
      <c r="D211" s="7">
        <v>208.55</v>
      </c>
      <c r="E211" s="8" t="s">
        <v>7470</v>
      </c>
      <c r="F211" s="9">
        <f t="array" ref="F211">VALUE(_wpsfn.REGEXP(E211,"\d+(\.\d+)?"))</f>
        <v>120</v>
      </c>
      <c r="G211" s="8" t="s">
        <v>7471</v>
      </c>
    </row>
    <row r="212" ht="15.5" spans="1:7">
      <c r="A212" s="6" t="s">
        <v>499</v>
      </c>
      <c r="B212" s="3" t="s">
        <v>500</v>
      </c>
      <c r="C212" s="4" t="s">
        <v>12</v>
      </c>
      <c r="D212" s="7">
        <v>879.05</v>
      </c>
      <c r="E212" s="8" t="s">
        <v>7472</v>
      </c>
      <c r="F212" s="9">
        <f t="array" ref="F212">VALUE(_wpsfn.REGEXP(E212,"\d+(\.\d+)?"))</f>
        <v>40</v>
      </c>
      <c r="G212" s="8" t="s">
        <v>7473</v>
      </c>
    </row>
    <row r="213" ht="15.5" spans="1:7">
      <c r="A213" s="6" t="s">
        <v>501</v>
      </c>
      <c r="B213" s="3" t="s">
        <v>502</v>
      </c>
      <c r="C213" s="4" t="s">
        <v>12</v>
      </c>
      <c r="D213" s="7">
        <v>856.8</v>
      </c>
      <c r="E213" s="8" t="s">
        <v>7474</v>
      </c>
      <c r="F213" s="9">
        <f t="array" ref="F213">VALUE(_wpsfn.REGEXP(E213,"\d+(\.\d+)?"))</f>
        <v>4</v>
      </c>
      <c r="G213" s="8" t="s">
        <v>7475</v>
      </c>
    </row>
    <row r="214" ht="62" spans="1:7">
      <c r="A214" s="6" t="s">
        <v>503</v>
      </c>
      <c r="B214" s="3" t="s">
        <v>504</v>
      </c>
      <c r="C214" s="4" t="s">
        <v>12</v>
      </c>
      <c r="D214" s="7">
        <v>964.85</v>
      </c>
      <c r="E214" s="8" t="s">
        <v>7476</v>
      </c>
      <c r="F214" s="9">
        <f t="array" ref="F214">VALUE(_wpsfn.REGEXP(E214,"\d+(\.\d+)?"))</f>
        <v>25.25</v>
      </c>
      <c r="G214" s="8" t="s">
        <v>7477</v>
      </c>
    </row>
    <row r="215" ht="31" spans="1:7">
      <c r="A215" s="6" t="s">
        <v>505</v>
      </c>
      <c r="B215" s="3" t="s">
        <v>506</v>
      </c>
      <c r="C215" s="4" t="s">
        <v>12</v>
      </c>
      <c r="D215" s="7">
        <v>951.1</v>
      </c>
      <c r="E215" s="8" t="s">
        <v>7478</v>
      </c>
      <c r="F215" s="9">
        <f t="array" ref="F215">VALUE(_wpsfn.REGEXP(E215,"\d+(\.\d+)?"))</f>
        <v>9.54</v>
      </c>
      <c r="G215" s="8" t="s">
        <v>7479</v>
      </c>
    </row>
    <row r="216" ht="46.5" spans="1:7">
      <c r="A216" s="6" t="s">
        <v>507</v>
      </c>
      <c r="B216" s="3" t="s">
        <v>508</v>
      </c>
      <c r="C216" s="4" t="s">
        <v>12</v>
      </c>
      <c r="D216" s="7">
        <v>1028.4</v>
      </c>
      <c r="E216" s="8" t="s">
        <v>7446</v>
      </c>
      <c r="F216" s="9">
        <f t="array" ref="F216">VALUE(_wpsfn.REGEXP(E216,"\d+(\.\d+)?"))</f>
        <v>135</v>
      </c>
      <c r="G216" s="8" t="s">
        <v>7480</v>
      </c>
    </row>
    <row r="217" ht="46.5" spans="1:7">
      <c r="A217" s="6" t="s">
        <v>509</v>
      </c>
      <c r="B217" s="3" t="s">
        <v>510</v>
      </c>
      <c r="C217" s="4" t="s">
        <v>12</v>
      </c>
      <c r="D217" s="7">
        <v>841.95</v>
      </c>
      <c r="E217" s="8" t="s">
        <v>7449</v>
      </c>
      <c r="F217" s="9">
        <f t="array" ref="F217">VALUE(_wpsfn.REGEXP(E217,"\d+(\.\d+)?"))</f>
        <v>78</v>
      </c>
      <c r="G217" s="8" t="s">
        <v>7481</v>
      </c>
    </row>
    <row r="218" ht="31" spans="1:7">
      <c r="A218" s="6" t="s">
        <v>513</v>
      </c>
      <c r="B218" s="3" t="s">
        <v>514</v>
      </c>
      <c r="C218" s="4" t="s">
        <v>515</v>
      </c>
      <c r="D218" s="7">
        <v>156.05</v>
      </c>
      <c r="E218" s="8" t="s">
        <v>7482</v>
      </c>
      <c r="F218" s="9">
        <f t="array" ref="F218">VALUE(_wpsfn.REGEXP(E218,"\d+(\.\d+)?"))</f>
        <v>24</v>
      </c>
      <c r="G218" s="8" t="s">
        <v>7483</v>
      </c>
    </row>
    <row r="219" ht="31" spans="1:7">
      <c r="A219" s="6" t="s">
        <v>516</v>
      </c>
      <c r="B219" s="3" t="s">
        <v>517</v>
      </c>
      <c r="C219" s="4" t="s">
        <v>515</v>
      </c>
      <c r="D219" s="7">
        <v>170.25</v>
      </c>
      <c r="E219" s="8" t="s">
        <v>7482</v>
      </c>
      <c r="F219" s="9">
        <f t="array" ref="F219">VALUE(_wpsfn.REGEXP(E219,"\d+(\.\d+)?"))</f>
        <v>24</v>
      </c>
      <c r="G219" s="8" t="s">
        <v>7483</v>
      </c>
    </row>
    <row r="220" ht="31" spans="1:7">
      <c r="A220" s="6" t="s">
        <v>518</v>
      </c>
      <c r="B220" s="3" t="s">
        <v>519</v>
      </c>
      <c r="C220" s="4" t="s">
        <v>515</v>
      </c>
      <c r="D220" s="7">
        <v>184.5</v>
      </c>
      <c r="E220" s="8" t="s">
        <v>7482</v>
      </c>
      <c r="F220" s="9">
        <f t="array" ref="F220">VALUE(_wpsfn.REGEXP(E220,"\d+(\.\d+)?"))</f>
        <v>24</v>
      </c>
      <c r="G220" s="8" t="s">
        <v>7483</v>
      </c>
    </row>
    <row r="221" ht="31" spans="1:7">
      <c r="A221" s="6" t="s">
        <v>520</v>
      </c>
      <c r="B221" s="3" t="s">
        <v>521</v>
      </c>
      <c r="C221" s="4" t="s">
        <v>515</v>
      </c>
      <c r="D221" s="7">
        <v>201.55</v>
      </c>
      <c r="E221" s="8" t="s">
        <v>7482</v>
      </c>
      <c r="F221" s="9">
        <f t="array" ref="F221">VALUE(_wpsfn.REGEXP(E221,"\d+(\.\d+)?"))</f>
        <v>24</v>
      </c>
      <c r="G221" s="8" t="s">
        <v>7483</v>
      </c>
    </row>
    <row r="222" ht="31" spans="1:7">
      <c r="A222" s="6" t="s">
        <v>524</v>
      </c>
      <c r="B222" s="3" t="s">
        <v>525</v>
      </c>
      <c r="C222" s="4" t="s">
        <v>12</v>
      </c>
      <c r="D222" s="7">
        <v>384.3</v>
      </c>
      <c r="E222" s="8" t="s">
        <v>7484</v>
      </c>
      <c r="F222" s="9">
        <f t="array" ref="F222">VALUE(_wpsfn.REGEXP(E222,"\d+(\.\d+)?"))</f>
        <v>288</v>
      </c>
      <c r="G222" s="8" t="s">
        <v>7485</v>
      </c>
    </row>
    <row r="223" ht="186" spans="1:7">
      <c r="A223" s="6" t="s">
        <v>527</v>
      </c>
      <c r="B223" s="12" t="s">
        <v>528</v>
      </c>
      <c r="C223" s="4" t="s">
        <v>16</v>
      </c>
      <c r="D223" s="7">
        <v>10585.9</v>
      </c>
      <c r="E223" s="8" t="s">
        <v>7392</v>
      </c>
      <c r="F223" s="9">
        <f t="array" ref="F223">VALUE(_wpsfn.REGEXP(E223,"\d+(\.\d+)?"))</f>
        <v>1</v>
      </c>
      <c r="G223" s="8" t="s">
        <v>7393</v>
      </c>
    </row>
    <row r="224" ht="217" spans="1:7">
      <c r="A224" s="6" t="s">
        <v>529</v>
      </c>
      <c r="B224" s="12" t="s">
        <v>530</v>
      </c>
      <c r="C224" s="4" t="s">
        <v>16</v>
      </c>
      <c r="D224" s="7">
        <v>10416.75</v>
      </c>
      <c r="E224" s="8" t="s">
        <v>7394</v>
      </c>
      <c r="F224" s="9">
        <f t="array" ref="F224">VALUE(_wpsfn.REGEXP(E224,"\d+(\.\d+)?"))</f>
        <v>1</v>
      </c>
      <c r="G224" s="8" t="s">
        <v>7395</v>
      </c>
    </row>
    <row r="225" ht="170.5" spans="1:7">
      <c r="A225" s="6" t="s">
        <v>531</v>
      </c>
      <c r="B225" s="12" t="s">
        <v>532</v>
      </c>
      <c r="C225" s="4" t="s">
        <v>16</v>
      </c>
      <c r="D225" s="7">
        <v>14325.95</v>
      </c>
      <c r="E225" s="8" t="s">
        <v>7486</v>
      </c>
      <c r="F225" s="9">
        <f t="array" ref="F225">VALUE(_wpsfn.REGEXP(E225,"\d+(\.\d+)?"))</f>
        <v>0.054</v>
      </c>
      <c r="G225" s="8" t="s">
        <v>7487</v>
      </c>
    </row>
    <row r="226" ht="201.5" spans="1:7">
      <c r="A226" s="6" t="s">
        <v>533</v>
      </c>
      <c r="B226" s="12" t="s">
        <v>534</v>
      </c>
      <c r="C226" s="4" t="s">
        <v>16</v>
      </c>
      <c r="D226" s="7">
        <v>14155.35</v>
      </c>
      <c r="E226" s="8" t="s">
        <v>7488</v>
      </c>
      <c r="F226" s="9">
        <f t="array" ref="F226">VALUE(_wpsfn.REGEXP(E226,"\d+(\.\d+)?"))</f>
        <v>0.054</v>
      </c>
      <c r="G226" s="8" t="s">
        <v>7489</v>
      </c>
    </row>
    <row r="227" ht="186" spans="1:7">
      <c r="A227" s="6" t="s">
        <v>535</v>
      </c>
      <c r="B227" s="12" t="s">
        <v>536</v>
      </c>
      <c r="C227" s="4" t="s">
        <v>16</v>
      </c>
      <c r="D227" s="7">
        <v>18234.95</v>
      </c>
      <c r="E227" s="8" t="s">
        <v>7490</v>
      </c>
      <c r="F227" s="9">
        <f t="array" ref="F227">VALUE(_wpsfn.REGEXP(E227,"\d+(\.\d+)?"))</f>
        <v>0.3</v>
      </c>
      <c r="G227" s="8" t="s">
        <v>7491</v>
      </c>
    </row>
    <row r="228" ht="217" spans="1:7">
      <c r="A228" s="6" t="s">
        <v>537</v>
      </c>
      <c r="B228" s="12" t="s">
        <v>538</v>
      </c>
      <c r="C228" s="4" t="s">
        <v>16</v>
      </c>
      <c r="D228" s="7">
        <v>18064.15</v>
      </c>
      <c r="E228" s="8" t="s">
        <v>7492</v>
      </c>
      <c r="F228" s="9">
        <f t="array" ref="F228">VALUE(_wpsfn.REGEXP(E228,"\d+(\.\d+)?"))</f>
        <v>0.3</v>
      </c>
      <c r="G228" s="8" t="s">
        <v>7493</v>
      </c>
    </row>
    <row r="229" ht="186" spans="1:7">
      <c r="A229" s="6" t="s">
        <v>539</v>
      </c>
      <c r="B229" s="12" t="s">
        <v>540</v>
      </c>
      <c r="C229" s="4" t="s">
        <v>16</v>
      </c>
      <c r="D229" s="7">
        <v>13899.2</v>
      </c>
      <c r="E229" s="8" t="s">
        <v>7494</v>
      </c>
      <c r="F229" s="9">
        <f t="array" ref="F229">VALUE(_wpsfn.REGEXP(E229,"\d+(\.\d+)?"))</f>
        <v>9.9</v>
      </c>
      <c r="G229" s="8" t="s">
        <v>7495</v>
      </c>
    </row>
    <row r="230" ht="217" spans="1:7">
      <c r="A230" s="6" t="s">
        <v>541</v>
      </c>
      <c r="B230" s="12" t="s">
        <v>542</v>
      </c>
      <c r="C230" s="4" t="s">
        <v>16</v>
      </c>
      <c r="D230" s="7">
        <v>13728.4</v>
      </c>
      <c r="E230" s="8" t="s">
        <v>7494</v>
      </c>
      <c r="F230" s="9">
        <f t="array" ref="F230">VALUE(_wpsfn.REGEXP(E230,"\d+(\.\d+)?"))</f>
        <v>9.9</v>
      </c>
      <c r="G230" s="8" t="s">
        <v>7496</v>
      </c>
    </row>
    <row r="231" ht="201.5" spans="1:7">
      <c r="A231" s="6" t="s">
        <v>543</v>
      </c>
      <c r="B231" s="12" t="s">
        <v>544</v>
      </c>
      <c r="C231" s="4" t="s">
        <v>16</v>
      </c>
      <c r="D231" s="7">
        <v>20355.8</v>
      </c>
      <c r="E231" s="8" t="s">
        <v>7497</v>
      </c>
      <c r="F231" s="9">
        <f t="array" ref="F231">VALUE(_wpsfn.REGEXP(E231,"\d+(\.\d+)?"))</f>
        <v>0.162</v>
      </c>
      <c r="G231" s="8" t="s">
        <v>7498</v>
      </c>
    </row>
    <row r="232" ht="232.5" spans="1:7">
      <c r="A232" s="6" t="s">
        <v>545</v>
      </c>
      <c r="B232" s="12" t="s">
        <v>546</v>
      </c>
      <c r="C232" s="4" t="s">
        <v>16</v>
      </c>
      <c r="D232" s="7">
        <v>20185</v>
      </c>
      <c r="E232" s="8" t="s">
        <v>7497</v>
      </c>
      <c r="F232" s="9">
        <f t="array" ref="F232">VALUE(_wpsfn.REGEXP(E232,"\d+(\.\d+)?"))</f>
        <v>0.162</v>
      </c>
      <c r="G232" s="8" t="s">
        <v>7499</v>
      </c>
    </row>
    <row r="233" ht="201.5" spans="1:7">
      <c r="A233" s="6" t="s">
        <v>547</v>
      </c>
      <c r="B233" s="12" t="s">
        <v>548</v>
      </c>
      <c r="C233" s="4" t="s">
        <v>16</v>
      </c>
      <c r="D233" s="7">
        <v>12043.35</v>
      </c>
      <c r="E233" s="8" t="s">
        <v>7442</v>
      </c>
      <c r="F233" s="9">
        <f t="array" ref="F233">VALUE(_wpsfn.REGEXP(E233,"\d+(\.\d+)?"))</f>
        <v>6.6</v>
      </c>
      <c r="G233" s="8" t="s">
        <v>7500</v>
      </c>
    </row>
    <row r="234" ht="232.5" spans="1:7">
      <c r="A234" s="6" t="s">
        <v>549</v>
      </c>
      <c r="B234" s="12" t="s">
        <v>7501</v>
      </c>
      <c r="C234" s="4" t="s">
        <v>16</v>
      </c>
      <c r="D234" s="7">
        <v>11872.55</v>
      </c>
      <c r="E234" s="8" t="s">
        <v>7442</v>
      </c>
      <c r="F234" s="9">
        <f t="array" ref="F234">VALUE(_wpsfn.REGEXP(E234,"\d+(\.\d+)?"))</f>
        <v>6.6</v>
      </c>
      <c r="G234" s="8" t="s">
        <v>7502</v>
      </c>
    </row>
    <row r="235" ht="15.5" spans="1:7">
      <c r="A235" s="6" t="s">
        <v>553</v>
      </c>
      <c r="B235" s="3" t="s">
        <v>554</v>
      </c>
      <c r="C235" s="4" t="s">
        <v>12</v>
      </c>
      <c r="D235" s="7">
        <v>1886.9</v>
      </c>
      <c r="E235" s="8" t="s">
        <v>7503</v>
      </c>
      <c r="F235" s="9">
        <f t="array" ref="F235">VALUE(_wpsfn.REGEXP(E235,"\d+(\.\d+)?"))</f>
        <v>1.5</v>
      </c>
      <c r="G235" s="8" t="s">
        <v>7504</v>
      </c>
    </row>
    <row r="236" ht="15.5" spans="1:7">
      <c r="A236" s="6" t="s">
        <v>555</v>
      </c>
      <c r="B236" s="3" t="s">
        <v>556</v>
      </c>
      <c r="C236" s="4" t="s">
        <v>12</v>
      </c>
      <c r="D236" s="7">
        <v>1706.55</v>
      </c>
      <c r="E236" s="8" t="s">
        <v>7505</v>
      </c>
      <c r="F236" s="9">
        <f t="array" ref="F236">VALUE(_wpsfn.REGEXP(E236,"\d+(\.\d+)?"))</f>
        <v>0.72</v>
      </c>
      <c r="G236" s="8" t="s">
        <v>7506</v>
      </c>
    </row>
    <row r="237" ht="15.5" spans="1:7">
      <c r="A237" s="6" t="s">
        <v>557</v>
      </c>
      <c r="B237" s="3" t="s">
        <v>558</v>
      </c>
      <c r="C237" s="4" t="s">
        <v>12</v>
      </c>
      <c r="D237" s="7">
        <v>1539</v>
      </c>
      <c r="E237" s="8" t="s">
        <v>7507</v>
      </c>
      <c r="F237" s="9">
        <f t="array" ref="F237">VALUE(_wpsfn.REGEXP(E237,"\d+(\.\d+)?"))</f>
        <v>0.375</v>
      </c>
      <c r="G237" s="8" t="s">
        <v>7508</v>
      </c>
    </row>
    <row r="238" ht="139.5" spans="1:7">
      <c r="A238" s="6" t="s">
        <v>560</v>
      </c>
      <c r="B238" s="12" t="s">
        <v>561</v>
      </c>
      <c r="C238" s="4" t="s">
        <v>16</v>
      </c>
      <c r="D238" s="7">
        <v>16089.4</v>
      </c>
      <c r="E238" s="8" t="s">
        <v>7509</v>
      </c>
      <c r="F238" s="9">
        <f t="array" ref="F238">VALUE(_wpsfn.REGEXP(E238,"\d+(\.\d+)?"))</f>
        <v>0.424</v>
      </c>
      <c r="G238" s="8" t="s">
        <v>7510</v>
      </c>
    </row>
    <row r="239" ht="155" spans="1:7">
      <c r="A239" s="6" t="s">
        <v>562</v>
      </c>
      <c r="B239" s="12" t="s">
        <v>7511</v>
      </c>
      <c r="C239" s="4" t="s">
        <v>16</v>
      </c>
      <c r="D239" s="7">
        <v>15918.6</v>
      </c>
      <c r="E239" s="8" t="s">
        <v>7509</v>
      </c>
      <c r="F239" s="9">
        <f t="array" ref="F239">VALUE(_wpsfn.REGEXP(E239,"\d+(\.\d+)?"))</f>
        <v>0.424</v>
      </c>
      <c r="G239" s="8" t="s">
        <v>7512</v>
      </c>
    </row>
    <row r="240" ht="124" spans="1:7">
      <c r="A240" s="6" t="s">
        <v>564</v>
      </c>
      <c r="B240" s="12" t="s">
        <v>565</v>
      </c>
      <c r="C240" s="4" t="s">
        <v>16</v>
      </c>
      <c r="D240" s="7">
        <v>9663.25</v>
      </c>
      <c r="E240" s="8" t="s">
        <v>7513</v>
      </c>
      <c r="F240" s="9">
        <f t="array" ref="F240">VALUE(_wpsfn.REGEXP(E240,"\d+(\.\d+)?"))</f>
        <v>12.25</v>
      </c>
      <c r="G240" s="8" t="s">
        <v>7514</v>
      </c>
    </row>
    <row r="241" ht="155" spans="1:7">
      <c r="A241" s="6" t="s">
        <v>566</v>
      </c>
      <c r="B241" s="12" t="s">
        <v>7515</v>
      </c>
      <c r="C241" s="4" t="s">
        <v>16</v>
      </c>
      <c r="D241" s="7">
        <v>9492.45</v>
      </c>
      <c r="E241" s="8" t="s">
        <v>7516</v>
      </c>
      <c r="F241" s="9">
        <f t="array" ref="F241">VALUE(_wpsfn.REGEXP(E241,"\d+(\.\d+)?"))</f>
        <v>12.25</v>
      </c>
      <c r="G241" s="8" t="s">
        <v>7517</v>
      </c>
    </row>
    <row r="242" ht="93" spans="1:7">
      <c r="A242" s="6" t="s">
        <v>568</v>
      </c>
      <c r="B242" s="12" t="s">
        <v>569</v>
      </c>
      <c r="C242" s="4" t="s">
        <v>12</v>
      </c>
      <c r="D242" s="7">
        <v>485.05</v>
      </c>
      <c r="E242" s="8" t="s">
        <v>7397</v>
      </c>
      <c r="F242" s="9">
        <f t="array" ref="F242">VALUE(_wpsfn.REGEXP(E242,"\d+(\.\d+)?"))</f>
        <v>10</v>
      </c>
      <c r="G242" s="8" t="s">
        <v>7413</v>
      </c>
    </row>
    <row r="243" ht="15.5" spans="1:7">
      <c r="A243" s="6" t="s">
        <v>573</v>
      </c>
      <c r="B243" s="3" t="s">
        <v>574</v>
      </c>
      <c r="C243" s="4" t="s">
        <v>575</v>
      </c>
      <c r="D243" s="7">
        <v>107.1</v>
      </c>
      <c r="E243" s="8" t="s">
        <v>7518</v>
      </c>
      <c r="F243" s="9">
        <v>100</v>
      </c>
      <c r="G243" s="8" t="s">
        <v>7519</v>
      </c>
    </row>
    <row r="244" ht="15.5" spans="1:7">
      <c r="A244" s="6" t="s">
        <v>576</v>
      </c>
      <c r="B244" s="3" t="s">
        <v>577</v>
      </c>
      <c r="C244" s="4" t="s">
        <v>575</v>
      </c>
      <c r="D244" s="7">
        <v>95.8</v>
      </c>
      <c r="E244" s="8" t="s">
        <v>7518</v>
      </c>
      <c r="F244" s="9">
        <v>100</v>
      </c>
      <c r="G244" s="8" t="s">
        <v>7519</v>
      </c>
    </row>
    <row r="245" ht="15.5" spans="1:7">
      <c r="A245" s="6" t="s">
        <v>578</v>
      </c>
      <c r="B245" s="3" t="s">
        <v>579</v>
      </c>
      <c r="C245" s="4" t="s">
        <v>575</v>
      </c>
      <c r="D245" s="7">
        <v>107.85</v>
      </c>
      <c r="E245" s="8" t="s">
        <v>7518</v>
      </c>
      <c r="F245" s="9">
        <v>100</v>
      </c>
      <c r="G245" s="8" t="s">
        <v>7519</v>
      </c>
    </row>
    <row r="246" ht="15.5" spans="1:7">
      <c r="A246" s="6" t="s">
        <v>580</v>
      </c>
      <c r="B246" s="3" t="s">
        <v>581</v>
      </c>
      <c r="C246" s="4" t="s">
        <v>575</v>
      </c>
      <c r="D246" s="7">
        <v>107.85</v>
      </c>
      <c r="E246" s="8" t="s">
        <v>7518</v>
      </c>
      <c r="F246" s="9">
        <v>100</v>
      </c>
      <c r="G246" s="8" t="s">
        <v>7519</v>
      </c>
    </row>
    <row r="247" ht="15.5" spans="1:7">
      <c r="A247" s="6" t="s">
        <v>582</v>
      </c>
      <c r="B247" s="3" t="s">
        <v>583</v>
      </c>
      <c r="C247" s="4" t="s">
        <v>575</v>
      </c>
      <c r="D247" s="7">
        <v>102.2</v>
      </c>
      <c r="E247" s="8" t="s">
        <v>7518</v>
      </c>
      <c r="F247" s="9">
        <v>100</v>
      </c>
      <c r="G247" s="8" t="s">
        <v>7519</v>
      </c>
    </row>
    <row r="248" ht="31" spans="1:7">
      <c r="A248" s="6" t="s">
        <v>584</v>
      </c>
      <c r="B248" s="3" t="s">
        <v>585</v>
      </c>
      <c r="C248" s="4" t="s">
        <v>575</v>
      </c>
      <c r="D248" s="7">
        <v>107.85</v>
      </c>
      <c r="E248" s="8" t="s">
        <v>7518</v>
      </c>
      <c r="F248" s="9">
        <v>100</v>
      </c>
      <c r="G248" s="8" t="s">
        <v>7519</v>
      </c>
    </row>
    <row r="249" ht="15.5" spans="1:7">
      <c r="A249" s="6" t="s">
        <v>588</v>
      </c>
      <c r="B249" s="3" t="s">
        <v>574</v>
      </c>
      <c r="C249" s="4" t="s">
        <v>575</v>
      </c>
      <c r="D249" s="7">
        <v>107.1</v>
      </c>
      <c r="E249" s="8" t="s">
        <v>7518</v>
      </c>
      <c r="F249" s="9">
        <v>100</v>
      </c>
      <c r="G249" s="8" t="s">
        <v>7519</v>
      </c>
    </row>
    <row r="250" ht="15.5" spans="1:7">
      <c r="A250" s="6" t="s">
        <v>589</v>
      </c>
      <c r="B250" s="3" t="s">
        <v>577</v>
      </c>
      <c r="C250" s="4" t="s">
        <v>575</v>
      </c>
      <c r="D250" s="7">
        <v>95.8</v>
      </c>
      <c r="E250" s="8" t="s">
        <v>7518</v>
      </c>
      <c r="F250" s="9">
        <v>100</v>
      </c>
      <c r="G250" s="8" t="s">
        <v>7519</v>
      </c>
    </row>
    <row r="251" ht="15.5" spans="1:7">
      <c r="A251" s="6" t="s">
        <v>590</v>
      </c>
      <c r="B251" s="3" t="s">
        <v>579</v>
      </c>
      <c r="C251" s="4" t="s">
        <v>575</v>
      </c>
      <c r="D251" s="7">
        <v>107.85</v>
      </c>
      <c r="E251" s="8" t="s">
        <v>7518</v>
      </c>
      <c r="F251" s="9">
        <v>100</v>
      </c>
      <c r="G251" s="8" t="s">
        <v>7519</v>
      </c>
    </row>
    <row r="252" ht="15.5" spans="1:7">
      <c r="A252" s="6" t="s">
        <v>591</v>
      </c>
      <c r="B252" s="3" t="s">
        <v>581</v>
      </c>
      <c r="C252" s="4" t="s">
        <v>575</v>
      </c>
      <c r="D252" s="7">
        <v>107.85</v>
      </c>
      <c r="E252" s="8" t="s">
        <v>7518</v>
      </c>
      <c r="F252" s="9">
        <v>100</v>
      </c>
      <c r="G252" s="8" t="s">
        <v>7519</v>
      </c>
    </row>
    <row r="253" ht="15.5" spans="1:7">
      <c r="A253" s="6" t="s">
        <v>592</v>
      </c>
      <c r="B253" s="3" t="s">
        <v>583</v>
      </c>
      <c r="C253" s="4" t="s">
        <v>575</v>
      </c>
      <c r="D253" s="7">
        <v>102.2</v>
      </c>
      <c r="E253" s="8" t="s">
        <v>7518</v>
      </c>
      <c r="F253" s="9">
        <v>100</v>
      </c>
      <c r="G253" s="8" t="s">
        <v>7519</v>
      </c>
    </row>
    <row r="254" ht="31" spans="1:7">
      <c r="A254" s="6" t="s">
        <v>593</v>
      </c>
      <c r="B254" s="3" t="s">
        <v>585</v>
      </c>
      <c r="C254" s="4" t="s">
        <v>575</v>
      </c>
      <c r="D254" s="7">
        <v>107.85</v>
      </c>
      <c r="E254" s="8" t="s">
        <v>7518</v>
      </c>
      <c r="F254" s="9">
        <v>100</v>
      </c>
      <c r="G254" s="8" t="s">
        <v>7519</v>
      </c>
    </row>
    <row r="255" ht="31" spans="1:7">
      <c r="A255" s="6" t="s">
        <v>596</v>
      </c>
      <c r="B255" s="3" t="s">
        <v>585</v>
      </c>
      <c r="C255" s="4" t="s">
        <v>575</v>
      </c>
      <c r="D255" s="7">
        <v>99.65</v>
      </c>
      <c r="E255" s="8" t="s">
        <v>7518</v>
      </c>
      <c r="F255" s="9">
        <v>100</v>
      </c>
      <c r="G255" s="8" t="s">
        <v>7519</v>
      </c>
    </row>
    <row r="256" ht="31" spans="1:7">
      <c r="A256" s="6" t="s">
        <v>599</v>
      </c>
      <c r="B256" s="3" t="s">
        <v>585</v>
      </c>
      <c r="C256" s="4" t="s">
        <v>575</v>
      </c>
      <c r="D256" s="7">
        <v>99.65</v>
      </c>
      <c r="E256" s="8" t="s">
        <v>7518</v>
      </c>
      <c r="F256" s="9">
        <v>100</v>
      </c>
      <c r="G256" s="8" t="s">
        <v>7519</v>
      </c>
    </row>
    <row r="257" ht="46.5" spans="1:7">
      <c r="A257" s="6" t="s">
        <v>600</v>
      </c>
      <c r="B257" s="12" t="s">
        <v>601</v>
      </c>
      <c r="C257" s="4" t="s">
        <v>12</v>
      </c>
      <c r="D257" s="7">
        <v>300.45</v>
      </c>
      <c r="E257" s="8" t="s">
        <v>7397</v>
      </c>
      <c r="F257" s="9">
        <f t="array" ref="F257">VALUE(_wpsfn.REGEXP(E257,"\d+(\.\d+)?"))</f>
        <v>10</v>
      </c>
      <c r="G257" s="8" t="s">
        <v>7417</v>
      </c>
    </row>
    <row r="258" ht="170.5" spans="1:7">
      <c r="A258" s="6" t="s">
        <v>602</v>
      </c>
      <c r="B258" s="12" t="s">
        <v>603</v>
      </c>
      <c r="C258" s="4" t="s">
        <v>12</v>
      </c>
      <c r="D258" s="7">
        <v>150.5</v>
      </c>
      <c r="E258" s="8" t="s">
        <v>7332</v>
      </c>
      <c r="F258" s="9">
        <f t="array" ref="F258">VALUE(_wpsfn.REGEXP(E258,"\d+(\.\d+)?"))</f>
        <v>100</v>
      </c>
      <c r="G258" s="8" t="s">
        <v>7520</v>
      </c>
    </row>
    <row r="259" ht="31" spans="1:7">
      <c r="A259" s="6" t="s">
        <v>604</v>
      </c>
      <c r="B259" s="12" t="s">
        <v>605</v>
      </c>
      <c r="C259" s="4" t="s">
        <v>575</v>
      </c>
      <c r="D259" s="7">
        <v>811.85</v>
      </c>
      <c r="E259" s="8" t="s">
        <v>7521</v>
      </c>
      <c r="F259" s="9">
        <f t="array" ref="F259">VALUE(_wpsfn.REGEXP(E259,"\d+(\.\d+)?"))</f>
        <v>10.56</v>
      </c>
      <c r="G259" s="8" t="s">
        <v>7522</v>
      </c>
    </row>
    <row r="260" ht="31" spans="1:7">
      <c r="A260" s="6" t="s">
        <v>606</v>
      </c>
      <c r="B260" s="12" t="s">
        <v>607</v>
      </c>
      <c r="C260" s="4" t="s">
        <v>16</v>
      </c>
      <c r="D260" s="7">
        <v>74854.65</v>
      </c>
      <c r="E260" s="8" t="s">
        <v>7523</v>
      </c>
      <c r="F260" s="9">
        <f t="array" ref="F260">VALUE(_wpsfn.REGEXP(E260,"\d+(\.\d+)?"))</f>
        <v>1.125</v>
      </c>
      <c r="G260" s="8" t="s">
        <v>7524</v>
      </c>
    </row>
    <row r="261" ht="62" spans="1:7">
      <c r="A261" s="6" t="s">
        <v>608</v>
      </c>
      <c r="B261" s="12" t="s">
        <v>609</v>
      </c>
      <c r="C261" s="4" t="s">
        <v>16</v>
      </c>
      <c r="D261" s="7">
        <v>28212.6</v>
      </c>
      <c r="E261" s="8" t="s">
        <v>7525</v>
      </c>
      <c r="F261" s="9">
        <f t="array" ref="F261">VALUE(_wpsfn.REGEXP(E261,"\d+(\.\d+)?"))</f>
        <v>11.25</v>
      </c>
      <c r="G261" s="8" t="s">
        <v>7526</v>
      </c>
    </row>
    <row r="262" ht="77.5" spans="1:7">
      <c r="A262" s="6" t="s">
        <v>610</v>
      </c>
      <c r="B262" s="12" t="s">
        <v>611</v>
      </c>
      <c r="C262" s="4" t="s">
        <v>612</v>
      </c>
      <c r="D262" s="7">
        <v>655.75</v>
      </c>
      <c r="E262" s="8" t="s">
        <v>7527</v>
      </c>
      <c r="F262" s="9">
        <v>10</v>
      </c>
      <c r="G262" s="8" t="s">
        <v>7528</v>
      </c>
    </row>
    <row r="263" ht="15.5" spans="1:7">
      <c r="A263" s="6" t="s">
        <v>617</v>
      </c>
      <c r="B263" s="3" t="s">
        <v>618</v>
      </c>
      <c r="C263" s="4" t="s">
        <v>49</v>
      </c>
      <c r="D263" s="7">
        <v>245.45</v>
      </c>
      <c r="E263" s="8" t="s">
        <v>7529</v>
      </c>
      <c r="F263" s="9">
        <f t="array" ref="F263">VALUE(_wpsfn.REGEXP(E263,"\d+(\.\d+)?"))</f>
        <v>3</v>
      </c>
      <c r="G263" s="8" t="s">
        <v>7530</v>
      </c>
    </row>
    <row r="264" ht="15.5" spans="1:7">
      <c r="A264" s="6" t="s">
        <v>619</v>
      </c>
      <c r="B264" s="3" t="s">
        <v>620</v>
      </c>
      <c r="C264" s="4" t="s">
        <v>49</v>
      </c>
      <c r="D264" s="7">
        <v>330.2</v>
      </c>
      <c r="E264" s="8" t="s">
        <v>7529</v>
      </c>
      <c r="F264" s="9">
        <f t="array" ref="F264">VALUE(_wpsfn.REGEXP(E264,"\d+(\.\d+)?"))</f>
        <v>3</v>
      </c>
      <c r="G264" s="8" t="s">
        <v>7530</v>
      </c>
    </row>
    <row r="265" ht="15.5" spans="1:7">
      <c r="A265" s="6" t="s">
        <v>623</v>
      </c>
      <c r="B265" s="3" t="s">
        <v>624</v>
      </c>
      <c r="C265" s="4" t="s">
        <v>49</v>
      </c>
      <c r="D265" s="7">
        <v>567.6</v>
      </c>
      <c r="E265" s="8" t="s">
        <v>7531</v>
      </c>
      <c r="F265" s="9">
        <f t="array" ref="F265">VALUE(_wpsfn.REGEXP(E265,"\d+(\.\d+)?"))</f>
        <v>1</v>
      </c>
      <c r="G265" s="8" t="s">
        <v>7532</v>
      </c>
    </row>
    <row r="266" ht="15.5" spans="1:7">
      <c r="A266" s="6" t="s">
        <v>625</v>
      </c>
      <c r="B266" s="3" t="s">
        <v>626</v>
      </c>
      <c r="C266" s="4" t="s">
        <v>49</v>
      </c>
      <c r="D266" s="7">
        <v>753.85</v>
      </c>
      <c r="E266" s="8" t="s">
        <v>7531</v>
      </c>
      <c r="F266" s="9">
        <f t="array" ref="F266">VALUE(_wpsfn.REGEXP(E266,"\d+(\.\d+)?"))</f>
        <v>1</v>
      </c>
      <c r="G266" s="8" t="s">
        <v>7532</v>
      </c>
    </row>
    <row r="267" ht="15.5" spans="1:7">
      <c r="A267" s="6" t="s">
        <v>629</v>
      </c>
      <c r="B267" s="3" t="s">
        <v>624</v>
      </c>
      <c r="C267" s="4" t="s">
        <v>49</v>
      </c>
      <c r="D267" s="7">
        <v>237.4</v>
      </c>
      <c r="E267" s="8" t="s">
        <v>7529</v>
      </c>
      <c r="F267" s="9">
        <f t="array" ref="F267">VALUE(_wpsfn.REGEXP(E267,"\d+(\.\d+)?"))</f>
        <v>3</v>
      </c>
      <c r="G267" s="8" t="s">
        <v>7533</v>
      </c>
    </row>
    <row r="268" ht="15.5" spans="1:7">
      <c r="A268" s="6" t="s">
        <v>630</v>
      </c>
      <c r="B268" s="3" t="s">
        <v>626</v>
      </c>
      <c r="C268" s="4" t="s">
        <v>49</v>
      </c>
      <c r="D268" s="7">
        <v>319.4</v>
      </c>
      <c r="E268" s="8" t="s">
        <v>7529</v>
      </c>
      <c r="F268" s="9">
        <f t="array" ref="F268">VALUE(_wpsfn.REGEXP(E268,"\d+(\.\d+)?"))</f>
        <v>3</v>
      </c>
      <c r="G268" s="8" t="s">
        <v>7530</v>
      </c>
    </row>
    <row r="269" ht="46.5" spans="1:7">
      <c r="A269" s="6" t="s">
        <v>631</v>
      </c>
      <c r="B269" s="12" t="s">
        <v>632</v>
      </c>
      <c r="C269" s="4" t="s">
        <v>49</v>
      </c>
      <c r="D269" s="7">
        <v>78.4</v>
      </c>
      <c r="E269" s="8" t="s">
        <v>7534</v>
      </c>
      <c r="F269" s="9">
        <f t="array" ref="F269">VALUE(_wpsfn.REGEXP(E269,"\d+(\.\d+)?"))</f>
        <v>30</v>
      </c>
      <c r="G269" s="8" t="s">
        <v>7535</v>
      </c>
    </row>
    <row r="270" ht="77.5" spans="1:7">
      <c r="A270" s="6" t="s">
        <v>633</v>
      </c>
      <c r="B270" s="12" t="s">
        <v>634</v>
      </c>
      <c r="C270" s="4" t="s">
        <v>16</v>
      </c>
      <c r="D270" s="7">
        <v>1098.8</v>
      </c>
      <c r="E270" s="8" t="s">
        <v>7420</v>
      </c>
      <c r="F270" s="9">
        <f t="array" ref="F270">VALUE(_wpsfn.REGEXP(E270,"\d+(\.\d+)?"))</f>
        <v>4.2</v>
      </c>
      <c r="G270" s="8" t="s">
        <v>7421</v>
      </c>
    </row>
    <row r="271" ht="31" spans="1:7">
      <c r="A271" s="6" t="s">
        <v>636</v>
      </c>
      <c r="B271" s="12" t="s">
        <v>637</v>
      </c>
      <c r="C271" s="4" t="s">
        <v>16</v>
      </c>
      <c r="D271" s="7">
        <v>467.55</v>
      </c>
      <c r="E271" s="8" t="s">
        <v>7392</v>
      </c>
      <c r="F271" s="9">
        <f t="array" ref="F271">VALUE(_wpsfn.REGEXP(E271,"\d+(\.\d+)?"))</f>
        <v>1</v>
      </c>
      <c r="G271" s="8" t="s">
        <v>7536</v>
      </c>
    </row>
    <row r="272" ht="31" spans="1:7">
      <c r="A272" s="6" t="s">
        <v>643</v>
      </c>
      <c r="B272" s="3" t="s">
        <v>644</v>
      </c>
      <c r="C272" s="4" t="s">
        <v>16</v>
      </c>
      <c r="D272" s="7">
        <v>9504.75</v>
      </c>
      <c r="E272" s="8" t="s">
        <v>7424</v>
      </c>
      <c r="F272" s="9">
        <f t="array" ref="F272">VALUE(_wpsfn.REGEXP(E272,"\d+(\.\d+)?"))</f>
        <v>1</v>
      </c>
      <c r="G272" s="8" t="s">
        <v>7425</v>
      </c>
    </row>
    <row r="273" ht="31" spans="1:7">
      <c r="A273" s="6" t="s">
        <v>645</v>
      </c>
      <c r="B273" s="3" t="s">
        <v>646</v>
      </c>
      <c r="C273" s="4" t="s">
        <v>16</v>
      </c>
      <c r="D273" s="7">
        <v>9655.7</v>
      </c>
      <c r="E273" s="8" t="s">
        <v>7424</v>
      </c>
      <c r="F273" s="9">
        <f t="array" ref="F273">VALUE(_wpsfn.REGEXP(E273,"\d+(\.\d+)?"))</f>
        <v>1</v>
      </c>
      <c r="G273" s="8" t="s">
        <v>7425</v>
      </c>
    </row>
    <row r="274" ht="31" spans="1:7">
      <c r="A274" s="6" t="s">
        <v>647</v>
      </c>
      <c r="B274" s="3" t="s">
        <v>648</v>
      </c>
      <c r="C274" s="4" t="s">
        <v>16</v>
      </c>
      <c r="D274" s="7">
        <v>9806.7</v>
      </c>
      <c r="E274" s="8" t="s">
        <v>7424</v>
      </c>
      <c r="F274" s="9">
        <f t="array" ref="F274">VALUE(_wpsfn.REGEXP(E274,"\d+(\.\d+)?"))</f>
        <v>1</v>
      </c>
      <c r="G274" s="8" t="s">
        <v>7425</v>
      </c>
    </row>
    <row r="275" ht="31" spans="1:7">
      <c r="A275" s="6" t="s">
        <v>649</v>
      </c>
      <c r="B275" s="3" t="s">
        <v>650</v>
      </c>
      <c r="C275" s="4" t="s">
        <v>16</v>
      </c>
      <c r="D275" s="7">
        <v>9957.65</v>
      </c>
      <c r="E275" s="8" t="s">
        <v>7424</v>
      </c>
      <c r="F275" s="9">
        <f t="array" ref="F275">VALUE(_wpsfn.REGEXP(E275,"\d+(\.\d+)?"))</f>
        <v>1</v>
      </c>
      <c r="G275" s="8" t="s">
        <v>7425</v>
      </c>
    </row>
    <row r="276" ht="31" spans="1:7">
      <c r="A276" s="6" t="s">
        <v>651</v>
      </c>
      <c r="B276" s="3" t="s">
        <v>652</v>
      </c>
      <c r="C276" s="4" t="s">
        <v>16</v>
      </c>
      <c r="D276" s="7">
        <v>10108.65</v>
      </c>
      <c r="E276" s="8" t="s">
        <v>7424</v>
      </c>
      <c r="F276" s="9">
        <f t="array" ref="F276">VALUE(_wpsfn.REGEXP(E276,"\d+(\.\d+)?"))</f>
        <v>1</v>
      </c>
      <c r="G276" s="8" t="s">
        <v>7425</v>
      </c>
    </row>
    <row r="277" ht="31" spans="1:7">
      <c r="A277" s="6" t="s">
        <v>655</v>
      </c>
      <c r="B277" s="3" t="s">
        <v>656</v>
      </c>
      <c r="C277" s="4" t="s">
        <v>16</v>
      </c>
      <c r="D277" s="7">
        <v>9860.4</v>
      </c>
      <c r="E277" s="8" t="s">
        <v>7424</v>
      </c>
      <c r="F277" s="9">
        <f t="array" ref="F277">VALUE(_wpsfn.REGEXP(E277,"\d+(\.\d+)?"))</f>
        <v>1</v>
      </c>
      <c r="G277" s="8" t="s">
        <v>7425</v>
      </c>
    </row>
    <row r="278" ht="31" spans="1:7">
      <c r="A278" s="6" t="s">
        <v>657</v>
      </c>
      <c r="B278" s="3" t="s">
        <v>646</v>
      </c>
      <c r="C278" s="4" t="s">
        <v>16</v>
      </c>
      <c r="D278" s="7">
        <v>10011.35</v>
      </c>
      <c r="E278" s="8" t="s">
        <v>7424</v>
      </c>
      <c r="F278" s="9">
        <f t="array" ref="F278">VALUE(_wpsfn.REGEXP(E278,"\d+(\.\d+)?"))</f>
        <v>1</v>
      </c>
      <c r="G278" s="8" t="s">
        <v>7425</v>
      </c>
    </row>
    <row r="279" ht="31" spans="1:7">
      <c r="A279" s="6" t="s">
        <v>658</v>
      </c>
      <c r="B279" s="3" t="s">
        <v>648</v>
      </c>
      <c r="C279" s="4" t="s">
        <v>16</v>
      </c>
      <c r="D279" s="7">
        <v>10162.35</v>
      </c>
      <c r="E279" s="8" t="s">
        <v>7424</v>
      </c>
      <c r="F279" s="9">
        <f t="array" ref="F279">VALUE(_wpsfn.REGEXP(E279,"\d+(\.\d+)?"))</f>
        <v>1</v>
      </c>
      <c r="G279" s="8" t="s">
        <v>7425</v>
      </c>
    </row>
    <row r="280" ht="31" spans="1:7">
      <c r="A280" s="6" t="s">
        <v>659</v>
      </c>
      <c r="B280" s="3" t="s">
        <v>660</v>
      </c>
      <c r="C280" s="4" t="s">
        <v>16</v>
      </c>
      <c r="D280" s="7">
        <v>10313.3</v>
      </c>
      <c r="E280" s="8" t="s">
        <v>7424</v>
      </c>
      <c r="F280" s="9">
        <f t="array" ref="F280">VALUE(_wpsfn.REGEXP(E280,"\d+(\.\d+)?"))</f>
        <v>1</v>
      </c>
      <c r="G280" s="8" t="s">
        <v>7425</v>
      </c>
    </row>
    <row r="281" ht="31" spans="1:7">
      <c r="A281" s="6" t="s">
        <v>661</v>
      </c>
      <c r="B281" s="3" t="s">
        <v>662</v>
      </c>
      <c r="C281" s="4" t="s">
        <v>16</v>
      </c>
      <c r="D281" s="7">
        <v>10464.3</v>
      </c>
      <c r="E281" s="8" t="s">
        <v>7424</v>
      </c>
      <c r="F281" s="9">
        <f t="array" ref="F281">VALUE(_wpsfn.REGEXP(E281,"\d+(\.\d+)?"))</f>
        <v>1</v>
      </c>
      <c r="G281" s="8" t="s">
        <v>7425</v>
      </c>
    </row>
    <row r="282" ht="31" spans="1:7">
      <c r="A282" s="6" t="s">
        <v>667</v>
      </c>
      <c r="B282" s="3" t="s">
        <v>668</v>
      </c>
      <c r="C282" s="4" t="s">
        <v>16</v>
      </c>
      <c r="D282" s="7">
        <v>9333.95</v>
      </c>
      <c r="E282" s="8" t="s">
        <v>7424</v>
      </c>
      <c r="F282" s="9">
        <f t="array" ref="F282">VALUE(_wpsfn.REGEXP(E282,"\d+(\.\d+)?"))</f>
        <v>1</v>
      </c>
      <c r="G282" s="8" t="s">
        <v>7425</v>
      </c>
    </row>
    <row r="283" ht="31" spans="1:7">
      <c r="A283" s="6" t="s">
        <v>671</v>
      </c>
      <c r="B283" s="3" t="s">
        <v>672</v>
      </c>
      <c r="C283" s="4" t="s">
        <v>16</v>
      </c>
      <c r="D283" s="7">
        <v>9689.6</v>
      </c>
      <c r="E283" s="8" t="s">
        <v>7424</v>
      </c>
      <c r="F283" s="9">
        <f t="array" ref="F283">VALUE(_wpsfn.REGEXP(E283,"\d+(\.\d+)?"))</f>
        <v>1</v>
      </c>
      <c r="G283" s="8" t="s">
        <v>7425</v>
      </c>
    </row>
    <row r="284" ht="46.5" spans="1:7">
      <c r="A284" s="6" t="s">
        <v>673</v>
      </c>
      <c r="B284" s="12" t="s">
        <v>7537</v>
      </c>
      <c r="C284" s="4" t="s">
        <v>675</v>
      </c>
      <c r="D284" s="7">
        <v>733.5</v>
      </c>
      <c r="E284" s="8" t="s">
        <v>7518</v>
      </c>
      <c r="F284" s="9">
        <f t="array" ref="F284">VALUE(_wpsfn.REGEXP(E284,"\d+(\.\d+)?"))</f>
        <v>1</v>
      </c>
      <c r="G284" s="8" t="s">
        <v>7538</v>
      </c>
    </row>
    <row r="285" ht="263.5" spans="1:7">
      <c r="A285" s="6" t="s">
        <v>676</v>
      </c>
      <c r="B285" s="12" t="s">
        <v>677</v>
      </c>
      <c r="C285" s="4" t="s">
        <v>16</v>
      </c>
      <c r="D285" s="7">
        <v>33018.75</v>
      </c>
      <c r="E285" s="8" t="s">
        <v>7539</v>
      </c>
      <c r="F285" s="9">
        <f t="array" ref="F285">VALUE(_wpsfn.REGEXP(E285,"\d+(\.\d+)?"))</f>
        <v>1.38</v>
      </c>
      <c r="G285" s="8" t="s">
        <v>7540</v>
      </c>
    </row>
    <row r="286" ht="294.5" spans="1:7">
      <c r="A286" s="6" t="s">
        <v>678</v>
      </c>
      <c r="B286" s="12" t="s">
        <v>7541</v>
      </c>
      <c r="C286" s="4" t="s">
        <v>16</v>
      </c>
      <c r="D286" s="7">
        <v>32847.95</v>
      </c>
      <c r="E286" s="8" t="s">
        <v>7542</v>
      </c>
      <c r="F286" s="9">
        <f t="array" ref="F286">VALUE(_wpsfn.REGEXP(E286,"\d+(\.\d+)?"))</f>
        <v>1.38</v>
      </c>
      <c r="G286" s="8" t="s">
        <v>7540</v>
      </c>
    </row>
    <row r="287" ht="46.5" spans="1:7">
      <c r="A287" s="6" t="s">
        <v>680</v>
      </c>
      <c r="B287" s="12" t="s">
        <v>681</v>
      </c>
      <c r="C287" s="4" t="s">
        <v>16</v>
      </c>
      <c r="D287" s="7">
        <v>355.65</v>
      </c>
      <c r="E287" s="8" t="s">
        <v>7394</v>
      </c>
      <c r="F287" s="9">
        <f t="array" ref="F287">VALUE(_wpsfn.REGEXP(E287,"\d+(\.\d+)?"))</f>
        <v>1</v>
      </c>
      <c r="G287" s="8" t="s">
        <v>7395</v>
      </c>
    </row>
    <row r="288" ht="15.5" spans="1:7">
      <c r="A288" s="6" t="s">
        <v>684</v>
      </c>
      <c r="B288" s="3" t="s">
        <v>685</v>
      </c>
      <c r="C288" s="4" t="s">
        <v>12</v>
      </c>
      <c r="D288" s="7">
        <v>69.05</v>
      </c>
      <c r="E288" s="8" t="s">
        <v>7397</v>
      </c>
      <c r="F288" s="9">
        <f t="array" ref="F288">VALUE(_wpsfn.REGEXP(E288,"\d+(\.\d+)?"))</f>
        <v>10</v>
      </c>
      <c r="G288" s="8" t="s">
        <v>7543</v>
      </c>
    </row>
    <row r="289" ht="31" spans="1:7">
      <c r="A289" s="6" t="s">
        <v>688</v>
      </c>
      <c r="B289" s="3" t="s">
        <v>689</v>
      </c>
      <c r="C289" s="4" t="s">
        <v>156</v>
      </c>
      <c r="D289" s="7">
        <v>115.1</v>
      </c>
      <c r="E289" s="8" t="s">
        <v>7544</v>
      </c>
      <c r="F289" s="9">
        <f t="array" ref="F289">VALUE(_wpsfn.REGEXP(E289,"\d+(\.\d+)?"))</f>
        <v>1</v>
      </c>
      <c r="G289" s="8" t="s">
        <v>7545</v>
      </c>
    </row>
    <row r="290" ht="31" spans="1:7">
      <c r="A290" s="6" t="s">
        <v>690</v>
      </c>
      <c r="B290" s="3" t="s">
        <v>691</v>
      </c>
      <c r="C290" s="4" t="s">
        <v>156</v>
      </c>
      <c r="D290" s="7">
        <v>160.1</v>
      </c>
      <c r="E290" s="8" t="s">
        <v>7544</v>
      </c>
      <c r="F290" s="9">
        <f t="array" ref="F290">VALUE(_wpsfn.REGEXP(E290,"\d+(\.\d+)?"))</f>
        <v>1</v>
      </c>
      <c r="G290" s="8" t="s">
        <v>7545</v>
      </c>
    </row>
    <row r="291" ht="31" spans="1:7">
      <c r="A291" s="6" t="s">
        <v>692</v>
      </c>
      <c r="B291" s="3" t="s">
        <v>693</v>
      </c>
      <c r="C291" s="4" t="s">
        <v>156</v>
      </c>
      <c r="D291" s="7">
        <v>228.95</v>
      </c>
      <c r="E291" s="8" t="s">
        <v>7544</v>
      </c>
      <c r="F291" s="9">
        <f t="array" ref="F291">VALUE(_wpsfn.REGEXP(E291,"\d+(\.\d+)?"))</f>
        <v>1</v>
      </c>
      <c r="G291" s="8" t="s">
        <v>7545</v>
      </c>
    </row>
    <row r="292" ht="31" spans="1:7">
      <c r="A292" s="6" t="s">
        <v>694</v>
      </c>
      <c r="B292" s="3" t="s">
        <v>695</v>
      </c>
      <c r="C292" s="4" t="s">
        <v>156</v>
      </c>
      <c r="D292" s="7">
        <v>267.55</v>
      </c>
      <c r="E292" s="8" t="s">
        <v>7544</v>
      </c>
      <c r="F292" s="9">
        <f t="array" ref="F292">VALUE(_wpsfn.REGEXP(E292,"\d+(\.\d+)?"))</f>
        <v>1</v>
      </c>
      <c r="G292" s="8" t="s">
        <v>7545</v>
      </c>
    </row>
    <row r="293" ht="31" spans="1:7">
      <c r="A293" s="6" t="s">
        <v>696</v>
      </c>
      <c r="B293" s="3" t="s">
        <v>697</v>
      </c>
      <c r="C293" s="4" t="s">
        <v>156</v>
      </c>
      <c r="D293" s="7">
        <v>318.8</v>
      </c>
      <c r="E293" s="8" t="s">
        <v>7544</v>
      </c>
      <c r="F293" s="9">
        <f t="array" ref="F293">VALUE(_wpsfn.REGEXP(E293,"\d+(\.\d+)?"))</f>
        <v>1</v>
      </c>
      <c r="G293" s="8" t="s">
        <v>7545</v>
      </c>
    </row>
    <row r="294" ht="15.5" spans="1:7">
      <c r="A294" s="6" t="s">
        <v>700</v>
      </c>
      <c r="B294" s="3" t="s">
        <v>701</v>
      </c>
      <c r="C294" s="4" t="s">
        <v>49</v>
      </c>
      <c r="D294" s="7">
        <v>859.75</v>
      </c>
      <c r="E294" s="8" t="s">
        <v>7531</v>
      </c>
      <c r="F294" s="9">
        <f t="array" ref="F294">VALUE(_wpsfn.REGEXP(E294,"\d+(\.\d+)?"))</f>
        <v>1</v>
      </c>
      <c r="G294" s="8" t="s">
        <v>7532</v>
      </c>
    </row>
    <row r="295" ht="15.5" spans="1:7">
      <c r="A295" s="6" t="s">
        <v>702</v>
      </c>
      <c r="B295" s="3" t="s">
        <v>703</v>
      </c>
      <c r="C295" s="4" t="s">
        <v>49</v>
      </c>
      <c r="D295" s="7">
        <v>1208.05</v>
      </c>
      <c r="E295" s="8" t="s">
        <v>7531</v>
      </c>
      <c r="F295" s="9">
        <f t="array" ref="F295">VALUE(_wpsfn.REGEXP(E295,"\d+(\.\d+)?"))</f>
        <v>1</v>
      </c>
      <c r="G295" s="8" t="s">
        <v>7532</v>
      </c>
    </row>
    <row r="296" ht="15.5" spans="1:7">
      <c r="A296" s="6" t="s">
        <v>706</v>
      </c>
      <c r="B296" s="3" t="s">
        <v>707</v>
      </c>
      <c r="C296" s="4" t="s">
        <v>49</v>
      </c>
      <c r="D296" s="7">
        <v>6392.55</v>
      </c>
      <c r="E296" s="8" t="s">
        <v>7531</v>
      </c>
      <c r="F296" s="9">
        <f t="array" ref="F296">VALUE(_wpsfn.REGEXP(E296,"\d+(\.\d+)?"))</f>
        <v>1</v>
      </c>
      <c r="G296" s="8" t="s">
        <v>7532</v>
      </c>
    </row>
    <row r="297" ht="15.5" spans="1:7">
      <c r="A297" s="6" t="s">
        <v>708</v>
      </c>
      <c r="B297" s="3" t="s">
        <v>709</v>
      </c>
      <c r="C297" s="4" t="s">
        <v>49</v>
      </c>
      <c r="D297" s="7">
        <v>7812.35</v>
      </c>
      <c r="E297" s="8" t="s">
        <v>7531</v>
      </c>
      <c r="F297" s="9">
        <f t="array" ref="F297">VALUE(_wpsfn.REGEXP(E297,"\d+(\.\d+)?"))</f>
        <v>1</v>
      </c>
      <c r="G297" s="8" t="s">
        <v>7532</v>
      </c>
    </row>
    <row r="298" ht="15.5" spans="1:7">
      <c r="A298" s="6" t="s">
        <v>710</v>
      </c>
      <c r="B298" s="3" t="s">
        <v>711</v>
      </c>
      <c r="C298" s="4" t="s">
        <v>49</v>
      </c>
      <c r="D298" s="7">
        <v>9903.65</v>
      </c>
      <c r="E298" s="8" t="s">
        <v>7531</v>
      </c>
      <c r="F298" s="9">
        <f t="array" ref="F298">VALUE(_wpsfn.REGEXP(E298,"\d+(\.\d+)?"))</f>
        <v>1</v>
      </c>
      <c r="G298" s="8" t="s">
        <v>7532</v>
      </c>
    </row>
    <row r="299" ht="15.5" spans="1:7">
      <c r="A299" s="6" t="s">
        <v>714</v>
      </c>
      <c r="B299" s="3" t="s">
        <v>715</v>
      </c>
      <c r="C299" s="4" t="s">
        <v>49</v>
      </c>
      <c r="D299" s="7">
        <v>5305.65</v>
      </c>
      <c r="E299" s="8" t="s">
        <v>7531</v>
      </c>
      <c r="F299" s="9">
        <f t="array" ref="F299">VALUE(_wpsfn.REGEXP(E299,"\d+(\.\d+)?"))</f>
        <v>1</v>
      </c>
      <c r="G299" s="8" t="s">
        <v>7532</v>
      </c>
    </row>
    <row r="300" ht="15.5" spans="1:7">
      <c r="A300" s="6" t="s">
        <v>716</v>
      </c>
      <c r="B300" s="3" t="s">
        <v>717</v>
      </c>
      <c r="C300" s="4" t="s">
        <v>49</v>
      </c>
      <c r="D300" s="7">
        <v>5981.4</v>
      </c>
      <c r="E300" s="8" t="s">
        <v>7531</v>
      </c>
      <c r="F300" s="9">
        <f t="array" ref="F300">VALUE(_wpsfn.REGEXP(E300,"\d+(\.\d+)?"))</f>
        <v>1</v>
      </c>
      <c r="G300" s="8" t="s">
        <v>7532</v>
      </c>
    </row>
    <row r="301" ht="15.5" spans="1:7">
      <c r="A301" s="6" t="s">
        <v>718</v>
      </c>
      <c r="B301" s="3" t="s">
        <v>719</v>
      </c>
      <c r="C301" s="4" t="s">
        <v>49</v>
      </c>
      <c r="D301" s="7">
        <v>6889.05</v>
      </c>
      <c r="E301" s="8" t="s">
        <v>7531</v>
      </c>
      <c r="F301" s="9">
        <f t="array" ref="F301">VALUE(_wpsfn.REGEXP(E301,"\d+(\.\d+)?"))</f>
        <v>1</v>
      </c>
      <c r="G301" s="8" t="s">
        <v>7532</v>
      </c>
    </row>
    <row r="302" ht="15.5" spans="1:7">
      <c r="A302" s="6" t="s">
        <v>722</v>
      </c>
      <c r="B302" s="3" t="s">
        <v>723</v>
      </c>
      <c r="C302" s="4" t="s">
        <v>49</v>
      </c>
      <c r="D302" s="7">
        <v>5985.7</v>
      </c>
      <c r="E302" s="8" t="s">
        <v>7531</v>
      </c>
      <c r="F302" s="9">
        <f t="array" ref="F302">VALUE(_wpsfn.REGEXP(E302,"\d+(\.\d+)?"))</f>
        <v>1</v>
      </c>
      <c r="G302" s="8" t="s">
        <v>7532</v>
      </c>
    </row>
    <row r="303" ht="15.5" spans="1:7">
      <c r="A303" s="6" t="s">
        <v>724</v>
      </c>
      <c r="B303" s="3" t="s">
        <v>725</v>
      </c>
      <c r="C303" s="4" t="s">
        <v>49</v>
      </c>
      <c r="D303" s="7">
        <v>6699.85</v>
      </c>
      <c r="E303" s="8" t="s">
        <v>7531</v>
      </c>
      <c r="F303" s="9">
        <f t="array" ref="F303">VALUE(_wpsfn.REGEXP(E303,"\d+(\.\d+)?"))</f>
        <v>1</v>
      </c>
      <c r="G303" s="8" t="s">
        <v>7532</v>
      </c>
    </row>
    <row r="304" ht="15.5" spans="1:7">
      <c r="A304" s="6" t="s">
        <v>726</v>
      </c>
      <c r="B304" s="3" t="s">
        <v>727</v>
      </c>
      <c r="C304" s="4" t="s">
        <v>49</v>
      </c>
      <c r="D304" s="7">
        <v>7927.6</v>
      </c>
      <c r="E304" s="8" t="s">
        <v>7531</v>
      </c>
      <c r="F304" s="9">
        <f t="array" ref="F304">VALUE(_wpsfn.REGEXP(E304,"\d+(\.\d+)?"))</f>
        <v>1</v>
      </c>
      <c r="G304" s="8" t="s">
        <v>7532</v>
      </c>
    </row>
    <row r="305" ht="15.5" spans="1:7">
      <c r="A305" s="6" t="s">
        <v>730</v>
      </c>
      <c r="B305" s="3" t="s">
        <v>731</v>
      </c>
      <c r="C305" s="4" t="s">
        <v>49</v>
      </c>
      <c r="D305" s="7">
        <v>814.85</v>
      </c>
      <c r="E305" s="8" t="s">
        <v>7546</v>
      </c>
      <c r="F305" s="9">
        <f t="array" ref="F305">VALUE(_wpsfn.REGEXP(E305,"\d+(\.\d+)?"))</f>
        <v>52</v>
      </c>
      <c r="G305" s="8" t="s">
        <v>7547</v>
      </c>
    </row>
    <row r="306" ht="15.5" spans="1:7">
      <c r="A306" s="6" t="s">
        <v>732</v>
      </c>
      <c r="B306" s="3" t="s">
        <v>733</v>
      </c>
      <c r="C306" s="4" t="s">
        <v>49</v>
      </c>
      <c r="D306" s="7">
        <v>757.1</v>
      </c>
      <c r="E306" s="8" t="s">
        <v>7546</v>
      </c>
      <c r="F306" s="9">
        <f t="array" ref="F306">VALUE(_wpsfn.REGEXP(E306,"\d+(\.\d+)?"))</f>
        <v>52</v>
      </c>
      <c r="G306" s="8" t="s">
        <v>7547</v>
      </c>
    </row>
    <row r="307" ht="15.5" spans="1:7">
      <c r="A307" s="6" t="s">
        <v>734</v>
      </c>
      <c r="B307" s="3" t="s">
        <v>735</v>
      </c>
      <c r="C307" s="4" t="s">
        <v>49</v>
      </c>
      <c r="D307" s="7">
        <v>727.3</v>
      </c>
      <c r="E307" s="8" t="s">
        <v>7546</v>
      </c>
      <c r="F307" s="9">
        <f t="array" ref="F307">VALUE(_wpsfn.REGEXP(E307,"\d+(\.\d+)?"))</f>
        <v>52</v>
      </c>
      <c r="G307" s="8" t="s">
        <v>7547</v>
      </c>
    </row>
    <row r="308" ht="15.5" spans="1:7">
      <c r="A308" s="6" t="s">
        <v>739</v>
      </c>
      <c r="B308" s="3" t="s">
        <v>740</v>
      </c>
      <c r="C308" s="4" t="s">
        <v>16</v>
      </c>
      <c r="D308" s="7">
        <v>8509.95</v>
      </c>
      <c r="E308" s="8" t="s">
        <v>7548</v>
      </c>
      <c r="F308" s="9">
        <f t="array" ref="F308">VALUE(_wpsfn.REGEXP(E308,"\d+(\.\d+)?"))</f>
        <v>120</v>
      </c>
      <c r="G308" s="8" t="s">
        <v>7549</v>
      </c>
    </row>
    <row r="309" ht="15.5" spans="1:7">
      <c r="A309" s="6" t="s">
        <v>741</v>
      </c>
      <c r="B309" s="3" t="s">
        <v>742</v>
      </c>
      <c r="C309" s="4" t="s">
        <v>16</v>
      </c>
      <c r="D309" s="7">
        <v>9500.3</v>
      </c>
      <c r="E309" s="8" t="s">
        <v>7548</v>
      </c>
      <c r="F309" s="9">
        <f t="array" ref="F309">VALUE(_wpsfn.REGEXP(E309,"\d+(\.\d+)?"))</f>
        <v>120</v>
      </c>
      <c r="G309" s="8" t="s">
        <v>7549</v>
      </c>
    </row>
    <row r="310" ht="31" spans="1:7">
      <c r="A310" s="6" t="s">
        <v>743</v>
      </c>
      <c r="B310" s="3" t="s">
        <v>744</v>
      </c>
      <c r="C310" s="4" t="s">
        <v>16</v>
      </c>
      <c r="D310" s="7">
        <v>664.85</v>
      </c>
      <c r="E310" s="21" t="s">
        <v>7394</v>
      </c>
      <c r="F310" s="9">
        <f t="array" ref="F310">VALUE(_wpsfn.REGEXP(E310,"\d+(\.\d+)?"))</f>
        <v>1</v>
      </c>
      <c r="G310" s="8" t="s">
        <v>7393</v>
      </c>
    </row>
    <row r="311" ht="409.5" spans="1:7">
      <c r="A311" s="6" t="s">
        <v>745</v>
      </c>
      <c r="B311" s="12" t="s">
        <v>746</v>
      </c>
      <c r="C311" s="4" t="s">
        <v>16</v>
      </c>
      <c r="D311" s="7">
        <v>20520.35</v>
      </c>
      <c r="E311" s="8" t="s">
        <v>7550</v>
      </c>
      <c r="F311" s="9">
        <f t="array" ref="F311">VALUE(_wpsfn.REGEXP(E311,"\d+(\.\d+)?"))</f>
        <v>144</v>
      </c>
      <c r="G311" s="8" t="s">
        <v>7551</v>
      </c>
    </row>
    <row r="312" ht="15.5" spans="1:7">
      <c r="A312" s="6" t="s">
        <v>204</v>
      </c>
      <c r="B312" s="12" t="s">
        <v>2</v>
      </c>
      <c r="C312" s="4" t="s">
        <v>3</v>
      </c>
      <c r="D312" s="14" t="s">
        <v>4</v>
      </c>
      <c r="E312" s="21"/>
      <c r="F312" s="9"/>
    </row>
    <row r="313" ht="31" spans="1:7">
      <c r="A313" s="6" t="s">
        <v>751</v>
      </c>
      <c r="B313" s="3" t="s">
        <v>752</v>
      </c>
      <c r="C313" s="4" t="s">
        <v>16</v>
      </c>
      <c r="D313" s="7">
        <v>7370.65</v>
      </c>
      <c r="E313" s="8" t="s">
        <v>7394</v>
      </c>
      <c r="F313" s="9">
        <f t="array" ref="F313">VALUE(_wpsfn.REGEXP(E313,"\d+(\.\d+)?"))</f>
        <v>1</v>
      </c>
    </row>
    <row r="314" ht="31" spans="1:7">
      <c r="A314" s="6" t="s">
        <v>753</v>
      </c>
      <c r="B314" s="3" t="s">
        <v>754</v>
      </c>
      <c r="C314" s="4" t="s">
        <v>16</v>
      </c>
      <c r="D314" s="7">
        <v>7132.25</v>
      </c>
      <c r="E314" s="8" t="s">
        <v>7394</v>
      </c>
      <c r="F314" s="9">
        <f t="array" ref="F314">VALUE(_wpsfn.REGEXP(E314,"\d+(\.\d+)?"))</f>
        <v>1</v>
      </c>
    </row>
    <row r="315" ht="31" spans="1:7">
      <c r="A315" s="6" t="s">
        <v>757</v>
      </c>
      <c r="B315" s="3" t="s">
        <v>752</v>
      </c>
      <c r="C315" s="4" t="s">
        <v>16</v>
      </c>
      <c r="D315" s="7">
        <v>6504.9</v>
      </c>
      <c r="E315" s="8" t="s">
        <v>7394</v>
      </c>
      <c r="F315" s="9">
        <f t="array" ref="F315">VALUE(_wpsfn.REGEXP(E315,"\d+(\.\d+)?"))</f>
        <v>1</v>
      </c>
    </row>
    <row r="316" ht="31" spans="1:7">
      <c r="A316" s="6" t="s">
        <v>758</v>
      </c>
      <c r="B316" s="3" t="s">
        <v>759</v>
      </c>
      <c r="C316" s="4" t="s">
        <v>16</v>
      </c>
      <c r="D316" s="7">
        <v>6295.15</v>
      </c>
      <c r="E316" s="8" t="s">
        <v>7394</v>
      </c>
      <c r="F316" s="9">
        <f t="array" ref="F316">VALUE(_wpsfn.REGEXP(E316,"\d+(\.\d+)?"))</f>
        <v>1</v>
      </c>
    </row>
    <row r="317" ht="15.5" spans="1:7">
      <c r="A317" s="6" t="s">
        <v>762</v>
      </c>
      <c r="B317" s="3" t="s">
        <v>763</v>
      </c>
      <c r="C317" s="4" t="s">
        <v>16</v>
      </c>
      <c r="D317" s="7">
        <v>9299.9</v>
      </c>
      <c r="E317" s="8" t="s">
        <v>7394</v>
      </c>
      <c r="F317" s="9">
        <f t="array" ref="F317">VALUE(_wpsfn.REGEXP(E317,"\d+(\.\d+)?"))</f>
        <v>1</v>
      </c>
    </row>
    <row r="318" ht="15.5" spans="1:7">
      <c r="A318" s="6" t="s">
        <v>764</v>
      </c>
      <c r="B318" s="3" t="s">
        <v>765</v>
      </c>
      <c r="C318" s="4" t="s">
        <v>16</v>
      </c>
      <c r="D318" s="7">
        <v>8942.35</v>
      </c>
      <c r="E318" s="8" t="s">
        <v>7394</v>
      </c>
      <c r="F318" s="9">
        <f t="array" ref="F318">VALUE(_wpsfn.REGEXP(E318,"\d+(\.\d+)?"))</f>
        <v>1</v>
      </c>
    </row>
    <row r="319" ht="31" spans="1:7">
      <c r="A319" s="6" t="s">
        <v>768</v>
      </c>
      <c r="B319" s="3" t="s">
        <v>752</v>
      </c>
      <c r="C319" s="4" t="s">
        <v>16</v>
      </c>
      <c r="D319" s="7">
        <v>9344.35</v>
      </c>
      <c r="E319" s="8" t="s">
        <v>7394</v>
      </c>
      <c r="F319" s="9">
        <f t="array" ref="F319">VALUE(_wpsfn.REGEXP(E319,"\d+(\.\d+)?"))</f>
        <v>1</v>
      </c>
    </row>
    <row r="320" ht="31" spans="1:7">
      <c r="A320" s="6" t="s">
        <v>769</v>
      </c>
      <c r="B320" s="3" t="s">
        <v>754</v>
      </c>
      <c r="C320" s="4" t="s">
        <v>16</v>
      </c>
      <c r="D320" s="7">
        <v>9105.95</v>
      </c>
      <c r="E320" s="8" t="s">
        <v>7394</v>
      </c>
      <c r="F320" s="9">
        <f t="array" ref="F320">VALUE(_wpsfn.REGEXP(E320,"\d+(\.\d+)?"))</f>
        <v>1</v>
      </c>
    </row>
    <row r="321" ht="62" spans="1:6">
      <c r="A321" s="6" t="s">
        <v>770</v>
      </c>
      <c r="B321" s="12" t="s">
        <v>771</v>
      </c>
      <c r="C321" s="4" t="s">
        <v>16</v>
      </c>
      <c r="D321" s="7">
        <v>169.45</v>
      </c>
      <c r="E321" s="8" t="s">
        <v>7418</v>
      </c>
      <c r="F321" s="9">
        <f t="array" ref="F321">VALUE(_wpsfn.REGEXP(E321,"\d+(\.\d+)?"))</f>
        <v>5.3</v>
      </c>
    </row>
    <row r="322" ht="108.5" spans="1:6">
      <c r="A322" s="6" t="s">
        <v>772</v>
      </c>
      <c r="B322" s="12" t="s">
        <v>773</v>
      </c>
      <c r="C322" s="4" t="s">
        <v>12</v>
      </c>
      <c r="D322" s="7">
        <v>234.2</v>
      </c>
      <c r="E322" s="8" t="s">
        <v>7397</v>
      </c>
      <c r="F322" s="9">
        <f t="array" ref="F322">VALUE(_wpsfn.REGEXP(E322,"\d+(\.\d+)?"))</f>
        <v>10</v>
      </c>
    </row>
    <row r="323" ht="124" spans="1:6">
      <c r="A323" s="6" t="s">
        <v>774</v>
      </c>
      <c r="B323" s="12" t="s">
        <v>775</v>
      </c>
      <c r="C323" s="4" t="s">
        <v>49</v>
      </c>
      <c r="D323" s="7">
        <v>300.75</v>
      </c>
      <c r="E323" s="8" t="s">
        <v>7552</v>
      </c>
      <c r="F323" s="9">
        <f t="array" ref="F323">VALUE(_wpsfn.REGEXP(E323,"\d+(\.\d+)?"))</f>
        <v>10</v>
      </c>
    </row>
    <row r="324" ht="77.5" spans="1:6">
      <c r="A324" s="6" t="s">
        <v>776</v>
      </c>
      <c r="B324" s="12" t="s">
        <v>777</v>
      </c>
      <c r="C324" s="4" t="s">
        <v>12</v>
      </c>
      <c r="D324" s="7">
        <v>865.65</v>
      </c>
      <c r="E324" s="8" t="s">
        <v>7397</v>
      </c>
      <c r="F324" s="9">
        <f t="array" ref="F324">VALUE(_wpsfn.REGEXP(E324,"\d+(\.\d+)?"))</f>
        <v>10</v>
      </c>
    </row>
    <row r="325" ht="124" spans="1:6">
      <c r="A325" s="6" t="s">
        <v>778</v>
      </c>
      <c r="B325" s="12" t="s">
        <v>779</v>
      </c>
      <c r="C325" s="4" t="s">
        <v>16</v>
      </c>
      <c r="D325" s="7">
        <v>15077.95</v>
      </c>
      <c r="E325" s="8" t="s">
        <v>7392</v>
      </c>
      <c r="F325" s="9">
        <f t="array" ref="F325">VALUE(_wpsfn.REGEXP(E325,"\d+(\.\d+)?"))</f>
        <v>1</v>
      </c>
    </row>
    <row r="326" ht="124" spans="1:6">
      <c r="A326" s="6" t="s">
        <v>780</v>
      </c>
      <c r="B326" s="12" t="s">
        <v>781</v>
      </c>
      <c r="C326" s="4" t="s">
        <v>16</v>
      </c>
      <c r="D326" s="7">
        <v>19066.1</v>
      </c>
      <c r="E326" s="8" t="s">
        <v>7392</v>
      </c>
      <c r="F326" s="9">
        <f t="array" ref="F326">VALUE(_wpsfn.REGEXP(E326,"\d+(\.\d+)?"))</f>
        <v>1</v>
      </c>
    </row>
    <row r="327" ht="62" spans="1:6">
      <c r="A327" s="6" t="s">
        <v>782</v>
      </c>
      <c r="B327" s="12" t="s">
        <v>783</v>
      </c>
      <c r="C327" s="4" t="s">
        <v>12</v>
      </c>
      <c r="D327" s="7">
        <v>608.15</v>
      </c>
      <c r="E327" s="8" t="s">
        <v>7459</v>
      </c>
      <c r="F327" s="9">
        <f t="array" ref="F327">VALUE(_wpsfn.REGEXP(E327,"\d+(\.\d+)?"))</f>
        <v>333.1</v>
      </c>
    </row>
    <row r="328" ht="31" spans="1:6">
      <c r="A328" s="6" t="s">
        <v>787</v>
      </c>
      <c r="B328" s="3" t="s">
        <v>788</v>
      </c>
      <c r="C328" s="4" t="s">
        <v>12</v>
      </c>
      <c r="D328" s="7">
        <v>931.75</v>
      </c>
      <c r="E328" s="8" t="s">
        <v>7397</v>
      </c>
      <c r="F328" s="9">
        <f t="array" ref="F328">VALUE(_wpsfn.REGEXP(E328,"\d+(\.\d+)?"))</f>
        <v>10</v>
      </c>
    </row>
    <row r="329" ht="31" spans="1:6">
      <c r="A329" s="6" t="s">
        <v>789</v>
      </c>
      <c r="B329" s="3" t="s">
        <v>790</v>
      </c>
      <c r="C329" s="4" t="s">
        <v>12</v>
      </c>
      <c r="D329" s="7">
        <v>905.05</v>
      </c>
      <c r="E329" s="8" t="s">
        <v>7397</v>
      </c>
      <c r="F329" s="9">
        <f t="array" ref="F329">VALUE(_wpsfn.REGEXP(E329,"\d+(\.\d+)?"))</f>
        <v>10</v>
      </c>
    </row>
    <row r="330" ht="31" spans="1:6">
      <c r="A330" s="6" t="s">
        <v>793</v>
      </c>
      <c r="B330" s="3" t="s">
        <v>794</v>
      </c>
      <c r="C330" s="4" t="s">
        <v>12</v>
      </c>
      <c r="D330" s="7">
        <v>1150.5</v>
      </c>
      <c r="E330" s="8" t="s">
        <v>7397</v>
      </c>
      <c r="F330" s="9">
        <f t="array" ref="F330">VALUE(_wpsfn.REGEXP(E330,"\d+(\.\d+)?"))</f>
        <v>10</v>
      </c>
    </row>
    <row r="331" ht="31" spans="1:6">
      <c r="A331" s="6" t="s">
        <v>795</v>
      </c>
      <c r="B331" s="3" t="s">
        <v>796</v>
      </c>
      <c r="C331" s="4" t="s">
        <v>12</v>
      </c>
      <c r="D331" s="7">
        <v>1123.8</v>
      </c>
      <c r="E331" s="8" t="s">
        <v>7397</v>
      </c>
      <c r="F331" s="9">
        <f t="array" ref="F331">VALUE(_wpsfn.REGEXP(E331,"\d+(\.\d+)?"))</f>
        <v>10</v>
      </c>
    </row>
    <row r="332" ht="62" spans="1:6">
      <c r="A332" s="6" t="s">
        <v>797</v>
      </c>
      <c r="B332" s="12" t="s">
        <v>798</v>
      </c>
      <c r="C332" s="4" t="s">
        <v>12</v>
      </c>
      <c r="D332" s="7">
        <v>15</v>
      </c>
      <c r="E332" s="8" t="s">
        <v>7553</v>
      </c>
      <c r="F332" s="9">
        <f t="array" ref="F332">VALUE(_wpsfn.REGEXP(E332,"\d+(\.\d+)?"))</f>
        <v>59.83</v>
      </c>
    </row>
    <row r="333" ht="46.5" spans="1:6">
      <c r="A333" s="6" t="s">
        <v>799</v>
      </c>
      <c r="B333" s="12" t="s">
        <v>800</v>
      </c>
      <c r="C333" s="4" t="s">
        <v>12</v>
      </c>
      <c r="D333" s="7">
        <v>104.8</v>
      </c>
      <c r="E333" s="8" t="s">
        <v>7332</v>
      </c>
      <c r="F333" s="9">
        <f t="array" ref="F333">VALUE(_wpsfn.REGEXP(E333,"\d+(\.\d+)?"))</f>
        <v>100</v>
      </c>
    </row>
    <row r="334" ht="31" spans="1:6">
      <c r="A334" s="6" t="s">
        <v>804</v>
      </c>
      <c r="B334" s="3" t="s">
        <v>752</v>
      </c>
      <c r="C334" s="4" t="s">
        <v>16</v>
      </c>
      <c r="D334" s="7">
        <v>11212.5</v>
      </c>
      <c r="E334" s="8" t="s">
        <v>7392</v>
      </c>
      <c r="F334" s="9">
        <f t="array" ref="F334">VALUE(_wpsfn.REGEXP(E334,"\d+(\.\d+)?"))</f>
        <v>1</v>
      </c>
    </row>
    <row r="335" ht="31" spans="1:6">
      <c r="A335" s="6" t="s">
        <v>805</v>
      </c>
      <c r="B335" s="3" t="s">
        <v>754</v>
      </c>
      <c r="C335" s="4" t="s">
        <v>16</v>
      </c>
      <c r="D335" s="7">
        <v>10831.05</v>
      </c>
      <c r="E335" s="8" t="s">
        <v>7392</v>
      </c>
      <c r="F335" s="9">
        <f t="array" ref="F335">VALUE(_wpsfn.REGEXP(E335,"\d+(\.\d+)?"))</f>
        <v>1</v>
      </c>
    </row>
    <row r="336" ht="77.5" spans="1:6">
      <c r="A336" s="6" t="s">
        <v>806</v>
      </c>
      <c r="B336" s="12" t="s">
        <v>807</v>
      </c>
      <c r="C336" s="4" t="s">
        <v>16</v>
      </c>
      <c r="D336" s="7">
        <v>11328.5</v>
      </c>
      <c r="E336" s="8" t="s">
        <v>7394</v>
      </c>
      <c r="F336" s="9">
        <f t="array" ref="F336">VALUE(_wpsfn.REGEXP(E336,"\d+(\.\d+)?"))</f>
        <v>1</v>
      </c>
    </row>
    <row r="337" ht="93" spans="1:6">
      <c r="A337" s="6" t="s">
        <v>808</v>
      </c>
      <c r="B337" s="12" t="s">
        <v>809</v>
      </c>
      <c r="C337" s="4" t="s">
        <v>16</v>
      </c>
      <c r="D337" s="7">
        <v>12883.05</v>
      </c>
      <c r="E337" s="8" t="s">
        <v>7394</v>
      </c>
      <c r="F337" s="9">
        <f t="array" ref="F337">VALUE(_wpsfn.REGEXP(E337,"\d+(\.\d+)?"))</f>
        <v>1</v>
      </c>
    </row>
    <row r="338" ht="108.5" spans="1:6">
      <c r="A338" s="6" t="s">
        <v>810</v>
      </c>
      <c r="B338" s="12" t="s">
        <v>811</v>
      </c>
      <c r="C338" s="4" t="s">
        <v>16</v>
      </c>
      <c r="D338" s="7">
        <v>18975.15</v>
      </c>
      <c r="E338" s="8" t="s">
        <v>7392</v>
      </c>
      <c r="F338" s="9">
        <f t="array" ref="F338">VALUE(_wpsfn.REGEXP(E338,"\d+(\.\d+)?"))</f>
        <v>1</v>
      </c>
    </row>
    <row r="339" ht="108.5" spans="1:6">
      <c r="A339" s="6" t="s">
        <v>812</v>
      </c>
      <c r="B339" s="12" t="s">
        <v>813</v>
      </c>
      <c r="C339" s="4" t="s">
        <v>16</v>
      </c>
      <c r="D339" s="7">
        <v>23019.75</v>
      </c>
      <c r="E339" s="8" t="s">
        <v>7392</v>
      </c>
      <c r="F339" s="9">
        <f t="array" ref="F339">VALUE(_wpsfn.REGEXP(E339,"\d+(\.\d+)?"))</f>
        <v>1</v>
      </c>
    </row>
    <row r="340" ht="93" spans="1:6">
      <c r="A340" s="6" t="s">
        <v>814</v>
      </c>
      <c r="B340" s="12" t="s">
        <v>815</v>
      </c>
      <c r="C340" s="4" t="s">
        <v>12</v>
      </c>
      <c r="D340" s="7">
        <v>885.45</v>
      </c>
      <c r="E340" s="8" t="s">
        <v>7397</v>
      </c>
      <c r="F340" s="9">
        <f t="array" ref="F340">VALUE(_wpsfn.REGEXP(E340,"\d+(\.\d+)?"))</f>
        <v>10</v>
      </c>
    </row>
    <row r="341" ht="77.5" spans="1:6">
      <c r="A341" s="6" t="s">
        <v>817</v>
      </c>
      <c r="B341" s="12" t="s">
        <v>818</v>
      </c>
      <c r="C341" s="4" t="s">
        <v>12</v>
      </c>
      <c r="D341" s="7">
        <v>711.5</v>
      </c>
      <c r="E341" s="8" t="s">
        <v>7554</v>
      </c>
      <c r="F341" s="9">
        <f t="array" ref="F341">VALUE(_wpsfn.REGEXP(E341,"\d+(\.\d+)?"))</f>
        <v>1</v>
      </c>
    </row>
    <row r="342" ht="62" spans="1:6">
      <c r="A342" s="6" t="s">
        <v>819</v>
      </c>
      <c r="B342" s="12" t="s">
        <v>820</v>
      </c>
      <c r="C342" s="4" t="s">
        <v>370</v>
      </c>
      <c r="D342" s="7">
        <v>1098.8</v>
      </c>
      <c r="E342" s="8" t="s">
        <v>7420</v>
      </c>
      <c r="F342" s="9">
        <f t="array" ref="F342">VALUE(_wpsfn.REGEXP(E342,"\d+(\.\d+)?"))</f>
        <v>4.2</v>
      </c>
    </row>
    <row r="343" ht="31" spans="1:6">
      <c r="A343" s="6" t="s">
        <v>822</v>
      </c>
      <c r="B343" s="12" t="s">
        <v>823</v>
      </c>
      <c r="C343" s="4" t="s">
        <v>16</v>
      </c>
      <c r="D343" s="7">
        <v>467.55</v>
      </c>
      <c r="E343" s="8" t="s">
        <v>7392</v>
      </c>
      <c r="F343" s="9">
        <f t="array" ref="F343">VALUE(_wpsfn.REGEXP(E343,"\d+(\.\d+)?"))</f>
        <v>1</v>
      </c>
    </row>
    <row r="344" ht="15.5" spans="1:6">
      <c r="A344" s="6" t="s">
        <v>827</v>
      </c>
      <c r="B344" s="3" t="s">
        <v>828</v>
      </c>
      <c r="C344" s="4" t="s">
        <v>16</v>
      </c>
      <c r="D344" s="7">
        <v>7361.35</v>
      </c>
      <c r="E344" s="8" t="s">
        <v>7555</v>
      </c>
      <c r="F344" s="9">
        <f t="array" ref="F344">VALUE(_wpsfn.REGEXP(E344,"\d+(\.\d+)?"))</f>
        <v>1</v>
      </c>
    </row>
    <row r="345" ht="15.5" spans="1:6">
      <c r="A345" s="6" t="s">
        <v>829</v>
      </c>
      <c r="B345" s="3" t="s">
        <v>830</v>
      </c>
      <c r="C345" s="4" t="s">
        <v>16</v>
      </c>
      <c r="D345" s="7">
        <v>9439.75</v>
      </c>
      <c r="E345" s="8" t="s">
        <v>7555</v>
      </c>
      <c r="F345" s="9">
        <f t="array" ref="F345">VALUE(_wpsfn.REGEXP(E345,"\d+(\.\d+)?"))</f>
        <v>1</v>
      </c>
    </row>
    <row r="346" ht="15.5" spans="1:6">
      <c r="A346" s="6" t="s">
        <v>833</v>
      </c>
      <c r="B346" s="3" t="s">
        <v>828</v>
      </c>
      <c r="C346" s="4" t="s">
        <v>16</v>
      </c>
      <c r="D346" s="7">
        <v>6339.2</v>
      </c>
      <c r="E346" s="8" t="s">
        <v>7394</v>
      </c>
      <c r="F346" s="9">
        <f t="array" ref="F346">VALUE(_wpsfn.REGEXP(E346,"\d+(\.\d+)?"))</f>
        <v>1</v>
      </c>
    </row>
    <row r="347" ht="15.5" spans="1:6">
      <c r="A347" s="6" t="s">
        <v>834</v>
      </c>
      <c r="B347" s="3" t="s">
        <v>830</v>
      </c>
      <c r="C347" s="4" t="s">
        <v>16</v>
      </c>
      <c r="D347" s="7">
        <v>8312.9</v>
      </c>
      <c r="E347" s="8" t="s">
        <v>7394</v>
      </c>
      <c r="F347" s="9">
        <f t="array" ref="F347">VALUE(_wpsfn.REGEXP(E347,"\d+(\.\d+)?"))</f>
        <v>1</v>
      </c>
    </row>
    <row r="348" ht="15.5" spans="1:6">
      <c r="A348" s="6" t="s">
        <v>837</v>
      </c>
      <c r="B348" s="3" t="s">
        <v>828</v>
      </c>
      <c r="C348" s="4" t="s">
        <v>16</v>
      </c>
      <c r="D348" s="7">
        <v>6997.4</v>
      </c>
      <c r="E348" s="8" t="s">
        <v>7555</v>
      </c>
      <c r="F348" s="9">
        <f t="array" ref="F348">VALUE(_wpsfn.REGEXP(E348,"\d+(\.\d+)?"))</f>
        <v>1</v>
      </c>
    </row>
    <row r="349" ht="15.5" spans="1:6">
      <c r="A349" s="6" t="s">
        <v>838</v>
      </c>
      <c r="B349" s="3" t="s">
        <v>830</v>
      </c>
      <c r="C349" s="4" t="s">
        <v>16</v>
      </c>
      <c r="D349" s="7">
        <v>8971.1</v>
      </c>
      <c r="E349" s="8" t="s">
        <v>7555</v>
      </c>
      <c r="F349" s="9">
        <f t="array" ref="F349">VALUE(_wpsfn.REGEXP(E349,"\d+(\.\d+)?"))</f>
        <v>1</v>
      </c>
    </row>
    <row r="350" ht="15.5" spans="1:6">
      <c r="A350" s="6" t="s">
        <v>841</v>
      </c>
      <c r="B350" s="3" t="s">
        <v>828</v>
      </c>
      <c r="C350" s="4" t="s">
        <v>16</v>
      </c>
      <c r="D350" s="7">
        <v>7581.15</v>
      </c>
      <c r="E350" s="8" t="s">
        <v>7394</v>
      </c>
      <c r="F350" s="9">
        <f t="array" ref="F350">VALUE(_wpsfn.REGEXP(E350,"\d+(\.\d+)?"))</f>
        <v>1</v>
      </c>
    </row>
    <row r="351" ht="15.5" spans="1:6">
      <c r="A351" s="6" t="s">
        <v>842</v>
      </c>
      <c r="B351" s="3" t="s">
        <v>830</v>
      </c>
      <c r="C351" s="4" t="s">
        <v>16</v>
      </c>
      <c r="D351" s="7">
        <v>9481.7</v>
      </c>
      <c r="E351" s="8" t="s">
        <v>7394</v>
      </c>
      <c r="F351" s="9">
        <f t="array" ref="F351">VALUE(_wpsfn.REGEXP(E351,"\d+(\.\d+)?"))</f>
        <v>1</v>
      </c>
    </row>
    <row r="352" ht="15.5" spans="1:6">
      <c r="A352" s="6" t="s">
        <v>845</v>
      </c>
      <c r="B352" s="3" t="s">
        <v>828</v>
      </c>
      <c r="C352" s="4" t="s">
        <v>16</v>
      </c>
      <c r="D352" s="7">
        <v>7370.3</v>
      </c>
      <c r="E352" s="8" t="s">
        <v>7394</v>
      </c>
      <c r="F352" s="9">
        <f t="array" ref="F352">VALUE(_wpsfn.REGEXP(E352,"\d+(\.\d+)?"))</f>
        <v>1</v>
      </c>
    </row>
    <row r="353" ht="15.5" spans="1:6">
      <c r="A353" s="6" t="s">
        <v>846</v>
      </c>
      <c r="B353" s="3" t="s">
        <v>830</v>
      </c>
      <c r="C353" s="4" t="s">
        <v>16</v>
      </c>
      <c r="D353" s="7">
        <v>9344</v>
      </c>
      <c r="E353" s="8" t="s">
        <v>7394</v>
      </c>
      <c r="F353" s="9">
        <f t="array" ref="F353">VALUE(_wpsfn.REGEXP(E353,"\d+(\.\d+)?"))</f>
        <v>1</v>
      </c>
    </row>
    <row r="354" ht="15.5" spans="1:6">
      <c r="A354" s="6" t="s">
        <v>849</v>
      </c>
      <c r="B354" s="3" t="s">
        <v>828</v>
      </c>
      <c r="C354" s="4" t="s">
        <v>16</v>
      </c>
      <c r="D354" s="7">
        <v>7032.05</v>
      </c>
      <c r="E354" s="8" t="s">
        <v>7394</v>
      </c>
      <c r="F354" s="9">
        <f t="array" ref="F354">VALUE(_wpsfn.REGEXP(E354,"\d+(\.\d+)?"))</f>
        <v>1</v>
      </c>
    </row>
    <row r="355" ht="15.5" spans="1:6">
      <c r="A355" s="6" t="s">
        <v>850</v>
      </c>
      <c r="B355" s="3" t="s">
        <v>830</v>
      </c>
      <c r="C355" s="4" t="s">
        <v>16</v>
      </c>
      <c r="D355" s="7">
        <v>9005.75</v>
      </c>
      <c r="E355" s="8" t="s">
        <v>7394</v>
      </c>
      <c r="F355" s="9">
        <f t="array" ref="F355">VALUE(_wpsfn.REGEXP(E355,"\d+(\.\d+)?"))</f>
        <v>1</v>
      </c>
    </row>
    <row r="356" ht="31" spans="1:6">
      <c r="A356" s="6" t="s">
        <v>853</v>
      </c>
      <c r="B356" s="3" t="s">
        <v>752</v>
      </c>
      <c r="C356" s="4" t="s">
        <v>16</v>
      </c>
      <c r="D356" s="7">
        <v>9333.45</v>
      </c>
      <c r="E356" s="8" t="s">
        <v>7555</v>
      </c>
      <c r="F356" s="9">
        <f t="array" ref="F356">VALUE(_wpsfn.REGEXP(E356,"\d+(\.\d+)?"))</f>
        <v>1</v>
      </c>
    </row>
    <row r="357" ht="31" spans="1:6">
      <c r="A357" s="6" t="s">
        <v>854</v>
      </c>
      <c r="B357" s="3" t="s">
        <v>754</v>
      </c>
      <c r="C357" s="4" t="s">
        <v>16</v>
      </c>
      <c r="D357" s="7">
        <v>9095.05</v>
      </c>
      <c r="E357" s="8" t="s">
        <v>7555</v>
      </c>
      <c r="F357" s="9">
        <f t="array" ref="F357">VALUE(_wpsfn.REGEXP(E357,"\d+(\.\d+)?"))</f>
        <v>1</v>
      </c>
    </row>
    <row r="358" ht="31" spans="1:6">
      <c r="A358" s="6" t="s">
        <v>857</v>
      </c>
      <c r="B358" s="3" t="s">
        <v>752</v>
      </c>
      <c r="C358" s="4" t="s">
        <v>16</v>
      </c>
      <c r="D358" s="7">
        <v>8962.35</v>
      </c>
      <c r="E358" s="8" t="s">
        <v>7555</v>
      </c>
      <c r="F358" s="9">
        <f t="array" ref="F358">VALUE(_wpsfn.REGEXP(E358,"\d+(\.\d+)?"))</f>
        <v>1</v>
      </c>
    </row>
    <row r="359" ht="31" spans="1:6">
      <c r="A359" s="6" t="s">
        <v>858</v>
      </c>
      <c r="B359" s="3" t="s">
        <v>859</v>
      </c>
      <c r="C359" s="4" t="s">
        <v>16</v>
      </c>
      <c r="D359" s="7">
        <v>8752.55</v>
      </c>
      <c r="E359" s="8" t="s">
        <v>7555</v>
      </c>
      <c r="F359" s="9">
        <f t="array" ref="F359">VALUE(_wpsfn.REGEXP(E359,"\d+(\.\d+)?"))</f>
        <v>1</v>
      </c>
    </row>
    <row r="360" ht="31" spans="1:6">
      <c r="A360" s="6" t="s">
        <v>862</v>
      </c>
      <c r="B360" s="3" t="s">
        <v>752</v>
      </c>
      <c r="C360" s="4" t="s">
        <v>16</v>
      </c>
      <c r="D360" s="7">
        <v>9793.75</v>
      </c>
      <c r="E360" s="8" t="s">
        <v>7555</v>
      </c>
      <c r="F360" s="9">
        <f t="array" ref="F360">VALUE(_wpsfn.REGEXP(E360,"\d+(\.\d+)?"))</f>
        <v>1</v>
      </c>
    </row>
    <row r="361" ht="31" spans="1:6">
      <c r="A361" s="6" t="s">
        <v>863</v>
      </c>
      <c r="B361" s="3" t="s">
        <v>859</v>
      </c>
      <c r="C361" s="4" t="s">
        <v>16</v>
      </c>
      <c r="D361" s="7">
        <v>9583.95</v>
      </c>
      <c r="E361" s="8" t="s">
        <v>7555</v>
      </c>
      <c r="F361" s="9">
        <f t="array" ref="F361">VALUE(_wpsfn.REGEXP(E361,"\d+(\.\d+)?"))</f>
        <v>1</v>
      </c>
    </row>
    <row r="362" ht="31" spans="1:6">
      <c r="A362" s="6" t="s">
        <v>866</v>
      </c>
      <c r="B362" s="3" t="s">
        <v>867</v>
      </c>
      <c r="C362" s="4" t="s">
        <v>16</v>
      </c>
      <c r="D362" s="7">
        <v>7197.75</v>
      </c>
      <c r="E362" s="8" t="s">
        <v>7555</v>
      </c>
      <c r="F362" s="9">
        <f t="array" ref="F362">VALUE(_wpsfn.REGEXP(E362,"\d+(\.\d+)?"))</f>
        <v>1</v>
      </c>
    </row>
    <row r="363" ht="77.5" spans="1:6">
      <c r="A363" s="6" t="s">
        <v>868</v>
      </c>
      <c r="B363" s="12" t="s">
        <v>869</v>
      </c>
      <c r="C363" s="4" t="s">
        <v>16</v>
      </c>
      <c r="D363" s="7">
        <v>13427.3</v>
      </c>
      <c r="E363" s="8" t="s">
        <v>7555</v>
      </c>
      <c r="F363" s="9">
        <f t="array" ref="F363">VALUE(_wpsfn.REGEXP(E363,"\d+(\.\d+)?"))</f>
        <v>1</v>
      </c>
    </row>
    <row r="364" ht="155" spans="1:6">
      <c r="A364" s="6" t="s">
        <v>870</v>
      </c>
      <c r="B364" s="12" t="s">
        <v>871</v>
      </c>
      <c r="C364" s="4" t="s">
        <v>16</v>
      </c>
      <c r="D364" s="7">
        <v>10195.45</v>
      </c>
      <c r="E364" s="8" t="s">
        <v>7394</v>
      </c>
      <c r="F364" s="9">
        <f t="array" ref="F364">VALUE(_wpsfn.REGEXP(E364,"\d+(\.\d+)?"))</f>
        <v>1</v>
      </c>
    </row>
    <row r="365" ht="170.5" spans="1:6">
      <c r="A365" s="6" t="s">
        <v>872</v>
      </c>
      <c r="B365" s="12" t="s">
        <v>873</v>
      </c>
      <c r="C365" s="4" t="s">
        <v>12</v>
      </c>
      <c r="D365" s="7">
        <v>1023.6</v>
      </c>
      <c r="E365" s="8" t="s">
        <v>7397</v>
      </c>
      <c r="F365" s="9">
        <f t="array" ref="F365">VALUE(_wpsfn.REGEXP(E365,"\d+(\.\d+)?"))</f>
        <v>10</v>
      </c>
    </row>
    <row r="366" ht="46.5" spans="1:6">
      <c r="A366" s="6" t="s">
        <v>874</v>
      </c>
      <c r="B366" s="12" t="s">
        <v>875</v>
      </c>
      <c r="C366" s="4" t="s">
        <v>12</v>
      </c>
      <c r="D366" s="7">
        <v>181.15</v>
      </c>
      <c r="E366" s="8" t="s">
        <v>7397</v>
      </c>
      <c r="F366" s="9">
        <f t="array" ref="F366">VALUE(_wpsfn.REGEXP(E366,"\d+(\.\d+)?"))</f>
        <v>10</v>
      </c>
    </row>
    <row r="367" ht="93" spans="1:6">
      <c r="A367" s="6" t="s">
        <v>876</v>
      </c>
      <c r="B367" s="12" t="s">
        <v>877</v>
      </c>
      <c r="C367" s="4" t="s">
        <v>49</v>
      </c>
      <c r="D367" s="7">
        <v>59.45</v>
      </c>
      <c r="E367" s="8" t="s">
        <v>7556</v>
      </c>
      <c r="F367" s="9">
        <f t="array" ref="F367">VALUE(_wpsfn.REGEXP(E367,"\d+(\.\d+)?"))</f>
        <v>100</v>
      </c>
    </row>
    <row r="368" ht="31" spans="1:6">
      <c r="A368" s="6" t="s">
        <v>880</v>
      </c>
      <c r="B368" s="3" t="s">
        <v>881</v>
      </c>
      <c r="C368" s="4" t="s">
        <v>12</v>
      </c>
      <c r="D368" s="7">
        <v>1132.5</v>
      </c>
      <c r="E368" s="8" t="s">
        <v>7397</v>
      </c>
      <c r="F368" s="9">
        <f t="array" ref="F368">VALUE(_wpsfn.REGEXP(E368,"\d+(\.\d+)?"))</f>
        <v>10</v>
      </c>
    </row>
    <row r="369" ht="31" spans="1:7">
      <c r="A369" s="6" t="s">
        <v>882</v>
      </c>
      <c r="B369" s="3" t="s">
        <v>883</v>
      </c>
      <c r="C369" s="4" t="s">
        <v>12</v>
      </c>
      <c r="D369" s="7">
        <v>1105.8</v>
      </c>
      <c r="E369" s="8" t="s">
        <v>7397</v>
      </c>
      <c r="F369" s="9">
        <f t="array" ref="F369">VALUE(_wpsfn.REGEXP(E369,"\d+(\.\d+)?"))</f>
        <v>10</v>
      </c>
    </row>
    <row r="370" ht="186" spans="1:7">
      <c r="A370" s="6" t="s">
        <v>884</v>
      </c>
      <c r="B370" s="12" t="s">
        <v>885</v>
      </c>
      <c r="C370" s="4" t="s">
        <v>16</v>
      </c>
      <c r="D370" s="7">
        <v>8699.7</v>
      </c>
      <c r="E370" s="8" t="s">
        <v>7394</v>
      </c>
      <c r="F370" s="9">
        <f t="array" ref="F370">VALUE(_wpsfn.REGEXP(E370,"\d+(\.\d+)?"))</f>
        <v>1</v>
      </c>
    </row>
    <row r="371" ht="15.5" spans="1:7">
      <c r="A371" s="6" t="s">
        <v>204</v>
      </c>
      <c r="B371" s="12" t="s">
        <v>2</v>
      </c>
      <c r="C371" s="4" t="s">
        <v>3</v>
      </c>
      <c r="D371" s="14" t="s">
        <v>4</v>
      </c>
    </row>
    <row r="372" ht="77.5" spans="1:7">
      <c r="A372" s="6" t="s">
        <v>890</v>
      </c>
      <c r="B372" s="3" t="s">
        <v>891</v>
      </c>
      <c r="C372" s="4" t="s">
        <v>16</v>
      </c>
      <c r="D372" s="7">
        <v>7311.25</v>
      </c>
      <c r="E372" s="8" t="s">
        <v>7392</v>
      </c>
      <c r="F372" s="9">
        <f t="array" ref="F372">VALUE(_wpsfn.REGEXP(E372,"\d+(\.\d+)?"))</f>
        <v>1</v>
      </c>
    </row>
    <row r="373" ht="31" spans="1:7">
      <c r="A373" s="6" t="s">
        <v>894</v>
      </c>
      <c r="B373" s="3" t="s">
        <v>754</v>
      </c>
      <c r="C373" s="4" t="s">
        <v>16</v>
      </c>
      <c r="D373" s="7">
        <v>9275.45</v>
      </c>
      <c r="E373" s="8" t="s">
        <v>7392</v>
      </c>
      <c r="F373" s="9">
        <f t="array" ref="F373">VALUE(_wpsfn.REGEXP(E373,"\d+(\.\d+)?"))</f>
        <v>1</v>
      </c>
    </row>
    <row r="374" ht="15.5" spans="1:7">
      <c r="A374" s="6" t="s">
        <v>897</v>
      </c>
      <c r="B374" s="3" t="s">
        <v>898</v>
      </c>
      <c r="C374" s="4" t="s">
        <v>16</v>
      </c>
      <c r="D374" s="7">
        <v>956</v>
      </c>
      <c r="E374" s="8" t="s">
        <v>7392</v>
      </c>
      <c r="F374" s="9">
        <f t="array" ref="F374">VALUE(_wpsfn.REGEXP(E374,"\d+(\.\d+)?"))</f>
        <v>1</v>
      </c>
    </row>
    <row r="375" ht="15.5" spans="1:7">
      <c r="A375" s="6" t="s">
        <v>899</v>
      </c>
      <c r="B375" s="3" t="s">
        <v>900</v>
      </c>
      <c r="C375" s="4" t="s">
        <v>16</v>
      </c>
      <c r="D375" s="7">
        <v>2530.6</v>
      </c>
      <c r="E375" s="8" t="s">
        <v>7394</v>
      </c>
      <c r="F375" s="9">
        <f t="array" ref="F375">VALUE(_wpsfn.REGEXP(E375,"\d+(\.\d+)?"))</f>
        <v>1</v>
      </c>
    </row>
    <row r="376" ht="46.5" spans="1:7">
      <c r="A376" s="6" t="s">
        <v>901</v>
      </c>
      <c r="B376" s="12" t="s">
        <v>902</v>
      </c>
      <c r="C376" s="4" t="s">
        <v>16</v>
      </c>
      <c r="D376" s="7">
        <v>1046.2</v>
      </c>
      <c r="E376" s="8" t="s">
        <v>7392</v>
      </c>
      <c r="F376" s="9">
        <f t="array" ref="F376">VALUE(_wpsfn.REGEXP(E376,"\d+(\.\d+)?"))</f>
        <v>1</v>
      </c>
    </row>
    <row r="377" ht="31" spans="1:7">
      <c r="A377" s="6" t="s">
        <v>906</v>
      </c>
      <c r="B377" s="3" t="s">
        <v>754</v>
      </c>
      <c r="C377" s="4" t="s">
        <v>16</v>
      </c>
      <c r="D377" s="7">
        <v>8812.05</v>
      </c>
      <c r="E377" s="8" t="s">
        <v>7392</v>
      </c>
      <c r="F377" s="9">
        <f t="array" ref="F377">VALUE(_wpsfn.REGEXP(E377,"\d+(\.\d+)?"))</f>
        <v>1</v>
      </c>
    </row>
    <row r="378" ht="31" spans="1:7">
      <c r="A378" s="6" t="s">
        <v>909</v>
      </c>
      <c r="B378" s="3" t="s">
        <v>754</v>
      </c>
      <c r="C378" s="4" t="s">
        <v>16</v>
      </c>
      <c r="D378" s="7">
        <v>8198.55</v>
      </c>
      <c r="E378" s="8" t="s">
        <v>7392</v>
      </c>
      <c r="F378" s="9">
        <f t="array" ref="F378">VALUE(_wpsfn.REGEXP(E378,"\d+(\.\d+)?"))</f>
        <v>1</v>
      </c>
    </row>
    <row r="379" ht="31" spans="1:7">
      <c r="A379" s="6" t="s">
        <v>912</v>
      </c>
      <c r="B379" s="3" t="s">
        <v>913</v>
      </c>
      <c r="C379" s="4" t="s">
        <v>16</v>
      </c>
      <c r="D379" s="7">
        <v>10741.6</v>
      </c>
      <c r="E379" s="8" t="s">
        <v>7392</v>
      </c>
      <c r="F379" s="9">
        <f t="array" ref="F379">VALUE(_wpsfn.REGEXP(E379,"\d+(\.\d+)?"))</f>
        <v>1</v>
      </c>
    </row>
    <row r="380" ht="31" spans="1:7">
      <c r="A380" s="6" t="s">
        <v>914</v>
      </c>
      <c r="B380" s="3" t="s">
        <v>915</v>
      </c>
      <c r="C380" s="4" t="s">
        <v>16</v>
      </c>
      <c r="D380" s="7">
        <v>10128.1</v>
      </c>
      <c r="E380" s="8" t="s">
        <v>7392</v>
      </c>
      <c r="F380" s="9">
        <f t="array" ref="F380">VALUE(_wpsfn.REGEXP(E380,"\d+(\.\d+)?"))</f>
        <v>1</v>
      </c>
    </row>
    <row r="381" ht="15.5" spans="1:7">
      <c r="A381" s="6" t="s">
        <v>918</v>
      </c>
      <c r="B381" s="3" t="s">
        <v>898</v>
      </c>
      <c r="C381" s="4" t="s">
        <v>16</v>
      </c>
      <c r="D381" s="7">
        <v>1060.5</v>
      </c>
      <c r="E381" s="8" t="s">
        <v>7392</v>
      </c>
      <c r="F381" s="9">
        <f t="array" ref="F381">VALUE(_wpsfn.REGEXP(E381,"\d+(\.\d+)?"))</f>
        <v>1</v>
      </c>
    </row>
    <row r="382" ht="15.5" spans="1:7">
      <c r="A382" s="6" t="s">
        <v>919</v>
      </c>
      <c r="B382" s="3" t="s">
        <v>900</v>
      </c>
      <c r="C382" s="4" t="s">
        <v>16</v>
      </c>
      <c r="D382" s="7">
        <v>2874.2</v>
      </c>
      <c r="E382" s="8" t="s">
        <v>7394</v>
      </c>
      <c r="F382" s="9">
        <f t="array" ref="F382">VALUE(_wpsfn.REGEXP(E382,"\d+(\.\d+)?"))</f>
        <v>1</v>
      </c>
    </row>
    <row r="383" ht="62" spans="1:7">
      <c r="A383" s="6" t="s">
        <v>920</v>
      </c>
      <c r="B383" s="12" t="s">
        <v>921</v>
      </c>
      <c r="C383" s="4" t="s">
        <v>16</v>
      </c>
      <c r="D383" s="7">
        <v>1133.65</v>
      </c>
      <c r="E383" s="8" t="s">
        <v>7392</v>
      </c>
      <c r="F383" s="9">
        <f t="array" ref="F383">VALUE(_wpsfn.REGEXP(E383,"\d+(\.\d+)?"))</f>
        <v>1</v>
      </c>
    </row>
    <row r="384" ht="15.5" spans="1:7">
      <c r="A384" s="6" t="s">
        <v>927</v>
      </c>
      <c r="B384" s="3" t="s">
        <v>928</v>
      </c>
      <c r="C384" s="4" t="s">
        <v>16</v>
      </c>
      <c r="D384" s="7">
        <v>68294</v>
      </c>
      <c r="E384" s="8" t="s">
        <v>7557</v>
      </c>
      <c r="F384" s="9">
        <f t="array" ref="F384:G384">VALUE(_wpsfn.REGEXP(E384,"\d+(\.\d+)?"))</f>
        <v>0.01</v>
      </c>
      <c r="G384">
        <v>10</v>
      </c>
    </row>
    <row r="385" ht="15.5" spans="1:7">
      <c r="A385" s="6" t="s">
        <v>929</v>
      </c>
      <c r="B385" s="3" t="s">
        <v>930</v>
      </c>
      <c r="C385" s="4" t="s">
        <v>16</v>
      </c>
      <c r="D385" s="7">
        <v>82518</v>
      </c>
      <c r="E385" s="8" t="s">
        <v>7557</v>
      </c>
      <c r="F385" s="9">
        <f t="array" ref="F385:G385">VALUE(_wpsfn.REGEXP(E385,"\d+(\.\d+)?"))</f>
        <v>0.01</v>
      </c>
      <c r="G385">
        <v>10</v>
      </c>
    </row>
    <row r="386" ht="15.5" spans="1:7">
      <c r="A386" s="6" t="s">
        <v>933</v>
      </c>
      <c r="B386" s="3" t="s">
        <v>928</v>
      </c>
      <c r="C386" s="4" t="s">
        <v>16</v>
      </c>
      <c r="D386" s="7">
        <v>91295</v>
      </c>
      <c r="E386" s="8" t="s">
        <v>7557</v>
      </c>
      <c r="F386" s="9">
        <f t="array" ref="F386:G386">VALUE(_wpsfn.REGEXP(E386,"\d+(\.\d+)?"))</f>
        <v>0.01</v>
      </c>
      <c r="G386">
        <v>10</v>
      </c>
    </row>
    <row r="387" ht="15.5" spans="1:7">
      <c r="A387" s="6" t="s">
        <v>934</v>
      </c>
      <c r="B387" s="3" t="s">
        <v>930</v>
      </c>
      <c r="C387" s="4" t="s">
        <v>16</v>
      </c>
      <c r="D387" s="7">
        <v>105519</v>
      </c>
      <c r="E387" s="8" t="s">
        <v>7557</v>
      </c>
      <c r="F387" s="9">
        <f t="array" ref="F387:G387">VALUE(_wpsfn.REGEXP(E387,"\d+(\.\d+)?"))</f>
        <v>0.01</v>
      </c>
      <c r="G387">
        <v>10</v>
      </c>
    </row>
    <row r="388" ht="15.5" spans="1:7">
      <c r="A388" s="6" t="s">
        <v>938</v>
      </c>
      <c r="B388" s="3" t="s">
        <v>928</v>
      </c>
      <c r="C388" s="4" t="s">
        <v>16</v>
      </c>
      <c r="D388" s="7">
        <v>75263</v>
      </c>
      <c r="E388" s="8" t="s">
        <v>7557</v>
      </c>
      <c r="F388" s="9">
        <f t="array" ref="F388:G388">VALUE(_wpsfn.REGEXP(E388,"\d+(\.\d+)?"))</f>
        <v>0.01</v>
      </c>
      <c r="G388">
        <v>10</v>
      </c>
    </row>
    <row r="389" ht="15.5" spans="1:7">
      <c r="A389" s="6" t="s">
        <v>939</v>
      </c>
      <c r="B389" s="3" t="s">
        <v>930</v>
      </c>
      <c r="C389" s="4" t="s">
        <v>16</v>
      </c>
      <c r="D389" s="7">
        <v>89487</v>
      </c>
      <c r="E389" s="8" t="s">
        <v>7557</v>
      </c>
      <c r="F389" s="9">
        <f t="array" ref="F389:G389">VALUE(_wpsfn.REGEXP(E389,"\d+(\.\d+)?"))</f>
        <v>0.01</v>
      </c>
      <c r="G389">
        <v>10</v>
      </c>
    </row>
    <row r="390" ht="15.5" spans="1:7">
      <c r="A390" s="6" t="s">
        <v>941</v>
      </c>
      <c r="B390" s="3" t="s">
        <v>928</v>
      </c>
      <c r="C390" s="4" t="s">
        <v>16</v>
      </c>
      <c r="D390" s="7">
        <v>98265</v>
      </c>
      <c r="E390" s="8" t="s">
        <v>7557</v>
      </c>
      <c r="F390" s="9">
        <f t="array" ref="F390:G390">VALUE(_wpsfn.REGEXP(E390,"\d+(\.\d+)?"))</f>
        <v>0.01</v>
      </c>
      <c r="G390">
        <v>10</v>
      </c>
    </row>
    <row r="391" ht="15.5" spans="1:7">
      <c r="A391" s="6" t="s">
        <v>942</v>
      </c>
      <c r="B391" s="3" t="s">
        <v>930</v>
      </c>
      <c r="C391" s="4" t="s">
        <v>16</v>
      </c>
      <c r="D391" s="7">
        <v>112488</v>
      </c>
      <c r="E391" s="8" t="s">
        <v>7557</v>
      </c>
      <c r="F391" s="9">
        <f t="array" ref="F391:G391">VALUE(_wpsfn.REGEXP(E391,"\d+(\.\d+)?"))</f>
        <v>0.01</v>
      </c>
      <c r="G391">
        <v>10</v>
      </c>
    </row>
    <row r="392" ht="15.5" spans="1:7">
      <c r="A392" s="6" t="s">
        <v>946</v>
      </c>
      <c r="B392" s="3" t="s">
        <v>928</v>
      </c>
      <c r="C392" s="4" t="s">
        <v>16</v>
      </c>
      <c r="D392" s="7">
        <v>114277</v>
      </c>
      <c r="E392" s="8" t="s">
        <v>7557</v>
      </c>
      <c r="F392" s="9">
        <f t="array" ref="F392:G392">VALUE(_wpsfn.REGEXP(E392,"\d+(\.\d+)?"))</f>
        <v>0.01</v>
      </c>
      <c r="G392">
        <v>10</v>
      </c>
    </row>
    <row r="393" ht="15.5" spans="1:7">
      <c r="A393" s="6" t="s">
        <v>947</v>
      </c>
      <c r="B393" s="3" t="s">
        <v>930</v>
      </c>
      <c r="C393" s="4" t="s">
        <v>16</v>
      </c>
      <c r="D393" s="7">
        <v>128500</v>
      </c>
      <c r="E393" s="8" t="s">
        <v>7557</v>
      </c>
      <c r="F393" s="9">
        <f t="array" ref="F393:G393">VALUE(_wpsfn.REGEXP(E393,"\d+(\.\d+)?"))</f>
        <v>0.01</v>
      </c>
      <c r="G393">
        <v>10</v>
      </c>
    </row>
    <row r="394" ht="15.5" spans="1:7">
      <c r="A394" s="6" t="s">
        <v>949</v>
      </c>
      <c r="B394" s="3" t="s">
        <v>928</v>
      </c>
      <c r="C394" s="4" t="s">
        <v>16</v>
      </c>
      <c r="D394" s="7">
        <v>169953</v>
      </c>
      <c r="E394" s="8" t="s">
        <v>7557</v>
      </c>
      <c r="F394" s="9">
        <f t="array" ref="F394:G394">VALUE(_wpsfn.REGEXP(E394,"\d+(\.\d+)?"))</f>
        <v>0.01</v>
      </c>
      <c r="G394">
        <v>10</v>
      </c>
    </row>
    <row r="395" ht="15.5" spans="1:7">
      <c r="A395" s="6" t="s">
        <v>950</v>
      </c>
      <c r="B395" s="3" t="s">
        <v>930</v>
      </c>
      <c r="C395" s="4" t="s">
        <v>16</v>
      </c>
      <c r="D395" s="7">
        <v>184177</v>
      </c>
      <c r="E395" s="8" t="s">
        <v>7557</v>
      </c>
      <c r="F395" s="9">
        <f t="array" ref="F395:G395">VALUE(_wpsfn.REGEXP(E395,"\d+(\.\d+)?"))</f>
        <v>0.01</v>
      </c>
      <c r="G395">
        <v>10</v>
      </c>
    </row>
    <row r="396" ht="15.5" spans="1:7">
      <c r="A396" s="6" t="s">
        <v>954</v>
      </c>
      <c r="B396" s="3" t="s">
        <v>928</v>
      </c>
      <c r="C396" s="4" t="s">
        <v>16</v>
      </c>
      <c r="D396" s="7">
        <v>64926</v>
      </c>
      <c r="E396" s="8" t="s">
        <v>7557</v>
      </c>
      <c r="F396" s="9">
        <f t="array" ref="F396:G396">VALUE(_wpsfn.REGEXP(E396,"\d+(\.\d+)?"))</f>
        <v>0.01</v>
      </c>
      <c r="G396">
        <v>10</v>
      </c>
    </row>
    <row r="397" ht="15.5" spans="1:7">
      <c r="A397" s="6" t="s">
        <v>955</v>
      </c>
      <c r="B397" s="3" t="s">
        <v>930</v>
      </c>
      <c r="C397" s="4" t="s">
        <v>16</v>
      </c>
      <c r="D397" s="7">
        <v>79150</v>
      </c>
      <c r="E397" s="8" t="s">
        <v>7557</v>
      </c>
      <c r="F397" s="9">
        <f t="array" ref="F397:G397">VALUE(_wpsfn.REGEXP(E397,"\d+(\.\d+)?"))</f>
        <v>0.01</v>
      </c>
      <c r="G397">
        <v>10</v>
      </c>
    </row>
    <row r="398" ht="15.5" spans="1:7">
      <c r="A398" s="6" t="s">
        <v>958</v>
      </c>
      <c r="B398" s="3" t="s">
        <v>928</v>
      </c>
      <c r="C398" s="4" t="s">
        <v>16</v>
      </c>
      <c r="D398" s="7">
        <v>84560</v>
      </c>
      <c r="E398" s="8" t="s">
        <v>7557</v>
      </c>
      <c r="F398" s="9">
        <f t="array" ref="F398:G398">VALUE(_wpsfn.REGEXP(E398,"\d+(\.\d+)?"))</f>
        <v>0.01</v>
      </c>
      <c r="G398">
        <v>10</v>
      </c>
    </row>
    <row r="399" ht="15.5" spans="1:7">
      <c r="A399" s="6" t="s">
        <v>959</v>
      </c>
      <c r="B399" s="3" t="s">
        <v>930</v>
      </c>
      <c r="C399" s="4" t="s">
        <v>16</v>
      </c>
      <c r="D399" s="7">
        <v>98784</v>
      </c>
      <c r="E399" s="8" t="s">
        <v>7557</v>
      </c>
      <c r="F399" s="9">
        <f t="array" ref="F399:G399">VALUE(_wpsfn.REGEXP(E399,"\d+(\.\d+)?"))</f>
        <v>0.01</v>
      </c>
      <c r="G399">
        <v>10</v>
      </c>
    </row>
    <row r="400" ht="62" spans="1:7">
      <c r="A400" s="6" t="s">
        <v>960</v>
      </c>
      <c r="B400" s="12" t="s">
        <v>961</v>
      </c>
      <c r="C400" s="4" t="s">
        <v>16</v>
      </c>
      <c r="D400" s="7">
        <v>169.45</v>
      </c>
      <c r="E400" s="8" t="s">
        <v>7418</v>
      </c>
      <c r="F400" s="9">
        <f t="array" ref="F400">VALUE(_wpsfn.REGEXP(E400,"\d+(\.\d+)?"))</f>
        <v>5.3</v>
      </c>
    </row>
    <row r="401" ht="15.5" spans="1:7">
      <c r="A401" s="6" t="s">
        <v>964</v>
      </c>
      <c r="B401" s="3" t="s">
        <v>898</v>
      </c>
      <c r="C401" s="4" t="s">
        <v>16</v>
      </c>
      <c r="D401" s="7">
        <v>2896</v>
      </c>
      <c r="E401" s="8" t="s">
        <v>7557</v>
      </c>
      <c r="F401" s="9">
        <f t="array" ref="F401:G401">VALUE(_wpsfn.REGEXP(E401,"\d+(\.\d+)?"))</f>
        <v>0.01</v>
      </c>
      <c r="G401">
        <v>10</v>
      </c>
    </row>
    <row r="402" ht="46.5" spans="1:7">
      <c r="A402" s="6" t="s">
        <v>965</v>
      </c>
      <c r="B402" s="12" t="s">
        <v>966</v>
      </c>
      <c r="C402" s="4" t="s">
        <v>16</v>
      </c>
      <c r="D402" s="7">
        <v>2014</v>
      </c>
      <c r="E402" s="8" t="s">
        <v>7557</v>
      </c>
      <c r="F402" s="9">
        <f t="array" ref="F402:G402">VALUE(_wpsfn.REGEXP(E402,"\d+(\.\d+)?"))</f>
        <v>0.01</v>
      </c>
      <c r="G402">
        <v>10</v>
      </c>
    </row>
    <row r="403" ht="62" spans="1:7">
      <c r="A403" s="6" t="s">
        <v>967</v>
      </c>
      <c r="B403" s="12" t="s">
        <v>968</v>
      </c>
      <c r="C403" s="4" t="s">
        <v>12</v>
      </c>
      <c r="D403" s="7">
        <v>608.15</v>
      </c>
      <c r="E403" s="8" t="s">
        <v>7459</v>
      </c>
      <c r="F403" s="9">
        <f t="array" ref="F403">VALUE(_wpsfn.REGEXP(E403,"\d+(\.\d+)?"))</f>
        <v>333.1</v>
      </c>
    </row>
    <row r="404" ht="15.5" spans="1:7">
      <c r="A404" s="6" t="s">
        <v>972</v>
      </c>
      <c r="B404" s="3" t="s">
        <v>928</v>
      </c>
      <c r="C404" s="4" t="s">
        <v>16</v>
      </c>
      <c r="D404" s="7">
        <v>94463</v>
      </c>
      <c r="E404" s="8" t="s">
        <v>7557</v>
      </c>
      <c r="F404" s="9">
        <f t="array" ref="F404:G404">VALUE(_wpsfn.REGEXP(E404,"\d+(\.\d+)?"))</f>
        <v>0.01</v>
      </c>
      <c r="G404">
        <v>10</v>
      </c>
    </row>
    <row r="405" ht="15.5" spans="1:7">
      <c r="A405" s="6" t="s">
        <v>973</v>
      </c>
      <c r="B405" s="3" t="s">
        <v>930</v>
      </c>
      <c r="C405" s="4" t="s">
        <v>16</v>
      </c>
      <c r="D405" s="7">
        <v>108686</v>
      </c>
      <c r="E405" s="8" t="s">
        <v>7557</v>
      </c>
      <c r="F405" s="9">
        <f t="array" ref="F405:G405">VALUE(_wpsfn.REGEXP(E405,"\d+(\.\d+)?"))</f>
        <v>0.01</v>
      </c>
      <c r="G405">
        <v>10</v>
      </c>
    </row>
    <row r="406" ht="15.5" spans="1:7">
      <c r="A406" s="6" t="s">
        <v>976</v>
      </c>
      <c r="B406" s="3" t="s">
        <v>977</v>
      </c>
      <c r="C406" s="4" t="s">
        <v>16</v>
      </c>
      <c r="D406" s="7">
        <v>3779</v>
      </c>
      <c r="E406" s="8" t="s">
        <v>7557</v>
      </c>
      <c r="F406" s="9">
        <f t="array" ref="F406:G406">VALUE(_wpsfn.REGEXP(E406,"\d+(\.\d+)?"))</f>
        <v>0.01</v>
      </c>
      <c r="G406">
        <v>10</v>
      </c>
    </row>
    <row r="407" ht="15.5" spans="1:7">
      <c r="A407" s="6" t="s">
        <v>978</v>
      </c>
      <c r="B407" s="3" t="s">
        <v>979</v>
      </c>
      <c r="C407" s="4" t="s">
        <v>16</v>
      </c>
      <c r="D407" s="7">
        <v>10706</v>
      </c>
      <c r="E407" s="8" t="s">
        <v>7557</v>
      </c>
      <c r="F407" s="9">
        <f t="array" ref="F407:G407">VALUE(_wpsfn.REGEXP(E407,"\d+(\.\d+)?"))</f>
        <v>0.01</v>
      </c>
      <c r="G407">
        <v>10</v>
      </c>
    </row>
    <row r="408" ht="93" spans="1:7">
      <c r="A408" s="6" t="s">
        <v>980</v>
      </c>
      <c r="B408" s="12" t="s">
        <v>981</v>
      </c>
      <c r="C408" s="4" t="s">
        <v>982</v>
      </c>
      <c r="D408" s="7">
        <v>303.5</v>
      </c>
      <c r="E408" s="8" t="s">
        <v>7558</v>
      </c>
      <c r="F408" s="9">
        <v>4.5</v>
      </c>
    </row>
    <row r="409" ht="46.5" spans="1:7">
      <c r="A409" s="6" t="s">
        <v>984</v>
      </c>
      <c r="B409" s="12" t="s">
        <v>985</v>
      </c>
      <c r="C409" s="4" t="s">
        <v>16</v>
      </c>
      <c r="D409" s="7">
        <v>2896</v>
      </c>
      <c r="E409" s="8" t="s">
        <v>7557</v>
      </c>
      <c r="F409" s="9">
        <f t="array" ref="F409:G409">VALUE(_wpsfn.REGEXP(E409,"\d+(\.\d+)?"))</f>
        <v>0.01</v>
      </c>
      <c r="G409">
        <v>10</v>
      </c>
    </row>
    <row r="410" ht="77.5" spans="1:7">
      <c r="A410" s="6" t="s">
        <v>986</v>
      </c>
      <c r="B410" s="12" t="s">
        <v>987</v>
      </c>
      <c r="C410" s="4" t="s">
        <v>156</v>
      </c>
      <c r="D410" s="7">
        <v>54.55</v>
      </c>
      <c r="E410" s="8" t="s">
        <v>7559</v>
      </c>
      <c r="F410" s="9">
        <f t="array" ref="F410">VALUE(_wpsfn.REGEXP(E410,"\d+(\.\d+)?"))</f>
        <v>1</v>
      </c>
    </row>
    <row r="411" ht="31" spans="1:7">
      <c r="A411" s="6" t="s">
        <v>992</v>
      </c>
      <c r="B411" s="3" t="s">
        <v>993</v>
      </c>
      <c r="C411" s="4" t="s">
        <v>12</v>
      </c>
      <c r="D411" s="20">
        <v>2854.35</v>
      </c>
      <c r="E411" s="8" t="s">
        <v>7560</v>
      </c>
      <c r="F411" s="9">
        <f t="array" ref="F411">VALUE(_wpsfn.REGEXP(E411,"\d+(\.\d+)?"))</f>
        <v>2</v>
      </c>
    </row>
    <row r="412" ht="31" spans="1:7">
      <c r="A412" s="6" t="s">
        <v>996</v>
      </c>
      <c r="B412" s="3" t="s">
        <v>993</v>
      </c>
      <c r="C412" s="4" t="s">
        <v>12</v>
      </c>
      <c r="D412" s="20">
        <v>2932.6</v>
      </c>
      <c r="E412" s="8" t="s">
        <v>7560</v>
      </c>
      <c r="F412" s="9">
        <f t="array" ref="F412">VALUE(_wpsfn.REGEXP(E412,"\d+(\.\d+)?"))</f>
        <v>2</v>
      </c>
    </row>
    <row r="413" ht="15.5" spans="1:7">
      <c r="A413" s="6" t="s">
        <v>999</v>
      </c>
      <c r="B413" s="3" t="s">
        <v>928</v>
      </c>
      <c r="C413" s="4" t="s">
        <v>12</v>
      </c>
      <c r="D413" s="20">
        <v>1833.25</v>
      </c>
      <c r="E413" s="8" t="s">
        <v>7561</v>
      </c>
      <c r="F413" s="9">
        <f t="array" ref="F413">VALUE(_wpsfn.REGEXP(E413,"\d+(\.\d+)?"))</f>
        <v>1.875</v>
      </c>
    </row>
    <row r="414" ht="15.5" spans="1:7">
      <c r="A414" s="6" t="s">
        <v>1000</v>
      </c>
      <c r="B414" s="3" t="s">
        <v>930</v>
      </c>
      <c r="C414" s="4" t="s">
        <v>12</v>
      </c>
      <c r="D414" s="20">
        <v>1901.55</v>
      </c>
      <c r="E414" s="8" t="s">
        <v>7561</v>
      </c>
      <c r="F414" s="9">
        <f t="array" ref="F414">VALUE(_wpsfn.REGEXP(E414,"\d+(\.\d+)?"))</f>
        <v>1.875</v>
      </c>
    </row>
    <row r="415" ht="77.5" spans="1:7">
      <c r="A415" s="6" t="s">
        <v>1001</v>
      </c>
      <c r="B415" s="12" t="s">
        <v>1002</v>
      </c>
      <c r="C415" s="4" t="s">
        <v>12</v>
      </c>
      <c r="D415" s="20">
        <v>2159.9</v>
      </c>
      <c r="E415" s="8" t="s">
        <v>7562</v>
      </c>
      <c r="F415" s="9">
        <f t="array" ref="F415">VALUE(_wpsfn.REGEXP(E415,"\d+(\.\d+)?"))</f>
        <v>1.12</v>
      </c>
    </row>
    <row r="416" ht="77.5" spans="1:7">
      <c r="A416" s="6" t="s">
        <v>1003</v>
      </c>
      <c r="B416" s="12" t="s">
        <v>1004</v>
      </c>
      <c r="C416" s="4" t="s">
        <v>156</v>
      </c>
      <c r="D416" s="20">
        <v>6788.85</v>
      </c>
      <c r="E416" s="8" t="s">
        <v>7563</v>
      </c>
      <c r="F416" s="9">
        <f t="array" ref="F416">VALUE(_wpsfn.REGEXP(E416,"\d+(\.\d+)?"))</f>
        <v>1</v>
      </c>
    </row>
    <row r="417" ht="15.5" spans="1:6">
      <c r="A417" s="6" t="s">
        <v>1007</v>
      </c>
      <c r="B417" s="3" t="s">
        <v>928</v>
      </c>
      <c r="C417" s="4" t="s">
        <v>16</v>
      </c>
      <c r="D417" s="20">
        <v>93741.1</v>
      </c>
      <c r="E417" s="8" t="s">
        <v>7564</v>
      </c>
      <c r="F417" s="22">
        <v>0.675</v>
      </c>
    </row>
    <row r="418" ht="15.5" spans="1:6">
      <c r="A418" s="6" t="s">
        <v>1008</v>
      </c>
      <c r="B418" s="3" t="s">
        <v>930</v>
      </c>
      <c r="C418" s="4" t="s">
        <v>16</v>
      </c>
      <c r="D418" s="20">
        <v>107965.1</v>
      </c>
      <c r="E418" s="8" t="s">
        <v>7564</v>
      </c>
      <c r="F418" s="22">
        <v>0.675</v>
      </c>
    </row>
    <row r="419" ht="15.5" spans="1:6">
      <c r="A419" s="6" t="s">
        <v>1011</v>
      </c>
      <c r="B419" s="3" t="s">
        <v>928</v>
      </c>
      <c r="C419" s="4" t="s">
        <v>12</v>
      </c>
      <c r="D419" s="20">
        <v>14931.55</v>
      </c>
      <c r="E419" s="8" t="s">
        <v>7554</v>
      </c>
      <c r="F419" s="9">
        <f t="array" ref="F419">VALUE(_wpsfn.REGEXP(E419,"\d+(\.\d+)?"))</f>
        <v>1</v>
      </c>
    </row>
    <row r="420" ht="15.5" spans="1:6">
      <c r="A420" s="6" t="s">
        <v>1012</v>
      </c>
      <c r="B420" s="3" t="s">
        <v>930</v>
      </c>
      <c r="C420" s="4" t="s">
        <v>12</v>
      </c>
      <c r="D420" s="20">
        <v>14994.15</v>
      </c>
      <c r="E420" s="8" t="s">
        <v>7554</v>
      </c>
      <c r="F420" s="9">
        <f t="array" ref="F420">VALUE(_wpsfn.REGEXP(E420,"\d+(\.\d+)?"))</f>
        <v>1</v>
      </c>
    </row>
    <row r="421" ht="62" spans="1:6">
      <c r="A421" s="6" t="s">
        <v>1013</v>
      </c>
      <c r="B421" s="12" t="s">
        <v>1014</v>
      </c>
      <c r="C421" s="4" t="s">
        <v>370</v>
      </c>
      <c r="D421" s="20">
        <v>1098.8</v>
      </c>
      <c r="E421" s="8" t="s">
        <v>7420</v>
      </c>
      <c r="F421" s="9">
        <f t="array" ref="F421">VALUE(_wpsfn.REGEXP(E421,"\d+(\.\d+)?"))</f>
        <v>4.2</v>
      </c>
    </row>
    <row r="422" ht="31" spans="1:6">
      <c r="A422" s="6" t="s">
        <v>1016</v>
      </c>
      <c r="B422" s="12" t="s">
        <v>1017</v>
      </c>
      <c r="C422" s="4" t="s">
        <v>16</v>
      </c>
      <c r="D422" s="23">
        <v>467.55</v>
      </c>
      <c r="E422" s="8" t="s">
        <v>7392</v>
      </c>
      <c r="F422" s="9">
        <f t="array" ref="F422">VALUE(_wpsfn.REGEXP(E422,"\d+(\.\d+)?"))</f>
        <v>1</v>
      </c>
    </row>
    <row r="423" ht="15.5" spans="1:6">
      <c r="A423" s="6" t="s">
        <v>1022</v>
      </c>
      <c r="B423" s="3" t="s">
        <v>1023</v>
      </c>
      <c r="C423" s="4" t="s">
        <v>12</v>
      </c>
      <c r="D423" s="7">
        <v>3094.55</v>
      </c>
      <c r="E423" s="8" t="s">
        <v>7397</v>
      </c>
      <c r="F423" s="9">
        <f t="array" ref="F423">VALUE(_wpsfn.REGEXP(E423,"\d+(\.\d+)?"))</f>
        <v>10</v>
      </c>
    </row>
    <row r="424" ht="31" spans="1:6">
      <c r="A424" s="6" t="s">
        <v>1024</v>
      </c>
      <c r="B424" s="3" t="s">
        <v>1025</v>
      </c>
      <c r="C424" s="4" t="s">
        <v>12</v>
      </c>
      <c r="D424" s="7">
        <v>2766.45</v>
      </c>
      <c r="E424" s="8" t="s">
        <v>7397</v>
      </c>
      <c r="F424" s="9">
        <f t="array" ref="F424">VALUE(_wpsfn.REGEXP(E424,"\d+(\.\d+)?"))</f>
        <v>10</v>
      </c>
    </row>
    <row r="425" ht="15.5" spans="1:6">
      <c r="A425" s="6" t="s">
        <v>204</v>
      </c>
      <c r="B425" s="12" t="s">
        <v>2</v>
      </c>
      <c r="C425" s="4" t="s">
        <v>3</v>
      </c>
      <c r="D425" s="14" t="s">
        <v>4</v>
      </c>
    </row>
    <row r="426" ht="15.5" spans="1:6">
      <c r="A426" s="6" t="s">
        <v>1031</v>
      </c>
      <c r="B426" s="3" t="s">
        <v>1032</v>
      </c>
      <c r="C426" s="4" t="s">
        <v>12</v>
      </c>
      <c r="D426" s="7">
        <v>5742.55</v>
      </c>
      <c r="E426" s="8" t="s">
        <v>7565</v>
      </c>
      <c r="F426" s="9">
        <f t="array" ref="F426">VALUE(_wpsfn.REGEXP(E426,"\d+(\.\d+)?"))</f>
        <v>5</v>
      </c>
    </row>
    <row r="427" ht="15.5" spans="1:6">
      <c r="A427" s="6" t="s">
        <v>1033</v>
      </c>
      <c r="B427" s="3" t="s">
        <v>1034</v>
      </c>
      <c r="C427" s="4" t="s">
        <v>12</v>
      </c>
      <c r="D427" s="7">
        <v>5938</v>
      </c>
      <c r="E427" s="8" t="s">
        <v>7397</v>
      </c>
      <c r="F427" s="9">
        <f t="array" ref="F427">VALUE(_wpsfn.REGEXP(E427,"\d+(\.\d+)?"))</f>
        <v>10</v>
      </c>
    </row>
    <row r="428" ht="15.5" spans="1:6">
      <c r="A428" s="6" t="s">
        <v>1039</v>
      </c>
      <c r="B428" s="3" t="s">
        <v>1032</v>
      </c>
      <c r="C428" s="4" t="s">
        <v>12</v>
      </c>
      <c r="D428" s="7">
        <v>3414.8</v>
      </c>
      <c r="E428" s="8" t="s">
        <v>7566</v>
      </c>
      <c r="F428" s="9">
        <f t="array" ref="F428">VALUE(_wpsfn.REGEXP(E428,"\d+(\.\d+)?"))</f>
        <v>0.5</v>
      </c>
    </row>
    <row r="429" ht="15.5" spans="1:6">
      <c r="A429" s="6" t="s">
        <v>1040</v>
      </c>
      <c r="B429" s="3" t="s">
        <v>1034</v>
      </c>
      <c r="C429" s="4" t="s">
        <v>12</v>
      </c>
      <c r="D429" s="7">
        <v>3078.4</v>
      </c>
      <c r="E429" s="8" t="s">
        <v>7554</v>
      </c>
      <c r="F429" s="9">
        <f t="array" ref="F429">VALUE(_wpsfn.REGEXP(E429,"\d+(\.\d+)?"))</f>
        <v>1</v>
      </c>
    </row>
    <row r="430" ht="15.5" spans="1:6">
      <c r="A430" s="6" t="s">
        <v>1043</v>
      </c>
      <c r="B430" s="3" t="s">
        <v>1032</v>
      </c>
      <c r="C430" s="4" t="s">
        <v>12</v>
      </c>
      <c r="D430" s="7">
        <v>5413.5</v>
      </c>
      <c r="E430" s="8" t="s">
        <v>7566</v>
      </c>
      <c r="F430" s="9">
        <f t="array" ref="F430">VALUE(_wpsfn.REGEXP(E430,"\d+(\.\d+)?"))</f>
        <v>0.5</v>
      </c>
    </row>
    <row r="431" ht="15.5" spans="1:6">
      <c r="A431" s="6" t="s">
        <v>1044</v>
      </c>
      <c r="B431" s="3" t="s">
        <v>1034</v>
      </c>
      <c r="C431" s="4" t="s">
        <v>12</v>
      </c>
      <c r="D431" s="7">
        <v>5136.3</v>
      </c>
      <c r="E431" s="8" t="s">
        <v>7567</v>
      </c>
      <c r="F431" s="9">
        <f t="array" ref="F431">VALUE(_wpsfn.REGEXP(E431,"\d+(\.\d+)?"))</f>
        <v>2</v>
      </c>
    </row>
    <row r="432" ht="15.5" spans="1:6">
      <c r="A432" s="6" t="s">
        <v>1047</v>
      </c>
      <c r="B432" s="3" t="s">
        <v>1032</v>
      </c>
      <c r="C432" s="4" t="s">
        <v>12</v>
      </c>
      <c r="D432" s="7">
        <v>4170.7</v>
      </c>
      <c r="E432" s="8" t="s">
        <v>7566</v>
      </c>
      <c r="F432" s="9">
        <f t="array" ref="F432">VALUE(_wpsfn.REGEXP(E432,"\d+(\.\d+)?"))</f>
        <v>0.5</v>
      </c>
    </row>
    <row r="433" ht="15.5" spans="1:6">
      <c r="A433" s="6" t="s">
        <v>1048</v>
      </c>
      <c r="B433" s="3" t="s">
        <v>1034</v>
      </c>
      <c r="C433" s="4" t="s">
        <v>12</v>
      </c>
      <c r="D433" s="7">
        <v>3848.7</v>
      </c>
      <c r="E433" s="8" t="s">
        <v>7567</v>
      </c>
      <c r="F433" s="9">
        <f t="array" ref="F433">VALUE(_wpsfn.REGEXP(E433,"\d+(\.\d+)?"))</f>
        <v>2</v>
      </c>
    </row>
    <row r="434" ht="15.5" spans="1:6">
      <c r="A434" s="6" t="s">
        <v>1051</v>
      </c>
      <c r="B434" s="3" t="s">
        <v>1052</v>
      </c>
      <c r="C434" s="4" t="s">
        <v>49</v>
      </c>
      <c r="D434" s="7">
        <v>298.6</v>
      </c>
      <c r="E434" s="8" t="s">
        <v>7552</v>
      </c>
      <c r="F434" s="9">
        <f t="array" ref="F434">VALUE(_wpsfn.REGEXP(E434,"\d+(\.\d+)?"))</f>
        <v>10</v>
      </c>
    </row>
    <row r="435" ht="15.5" spans="1:6">
      <c r="A435" s="6" t="s">
        <v>1053</v>
      </c>
      <c r="B435" s="3" t="s">
        <v>1054</v>
      </c>
      <c r="C435" s="4" t="s">
        <v>49</v>
      </c>
      <c r="D435" s="7">
        <v>510.95</v>
      </c>
      <c r="E435" s="8" t="s">
        <v>7552</v>
      </c>
      <c r="F435" s="9">
        <f t="array" ref="F435">VALUE(_wpsfn.REGEXP(E435,"\d+(\.\d+)?"))</f>
        <v>10</v>
      </c>
    </row>
    <row r="436" ht="77.5" spans="1:6">
      <c r="A436" s="6" t="s">
        <v>1055</v>
      </c>
      <c r="B436" s="12" t="s">
        <v>1056</v>
      </c>
      <c r="C436" s="4" t="s">
        <v>49</v>
      </c>
      <c r="D436" s="7">
        <v>568.55</v>
      </c>
      <c r="E436" s="8" t="s">
        <v>7568</v>
      </c>
      <c r="F436" s="9">
        <f t="array" ref="F436">VALUE(_wpsfn.REGEXP(E436,"\d+(\.\d+)?"))</f>
        <v>1.5</v>
      </c>
    </row>
    <row r="437" ht="108.5" spans="1:6">
      <c r="A437" s="6" t="s">
        <v>1057</v>
      </c>
      <c r="B437" s="12" t="s">
        <v>1058</v>
      </c>
      <c r="C437" s="4" t="s">
        <v>156</v>
      </c>
      <c r="D437" s="7">
        <v>978.7</v>
      </c>
      <c r="E437" s="8" t="s">
        <v>7544</v>
      </c>
      <c r="F437" s="9">
        <f t="array" ref="F437">VALUE(_wpsfn.REGEXP(E437,"\d+(\.\d+)?"))</f>
        <v>1</v>
      </c>
    </row>
    <row r="438" ht="46.5" spans="1:6">
      <c r="A438" s="6" t="s">
        <v>1059</v>
      </c>
      <c r="B438" s="12" t="s">
        <v>1060</v>
      </c>
      <c r="C438" s="4" t="s">
        <v>12</v>
      </c>
      <c r="D438" s="7">
        <v>506.7</v>
      </c>
      <c r="E438" s="8" t="s">
        <v>7397</v>
      </c>
      <c r="F438" s="9">
        <f t="array" ref="F438">VALUE(_wpsfn.REGEXP(E438,"\d+(\.\d+)?"))</f>
        <v>10</v>
      </c>
    </row>
    <row r="439" ht="15.5" spans="1:6">
      <c r="A439" s="6" t="s">
        <v>1063</v>
      </c>
      <c r="B439" s="3" t="s">
        <v>1064</v>
      </c>
      <c r="C439" s="4" t="s">
        <v>575</v>
      </c>
      <c r="D439" s="7">
        <v>723.45</v>
      </c>
      <c r="E439" s="8" t="s">
        <v>7569</v>
      </c>
      <c r="F439" s="9">
        <f t="array" ref="F439">VALUE(_wpsfn.REGEXP(E439,"\d+(\.\d+)?"))</f>
        <v>1.03</v>
      </c>
    </row>
    <row r="440" ht="15.5" spans="1:6">
      <c r="A440" s="6" t="s">
        <v>1065</v>
      </c>
      <c r="B440" s="3" t="s">
        <v>1066</v>
      </c>
      <c r="C440" s="4" t="s">
        <v>575</v>
      </c>
      <c r="D440" s="7">
        <v>714.4</v>
      </c>
      <c r="E440" s="8" t="s">
        <v>7570</v>
      </c>
      <c r="F440" s="9">
        <f t="array" ref="F440">VALUE(_wpsfn.REGEXP(E440,"\d+(\.\d+)?"))</f>
        <v>0.934</v>
      </c>
    </row>
    <row r="441" ht="15.5" spans="1:6">
      <c r="A441" s="6" t="s">
        <v>1071</v>
      </c>
      <c r="B441" s="3" t="s">
        <v>1072</v>
      </c>
      <c r="C441" s="4" t="s">
        <v>156</v>
      </c>
      <c r="D441" s="7">
        <v>36.75</v>
      </c>
      <c r="E441" s="8" t="s">
        <v>7571</v>
      </c>
      <c r="F441" s="9">
        <f t="array" ref="F441">VALUE(_wpsfn.REGEXP(E441,"\d+(\.\d+)?"))</f>
        <v>300</v>
      </c>
    </row>
    <row r="442" ht="15.5" spans="1:6">
      <c r="A442" s="6" t="s">
        <v>1073</v>
      </c>
      <c r="B442" s="3" t="s">
        <v>1074</v>
      </c>
      <c r="C442" s="4" t="s">
        <v>156</v>
      </c>
      <c r="D442" s="7">
        <v>40</v>
      </c>
      <c r="E442" s="8" t="s">
        <v>7572</v>
      </c>
      <c r="F442" s="9">
        <f t="array" ref="F442">VALUE(_wpsfn.REGEXP(E442,"\d+(\.\d+)?"))</f>
        <v>30</v>
      </c>
    </row>
    <row r="443" ht="15.5" spans="1:6">
      <c r="A443" s="6" t="s">
        <v>1075</v>
      </c>
      <c r="B443" s="3" t="s">
        <v>1076</v>
      </c>
      <c r="C443" s="4" t="s">
        <v>156</v>
      </c>
      <c r="D443" s="7">
        <v>61.7</v>
      </c>
      <c r="E443" s="8" t="s">
        <v>7571</v>
      </c>
      <c r="F443" s="9">
        <f t="array" ref="F443">VALUE(_wpsfn.REGEXP(E443,"\d+(\.\d+)?"))</f>
        <v>300</v>
      </c>
    </row>
    <row r="444" ht="31" spans="1:6">
      <c r="A444" s="6" t="s">
        <v>1081</v>
      </c>
      <c r="B444" s="3" t="s">
        <v>1082</v>
      </c>
      <c r="C444" s="4" t="s">
        <v>12</v>
      </c>
      <c r="D444" s="7">
        <v>3190.3</v>
      </c>
      <c r="E444" s="8" t="s">
        <v>7397</v>
      </c>
      <c r="F444" s="9">
        <f t="array" ref="F444">VALUE(_wpsfn.REGEXP(E444,"\d+(\.\d+)?"))</f>
        <v>10</v>
      </c>
    </row>
    <row r="445" ht="15.5" spans="1:6">
      <c r="A445" s="6" t="s">
        <v>1083</v>
      </c>
      <c r="B445" s="3" t="s">
        <v>1084</v>
      </c>
      <c r="C445" s="4" t="s">
        <v>12</v>
      </c>
      <c r="D445" s="7">
        <v>3617.55</v>
      </c>
      <c r="E445" s="8" t="s">
        <v>7397</v>
      </c>
      <c r="F445" s="9">
        <f t="array" ref="F445">VALUE(_wpsfn.REGEXP(E445,"\d+(\.\d+)?"))</f>
        <v>10</v>
      </c>
    </row>
    <row r="446" ht="15.5" spans="1:6">
      <c r="A446" s="6" t="s">
        <v>1087</v>
      </c>
      <c r="B446" s="3" t="s">
        <v>1088</v>
      </c>
      <c r="C446" s="4" t="s">
        <v>12</v>
      </c>
      <c r="D446" s="7">
        <v>3500.45</v>
      </c>
      <c r="E446" s="8" t="s">
        <v>7507</v>
      </c>
      <c r="F446" s="9">
        <f t="array" ref="F446">VALUE(_wpsfn.REGEXP(E446,"\d+(\.\d+)?"))</f>
        <v>0.375</v>
      </c>
    </row>
    <row r="447" ht="15.5" spans="1:6">
      <c r="A447" s="6" t="s">
        <v>1089</v>
      </c>
      <c r="B447" s="3" t="s">
        <v>1090</v>
      </c>
      <c r="C447" s="4" t="s">
        <v>12</v>
      </c>
      <c r="D447" s="7">
        <v>4051.85</v>
      </c>
      <c r="E447" s="8" t="s">
        <v>7507</v>
      </c>
      <c r="F447" s="9">
        <f t="array" ref="F447">VALUE(_wpsfn.REGEXP(E447,"\d+(\.\d+)?"))</f>
        <v>0.375</v>
      </c>
    </row>
    <row r="448" ht="46.5" spans="1:6">
      <c r="A448" s="6" t="s">
        <v>1093</v>
      </c>
      <c r="B448" s="3" t="s">
        <v>1094</v>
      </c>
      <c r="C448" s="4" t="s">
        <v>12</v>
      </c>
      <c r="D448" s="7">
        <v>10414.8</v>
      </c>
      <c r="E448" s="8" t="s">
        <v>7573</v>
      </c>
      <c r="F448" s="9">
        <f t="array" ref="F448">VALUE(_wpsfn.REGEXP(E448,"\d+(\.\d+)?"))</f>
        <v>50</v>
      </c>
    </row>
    <row r="449" ht="15.5" spans="1:6">
      <c r="A449" s="6" t="s">
        <v>1100</v>
      </c>
      <c r="B449" s="3" t="s">
        <v>1101</v>
      </c>
      <c r="C449" s="4" t="s">
        <v>12</v>
      </c>
      <c r="D449" s="7">
        <v>6282.4</v>
      </c>
      <c r="E449" s="8" t="s">
        <v>7554</v>
      </c>
      <c r="F449" s="9">
        <f t="array" ref="F449">VALUE(_wpsfn.REGEXP(E449,"\d+(\.\d+)?"))</f>
        <v>1</v>
      </c>
    </row>
    <row r="450" ht="15.5" spans="1:6">
      <c r="A450" s="6" t="s">
        <v>1103</v>
      </c>
      <c r="B450" s="3" t="s">
        <v>1104</v>
      </c>
      <c r="C450" s="4" t="s">
        <v>12</v>
      </c>
      <c r="D450" s="7">
        <v>6035.85</v>
      </c>
      <c r="E450" s="8" t="s">
        <v>7554</v>
      </c>
      <c r="F450" s="9">
        <f t="array" ref="F450">VALUE(_wpsfn.REGEXP(E450,"\d+(\.\d+)?"))</f>
        <v>1</v>
      </c>
    </row>
    <row r="451" ht="15.5" spans="1:6">
      <c r="A451" s="6" t="s">
        <v>1106</v>
      </c>
      <c r="B451" s="3" t="s">
        <v>554</v>
      </c>
      <c r="C451" s="4" t="s">
        <v>12</v>
      </c>
      <c r="D451" s="7">
        <v>5789.9</v>
      </c>
      <c r="E451" s="8" t="s">
        <v>7554</v>
      </c>
      <c r="F451" s="9">
        <f t="array" ref="F451">VALUE(_wpsfn.REGEXP(E451,"\d+(\.\d+)?"))</f>
        <v>1</v>
      </c>
    </row>
    <row r="452" ht="15.5" spans="1:6">
      <c r="A452" s="6" t="s">
        <v>1108</v>
      </c>
      <c r="B452" s="3" t="s">
        <v>556</v>
      </c>
      <c r="C452" s="4" t="s">
        <v>12</v>
      </c>
      <c r="D452" s="7">
        <v>5542.6</v>
      </c>
      <c r="E452" s="8" t="s">
        <v>7554</v>
      </c>
      <c r="F452" s="9">
        <f t="array" ref="F452">VALUE(_wpsfn.REGEXP(E452,"\d+(\.\d+)?"))</f>
        <v>1</v>
      </c>
    </row>
    <row r="453" ht="15.5" spans="1:6">
      <c r="A453" s="6" t="s">
        <v>1110</v>
      </c>
      <c r="B453" s="3" t="s">
        <v>1111</v>
      </c>
      <c r="C453" s="4" t="s">
        <v>12</v>
      </c>
      <c r="D453" s="7">
        <v>5295.9</v>
      </c>
      <c r="E453" s="8" t="s">
        <v>7554</v>
      </c>
      <c r="F453" s="9">
        <f t="array" ref="F453">VALUE(_wpsfn.REGEXP(E453,"\d+(\.\d+)?"))</f>
        <v>1</v>
      </c>
    </row>
    <row r="454" ht="15.5" spans="1:6">
      <c r="A454" s="6" t="s">
        <v>1116</v>
      </c>
      <c r="B454" s="3" t="s">
        <v>1101</v>
      </c>
      <c r="C454" s="4" t="s">
        <v>12</v>
      </c>
      <c r="D454" s="7">
        <v>8502.25</v>
      </c>
      <c r="E454" s="8" t="s">
        <v>7554</v>
      </c>
      <c r="F454" s="9">
        <f t="array" ref="F454">VALUE(_wpsfn.REGEXP(E454,"\d+(\.\d+)?"))</f>
        <v>1</v>
      </c>
    </row>
    <row r="455" ht="15.5" spans="1:6">
      <c r="A455" s="6" t="s">
        <v>1118</v>
      </c>
      <c r="B455" s="3" t="s">
        <v>1104</v>
      </c>
      <c r="C455" s="4" t="s">
        <v>12</v>
      </c>
      <c r="D455" s="7">
        <v>8255.75</v>
      </c>
      <c r="E455" s="8" t="s">
        <v>7554</v>
      </c>
      <c r="F455" s="9">
        <f t="array" ref="F455">VALUE(_wpsfn.REGEXP(E455,"\d+(\.\d+)?"))</f>
        <v>1</v>
      </c>
    </row>
    <row r="456" ht="15.5" spans="1:6">
      <c r="A456" s="6" t="s">
        <v>1120</v>
      </c>
      <c r="B456" s="3" t="s">
        <v>554</v>
      </c>
      <c r="C456" s="4" t="s">
        <v>12</v>
      </c>
      <c r="D456" s="7">
        <v>8009.75</v>
      </c>
      <c r="E456" s="8" t="s">
        <v>7554</v>
      </c>
      <c r="F456" s="9">
        <f t="array" ref="F456">VALUE(_wpsfn.REGEXP(E456,"\d+(\.\d+)?"))</f>
        <v>1</v>
      </c>
    </row>
    <row r="457" ht="15.5" spans="1:6">
      <c r="A457" s="6" t="s">
        <v>1122</v>
      </c>
      <c r="B457" s="3" t="s">
        <v>556</v>
      </c>
      <c r="C457" s="4" t="s">
        <v>12</v>
      </c>
      <c r="D457" s="7">
        <v>7762.5</v>
      </c>
      <c r="E457" s="8" t="s">
        <v>7554</v>
      </c>
      <c r="F457" s="9">
        <f t="array" ref="F457">VALUE(_wpsfn.REGEXP(E457,"\d+(\.\d+)?"))</f>
        <v>1</v>
      </c>
    </row>
    <row r="458" ht="15.5" spans="1:6">
      <c r="A458" s="6" t="s">
        <v>1124</v>
      </c>
      <c r="B458" s="3" t="s">
        <v>1111</v>
      </c>
      <c r="C458" s="4" t="s">
        <v>12</v>
      </c>
      <c r="D458" s="7">
        <v>7515.8</v>
      </c>
      <c r="E458" s="8" t="s">
        <v>7554</v>
      </c>
      <c r="F458" s="9">
        <f t="array" ref="F458">VALUE(_wpsfn.REGEXP(E458,"\d+(\.\d+)?"))</f>
        <v>1</v>
      </c>
    </row>
    <row r="459" ht="15.5" spans="1:6">
      <c r="A459" s="6" t="s">
        <v>1129</v>
      </c>
      <c r="B459" s="3" t="s">
        <v>1101</v>
      </c>
      <c r="C459" s="4" t="s">
        <v>12</v>
      </c>
      <c r="D459" s="7">
        <v>7278.2</v>
      </c>
      <c r="E459" s="8" t="s">
        <v>7554</v>
      </c>
      <c r="F459" s="9">
        <f t="array" ref="F459">VALUE(_wpsfn.REGEXP(E459,"\d+(\.\d+)?"))</f>
        <v>1</v>
      </c>
    </row>
    <row r="460" ht="15.5" spans="1:6">
      <c r="A460" s="6" t="s">
        <v>1131</v>
      </c>
      <c r="B460" s="3" t="s">
        <v>1104</v>
      </c>
      <c r="C460" s="4" t="s">
        <v>12</v>
      </c>
      <c r="D460" s="7">
        <v>6889.45</v>
      </c>
      <c r="E460" s="8" t="s">
        <v>7554</v>
      </c>
      <c r="F460" s="9">
        <f t="array" ref="F460">VALUE(_wpsfn.REGEXP(E460,"\d+(\.\d+)?"))</f>
        <v>1</v>
      </c>
    </row>
    <row r="461" ht="15.5" spans="1:6">
      <c r="A461" s="6" t="s">
        <v>1133</v>
      </c>
      <c r="B461" s="3" t="s">
        <v>554</v>
      </c>
      <c r="C461" s="4" t="s">
        <v>12</v>
      </c>
      <c r="D461" s="7">
        <v>6501.55</v>
      </c>
      <c r="E461" s="8" t="s">
        <v>7554</v>
      </c>
      <c r="F461" s="9">
        <f t="array" ref="F461">VALUE(_wpsfn.REGEXP(E461,"\d+(\.\d+)?"))</f>
        <v>1</v>
      </c>
    </row>
    <row r="462" ht="15.5" spans="1:6">
      <c r="A462" s="6" t="s">
        <v>1135</v>
      </c>
      <c r="B462" s="3" t="s">
        <v>556</v>
      </c>
      <c r="C462" s="4" t="s">
        <v>12</v>
      </c>
      <c r="D462" s="7">
        <v>6110.75</v>
      </c>
      <c r="E462" s="8" t="s">
        <v>7554</v>
      </c>
      <c r="F462" s="9">
        <f t="array" ref="F462">VALUE(_wpsfn.REGEXP(E462,"\d+(\.\d+)?"))</f>
        <v>1</v>
      </c>
    </row>
    <row r="463" ht="15.5" spans="1:6">
      <c r="A463" s="6" t="s">
        <v>1137</v>
      </c>
      <c r="B463" s="3" t="s">
        <v>1111</v>
      </c>
      <c r="C463" s="4" t="s">
        <v>12</v>
      </c>
      <c r="D463" s="7">
        <v>5722.6</v>
      </c>
      <c r="E463" s="8" t="s">
        <v>7554</v>
      </c>
      <c r="F463" s="9">
        <f t="array" ref="F463">VALUE(_wpsfn.REGEXP(E463,"\d+(\.\d+)?"))</f>
        <v>1</v>
      </c>
    </row>
    <row r="464" ht="15.5" spans="1:6">
      <c r="A464" s="6" t="s">
        <v>1142</v>
      </c>
      <c r="B464" s="3" t="s">
        <v>1101</v>
      </c>
      <c r="C464" s="4" t="s">
        <v>12</v>
      </c>
      <c r="D464" s="7">
        <v>9498.1</v>
      </c>
      <c r="E464" s="8" t="s">
        <v>7554</v>
      </c>
      <c r="F464" s="9">
        <f t="array" ref="F464">VALUE(_wpsfn.REGEXP(E464,"\d+(\.\d+)?"))</f>
        <v>1</v>
      </c>
    </row>
    <row r="465" ht="15.5" spans="1:6">
      <c r="A465" s="6" t="s">
        <v>1144</v>
      </c>
      <c r="B465" s="3" t="s">
        <v>1104</v>
      </c>
      <c r="C465" s="4" t="s">
        <v>12</v>
      </c>
      <c r="D465" s="7">
        <v>9109.3</v>
      </c>
      <c r="E465" s="8" t="s">
        <v>7554</v>
      </c>
      <c r="F465" s="9">
        <f t="array" ref="F465">VALUE(_wpsfn.REGEXP(E465,"\d+(\.\d+)?"))</f>
        <v>1</v>
      </c>
    </row>
    <row r="466" ht="15.5" spans="1:6">
      <c r="A466" s="6" t="s">
        <v>1146</v>
      </c>
      <c r="B466" s="3" t="s">
        <v>554</v>
      </c>
      <c r="C466" s="4" t="s">
        <v>12</v>
      </c>
      <c r="D466" s="7">
        <v>8721.45</v>
      </c>
      <c r="E466" s="8" t="s">
        <v>7554</v>
      </c>
      <c r="F466" s="9">
        <f t="array" ref="F466">VALUE(_wpsfn.REGEXP(E466,"\d+(\.\d+)?"))</f>
        <v>1</v>
      </c>
    </row>
    <row r="467" ht="15.5" spans="1:6">
      <c r="A467" s="6" t="s">
        <v>1148</v>
      </c>
      <c r="B467" s="3" t="s">
        <v>556</v>
      </c>
      <c r="C467" s="4" t="s">
        <v>12</v>
      </c>
      <c r="D467" s="7">
        <v>8330.65</v>
      </c>
      <c r="E467" s="8" t="s">
        <v>7554</v>
      </c>
      <c r="F467" s="9">
        <f t="array" ref="F467">VALUE(_wpsfn.REGEXP(E467,"\d+(\.\d+)?"))</f>
        <v>1</v>
      </c>
    </row>
    <row r="468" ht="15.5" spans="1:6">
      <c r="A468" s="6" t="s">
        <v>1150</v>
      </c>
      <c r="B468" s="3" t="s">
        <v>1111</v>
      </c>
      <c r="C468" s="4" t="s">
        <v>12</v>
      </c>
      <c r="D468" s="7">
        <v>7942.5</v>
      </c>
      <c r="E468" s="8" t="s">
        <v>7554</v>
      </c>
      <c r="F468" s="9">
        <f t="array" ref="F468">VALUE(_wpsfn.REGEXP(E468,"\d+(\.\d+)?"))</f>
        <v>1</v>
      </c>
    </row>
    <row r="469" ht="15.5" spans="1:6">
      <c r="A469" s="6" t="s">
        <v>1155</v>
      </c>
      <c r="B469" s="3" t="s">
        <v>1156</v>
      </c>
      <c r="C469" s="4" t="s">
        <v>12</v>
      </c>
      <c r="D469" s="7">
        <v>3256.65</v>
      </c>
      <c r="E469" s="8" t="s">
        <v>7554</v>
      </c>
      <c r="F469" s="9">
        <f t="array" ref="F469">VALUE(_wpsfn.REGEXP(E469,"\d+(\.\d+)?"))</f>
        <v>1</v>
      </c>
    </row>
    <row r="470" ht="15.5" spans="1:6">
      <c r="A470" s="6" t="s">
        <v>1158</v>
      </c>
      <c r="B470" s="3" t="s">
        <v>1159</v>
      </c>
      <c r="C470" s="4" t="s">
        <v>12</v>
      </c>
      <c r="D470" s="7">
        <v>3119.2</v>
      </c>
      <c r="E470" s="8" t="s">
        <v>7554</v>
      </c>
      <c r="F470" s="9">
        <f t="array" ref="F470">VALUE(_wpsfn.REGEXP(E470,"\d+(\.\d+)?"))</f>
        <v>1</v>
      </c>
    </row>
    <row r="471" ht="124" spans="1:6">
      <c r="A471" s="6" t="s">
        <v>1161</v>
      </c>
      <c r="B471" s="12" t="s">
        <v>1162</v>
      </c>
      <c r="C471" s="4" t="s">
        <v>575</v>
      </c>
      <c r="D471" s="7">
        <v>714.4</v>
      </c>
      <c r="E471" s="8" t="s">
        <v>7570</v>
      </c>
      <c r="F471" s="9">
        <f t="array" ref="F471">VALUE(_wpsfn.REGEXP(E471,"\d+(\.\d+)?"))</f>
        <v>0.934</v>
      </c>
    </row>
    <row r="472" ht="77.5" spans="1:6">
      <c r="A472" s="6" t="s">
        <v>1163</v>
      </c>
      <c r="B472" s="12" t="s">
        <v>1164</v>
      </c>
      <c r="C472" s="4" t="s">
        <v>156</v>
      </c>
      <c r="D472" s="7">
        <v>43.9</v>
      </c>
      <c r="E472" s="8" t="s">
        <v>7574</v>
      </c>
      <c r="F472" s="9">
        <f t="array" ref="F472">VALUE(_wpsfn.REGEXP(E472,"\d+(\.\d+)?"))</f>
        <v>1</v>
      </c>
    </row>
    <row r="473" ht="232.5" spans="1:6">
      <c r="A473" s="6" t="s">
        <v>1165</v>
      </c>
      <c r="B473" s="12" t="s">
        <v>1166</v>
      </c>
      <c r="C473" s="4" t="s">
        <v>12</v>
      </c>
      <c r="D473" s="7">
        <v>3135</v>
      </c>
      <c r="E473" s="8" t="s">
        <v>7397</v>
      </c>
      <c r="F473" s="9">
        <f t="array" ref="F473">VALUE(_wpsfn.REGEXP(E473,"\d+(\.\d+)?"))</f>
        <v>10</v>
      </c>
    </row>
    <row r="474" ht="15.5" spans="1:6">
      <c r="A474" s="6" t="s">
        <v>1172</v>
      </c>
      <c r="B474" s="3" t="s">
        <v>558</v>
      </c>
      <c r="C474" s="4" t="s">
        <v>12</v>
      </c>
      <c r="D474" s="7">
        <v>2651.35</v>
      </c>
      <c r="E474" s="8" t="s">
        <v>7397</v>
      </c>
      <c r="F474" s="9">
        <f t="array" ref="F474">VALUE(_wpsfn.REGEXP(E474,"\d+(\.\d+)?"))</f>
        <v>10</v>
      </c>
    </row>
    <row r="475" ht="62" spans="1:6">
      <c r="A475" s="6" t="s">
        <v>1174</v>
      </c>
      <c r="B475" s="12" t="s">
        <v>1175</v>
      </c>
      <c r="C475" s="4" t="s">
        <v>12</v>
      </c>
      <c r="D475" s="7">
        <v>165.85</v>
      </c>
      <c r="E475" s="8" t="s">
        <v>7397</v>
      </c>
      <c r="F475" s="9">
        <f t="array" ref="F475">VALUE(_wpsfn.REGEXP(E475,"\d+(\.\d+)?"))</f>
        <v>10</v>
      </c>
    </row>
    <row r="476" ht="31" spans="1:6">
      <c r="A476" s="6" t="s">
        <v>1179</v>
      </c>
      <c r="B476" s="3" t="s">
        <v>1180</v>
      </c>
      <c r="C476" s="4" t="s">
        <v>12</v>
      </c>
      <c r="D476" s="7">
        <v>2902.65</v>
      </c>
      <c r="E476" s="8" t="s">
        <v>7554</v>
      </c>
      <c r="F476" s="9">
        <f t="array" ref="F476">VALUE(_wpsfn.REGEXP(E476,"\d+(\.\d+)?"))</f>
        <v>1</v>
      </c>
    </row>
    <row r="477" ht="31" spans="1:6">
      <c r="A477" s="6" t="s">
        <v>1182</v>
      </c>
      <c r="B477" s="3" t="s">
        <v>1183</v>
      </c>
      <c r="C477" s="4" t="s">
        <v>12</v>
      </c>
      <c r="D477" s="7">
        <v>3040.1</v>
      </c>
      <c r="E477" s="8" t="s">
        <v>7554</v>
      </c>
      <c r="F477" s="9">
        <f t="array" ref="F477">VALUE(_wpsfn.REGEXP(E477,"\d+(\.\d+)?"))</f>
        <v>1</v>
      </c>
    </row>
    <row r="478" ht="409.5" spans="1:6">
      <c r="A478" s="6" t="s">
        <v>1185</v>
      </c>
      <c r="B478" s="12" t="s">
        <v>1186</v>
      </c>
      <c r="C478" s="4" t="s">
        <v>575</v>
      </c>
      <c r="D478" s="7">
        <v>269.95</v>
      </c>
      <c r="E478" s="8" t="s">
        <v>7575</v>
      </c>
      <c r="F478" s="9">
        <f t="array" ref="F478">VALUE(_wpsfn.REGEXP(E478,"\d+(\.\d+)?"))</f>
        <v>100.78</v>
      </c>
    </row>
    <row r="479" ht="155" spans="1:6">
      <c r="A479" s="6" t="s">
        <v>1187</v>
      </c>
      <c r="B479" s="12" t="s">
        <v>1188</v>
      </c>
      <c r="C479" s="4" t="s">
        <v>156</v>
      </c>
      <c r="D479" s="7">
        <v>437</v>
      </c>
      <c r="E479" s="8" t="s">
        <v>7576</v>
      </c>
      <c r="F479" s="9">
        <f t="array" ref="F479">VALUE(_wpsfn.REGEXP(E479,"\d+(\.\d+)?"))</f>
        <v>10</v>
      </c>
    </row>
    <row r="480" ht="77.5" spans="1:6">
      <c r="A480" s="6" t="s">
        <v>1189</v>
      </c>
      <c r="B480" s="12" t="s">
        <v>1190</v>
      </c>
      <c r="C480" s="4" t="s">
        <v>156</v>
      </c>
      <c r="D480" s="7">
        <v>40.85</v>
      </c>
      <c r="E480" s="8" t="s">
        <v>7577</v>
      </c>
      <c r="F480" s="9">
        <f t="array" ref="F480">VALUE(_wpsfn.REGEXP(E480,"\d+(\.\d+)?"))</f>
        <v>100</v>
      </c>
    </row>
    <row r="481" ht="15.5" spans="1:6">
      <c r="A481" s="6" t="s">
        <v>1193</v>
      </c>
      <c r="B481" s="3" t="s">
        <v>1194</v>
      </c>
      <c r="C481" s="4" t="s">
        <v>156</v>
      </c>
      <c r="D481" s="7">
        <v>22.35</v>
      </c>
      <c r="E481" s="8" t="s">
        <v>7576</v>
      </c>
      <c r="F481" s="9">
        <f t="array" ref="F481">VALUE(_wpsfn.REGEXP(E481,"\d+(\.\d+)?"))</f>
        <v>10</v>
      </c>
    </row>
    <row r="482" ht="15.5" spans="1:6">
      <c r="A482" s="6" t="s">
        <v>1196</v>
      </c>
      <c r="B482" s="3" t="s">
        <v>1197</v>
      </c>
      <c r="C482" s="4" t="s">
        <v>156</v>
      </c>
      <c r="D482" s="7">
        <v>24.05</v>
      </c>
      <c r="E482" s="8" t="s">
        <v>7576</v>
      </c>
      <c r="F482" s="9">
        <f t="array" ref="F482">VALUE(_wpsfn.REGEXP(E482,"\d+(\.\d+)?"))</f>
        <v>10</v>
      </c>
    </row>
    <row r="483" ht="15.5" spans="1:6">
      <c r="A483" s="6" t="s">
        <v>1199</v>
      </c>
      <c r="B483" s="3" t="s">
        <v>1200</v>
      </c>
      <c r="C483" s="4" t="s">
        <v>156</v>
      </c>
      <c r="D483" s="7">
        <v>28.3</v>
      </c>
      <c r="E483" s="8" t="s">
        <v>7576</v>
      </c>
      <c r="F483" s="9">
        <f t="array" ref="F483">VALUE(_wpsfn.REGEXP(E483,"\d+(\.\d+)?"))</f>
        <v>10</v>
      </c>
    </row>
    <row r="484" ht="15.5" spans="1:6">
      <c r="A484" s="6" t="s">
        <v>1202</v>
      </c>
      <c r="B484" s="3" t="s">
        <v>1203</v>
      </c>
      <c r="C484" s="4" t="s">
        <v>156</v>
      </c>
      <c r="D484" s="7">
        <v>29.75</v>
      </c>
      <c r="E484" s="8" t="s">
        <v>7576</v>
      </c>
      <c r="F484" s="9">
        <f t="array" ref="F484">VALUE(_wpsfn.REGEXP(E484,"\d+(\.\d+)?"))</f>
        <v>10</v>
      </c>
    </row>
    <row r="485" ht="15.5" spans="1:6">
      <c r="A485" s="6" t="s">
        <v>1207</v>
      </c>
      <c r="B485" s="3" t="s">
        <v>556</v>
      </c>
      <c r="C485" s="4" t="s">
        <v>12</v>
      </c>
      <c r="D485" s="7">
        <v>6646.7</v>
      </c>
      <c r="E485" s="8" t="s">
        <v>7397</v>
      </c>
      <c r="F485" s="9">
        <f t="array" ref="F485">VALUE(_wpsfn.REGEXP(E485,"\d+(\.\d+)?"))</f>
        <v>10</v>
      </c>
    </row>
    <row r="486" ht="15.5" spans="1:6">
      <c r="A486" s="6" t="s">
        <v>1209</v>
      </c>
      <c r="B486" s="3" t="s">
        <v>558</v>
      </c>
      <c r="C486" s="4" t="s">
        <v>12</v>
      </c>
      <c r="D486" s="7">
        <v>4437.8</v>
      </c>
      <c r="E486" s="8" t="s">
        <v>7397</v>
      </c>
      <c r="F486" s="9">
        <f t="array" ref="F486">VALUE(_wpsfn.REGEXP(E486,"\d+(\.\d+)?"))</f>
        <v>10</v>
      </c>
    </row>
    <row r="487" ht="15.5" spans="1:6">
      <c r="A487" s="6" t="s">
        <v>1211</v>
      </c>
      <c r="B487" s="3" t="s">
        <v>1212</v>
      </c>
      <c r="C487" s="4" t="s">
        <v>12</v>
      </c>
      <c r="D487" s="7">
        <v>3601.3</v>
      </c>
      <c r="E487" s="8" t="s">
        <v>7397</v>
      </c>
      <c r="F487" s="9">
        <f t="array" ref="F487">VALUE(_wpsfn.REGEXP(E487,"\d+(\.\d+)?"))</f>
        <v>10</v>
      </c>
    </row>
    <row r="488" ht="15.5" spans="1:6">
      <c r="A488" s="6" t="s">
        <v>1214</v>
      </c>
      <c r="B488" s="3" t="s">
        <v>1215</v>
      </c>
      <c r="C488" s="4" t="s">
        <v>12</v>
      </c>
      <c r="D488" s="7">
        <v>2423.25</v>
      </c>
      <c r="E488" s="8" t="s">
        <v>7397</v>
      </c>
      <c r="F488" s="9">
        <f t="array" ref="F488">VALUE(_wpsfn.REGEXP(E488,"\d+(\.\d+)?"))</f>
        <v>10</v>
      </c>
    </row>
    <row r="489" ht="15.5" spans="1:6">
      <c r="A489" s="6" t="s">
        <v>1219</v>
      </c>
      <c r="B489" s="3" t="s">
        <v>1215</v>
      </c>
      <c r="C489" s="4" t="s">
        <v>12</v>
      </c>
      <c r="D489" s="7">
        <v>1430.2</v>
      </c>
      <c r="E489" s="8" t="s">
        <v>7397</v>
      </c>
      <c r="F489" s="9">
        <f t="array" ref="F489">VALUE(_wpsfn.REGEXP(E489,"\d+(\.\d+)?"))</f>
        <v>10</v>
      </c>
    </row>
    <row r="490" ht="15.5" spans="1:6">
      <c r="A490" s="6" t="s">
        <v>1221</v>
      </c>
      <c r="B490" s="3" t="s">
        <v>1222</v>
      </c>
      <c r="C490" s="4" t="s">
        <v>12</v>
      </c>
      <c r="D490" s="7">
        <v>1492.8</v>
      </c>
      <c r="E490" s="8" t="s">
        <v>7397</v>
      </c>
      <c r="F490" s="9">
        <f t="array" ref="F490">VALUE(_wpsfn.REGEXP(E490,"\d+(\.\d+)?"))</f>
        <v>10</v>
      </c>
    </row>
    <row r="491" ht="15.5" spans="1:6">
      <c r="A491" s="6" t="s">
        <v>1224</v>
      </c>
      <c r="B491" s="3" t="s">
        <v>558</v>
      </c>
      <c r="C491" s="4" t="s">
        <v>12</v>
      </c>
      <c r="D491" s="7">
        <v>1979.5</v>
      </c>
      <c r="E491" s="8" t="s">
        <v>7397</v>
      </c>
      <c r="F491" s="9">
        <f t="array" ref="F491">VALUE(_wpsfn.REGEXP(E491,"\d+(\.\d+)?"))</f>
        <v>10</v>
      </c>
    </row>
    <row r="492" ht="31" spans="1:6">
      <c r="A492" s="6" t="s">
        <v>1228</v>
      </c>
      <c r="B492" s="3" t="s">
        <v>1229</v>
      </c>
      <c r="C492" s="4" t="s">
        <v>16</v>
      </c>
      <c r="D492" s="7">
        <v>187277.65</v>
      </c>
      <c r="E492" s="8" t="s">
        <v>7578</v>
      </c>
      <c r="F492" s="9">
        <f t="array" ref="F492">VALUE(_wpsfn.REGEXP(E492,"\d+(\.\d+)?"))</f>
        <v>3.125</v>
      </c>
    </row>
    <row r="493" ht="31" spans="1:6">
      <c r="A493" s="6" t="s">
        <v>1233</v>
      </c>
      <c r="B493" s="3" t="s">
        <v>1234</v>
      </c>
      <c r="C493" s="4" t="s">
        <v>12</v>
      </c>
      <c r="D493" s="7">
        <v>1946.25</v>
      </c>
      <c r="E493" s="8" t="s">
        <v>7397</v>
      </c>
      <c r="F493" s="9">
        <f t="array" ref="F493">VALUE(_wpsfn.REGEXP(E493,"\d+(\.\d+)?"))</f>
        <v>10</v>
      </c>
    </row>
    <row r="494" ht="62" spans="1:6">
      <c r="A494" s="6" t="s">
        <v>1236</v>
      </c>
      <c r="B494" s="12" t="s">
        <v>1237</v>
      </c>
      <c r="C494" s="4" t="s">
        <v>12</v>
      </c>
      <c r="D494" s="7">
        <v>1825.05</v>
      </c>
      <c r="E494" s="8" t="s">
        <v>7397</v>
      </c>
      <c r="F494" s="9">
        <f t="array" ref="F494">VALUE(_wpsfn.REGEXP(E494,"\d+(\.\d+)?"))</f>
        <v>10</v>
      </c>
    </row>
    <row r="495" ht="15.5" spans="1:6">
      <c r="A495" s="6" t="s">
        <v>1240</v>
      </c>
      <c r="B495" s="3" t="s">
        <v>1222</v>
      </c>
      <c r="C495" s="4" t="s">
        <v>12</v>
      </c>
      <c r="D495" s="7">
        <v>1976.45</v>
      </c>
      <c r="E495" s="8" t="s">
        <v>7579</v>
      </c>
      <c r="F495" s="9">
        <f t="array" ref="F495">VALUE(_wpsfn.REGEXP(E495,"\d+(\.\d+)?"))</f>
        <v>6</v>
      </c>
    </row>
    <row r="496" ht="15.5" spans="1:6">
      <c r="A496" s="6" t="s">
        <v>1242</v>
      </c>
      <c r="B496" s="3" t="s">
        <v>558</v>
      </c>
      <c r="C496" s="4" t="s">
        <v>12</v>
      </c>
      <c r="D496" s="7">
        <v>2463.1</v>
      </c>
      <c r="E496" s="8" t="s">
        <v>7579</v>
      </c>
      <c r="F496" s="9">
        <f t="array" ref="F496">VALUE(_wpsfn.REGEXP(E496,"\d+(\.\d+)?"))</f>
        <v>6</v>
      </c>
    </row>
    <row r="497" ht="201.5" spans="1:7">
      <c r="A497" s="6" t="s">
        <v>1244</v>
      </c>
      <c r="B497" s="12" t="s">
        <v>1245</v>
      </c>
      <c r="C497" s="4" t="s">
        <v>12</v>
      </c>
      <c r="D497" s="7">
        <v>1267.95</v>
      </c>
      <c r="E497" s="8" t="s">
        <v>7397</v>
      </c>
      <c r="F497" s="9">
        <f t="array" ref="F497">VALUE(_wpsfn.REGEXP(E497,"\d+(\.\d+)?"))</f>
        <v>10</v>
      </c>
    </row>
    <row r="498" ht="409.5" spans="1:7">
      <c r="A498" s="6" t="s">
        <v>1246</v>
      </c>
      <c r="B498" s="24" t="s">
        <v>7580</v>
      </c>
      <c r="C498" s="4" t="s">
        <v>12</v>
      </c>
      <c r="D498" s="7">
        <v>5015.05</v>
      </c>
      <c r="E498" s="8" t="s">
        <v>7581</v>
      </c>
      <c r="F498" s="9">
        <f t="array" ref="F498">VALUE(_wpsfn.REGEXP(E498,"\d+(\.\d+)?"))</f>
        <v>6.72</v>
      </c>
    </row>
    <row r="499" ht="15.5" spans="1:7">
      <c r="A499" s="6" t="s">
        <v>204</v>
      </c>
      <c r="B499" s="12" t="s">
        <v>2</v>
      </c>
      <c r="C499" s="4" t="s">
        <v>3</v>
      </c>
      <c r="D499" s="14" t="s">
        <v>4</v>
      </c>
    </row>
    <row r="500" ht="15.5" spans="1:7">
      <c r="A500" s="6" t="s">
        <v>1255</v>
      </c>
      <c r="B500" s="3" t="s">
        <v>1256</v>
      </c>
      <c r="C500" s="4" t="s">
        <v>16</v>
      </c>
      <c r="D500" s="7">
        <v>142949.7</v>
      </c>
      <c r="E500" s="8" t="s">
        <v>7582</v>
      </c>
      <c r="F500" s="9">
        <f t="array" ref="F500:G500">VALUE(_wpsfn.REGEXP(E500,"\d+(\.\d+)?"))</f>
        <v>0.036</v>
      </c>
      <c r="G500">
        <v>36</v>
      </c>
    </row>
    <row r="501" ht="15.5" spans="1:7">
      <c r="A501" s="6" t="s">
        <v>1257</v>
      </c>
      <c r="B501" s="3" t="s">
        <v>1258</v>
      </c>
      <c r="C501" s="4" t="s">
        <v>16</v>
      </c>
      <c r="D501" s="7">
        <v>116520.3</v>
      </c>
      <c r="E501" s="8" t="s">
        <v>7582</v>
      </c>
      <c r="F501" s="9">
        <f t="array" ref="F501:G501">VALUE(_wpsfn.REGEXP(E501,"\d+(\.\d+)?"))</f>
        <v>0.036</v>
      </c>
      <c r="G501">
        <v>36</v>
      </c>
    </row>
    <row r="502" ht="31" spans="1:7">
      <c r="A502" s="6" t="s">
        <v>1259</v>
      </c>
      <c r="B502" s="3" t="s">
        <v>1229</v>
      </c>
      <c r="C502" s="4" t="s">
        <v>16</v>
      </c>
      <c r="D502" s="7">
        <v>83378.05</v>
      </c>
      <c r="E502" s="8" t="s">
        <v>7583</v>
      </c>
      <c r="F502" s="9">
        <f t="array" ref="F502:G502">VALUE(_wpsfn.REGEXP(E502,"\d+(\.\d+)?"))</f>
        <v>0.036</v>
      </c>
      <c r="G502">
        <v>36</v>
      </c>
    </row>
    <row r="503" ht="139.5" spans="1:7">
      <c r="A503" s="6" t="s">
        <v>1260</v>
      </c>
      <c r="B503" s="12" t="s">
        <v>1261</v>
      </c>
      <c r="C503" s="4" t="s">
        <v>16</v>
      </c>
      <c r="D503" s="7">
        <v>131981.1</v>
      </c>
      <c r="E503" s="8" t="s">
        <v>7582</v>
      </c>
      <c r="F503" s="9">
        <f t="array" ref="F503:G503">VALUE(_wpsfn.REGEXP(E503,"\d+(\.\d+)?"))</f>
        <v>0.036</v>
      </c>
      <c r="G503">
        <v>36</v>
      </c>
    </row>
    <row r="504" ht="15.5" spans="1:7">
      <c r="A504" s="6" t="s">
        <v>1264</v>
      </c>
      <c r="B504" s="3" t="s">
        <v>1258</v>
      </c>
      <c r="C504" s="4" t="s">
        <v>16</v>
      </c>
      <c r="D504" s="7">
        <v>104754.35</v>
      </c>
      <c r="E504" s="8" t="s">
        <v>7584</v>
      </c>
      <c r="F504" s="22">
        <f t="array" ref="F504:G504">VALUE(_wpsfn.REGEXP(E504,"\d+(\.\d+)?"))</f>
        <v>0.158</v>
      </c>
      <c r="G504">
        <v>158</v>
      </c>
    </row>
    <row r="505" ht="31" spans="1:7">
      <c r="A505" s="6" t="s">
        <v>1265</v>
      </c>
      <c r="B505" s="3" t="s">
        <v>1229</v>
      </c>
      <c r="C505" s="4" t="s">
        <v>16</v>
      </c>
      <c r="D505" s="7">
        <v>71337.85</v>
      </c>
      <c r="E505" s="8" t="s">
        <v>7585</v>
      </c>
      <c r="F505" s="22">
        <f t="array" ref="F505:G505">VALUE(_wpsfn.REGEXP(E505,"\d+(\.\d+)?"))</f>
        <v>0.158</v>
      </c>
      <c r="G505">
        <v>158</v>
      </c>
    </row>
    <row r="506" ht="15.5" spans="1:7">
      <c r="A506" s="6" t="s">
        <v>1268</v>
      </c>
      <c r="B506" s="3" t="s">
        <v>1256</v>
      </c>
      <c r="C506" s="4" t="s">
        <v>16</v>
      </c>
      <c r="D506" s="7">
        <v>14294.95</v>
      </c>
      <c r="E506" s="8" t="s">
        <v>7586</v>
      </c>
      <c r="F506" s="9">
        <f t="array" ref="F506:G506">VALUE(_wpsfn.REGEXP(E506,"\d+(\.\d+)?"))</f>
        <v>0.36</v>
      </c>
      <c r="G506">
        <v>360</v>
      </c>
    </row>
    <row r="507" ht="15.5" spans="1:7">
      <c r="A507" s="6" t="s">
        <v>1269</v>
      </c>
      <c r="B507" s="3" t="s">
        <v>1258</v>
      </c>
      <c r="C507" s="4" t="s">
        <v>16</v>
      </c>
      <c r="D507" s="7">
        <v>11652.05</v>
      </c>
      <c r="E507" s="8" t="s">
        <v>7586</v>
      </c>
      <c r="F507" s="9">
        <f t="array" ref="F507:G507">VALUE(_wpsfn.REGEXP(E507,"\d+(\.\d+)?"))</f>
        <v>0.36</v>
      </c>
      <c r="G507">
        <v>360</v>
      </c>
    </row>
    <row r="508" ht="31" spans="1:7">
      <c r="A508" s="6" t="s">
        <v>1270</v>
      </c>
      <c r="B508" s="3" t="s">
        <v>1229</v>
      </c>
      <c r="C508" s="4" t="s">
        <v>16</v>
      </c>
      <c r="D508" s="7">
        <v>8338.1</v>
      </c>
      <c r="E508" s="8" t="s">
        <v>7586</v>
      </c>
      <c r="F508" s="9">
        <f t="array" ref="F508:G508">VALUE(_wpsfn.REGEXP(E508,"\d+(\.\d+)?"))</f>
        <v>0.36</v>
      </c>
      <c r="G508">
        <v>360</v>
      </c>
    </row>
    <row r="509" ht="15.5" spans="1:7">
      <c r="A509" s="6" t="s">
        <v>1274</v>
      </c>
      <c r="B509" s="3" t="s">
        <v>1275</v>
      </c>
      <c r="C509" s="4" t="s">
        <v>12</v>
      </c>
      <c r="D509" s="7">
        <v>4111.95</v>
      </c>
      <c r="E509" s="8" t="s">
        <v>7587</v>
      </c>
      <c r="F509" s="9">
        <f t="array" ref="F509">VALUE(_wpsfn.REGEXP(E509,"\d+(\.\d+)?"))</f>
        <v>2.16</v>
      </c>
    </row>
    <row r="510" ht="15.5" spans="1:7">
      <c r="A510" s="6" t="s">
        <v>1276</v>
      </c>
      <c r="B510" s="3" t="s">
        <v>1277</v>
      </c>
      <c r="C510" s="4" t="s">
        <v>12</v>
      </c>
      <c r="D510" s="7">
        <v>3747.3</v>
      </c>
      <c r="E510" s="8" t="s">
        <v>7587</v>
      </c>
      <c r="F510" s="9">
        <f t="array" ref="F510">VALUE(_wpsfn.REGEXP(E510,"\d+(\.\d+)?"))</f>
        <v>2.16</v>
      </c>
    </row>
    <row r="511" ht="15.5" spans="1:7">
      <c r="A511" s="6" t="s">
        <v>1279</v>
      </c>
      <c r="B511" s="3" t="s">
        <v>1275</v>
      </c>
      <c r="C511" s="4" t="s">
        <v>12</v>
      </c>
      <c r="D511" s="7">
        <v>2869.1</v>
      </c>
      <c r="E511" s="8" t="s">
        <v>7587</v>
      </c>
      <c r="F511" s="9">
        <f t="array" ref="F511">VALUE(_wpsfn.REGEXP(E511,"\d+(\.\d+)?"))</f>
        <v>2.16</v>
      </c>
    </row>
    <row r="512" ht="15.5" spans="1:7">
      <c r="A512" s="6" t="s">
        <v>1280</v>
      </c>
      <c r="B512" s="3" t="s">
        <v>1277</v>
      </c>
      <c r="C512" s="4" t="s">
        <v>12</v>
      </c>
      <c r="D512" s="7">
        <v>2676.85</v>
      </c>
      <c r="E512" s="8" t="s">
        <v>7587</v>
      </c>
      <c r="F512" s="9">
        <f t="array" ref="F512">VALUE(_wpsfn.REGEXP(E512,"\d+(\.\d+)?"))</f>
        <v>2.16</v>
      </c>
    </row>
    <row r="513" ht="15.5" spans="1:6">
      <c r="A513" s="6" t="s">
        <v>1283</v>
      </c>
      <c r="B513" s="3" t="s">
        <v>1275</v>
      </c>
      <c r="C513" s="4" t="s">
        <v>12</v>
      </c>
      <c r="D513" s="7">
        <v>3638.35</v>
      </c>
      <c r="E513" s="8" t="s">
        <v>7587</v>
      </c>
      <c r="F513" s="9">
        <f t="array" ref="F513">VALUE(_wpsfn.REGEXP(E513,"\d+(\.\d+)?"))</f>
        <v>2.16</v>
      </c>
    </row>
    <row r="514" ht="15.5" spans="1:6">
      <c r="A514" s="6" t="s">
        <v>1284</v>
      </c>
      <c r="B514" s="3" t="s">
        <v>1277</v>
      </c>
      <c r="C514" s="4" t="s">
        <v>12</v>
      </c>
      <c r="D514" s="7">
        <v>3338.65</v>
      </c>
      <c r="E514" s="8" t="s">
        <v>7587</v>
      </c>
      <c r="F514" s="9">
        <f t="array" ref="F514">VALUE(_wpsfn.REGEXP(E514,"\d+(\.\d+)?"))</f>
        <v>2.16</v>
      </c>
    </row>
    <row r="515" ht="93" spans="1:6">
      <c r="A515" s="6" t="s">
        <v>1287</v>
      </c>
      <c r="B515" s="3" t="s">
        <v>1288</v>
      </c>
      <c r="C515" s="4" t="s">
        <v>12</v>
      </c>
      <c r="D515" s="7">
        <v>3069.05</v>
      </c>
      <c r="E515" s="8" t="s">
        <v>7588</v>
      </c>
      <c r="F515" s="9">
        <f t="array" ref="F515">VALUE(_wpsfn.REGEXP(E515,"\d+(\.\d+)?"))</f>
        <v>2.38</v>
      </c>
    </row>
    <row r="516" ht="139.5" spans="1:6">
      <c r="A516" s="6" t="s">
        <v>1289</v>
      </c>
      <c r="B516" s="3" t="s">
        <v>1290</v>
      </c>
      <c r="C516" s="4" t="s">
        <v>12</v>
      </c>
      <c r="D516" s="7">
        <v>3212.7</v>
      </c>
      <c r="E516" s="8" t="s">
        <v>7588</v>
      </c>
      <c r="F516" s="9">
        <f t="array" ref="F516">VALUE(_wpsfn.REGEXP(E516,"\d+(\.\d+)?"))</f>
        <v>2.38</v>
      </c>
    </row>
    <row r="517" ht="155" spans="1:6">
      <c r="A517" s="6" t="s">
        <v>1291</v>
      </c>
      <c r="B517" s="3" t="s">
        <v>1292</v>
      </c>
      <c r="C517" s="4" t="s">
        <v>12</v>
      </c>
      <c r="D517" s="7">
        <v>3450.3</v>
      </c>
      <c r="E517" s="8" t="s">
        <v>7588</v>
      </c>
      <c r="F517" s="9">
        <f t="array" ref="F517">VALUE(_wpsfn.REGEXP(E517,"\d+(\.\d+)?"))</f>
        <v>2.38</v>
      </c>
    </row>
    <row r="518" ht="15.5" spans="1:6">
      <c r="A518" s="6" t="s">
        <v>1295</v>
      </c>
      <c r="B518" s="3" t="s">
        <v>1256</v>
      </c>
      <c r="C518" s="4" t="s">
        <v>12</v>
      </c>
      <c r="D518" s="7">
        <v>3323.2</v>
      </c>
      <c r="E518" s="8" t="s">
        <v>7589</v>
      </c>
      <c r="F518" s="9">
        <f t="array" ref="F518">VALUE(_wpsfn.REGEXP(E518,"\d+(\.\d+)?"))</f>
        <v>0.66</v>
      </c>
    </row>
    <row r="519" ht="31" spans="1:6">
      <c r="A519" s="6" t="s">
        <v>1296</v>
      </c>
      <c r="B519" s="3" t="s">
        <v>1229</v>
      </c>
      <c r="C519" s="4" t="s">
        <v>12</v>
      </c>
      <c r="D519" s="7">
        <v>2326.95</v>
      </c>
      <c r="E519" s="8" t="s">
        <v>7589</v>
      </c>
      <c r="F519" s="9">
        <f t="array" ref="F519">VALUE(_wpsfn.REGEXP(E519,"\d+(\.\d+)?"))</f>
        <v>0.66</v>
      </c>
    </row>
    <row r="520" ht="46.5" spans="1:6">
      <c r="A520" s="6" t="s">
        <v>1299</v>
      </c>
      <c r="B520" s="3" t="s">
        <v>1300</v>
      </c>
      <c r="C520" s="4" t="s">
        <v>12</v>
      </c>
      <c r="D520" s="7">
        <v>2724.25</v>
      </c>
      <c r="E520" s="8" t="s">
        <v>7589</v>
      </c>
      <c r="F520" s="9">
        <f t="array" ref="F520">VALUE(_wpsfn.REGEXP(E520,"\d+(\.\d+)?"))</f>
        <v>0.66</v>
      </c>
    </row>
    <row r="521" ht="62" spans="1:6">
      <c r="A521" s="6" t="s">
        <v>1301</v>
      </c>
      <c r="B521" s="3" t="s">
        <v>1302</v>
      </c>
      <c r="C521" s="4" t="s">
        <v>12</v>
      </c>
      <c r="D521" s="7">
        <v>2698.4</v>
      </c>
      <c r="E521" s="8" t="s">
        <v>7589</v>
      </c>
      <c r="F521" s="9">
        <f t="array" ref="F521">VALUE(_wpsfn.REGEXP(E521,"\d+(\.\d+)?"))</f>
        <v>0.66</v>
      </c>
    </row>
    <row r="522" ht="62" spans="1:6">
      <c r="A522" s="6" t="s">
        <v>1305</v>
      </c>
      <c r="B522" s="3" t="s">
        <v>1302</v>
      </c>
      <c r="C522" s="4" t="s">
        <v>12</v>
      </c>
      <c r="D522" s="7">
        <v>2907.05</v>
      </c>
      <c r="E522" s="8" t="s">
        <v>7589</v>
      </c>
      <c r="F522" s="9">
        <f t="array" ref="F522">VALUE(_wpsfn.REGEXP(E522,"\d+(\.\d+)?"))</f>
        <v>0.66</v>
      </c>
    </row>
    <row r="523" ht="46.5" spans="1:6">
      <c r="A523" s="6" t="s">
        <v>1308</v>
      </c>
      <c r="B523" s="3" t="s">
        <v>1309</v>
      </c>
      <c r="C523" s="4" t="s">
        <v>12</v>
      </c>
      <c r="D523" s="7">
        <v>1693</v>
      </c>
      <c r="E523" s="8" t="s">
        <v>7589</v>
      </c>
      <c r="F523" s="9">
        <f t="array" ref="F523">VALUE(_wpsfn.REGEXP(E523,"\d+(\.\d+)?"))</f>
        <v>0.66</v>
      </c>
    </row>
    <row r="524" ht="62" spans="1:6">
      <c r="A524" s="6" t="s">
        <v>1310</v>
      </c>
      <c r="B524" s="3" t="s">
        <v>1311</v>
      </c>
      <c r="C524" s="4" t="s">
        <v>12</v>
      </c>
      <c r="D524" s="7">
        <v>2012.05</v>
      </c>
      <c r="E524" s="8" t="s">
        <v>7589</v>
      </c>
      <c r="F524" s="9">
        <f t="array" ref="F524">VALUE(_wpsfn.REGEXP(E524,"\d+(\.\d+)?"))</f>
        <v>0.66</v>
      </c>
    </row>
    <row r="525" ht="62" spans="1:6">
      <c r="A525" s="6" t="s">
        <v>1312</v>
      </c>
      <c r="B525" s="3" t="s">
        <v>1313</v>
      </c>
      <c r="C525" s="4" t="s">
        <v>12</v>
      </c>
      <c r="D525" s="7">
        <v>2081.05</v>
      </c>
      <c r="E525" s="8" t="s">
        <v>7589</v>
      </c>
      <c r="F525" s="9">
        <f t="array" ref="F525">VALUE(_wpsfn.REGEXP(E525,"\d+(\.\d+)?"))</f>
        <v>0.66</v>
      </c>
    </row>
    <row r="526" ht="46.5" spans="1:6">
      <c r="A526" s="6" t="s">
        <v>1314</v>
      </c>
      <c r="B526" s="3" t="s">
        <v>1315</v>
      </c>
      <c r="C526" s="4" t="s">
        <v>12</v>
      </c>
      <c r="D526" s="7">
        <v>2053.45</v>
      </c>
      <c r="E526" s="8" t="s">
        <v>7589</v>
      </c>
      <c r="F526" s="9">
        <f t="array" ref="F526">VALUE(_wpsfn.REGEXP(E526,"\d+(\.\d+)?"))</f>
        <v>0.66</v>
      </c>
    </row>
    <row r="527" ht="15.5" spans="1:6">
      <c r="A527" s="6" t="s">
        <v>1318</v>
      </c>
      <c r="B527" s="3" t="s">
        <v>1215</v>
      </c>
      <c r="C527" s="4" t="s">
        <v>12</v>
      </c>
      <c r="D527" s="7">
        <v>2253.45</v>
      </c>
      <c r="E527" s="8" t="s">
        <v>7589</v>
      </c>
      <c r="F527" s="9">
        <f t="array" ref="F527">VALUE(_wpsfn.REGEXP(E527,"\d+(\.\d+)?"))</f>
        <v>0.66</v>
      </c>
    </row>
    <row r="528" ht="31" spans="1:6">
      <c r="A528" s="6" t="s">
        <v>1321</v>
      </c>
      <c r="B528" s="3" t="s">
        <v>1322</v>
      </c>
      <c r="C528" s="4" t="s">
        <v>12</v>
      </c>
      <c r="D528" s="7">
        <v>2241.8</v>
      </c>
      <c r="E528" s="8" t="s">
        <v>7589</v>
      </c>
      <c r="F528" s="9">
        <f t="array" ref="F528">VALUE(_wpsfn.REGEXP(E528,"\d+(\.\d+)?"))</f>
        <v>0.66</v>
      </c>
    </row>
    <row r="529" ht="31" spans="1:6">
      <c r="A529" s="6" t="s">
        <v>1323</v>
      </c>
      <c r="B529" s="3" t="s">
        <v>1324</v>
      </c>
      <c r="C529" s="4" t="s">
        <v>12</v>
      </c>
      <c r="D529" s="7">
        <v>2600.45</v>
      </c>
      <c r="E529" s="8" t="s">
        <v>7589</v>
      </c>
      <c r="F529" s="9">
        <f t="array" ref="F529">VALUE(_wpsfn.REGEXP(E529,"\d+(\.\d+)?"))</f>
        <v>0.66</v>
      </c>
    </row>
    <row r="530" ht="62" spans="1:6">
      <c r="A530" s="6" t="s">
        <v>1325</v>
      </c>
      <c r="B530" s="3" t="s">
        <v>1326</v>
      </c>
      <c r="C530" s="4" t="s">
        <v>12</v>
      </c>
      <c r="D530" s="7">
        <v>1800.45</v>
      </c>
      <c r="E530" s="8" t="s">
        <v>7589</v>
      </c>
      <c r="F530" s="9">
        <f t="array" ref="F530">VALUE(_wpsfn.REGEXP(E530,"\d+(\.\d+)?"))</f>
        <v>0.66</v>
      </c>
    </row>
    <row r="531" ht="15.5" spans="1:6">
      <c r="A531" s="6" t="s">
        <v>1330</v>
      </c>
      <c r="B531" s="3" t="s">
        <v>1331</v>
      </c>
      <c r="C531" s="4" t="s">
        <v>12</v>
      </c>
      <c r="D531" s="7">
        <v>4940.2</v>
      </c>
      <c r="E531" s="8" t="s">
        <v>7587</v>
      </c>
      <c r="F531" s="9">
        <f t="array" ref="F531">VALUE(_wpsfn.REGEXP(E531,"\d+(\.\d+)?"))</f>
        <v>2.16</v>
      </c>
    </row>
    <row r="532" ht="15.5" spans="1:6">
      <c r="A532" s="6" t="s">
        <v>1332</v>
      </c>
      <c r="B532" s="3" t="s">
        <v>1111</v>
      </c>
      <c r="C532" s="4" t="s">
        <v>12</v>
      </c>
      <c r="D532" s="7">
        <v>4523.4</v>
      </c>
      <c r="E532" s="8" t="s">
        <v>7587</v>
      </c>
      <c r="F532" s="9">
        <f t="array" ref="F532">VALUE(_wpsfn.REGEXP(E532,"\d+(\.\d+)?"))</f>
        <v>2.16</v>
      </c>
    </row>
    <row r="533" ht="15.5" spans="1:6">
      <c r="A533" s="6" t="s">
        <v>1334</v>
      </c>
      <c r="B533" s="3" t="s">
        <v>1331</v>
      </c>
      <c r="C533" s="4" t="s">
        <v>12</v>
      </c>
      <c r="D533" s="7">
        <v>3524.85</v>
      </c>
      <c r="E533" s="8" t="s">
        <v>7587</v>
      </c>
      <c r="F533" s="9">
        <f t="array" ref="F533">VALUE(_wpsfn.REGEXP(E533,"\d+(\.\d+)?"))</f>
        <v>2.16</v>
      </c>
    </row>
    <row r="534" ht="15.5" spans="1:6">
      <c r="A534" s="6" t="s">
        <v>1335</v>
      </c>
      <c r="B534" s="3" t="s">
        <v>1111</v>
      </c>
      <c r="C534" s="4" t="s">
        <v>12</v>
      </c>
      <c r="D534" s="7">
        <v>3305.2</v>
      </c>
      <c r="E534" s="8" t="s">
        <v>7587</v>
      </c>
      <c r="F534" s="9">
        <f t="array" ref="F534">VALUE(_wpsfn.REGEXP(E534,"\d+(\.\d+)?"))</f>
        <v>2.16</v>
      </c>
    </row>
    <row r="535" ht="15.5" spans="1:6">
      <c r="A535" s="6" t="s">
        <v>1337</v>
      </c>
      <c r="B535" s="3" t="s">
        <v>1331</v>
      </c>
      <c r="C535" s="4" t="s">
        <v>12</v>
      </c>
      <c r="D535" s="7">
        <v>4401.55</v>
      </c>
      <c r="E535" s="8" t="s">
        <v>7587</v>
      </c>
      <c r="F535" s="9">
        <f t="array" ref="F535">VALUE(_wpsfn.REGEXP(E535,"\d+(\.\d+)?"))</f>
        <v>2.16</v>
      </c>
    </row>
    <row r="536" ht="15.5" spans="1:6">
      <c r="A536" s="6" t="s">
        <v>1338</v>
      </c>
      <c r="B536" s="3" t="s">
        <v>1111</v>
      </c>
      <c r="C536" s="4" t="s">
        <v>12</v>
      </c>
      <c r="D536" s="7">
        <v>4059.05</v>
      </c>
      <c r="E536" s="8" t="s">
        <v>7587</v>
      </c>
      <c r="F536" s="9">
        <f t="array" ref="F536">VALUE(_wpsfn.REGEXP(E536,"\d+(\.\d+)?"))</f>
        <v>2.16</v>
      </c>
    </row>
    <row r="537" ht="15.5" spans="1:6">
      <c r="A537" s="6" t="s">
        <v>1341</v>
      </c>
      <c r="B537" s="3" t="s">
        <v>1277</v>
      </c>
      <c r="C537" s="4" t="s">
        <v>12</v>
      </c>
      <c r="D537" s="7">
        <v>3066.2</v>
      </c>
      <c r="E537" s="8" t="s">
        <v>7588</v>
      </c>
      <c r="F537" s="9">
        <f t="array" ref="F537">VALUE(_wpsfn.REGEXP(E537,"\d+(\.\d+)?"))</f>
        <v>2.38</v>
      </c>
    </row>
    <row r="538" ht="46.5" spans="1:6">
      <c r="A538" s="6" t="s">
        <v>1344</v>
      </c>
      <c r="B538" s="3" t="s">
        <v>1345</v>
      </c>
      <c r="C538" s="4" t="s">
        <v>12</v>
      </c>
      <c r="D538" s="7">
        <v>295.9</v>
      </c>
      <c r="E538" s="8" t="s">
        <v>7554</v>
      </c>
      <c r="F538" s="9">
        <f t="array" ref="F538">VALUE(_wpsfn.REGEXP(E538,"\d+(\.\d+)?"))</f>
        <v>1</v>
      </c>
    </row>
    <row r="539" ht="124" spans="1:6">
      <c r="A539" s="6" t="s">
        <v>1346</v>
      </c>
      <c r="B539" s="12" t="s">
        <v>1347</v>
      </c>
      <c r="C539" s="4" t="s">
        <v>12</v>
      </c>
      <c r="D539" s="7">
        <v>176.4</v>
      </c>
      <c r="E539" s="8" t="s">
        <v>7554</v>
      </c>
      <c r="F539" s="9">
        <f t="array" ref="F539">VALUE(_wpsfn.REGEXP(E539,"\d+(\.\d+)?"))</f>
        <v>1</v>
      </c>
    </row>
    <row r="540" ht="124" spans="1:6">
      <c r="A540" s="6" t="s">
        <v>1348</v>
      </c>
      <c r="B540" s="12" t="s">
        <v>1349</v>
      </c>
      <c r="C540" s="4" t="s">
        <v>12</v>
      </c>
      <c r="D540" s="7">
        <v>73.95</v>
      </c>
      <c r="E540" s="8" t="s">
        <v>7554</v>
      </c>
      <c r="F540" s="9">
        <f t="array" ref="F540">VALUE(_wpsfn.REGEXP(E540,"\d+(\.\d+)?"))</f>
        <v>1</v>
      </c>
    </row>
    <row r="541" ht="77.5" spans="1:6">
      <c r="A541" s="6" t="s">
        <v>1350</v>
      </c>
      <c r="B541" s="12" t="s">
        <v>1351</v>
      </c>
      <c r="C541" s="4" t="s">
        <v>12</v>
      </c>
      <c r="D541" s="7">
        <v>193.55</v>
      </c>
      <c r="E541" s="8" t="s">
        <v>7587</v>
      </c>
      <c r="F541" s="9">
        <f t="array" ref="F541">VALUE(_wpsfn.REGEXP(E541,"\d+(\.\d+)?"))</f>
        <v>2.16</v>
      </c>
    </row>
    <row r="542" ht="31" spans="1:6">
      <c r="A542" s="6" t="s">
        <v>1356</v>
      </c>
      <c r="B542" s="3" t="s">
        <v>1357</v>
      </c>
      <c r="C542" s="4" t="s">
        <v>12</v>
      </c>
      <c r="D542" s="7">
        <v>253.3</v>
      </c>
      <c r="E542" s="8" t="s">
        <v>7587</v>
      </c>
      <c r="F542" s="9">
        <f t="array" ref="F542">VALUE(_wpsfn.REGEXP(E542,"\d+(\.\d+)?"))</f>
        <v>2.16</v>
      </c>
    </row>
    <row r="543" ht="31" spans="1:6">
      <c r="A543" s="6" t="s">
        <v>1360</v>
      </c>
      <c r="B543" s="3" t="s">
        <v>1357</v>
      </c>
      <c r="C543" s="4" t="s">
        <v>12</v>
      </c>
      <c r="D543" s="7">
        <v>59.8</v>
      </c>
      <c r="E543" s="8" t="s">
        <v>7587</v>
      </c>
      <c r="F543" s="9">
        <f t="array" ref="F543">VALUE(_wpsfn.REGEXP(E543,"\d+(\.\d+)?"))</f>
        <v>2.16</v>
      </c>
    </row>
    <row r="544" ht="46.5" spans="1:6">
      <c r="A544" s="6" t="s">
        <v>1365</v>
      </c>
      <c r="B544" s="3" t="s">
        <v>1366</v>
      </c>
      <c r="C544" s="4" t="s">
        <v>12</v>
      </c>
      <c r="D544" s="7">
        <v>4402.85</v>
      </c>
      <c r="E544" s="8" t="s">
        <v>7587</v>
      </c>
      <c r="F544" s="9">
        <f t="array" ref="F544">VALUE(_wpsfn.REGEXP(E544,"\d+(\.\d+)?"))</f>
        <v>2.16</v>
      </c>
    </row>
    <row r="545" ht="46.5" spans="1:6">
      <c r="A545" s="6" t="s">
        <v>1367</v>
      </c>
      <c r="B545" s="3" t="s">
        <v>1368</v>
      </c>
      <c r="C545" s="4" t="s">
        <v>12</v>
      </c>
      <c r="D545" s="7">
        <v>4542.9</v>
      </c>
      <c r="E545" s="8" t="s">
        <v>7587</v>
      </c>
      <c r="F545" s="9">
        <f t="array" ref="F545">VALUE(_wpsfn.REGEXP(E545,"\d+(\.\d+)?"))</f>
        <v>2.16</v>
      </c>
    </row>
    <row r="546" ht="46.5" spans="1:6">
      <c r="A546" s="6" t="s">
        <v>1371</v>
      </c>
      <c r="B546" s="3" t="s">
        <v>1372</v>
      </c>
      <c r="C546" s="4" t="s">
        <v>12</v>
      </c>
      <c r="D546" s="7">
        <v>4193.25</v>
      </c>
      <c r="E546" s="8" t="s">
        <v>7587</v>
      </c>
      <c r="F546" s="9">
        <f t="array" ref="F546">VALUE(_wpsfn.REGEXP(E546,"\d+(\.\d+)?"))</f>
        <v>2.16</v>
      </c>
    </row>
    <row r="547" ht="46.5" spans="1:6">
      <c r="A547" s="6" t="s">
        <v>1373</v>
      </c>
      <c r="B547" s="3" t="s">
        <v>1368</v>
      </c>
      <c r="C547" s="4" t="s">
        <v>12</v>
      </c>
      <c r="D547" s="7">
        <v>4241.15</v>
      </c>
      <c r="E547" s="8" t="s">
        <v>7587</v>
      </c>
      <c r="F547" s="9">
        <f t="array" ref="F547">VALUE(_wpsfn.REGEXP(E547,"\d+(\.\d+)?"))</f>
        <v>2.16</v>
      </c>
    </row>
    <row r="548" ht="15.5" spans="1:6">
      <c r="A548" s="6" t="s">
        <v>1376</v>
      </c>
      <c r="B548" s="3" t="s">
        <v>1215</v>
      </c>
      <c r="C548" s="4" t="s">
        <v>12</v>
      </c>
      <c r="D548" s="7">
        <v>802.95</v>
      </c>
      <c r="E548" s="8" t="s">
        <v>7590</v>
      </c>
      <c r="F548" s="9">
        <f t="array" ref="F548">VALUE(_wpsfn.REGEXP(E548,"\d+(\.\d+)?"))</f>
        <v>7</v>
      </c>
    </row>
    <row r="549" ht="15.5" spans="1:6">
      <c r="A549" s="6" t="s">
        <v>1377</v>
      </c>
      <c r="B549" s="3" t="s">
        <v>1222</v>
      </c>
      <c r="C549" s="4" t="s">
        <v>12</v>
      </c>
      <c r="D549" s="7">
        <v>1020.95</v>
      </c>
      <c r="E549" s="8" t="s">
        <v>7590</v>
      </c>
      <c r="F549" s="9">
        <f t="array" ref="F549">VALUE(_wpsfn.REGEXP(E549,"\d+(\.\d+)?"))</f>
        <v>7</v>
      </c>
    </row>
    <row r="550" ht="15.5" spans="1:6">
      <c r="A550" s="6" t="s">
        <v>1380</v>
      </c>
      <c r="B550" s="3" t="s">
        <v>1222</v>
      </c>
      <c r="C550" s="4" t="s">
        <v>12</v>
      </c>
      <c r="D550" s="7">
        <v>1245.75</v>
      </c>
      <c r="E550" s="8" t="s">
        <v>7591</v>
      </c>
      <c r="F550" s="9">
        <f t="array" ref="F550">VALUE(_wpsfn.REGEXP(E550,"\d+(\.\d+)?"))</f>
        <v>0.6</v>
      </c>
    </row>
    <row r="551" ht="15.5" spans="1:6">
      <c r="A551" s="6" t="s">
        <v>1381</v>
      </c>
      <c r="B551" s="3" t="s">
        <v>558</v>
      </c>
      <c r="C551" s="4" t="s">
        <v>12</v>
      </c>
      <c r="D551" s="7">
        <v>1715.2</v>
      </c>
      <c r="E551" s="8" t="s">
        <v>7591</v>
      </c>
      <c r="F551" s="9">
        <f t="array" ref="F551">VALUE(_wpsfn.REGEXP(E551,"\d+(\.\d+)?"))</f>
        <v>0.6</v>
      </c>
    </row>
    <row r="552" ht="46.5" spans="1:6">
      <c r="A552" s="6" t="s">
        <v>1384</v>
      </c>
      <c r="B552" s="3" t="s">
        <v>1385</v>
      </c>
      <c r="C552" s="4" t="s">
        <v>12</v>
      </c>
      <c r="D552" s="7">
        <v>3473.85</v>
      </c>
      <c r="E552" s="8" t="s">
        <v>7592</v>
      </c>
      <c r="F552" s="9">
        <f t="array" ref="F552">VALUE(_wpsfn.REGEXP(E552,"\d+(\.\d+)?"))</f>
        <v>2.2</v>
      </c>
    </row>
    <row r="553" ht="46.5" spans="1:6">
      <c r="A553" s="6" t="s">
        <v>1386</v>
      </c>
      <c r="B553" s="3" t="s">
        <v>1387</v>
      </c>
      <c r="C553" s="4" t="s">
        <v>12</v>
      </c>
      <c r="D553" s="7">
        <v>3167.95</v>
      </c>
      <c r="E553" s="8" t="s">
        <v>7592</v>
      </c>
      <c r="F553" s="9">
        <f t="array" ref="F553">VALUE(_wpsfn.REGEXP(E553,"\d+(\.\d+)?"))</f>
        <v>2.2</v>
      </c>
    </row>
    <row r="554" ht="62" spans="1:6">
      <c r="A554" s="6" t="s">
        <v>1388</v>
      </c>
      <c r="B554" s="3" t="s">
        <v>1389</v>
      </c>
      <c r="C554" s="4" t="s">
        <v>12</v>
      </c>
      <c r="D554" s="7">
        <v>2819.25</v>
      </c>
      <c r="E554" s="8" t="s">
        <v>7592</v>
      </c>
      <c r="F554" s="9">
        <f t="array" ref="F554">VALUE(_wpsfn.REGEXP(E554,"\d+(\.\d+)?"))</f>
        <v>2.2</v>
      </c>
    </row>
    <row r="555" ht="46.5" spans="1:6">
      <c r="A555" s="6" t="s">
        <v>1392</v>
      </c>
      <c r="B555" s="3" t="s">
        <v>1385</v>
      </c>
      <c r="C555" s="4" t="s">
        <v>12</v>
      </c>
      <c r="D555" s="7">
        <v>2392.65</v>
      </c>
      <c r="E555" s="8" t="s">
        <v>7592</v>
      </c>
      <c r="F555" s="9">
        <f t="array" ref="F555">VALUE(_wpsfn.REGEXP(E555,"\d+(\.\d+)?"))</f>
        <v>2.2</v>
      </c>
    </row>
    <row r="556" ht="46.5" spans="1:6">
      <c r="A556" s="6" t="s">
        <v>1393</v>
      </c>
      <c r="B556" s="3" t="s">
        <v>1387</v>
      </c>
      <c r="C556" s="4" t="s">
        <v>12</v>
      </c>
      <c r="D556" s="7">
        <v>2172.1</v>
      </c>
      <c r="E556" s="8" t="s">
        <v>7592</v>
      </c>
      <c r="F556" s="9">
        <f t="array" ref="F556">VALUE(_wpsfn.REGEXP(E556,"\d+(\.\d+)?"))</f>
        <v>2.2</v>
      </c>
    </row>
    <row r="557" ht="46.5" spans="1:6">
      <c r="A557" s="6" t="s">
        <v>1394</v>
      </c>
      <c r="B557" s="3" t="s">
        <v>1395</v>
      </c>
      <c r="C557" s="4" t="s">
        <v>12</v>
      </c>
      <c r="D557" s="7">
        <v>2093.7</v>
      </c>
      <c r="E557" s="8" t="s">
        <v>7592</v>
      </c>
      <c r="F557" s="9">
        <f t="array" ref="F557">VALUE(_wpsfn.REGEXP(E557,"\d+(\.\d+)?"))</f>
        <v>2.2</v>
      </c>
    </row>
    <row r="558" ht="15.5" spans="1:6">
      <c r="A558" s="6" t="s">
        <v>1398</v>
      </c>
      <c r="B558" s="3" t="s">
        <v>1399</v>
      </c>
      <c r="C558" s="4" t="s">
        <v>12</v>
      </c>
      <c r="D558" s="7">
        <v>478</v>
      </c>
      <c r="E558" s="8" t="s">
        <v>7554</v>
      </c>
      <c r="F558" s="9">
        <f t="array" ref="F558">VALUE(_wpsfn.REGEXP(E558,"\d+(\.\d+)?"))</f>
        <v>1</v>
      </c>
    </row>
    <row r="559" ht="62" spans="1:6">
      <c r="A559" s="6" t="s">
        <v>1400</v>
      </c>
      <c r="B559" s="12" t="s">
        <v>1401</v>
      </c>
      <c r="C559" s="4" t="s">
        <v>12</v>
      </c>
      <c r="D559" s="7">
        <v>462.35</v>
      </c>
      <c r="E559" s="8" t="s">
        <v>7554</v>
      </c>
      <c r="F559" s="9">
        <f t="array" ref="F559">VALUE(_wpsfn.REGEXP(E559,"\d+(\.\d+)?"))</f>
        <v>1</v>
      </c>
    </row>
    <row r="560" ht="15.5" spans="1:6">
      <c r="A560" s="6" t="s">
        <v>1404</v>
      </c>
      <c r="B560" s="3" t="s">
        <v>1405</v>
      </c>
      <c r="C560" s="4" t="s">
        <v>12</v>
      </c>
      <c r="D560" s="7">
        <v>199.15</v>
      </c>
      <c r="E560" s="8" t="s">
        <v>7554</v>
      </c>
      <c r="F560" s="9">
        <f t="array" ref="F560">VALUE(_wpsfn.REGEXP(E560,"\d+(\.\d+)?"))</f>
        <v>1</v>
      </c>
    </row>
    <row r="561" ht="15.5" spans="1:6">
      <c r="A561" s="6" t="s">
        <v>1406</v>
      </c>
      <c r="B561" s="3" t="s">
        <v>1407</v>
      </c>
      <c r="C561" s="4" t="s">
        <v>12</v>
      </c>
      <c r="D561" s="7">
        <v>206.3</v>
      </c>
      <c r="E561" s="8" t="s">
        <v>7554</v>
      </c>
      <c r="F561" s="9">
        <f t="array" ref="F561">VALUE(_wpsfn.REGEXP(E561,"\d+(\.\d+)?"))</f>
        <v>1</v>
      </c>
    </row>
    <row r="562" ht="15.5" spans="1:6">
      <c r="A562" s="6" t="s">
        <v>1410</v>
      </c>
      <c r="B562" s="3" t="s">
        <v>1411</v>
      </c>
      <c r="C562" s="4" t="s">
        <v>12</v>
      </c>
      <c r="D562" s="7">
        <v>405.45</v>
      </c>
      <c r="E562" s="8" t="s">
        <v>7554</v>
      </c>
      <c r="F562" s="9">
        <f t="array" ref="F562">VALUE(_wpsfn.REGEXP(E562,"\d+(\.\d+)?"))</f>
        <v>1</v>
      </c>
    </row>
    <row r="563" ht="46.5" spans="1:6">
      <c r="A563" s="6" t="s">
        <v>1412</v>
      </c>
      <c r="B563" s="12" t="s">
        <v>1413</v>
      </c>
      <c r="C563" s="4" t="s">
        <v>12</v>
      </c>
      <c r="D563" s="7">
        <v>106.7</v>
      </c>
      <c r="E563" s="8" t="s">
        <v>7554</v>
      </c>
      <c r="F563" s="9">
        <f t="array" ref="F563">VALUE(_wpsfn.REGEXP(E563,"\d+(\.\d+)?"))</f>
        <v>1</v>
      </c>
    </row>
    <row r="564" ht="15.5" spans="1:6">
      <c r="A564" s="6" t="s">
        <v>1419</v>
      </c>
      <c r="B564" s="3" t="s">
        <v>1256</v>
      </c>
      <c r="C564" s="4" t="s">
        <v>12</v>
      </c>
      <c r="D564" s="7">
        <v>4852.3</v>
      </c>
      <c r="E564" s="8" t="s">
        <v>7587</v>
      </c>
      <c r="F564" s="9">
        <f t="array" ref="F564">VALUE(_wpsfn.REGEXP(E564,"\d+(\.\d+)?"))</f>
        <v>2.16</v>
      </c>
    </row>
    <row r="565" ht="31" spans="1:6">
      <c r="A565" s="6" t="s">
        <v>1420</v>
      </c>
      <c r="B565" s="3" t="s">
        <v>1229</v>
      </c>
      <c r="C565" s="4" t="s">
        <v>12</v>
      </c>
      <c r="D565" s="7">
        <v>3599.4</v>
      </c>
      <c r="E565" s="8" t="s">
        <v>7587</v>
      </c>
      <c r="F565" s="9">
        <f t="array" ref="F565">VALUE(_wpsfn.REGEXP(E565,"\d+(\.\d+)?"))</f>
        <v>2.16</v>
      </c>
    </row>
    <row r="566" ht="31" spans="1:6">
      <c r="A566" s="6" t="s">
        <v>1421</v>
      </c>
      <c r="B566" s="3" t="s">
        <v>1422</v>
      </c>
      <c r="C566" s="4" t="s">
        <v>12</v>
      </c>
      <c r="D566" s="7">
        <v>4375</v>
      </c>
      <c r="E566" s="8" t="s">
        <v>7587</v>
      </c>
      <c r="F566" s="9">
        <f t="array" ref="F566">VALUE(_wpsfn.REGEXP(E566,"\d+(\.\d+)?"))</f>
        <v>2.16</v>
      </c>
    </row>
    <row r="567" ht="15.5" spans="1:6">
      <c r="A567" s="6" t="s">
        <v>1425</v>
      </c>
      <c r="B567" s="3" t="s">
        <v>1256</v>
      </c>
      <c r="C567" s="4" t="s">
        <v>12</v>
      </c>
      <c r="D567" s="7">
        <v>5045.85</v>
      </c>
      <c r="E567" s="8" t="s">
        <v>7587</v>
      </c>
      <c r="F567" s="9">
        <f t="array" ref="F567">VALUE(_wpsfn.REGEXP(E567,"\d+(\.\d+)?"))</f>
        <v>2.16</v>
      </c>
    </row>
    <row r="568" ht="31" spans="1:6">
      <c r="A568" s="6" t="s">
        <v>1426</v>
      </c>
      <c r="B568" s="3" t="s">
        <v>1229</v>
      </c>
      <c r="C568" s="4" t="s">
        <v>12</v>
      </c>
      <c r="D568" s="7">
        <v>3792.95</v>
      </c>
      <c r="E568" s="8" t="s">
        <v>7587</v>
      </c>
      <c r="F568" s="9">
        <f t="array" ref="F568">VALUE(_wpsfn.REGEXP(E568,"\d+(\.\d+)?"))</f>
        <v>2.16</v>
      </c>
    </row>
    <row r="569" ht="31" spans="1:6">
      <c r="A569" s="6" t="s">
        <v>1427</v>
      </c>
      <c r="B569" s="3" t="s">
        <v>1422</v>
      </c>
      <c r="C569" s="4" t="s">
        <v>12</v>
      </c>
      <c r="D569" s="7">
        <v>4568.5</v>
      </c>
      <c r="E569" s="8" t="s">
        <v>7587</v>
      </c>
      <c r="F569" s="9">
        <f t="array" ref="F569">VALUE(_wpsfn.REGEXP(E569,"\d+(\.\d+)?"))</f>
        <v>2.16</v>
      </c>
    </row>
    <row r="570" ht="15.5" spans="1:6">
      <c r="A570" s="6" t="s">
        <v>1430</v>
      </c>
      <c r="B570" s="3" t="s">
        <v>1256</v>
      </c>
      <c r="C570" s="4" t="s">
        <v>12</v>
      </c>
      <c r="D570" s="7">
        <v>4326.8</v>
      </c>
      <c r="E570" s="8" t="s">
        <v>7587</v>
      </c>
      <c r="F570" s="9">
        <f t="array" ref="F570">VALUE(_wpsfn.REGEXP(E570,"\d+(\.\d+)?"))</f>
        <v>2.16</v>
      </c>
    </row>
    <row r="571" ht="31" spans="1:6">
      <c r="A571" s="6" t="s">
        <v>1431</v>
      </c>
      <c r="B571" s="3" t="s">
        <v>1229</v>
      </c>
      <c r="C571" s="4" t="s">
        <v>12</v>
      </c>
      <c r="D571" s="7">
        <v>3254.25</v>
      </c>
      <c r="E571" s="8" t="s">
        <v>7587</v>
      </c>
      <c r="F571" s="9">
        <f t="array" ref="F571">VALUE(_wpsfn.REGEXP(E571,"\d+(\.\d+)?"))</f>
        <v>2.16</v>
      </c>
    </row>
    <row r="572" ht="31" spans="1:6">
      <c r="A572" s="6" t="s">
        <v>1432</v>
      </c>
      <c r="B572" s="3" t="s">
        <v>1422</v>
      </c>
      <c r="C572" s="4" t="s">
        <v>12</v>
      </c>
      <c r="D572" s="7">
        <v>3918.15</v>
      </c>
      <c r="E572" s="8" t="s">
        <v>7587</v>
      </c>
      <c r="F572" s="9">
        <f t="array" ref="F572">VALUE(_wpsfn.REGEXP(E572,"\d+(\.\d+)?"))</f>
        <v>2.16</v>
      </c>
    </row>
    <row r="573" ht="15.5" spans="1:6">
      <c r="A573" s="6" t="s">
        <v>1434</v>
      </c>
      <c r="B573" s="3" t="s">
        <v>1256</v>
      </c>
      <c r="C573" s="4" t="s">
        <v>12</v>
      </c>
      <c r="D573" s="7">
        <v>4520.3</v>
      </c>
      <c r="E573" s="8" t="s">
        <v>7587</v>
      </c>
      <c r="F573" s="9">
        <f t="array" ref="F573">VALUE(_wpsfn.REGEXP(E573,"\d+(\.\d+)?"))</f>
        <v>2.16</v>
      </c>
    </row>
    <row r="574" ht="31" spans="1:6">
      <c r="A574" s="6" t="s">
        <v>1435</v>
      </c>
      <c r="B574" s="3" t="s">
        <v>1229</v>
      </c>
      <c r="C574" s="4" t="s">
        <v>12</v>
      </c>
      <c r="D574" s="7">
        <v>3447.8</v>
      </c>
      <c r="E574" s="8" t="s">
        <v>7587</v>
      </c>
      <c r="F574" s="9">
        <f t="array" ref="F574">VALUE(_wpsfn.REGEXP(E574,"\d+(\.\d+)?"))</f>
        <v>2.16</v>
      </c>
    </row>
    <row r="575" ht="31" spans="1:6">
      <c r="A575" s="6" t="s">
        <v>1436</v>
      </c>
      <c r="B575" s="3" t="s">
        <v>1422</v>
      </c>
      <c r="C575" s="4" t="s">
        <v>12</v>
      </c>
      <c r="D575" s="7">
        <v>4111.7</v>
      </c>
      <c r="E575" s="8" t="s">
        <v>7587</v>
      </c>
      <c r="F575" s="9">
        <f t="array" ref="F575">VALUE(_wpsfn.REGEXP(E575,"\d+(\.\d+)?"))</f>
        <v>2.16</v>
      </c>
    </row>
    <row r="576" ht="15.5" spans="1:6">
      <c r="A576" s="6" t="s">
        <v>1439</v>
      </c>
      <c r="B576" s="3" t="s">
        <v>1275</v>
      </c>
      <c r="C576" s="4" t="s">
        <v>12</v>
      </c>
      <c r="D576" s="7">
        <v>3066.2</v>
      </c>
      <c r="E576" s="8" t="s">
        <v>7588</v>
      </c>
      <c r="F576" s="9">
        <f t="array" ref="F576">VALUE(_wpsfn.REGEXP(E576,"\d+(\.\d+)?"))</f>
        <v>2.38</v>
      </c>
    </row>
    <row r="577" ht="15.5" spans="1:6">
      <c r="A577" s="6" t="s">
        <v>1440</v>
      </c>
      <c r="B577" s="3" t="s">
        <v>1277</v>
      </c>
      <c r="C577" s="4" t="s">
        <v>12</v>
      </c>
      <c r="D577" s="7">
        <v>2803</v>
      </c>
      <c r="E577" s="8" t="s">
        <v>7588</v>
      </c>
      <c r="F577" s="9">
        <f t="array" ref="F577">VALUE(_wpsfn.REGEXP(E577,"\d+(\.\d+)?"))</f>
        <v>2.38</v>
      </c>
    </row>
    <row r="578" ht="15.5" spans="1:6">
      <c r="A578" s="6" t="s">
        <v>1446</v>
      </c>
      <c r="B578" s="3" t="s">
        <v>1447</v>
      </c>
      <c r="C578" s="4" t="s">
        <v>49</v>
      </c>
      <c r="D578" s="7">
        <v>221.1</v>
      </c>
      <c r="E578" s="8" t="s">
        <v>7593</v>
      </c>
      <c r="F578" s="9">
        <f t="array" ref="F578">VALUE(_wpsfn.REGEXP(E578,"\d+(\.\d+)?"))</f>
        <v>50</v>
      </c>
    </row>
    <row r="579" ht="15.5" spans="1:6">
      <c r="A579" s="6" t="s">
        <v>1448</v>
      </c>
      <c r="B579" s="3" t="s">
        <v>1449</v>
      </c>
      <c r="C579" s="4" t="s">
        <v>49</v>
      </c>
      <c r="D579" s="7">
        <v>271.75</v>
      </c>
      <c r="E579" s="8" t="s">
        <v>7593</v>
      </c>
      <c r="F579" s="9">
        <f t="array" ref="F579">VALUE(_wpsfn.REGEXP(E579,"\d+(\.\d+)?"))</f>
        <v>50</v>
      </c>
    </row>
    <row r="580" ht="15.5" spans="1:6">
      <c r="A580" s="6" t="s">
        <v>1451</v>
      </c>
      <c r="B580" s="3" t="s">
        <v>1447</v>
      </c>
      <c r="C580" s="4" t="s">
        <v>49</v>
      </c>
      <c r="D580" s="7">
        <v>185.95</v>
      </c>
      <c r="E580" s="8" t="s">
        <v>7593</v>
      </c>
      <c r="F580" s="9">
        <f t="array" ref="F580">VALUE(_wpsfn.REGEXP(E580,"\d+(\.\d+)?"))</f>
        <v>50</v>
      </c>
    </row>
    <row r="581" ht="15.5" spans="1:6">
      <c r="A581" s="6" t="s">
        <v>1452</v>
      </c>
      <c r="B581" s="3" t="s">
        <v>1453</v>
      </c>
      <c r="C581" s="4" t="s">
        <v>49</v>
      </c>
      <c r="D581" s="7">
        <v>213.2</v>
      </c>
      <c r="E581" s="8" t="s">
        <v>7593</v>
      </c>
      <c r="F581" s="9">
        <f t="array" ref="F581">VALUE(_wpsfn.REGEXP(E581,"\d+(\.\d+)?"))</f>
        <v>50</v>
      </c>
    </row>
    <row r="582" ht="15.5" spans="1:6">
      <c r="A582" s="6" t="s">
        <v>1456</v>
      </c>
      <c r="B582" s="3" t="s">
        <v>1256</v>
      </c>
      <c r="C582" s="4" t="s">
        <v>12</v>
      </c>
      <c r="D582" s="7">
        <v>2945.1</v>
      </c>
      <c r="E582" s="8" t="s">
        <v>7592</v>
      </c>
      <c r="F582" s="9">
        <f t="array" ref="F582">VALUE(_wpsfn.REGEXP(E582,"\d+(\.\d+)?"))</f>
        <v>2.2</v>
      </c>
    </row>
    <row r="583" ht="217" spans="1:6">
      <c r="A583" s="6" t="s">
        <v>1457</v>
      </c>
      <c r="B583" s="12" t="s">
        <v>1458</v>
      </c>
      <c r="C583" s="4" t="s">
        <v>49</v>
      </c>
      <c r="D583" s="7">
        <v>600.55</v>
      </c>
      <c r="E583" s="8" t="s">
        <v>7594</v>
      </c>
      <c r="F583" s="9">
        <f t="array" ref="F583">VALUE(_wpsfn.REGEXP(E583,"\d+(\.\d+)?"))</f>
        <v>2</v>
      </c>
    </row>
    <row r="584" ht="170.5" spans="1:6">
      <c r="A584" s="6" t="s">
        <v>1459</v>
      </c>
      <c r="B584" s="12" t="s">
        <v>1460</v>
      </c>
      <c r="C584" s="4" t="s">
        <v>49</v>
      </c>
      <c r="D584" s="7">
        <v>725.85</v>
      </c>
      <c r="E584" s="8" t="s">
        <v>7594</v>
      </c>
      <c r="F584" s="9">
        <f t="array" ref="F584">VALUE(_wpsfn.REGEXP(E584,"\d+(\.\d+)?"))</f>
        <v>2</v>
      </c>
    </row>
    <row r="585" ht="15.5" spans="1:6">
      <c r="A585" s="6" t="s">
        <v>1463</v>
      </c>
      <c r="B585" s="3" t="s">
        <v>1464</v>
      </c>
      <c r="C585" s="4" t="s">
        <v>49</v>
      </c>
      <c r="D585" s="7">
        <v>38.7</v>
      </c>
      <c r="E585" s="8" t="s">
        <v>7595</v>
      </c>
      <c r="F585" s="9">
        <f t="array" ref="F585">VALUE(_wpsfn.REGEXP(E585,"\d+(\.\d+)?"))</f>
        <v>2</v>
      </c>
    </row>
    <row r="586" ht="31" spans="1:6">
      <c r="A586" s="6" t="s">
        <v>1465</v>
      </c>
      <c r="B586" s="3" t="s">
        <v>1466</v>
      </c>
      <c r="C586" s="4" t="s">
        <v>49</v>
      </c>
      <c r="D586" s="7">
        <v>125.2</v>
      </c>
      <c r="E586" s="8" t="s">
        <v>7595</v>
      </c>
      <c r="F586" s="9">
        <f t="array" ref="F586">VALUE(_wpsfn.REGEXP(E586,"\d+(\.\d+)?"))</f>
        <v>2</v>
      </c>
    </row>
    <row r="587" ht="31" spans="1:6">
      <c r="A587" s="6" t="s">
        <v>1467</v>
      </c>
      <c r="B587" s="12" t="s">
        <v>1468</v>
      </c>
      <c r="C587" s="4" t="s">
        <v>49</v>
      </c>
      <c r="D587" s="7">
        <v>73.7</v>
      </c>
      <c r="E587" s="8" t="s">
        <v>7552</v>
      </c>
      <c r="F587" s="9">
        <f t="array" ref="F587">VALUE(_wpsfn.REGEXP(E587,"\d+(\.\d+)?"))</f>
        <v>10</v>
      </c>
    </row>
    <row r="588" ht="15.5" spans="1:6">
      <c r="A588" s="6" t="s">
        <v>1471</v>
      </c>
      <c r="B588" s="3" t="s">
        <v>1472</v>
      </c>
      <c r="C588" s="4" t="s">
        <v>49</v>
      </c>
      <c r="D588" s="7">
        <v>285.1</v>
      </c>
      <c r="E588" s="8" t="s">
        <v>7596</v>
      </c>
      <c r="F588" s="9">
        <f t="array" ref="F588">VALUE(_wpsfn.REGEXP(E588,"\d+(\.\d+)?"))</f>
        <v>2</v>
      </c>
    </row>
    <row r="589" ht="15.5" spans="1:6">
      <c r="A589" s="6" t="s">
        <v>1473</v>
      </c>
      <c r="B589" s="3" t="s">
        <v>1474</v>
      </c>
      <c r="C589" s="4" t="s">
        <v>49</v>
      </c>
      <c r="D589" s="7">
        <v>393.25</v>
      </c>
      <c r="E589" s="8" t="s">
        <v>7596</v>
      </c>
      <c r="F589" s="9">
        <f t="array" ref="F589">VALUE(_wpsfn.REGEXP(E589,"\d+(\.\d+)?"))</f>
        <v>2</v>
      </c>
    </row>
    <row r="590" ht="15.5" spans="1:6">
      <c r="A590" s="6" t="s">
        <v>1475</v>
      </c>
      <c r="B590" s="3" t="s">
        <v>1476</v>
      </c>
      <c r="C590" s="4" t="s">
        <v>49</v>
      </c>
      <c r="D590" s="7">
        <v>525.55</v>
      </c>
      <c r="E590" s="8" t="s">
        <v>7596</v>
      </c>
      <c r="F590" s="9">
        <f t="array" ref="F590">VALUE(_wpsfn.REGEXP(E590,"\d+(\.\d+)?"))</f>
        <v>2</v>
      </c>
    </row>
    <row r="591" ht="15.5" spans="1:6">
      <c r="A591" s="6" t="s">
        <v>1479</v>
      </c>
      <c r="B591" s="3" t="s">
        <v>1480</v>
      </c>
      <c r="C591" s="4" t="s">
        <v>49</v>
      </c>
      <c r="D591" s="7">
        <v>175</v>
      </c>
      <c r="E591" s="8" t="s">
        <v>7596</v>
      </c>
      <c r="F591" s="9">
        <f t="array" ref="F591">VALUE(_wpsfn.REGEXP(E591,"\d+(\.\d+)?"))</f>
        <v>2</v>
      </c>
    </row>
    <row r="592" ht="15.5" spans="1:6">
      <c r="A592" s="6" t="s">
        <v>1481</v>
      </c>
      <c r="B592" s="3" t="s">
        <v>1482</v>
      </c>
      <c r="C592" s="4" t="s">
        <v>49</v>
      </c>
      <c r="D592" s="7">
        <v>186.4</v>
      </c>
      <c r="E592" s="8" t="s">
        <v>7596</v>
      </c>
      <c r="F592" s="9">
        <f t="array" ref="F592">VALUE(_wpsfn.REGEXP(E592,"\d+(\.\d+)?"))</f>
        <v>2</v>
      </c>
    </row>
    <row r="593" ht="15.5" spans="1:7">
      <c r="A593" s="6" t="s">
        <v>1485</v>
      </c>
      <c r="B593" s="3" t="s">
        <v>1486</v>
      </c>
      <c r="C593" s="4" t="s">
        <v>575</v>
      </c>
      <c r="D593" s="7">
        <v>219.1</v>
      </c>
      <c r="E593" s="8" t="s">
        <v>7597</v>
      </c>
      <c r="F593" s="9">
        <f t="array" ref="F593">VALUE(_wpsfn.REGEXP(E593,"\d+(\.\d+)?"))</f>
        <v>18.54</v>
      </c>
    </row>
    <row r="594" ht="31" spans="1:7">
      <c r="A594" s="6" t="s">
        <v>1487</v>
      </c>
      <c r="B594" s="3" t="s">
        <v>1488</v>
      </c>
      <c r="C594" s="4" t="s">
        <v>575</v>
      </c>
      <c r="D594" s="7">
        <v>238.35</v>
      </c>
      <c r="E594" s="8" t="s">
        <v>7597</v>
      </c>
      <c r="F594" s="9">
        <f t="array" ref="F594">VALUE(_wpsfn.REGEXP(E594,"\d+(\.\d+)?"))</f>
        <v>18.54</v>
      </c>
    </row>
    <row r="595" ht="93" spans="1:7">
      <c r="A595" s="6" t="s">
        <v>1489</v>
      </c>
      <c r="B595" s="12" t="s">
        <v>1490</v>
      </c>
      <c r="C595" s="4" t="s">
        <v>12</v>
      </c>
      <c r="D595" s="7">
        <v>1421.95</v>
      </c>
      <c r="E595" s="8" t="s">
        <v>7598</v>
      </c>
      <c r="F595" s="9">
        <f t="array" ref="F595">VALUE(_wpsfn.REGEXP(E595,"\d+(\.\d+)?"))</f>
        <v>1.54</v>
      </c>
    </row>
    <row r="596" ht="93" spans="1:7">
      <c r="A596" s="6" t="s">
        <v>1491</v>
      </c>
      <c r="B596" s="12" t="s">
        <v>1492</v>
      </c>
      <c r="C596" s="4" t="s">
        <v>12</v>
      </c>
      <c r="D596" s="7">
        <v>1641.15</v>
      </c>
      <c r="E596" s="8" t="s">
        <v>7598</v>
      </c>
      <c r="F596" s="9">
        <f t="array" ref="F596">VALUE(_wpsfn.REGEXP(E596,"\d+(\.\d+)?"))</f>
        <v>1.54</v>
      </c>
    </row>
    <row r="597" ht="31" spans="1:7">
      <c r="A597" s="6" t="s">
        <v>1495</v>
      </c>
      <c r="B597" s="3" t="s">
        <v>1496</v>
      </c>
      <c r="C597" s="4" t="s">
        <v>12</v>
      </c>
      <c r="D597" s="7">
        <v>1308.35</v>
      </c>
      <c r="E597" s="8" t="s">
        <v>7598</v>
      </c>
      <c r="F597" s="9">
        <f t="array" ref="F597">VALUE(_wpsfn.REGEXP(E597,"\d+(\.\d+)?"))</f>
        <v>1.54</v>
      </c>
    </row>
    <row r="598" ht="15.5" spans="1:7">
      <c r="A598" s="6" t="s">
        <v>1497</v>
      </c>
      <c r="B598" s="3" t="s">
        <v>1498</v>
      </c>
      <c r="C598" s="4" t="s">
        <v>12</v>
      </c>
      <c r="D598" s="7">
        <v>939.2</v>
      </c>
      <c r="E598" s="8" t="s">
        <v>7598</v>
      </c>
      <c r="F598" s="9">
        <f t="array" ref="F598">VALUE(_wpsfn.REGEXP(E598,"\d+(\.\d+)?"))</f>
        <v>1.54</v>
      </c>
    </row>
    <row r="599" ht="93" spans="1:7">
      <c r="A599" s="6" t="s">
        <v>1499</v>
      </c>
      <c r="B599" s="12" t="s">
        <v>1500</v>
      </c>
      <c r="C599" s="4" t="s">
        <v>12</v>
      </c>
      <c r="D599" s="7">
        <v>155.1</v>
      </c>
      <c r="E599" s="8" t="s">
        <v>7554</v>
      </c>
      <c r="F599" s="9">
        <f t="array" ref="F599">VALUE(_wpsfn.REGEXP(E599,"\d+(\.\d+)?"))</f>
        <v>1</v>
      </c>
    </row>
    <row r="600" ht="108.5" spans="1:7">
      <c r="A600" s="6" t="s">
        <v>1501</v>
      </c>
      <c r="B600" s="12" t="s">
        <v>1502</v>
      </c>
      <c r="C600" s="4" t="s">
        <v>156</v>
      </c>
      <c r="D600" s="7">
        <v>226.55</v>
      </c>
      <c r="E600" s="8" t="s">
        <v>7544</v>
      </c>
      <c r="F600" s="9">
        <f t="array" ref="F600">VALUE(_wpsfn.REGEXP(E600,"\d+(\.\d+)?"))</f>
        <v>1</v>
      </c>
    </row>
    <row r="601" ht="15.5" spans="1:7">
      <c r="A601" s="6" t="s">
        <v>1505</v>
      </c>
      <c r="B601" s="3" t="s">
        <v>1258</v>
      </c>
      <c r="C601" s="4" t="s">
        <v>16</v>
      </c>
      <c r="D601" s="7">
        <v>103140.1</v>
      </c>
      <c r="E601" s="8" t="s">
        <v>7599</v>
      </c>
      <c r="F601" s="9">
        <f t="array" ref="F601:G601">VALUE(_wpsfn.REGEXP(E601,"\d+(\.\d+)?"))</f>
        <v>0.203</v>
      </c>
      <c r="G601">
        <v>203</v>
      </c>
    </row>
    <row r="602" ht="15.5" spans="1:7">
      <c r="A602" s="6" t="s">
        <v>1506</v>
      </c>
      <c r="B602" s="3" t="s">
        <v>1507</v>
      </c>
      <c r="C602" s="4" t="s">
        <v>16</v>
      </c>
      <c r="D602" s="7">
        <v>69178.05</v>
      </c>
      <c r="E602" s="8" t="s">
        <v>7599</v>
      </c>
      <c r="F602" s="9">
        <f t="array" ref="F602:G602">VALUE(_wpsfn.REGEXP(E602,"\d+(\.\d+)?"))</f>
        <v>0.203</v>
      </c>
      <c r="G602">
        <v>203</v>
      </c>
    </row>
    <row r="603" ht="15.5" spans="1:7">
      <c r="A603" s="6" t="s">
        <v>1511</v>
      </c>
      <c r="B603" s="3" t="s">
        <v>1512</v>
      </c>
      <c r="C603" s="4" t="s">
        <v>156</v>
      </c>
      <c r="D603" s="7">
        <v>53</v>
      </c>
      <c r="E603" s="8" t="s">
        <v>7576</v>
      </c>
      <c r="F603" s="9">
        <f t="array" ref="F603">VALUE(_wpsfn.REGEXP(E603,"\d+(\.\d+)?"))</f>
        <v>10</v>
      </c>
    </row>
    <row r="604" ht="15.5" spans="1:7">
      <c r="A604" s="6" t="s">
        <v>1513</v>
      </c>
      <c r="B604" s="3" t="s">
        <v>1514</v>
      </c>
      <c r="C604" s="4" t="s">
        <v>156</v>
      </c>
      <c r="D604" s="7">
        <v>45</v>
      </c>
      <c r="E604" s="8" t="s">
        <v>7576</v>
      </c>
      <c r="F604" s="9">
        <f t="array" ref="F604">VALUE(_wpsfn.REGEXP(E604,"\d+(\.\d+)?"))</f>
        <v>10</v>
      </c>
    </row>
    <row r="605" ht="15.5" spans="1:7">
      <c r="A605" s="6" t="s">
        <v>1515</v>
      </c>
      <c r="B605" s="3" t="s">
        <v>1516</v>
      </c>
      <c r="C605" s="4" t="s">
        <v>156</v>
      </c>
      <c r="D605" s="7">
        <v>39.3</v>
      </c>
      <c r="E605" s="8" t="s">
        <v>7576</v>
      </c>
      <c r="F605" s="9">
        <f t="array" ref="F605">VALUE(_wpsfn.REGEXP(E605,"\d+(\.\d+)?"))</f>
        <v>10</v>
      </c>
    </row>
    <row r="606" ht="15.5" spans="1:7">
      <c r="A606" s="6" t="s">
        <v>1517</v>
      </c>
      <c r="B606" s="3" t="s">
        <v>1518</v>
      </c>
      <c r="C606" s="4" t="s">
        <v>156</v>
      </c>
      <c r="D606" s="7">
        <v>18.85</v>
      </c>
      <c r="E606" s="8" t="s">
        <v>7576</v>
      </c>
      <c r="F606" s="9">
        <f t="array" ref="F606">VALUE(_wpsfn.REGEXP(E606,"\d+(\.\d+)?"))</f>
        <v>10</v>
      </c>
    </row>
    <row r="607" ht="15.5" spans="1:7">
      <c r="A607" s="6" t="s">
        <v>1521</v>
      </c>
      <c r="B607" s="3" t="s">
        <v>1522</v>
      </c>
      <c r="C607" s="4" t="s">
        <v>156</v>
      </c>
      <c r="D607" s="7">
        <v>71.25</v>
      </c>
      <c r="E607" s="8" t="s">
        <v>7576</v>
      </c>
      <c r="F607" s="9">
        <f t="array" ref="F607">VALUE(_wpsfn.REGEXP(E607,"\d+(\.\d+)?"))</f>
        <v>10</v>
      </c>
    </row>
    <row r="608" ht="15.5" spans="1:7">
      <c r="A608" s="6" t="s">
        <v>1523</v>
      </c>
      <c r="B608" s="3" t="s">
        <v>1524</v>
      </c>
      <c r="C608" s="4" t="s">
        <v>156</v>
      </c>
      <c r="D608" s="7">
        <v>62.05</v>
      </c>
      <c r="E608" s="8" t="s">
        <v>7576</v>
      </c>
      <c r="F608" s="9">
        <f t="array" ref="F608">VALUE(_wpsfn.REGEXP(E608,"\d+(\.\d+)?"))</f>
        <v>10</v>
      </c>
    </row>
    <row r="609" ht="15.5" spans="1:6">
      <c r="A609" s="6" t="s">
        <v>1525</v>
      </c>
      <c r="B609" s="3" t="s">
        <v>1526</v>
      </c>
      <c r="C609" s="4" t="s">
        <v>156</v>
      </c>
      <c r="D609" s="7">
        <v>48.15</v>
      </c>
      <c r="E609" s="8" t="s">
        <v>7576</v>
      </c>
      <c r="F609" s="9">
        <f t="array" ref="F609">VALUE(_wpsfn.REGEXP(E609,"\d+(\.\d+)?"))</f>
        <v>10</v>
      </c>
    </row>
    <row r="610" ht="15.5" spans="1:6">
      <c r="A610" s="6" t="s">
        <v>1527</v>
      </c>
      <c r="B610" s="3" t="s">
        <v>1528</v>
      </c>
      <c r="C610" s="4" t="s">
        <v>156</v>
      </c>
      <c r="D610" s="7">
        <v>27.5</v>
      </c>
      <c r="E610" s="8" t="s">
        <v>7576</v>
      </c>
      <c r="F610" s="9">
        <f t="array" ref="F610">VALUE(_wpsfn.REGEXP(E610,"\d+(\.\d+)?"))</f>
        <v>10</v>
      </c>
    </row>
    <row r="611" ht="15.5" spans="1:6">
      <c r="A611" s="6" t="s">
        <v>1533</v>
      </c>
      <c r="B611" s="3" t="s">
        <v>1512</v>
      </c>
      <c r="C611" s="4" t="s">
        <v>156</v>
      </c>
      <c r="D611" s="7">
        <v>55.75</v>
      </c>
      <c r="E611" s="8" t="s">
        <v>7576</v>
      </c>
      <c r="F611" s="9">
        <f t="array" ref="F611">VALUE(_wpsfn.REGEXP(E611,"\d+(\.\d+)?"))</f>
        <v>10</v>
      </c>
    </row>
    <row r="612" ht="15.5" spans="1:6">
      <c r="A612" s="6" t="s">
        <v>1534</v>
      </c>
      <c r="B612" s="3" t="s">
        <v>1514</v>
      </c>
      <c r="C612" s="4" t="s">
        <v>156</v>
      </c>
      <c r="D612" s="7">
        <v>48.2</v>
      </c>
      <c r="E612" s="8" t="s">
        <v>7576</v>
      </c>
      <c r="F612" s="9">
        <f t="array" ref="F612">VALUE(_wpsfn.REGEXP(E612,"\d+(\.\d+)?"))</f>
        <v>10</v>
      </c>
    </row>
    <row r="613" ht="15.5" spans="1:6">
      <c r="A613" s="6" t="s">
        <v>1535</v>
      </c>
      <c r="B613" s="3" t="s">
        <v>1516</v>
      </c>
      <c r="C613" s="4" t="s">
        <v>156</v>
      </c>
      <c r="D613" s="7">
        <v>40.5</v>
      </c>
      <c r="E613" s="8" t="s">
        <v>7576</v>
      </c>
      <c r="F613" s="9">
        <f t="array" ref="F613">VALUE(_wpsfn.REGEXP(E613,"\d+(\.\d+)?"))</f>
        <v>10</v>
      </c>
    </row>
    <row r="614" ht="15.5" spans="1:6">
      <c r="A614" s="6" t="s">
        <v>1536</v>
      </c>
      <c r="B614" s="3" t="s">
        <v>1518</v>
      </c>
      <c r="C614" s="4" t="s">
        <v>156</v>
      </c>
      <c r="D614" s="7">
        <v>20</v>
      </c>
      <c r="E614" s="8" t="s">
        <v>7576</v>
      </c>
      <c r="F614" s="9">
        <f t="array" ref="F614">VALUE(_wpsfn.REGEXP(E614,"\d+(\.\d+)?"))</f>
        <v>10</v>
      </c>
    </row>
    <row r="615" ht="15.5" spans="1:6">
      <c r="A615" s="6" t="s">
        <v>1539</v>
      </c>
      <c r="B615" s="3" t="s">
        <v>1540</v>
      </c>
      <c r="C615" s="4" t="s">
        <v>156</v>
      </c>
      <c r="D615" s="7">
        <v>91.7</v>
      </c>
      <c r="E615" s="8" t="s">
        <v>7576</v>
      </c>
      <c r="F615" s="9">
        <f t="array" ref="F615">VALUE(_wpsfn.REGEXP(E615,"\d+(\.\d+)?"))</f>
        <v>10</v>
      </c>
    </row>
    <row r="616" ht="15.5" spans="1:6">
      <c r="A616" s="6" t="s">
        <v>1541</v>
      </c>
      <c r="B616" s="3" t="s">
        <v>1542</v>
      </c>
      <c r="C616" s="4" t="s">
        <v>156</v>
      </c>
      <c r="D616" s="7">
        <v>86</v>
      </c>
      <c r="E616" s="8" t="s">
        <v>7576</v>
      </c>
      <c r="F616" s="9">
        <f t="array" ref="F616">VALUE(_wpsfn.REGEXP(E616,"\d+(\.\d+)?"))</f>
        <v>10</v>
      </c>
    </row>
    <row r="617" ht="15.5" spans="1:6">
      <c r="A617" s="6" t="s">
        <v>1543</v>
      </c>
      <c r="B617" s="3" t="s">
        <v>1544</v>
      </c>
      <c r="C617" s="4" t="s">
        <v>156</v>
      </c>
      <c r="D617" s="7">
        <v>75.35</v>
      </c>
      <c r="E617" s="8" t="s">
        <v>7576</v>
      </c>
      <c r="F617" s="9">
        <f t="array" ref="F617">VALUE(_wpsfn.REGEXP(E617,"\d+(\.\d+)?"))</f>
        <v>10</v>
      </c>
    </row>
    <row r="618" ht="15.5" spans="1:6">
      <c r="A618" s="6" t="s">
        <v>1545</v>
      </c>
      <c r="B618" s="3" t="s">
        <v>1546</v>
      </c>
      <c r="C618" s="4" t="s">
        <v>156</v>
      </c>
      <c r="D618" s="7">
        <v>66.65</v>
      </c>
      <c r="E618" s="8" t="s">
        <v>7576</v>
      </c>
      <c r="F618" s="9">
        <f t="array" ref="F618">VALUE(_wpsfn.REGEXP(E618,"\d+(\.\d+)?"))</f>
        <v>10</v>
      </c>
    </row>
    <row r="619" ht="15.5" spans="1:6">
      <c r="A619" s="6" t="s">
        <v>1549</v>
      </c>
      <c r="B619" s="3" t="s">
        <v>1550</v>
      </c>
      <c r="C619" s="4" t="s">
        <v>156</v>
      </c>
      <c r="D619" s="7">
        <v>291.35</v>
      </c>
      <c r="E619" s="8" t="s">
        <v>7576</v>
      </c>
      <c r="F619" s="9">
        <f t="array" ref="F619">VALUE(_wpsfn.REGEXP(E619,"\d+(\.\d+)?"))</f>
        <v>10</v>
      </c>
    </row>
    <row r="620" ht="15.5" spans="1:6">
      <c r="A620" s="6" t="s">
        <v>1551</v>
      </c>
      <c r="B620" s="3" t="s">
        <v>1552</v>
      </c>
      <c r="C620" s="4" t="s">
        <v>156</v>
      </c>
      <c r="D620" s="7">
        <v>262.9</v>
      </c>
      <c r="E620" s="8" t="s">
        <v>7576</v>
      </c>
      <c r="F620" s="9">
        <f t="array" ref="F620">VALUE(_wpsfn.REGEXP(E620,"\d+(\.\d+)?"))</f>
        <v>10</v>
      </c>
    </row>
    <row r="621" ht="15.5" spans="1:6">
      <c r="A621" s="6" t="s">
        <v>1553</v>
      </c>
      <c r="B621" s="3" t="s">
        <v>1554</v>
      </c>
      <c r="C621" s="4" t="s">
        <v>156</v>
      </c>
      <c r="D621" s="7">
        <v>232.7</v>
      </c>
      <c r="E621" s="8" t="s">
        <v>7576</v>
      </c>
      <c r="F621" s="9">
        <f t="array" ref="F621">VALUE(_wpsfn.REGEXP(E621,"\d+(\.\d+)?"))</f>
        <v>10</v>
      </c>
    </row>
    <row r="622" ht="15.5" spans="1:6">
      <c r="A622" s="6" t="s">
        <v>1557</v>
      </c>
      <c r="B622" s="3" t="s">
        <v>1550</v>
      </c>
      <c r="C622" s="4" t="s">
        <v>156</v>
      </c>
      <c r="D622" s="7">
        <v>326.9</v>
      </c>
      <c r="E622" s="8" t="s">
        <v>7576</v>
      </c>
      <c r="F622" s="9">
        <f t="array" ref="F622">VALUE(_wpsfn.REGEXP(E622,"\d+(\.\d+)?"))</f>
        <v>10</v>
      </c>
    </row>
    <row r="623" ht="15.5" spans="1:6">
      <c r="A623" s="6" t="s">
        <v>1558</v>
      </c>
      <c r="B623" s="3" t="s">
        <v>1552</v>
      </c>
      <c r="C623" s="4" t="s">
        <v>156</v>
      </c>
      <c r="D623" s="7">
        <v>291.35</v>
      </c>
      <c r="E623" s="8" t="s">
        <v>7576</v>
      </c>
      <c r="F623" s="9">
        <f t="array" ref="F623">VALUE(_wpsfn.REGEXP(E623,"\d+(\.\d+)?"))</f>
        <v>10</v>
      </c>
    </row>
    <row r="624" ht="15.5" spans="1:6">
      <c r="A624" s="6" t="s">
        <v>1559</v>
      </c>
      <c r="B624" s="3" t="s">
        <v>1554</v>
      </c>
      <c r="C624" s="4" t="s">
        <v>156</v>
      </c>
      <c r="D624" s="7">
        <v>261.15</v>
      </c>
      <c r="E624" s="8" t="s">
        <v>7576</v>
      </c>
      <c r="F624" s="9">
        <f t="array" ref="F624">VALUE(_wpsfn.REGEXP(E624,"\d+(\.\d+)?"))</f>
        <v>10</v>
      </c>
    </row>
    <row r="625" ht="15.5" spans="1:6">
      <c r="A625" s="6" t="s">
        <v>1562</v>
      </c>
      <c r="B625" s="3" t="s">
        <v>1563</v>
      </c>
      <c r="C625" s="4" t="s">
        <v>49</v>
      </c>
      <c r="D625" s="7">
        <v>336.45</v>
      </c>
      <c r="E625" s="8" t="s">
        <v>7531</v>
      </c>
      <c r="F625" s="9">
        <f t="array" ref="F625">VALUE(_wpsfn.REGEXP(E625,"\d+(\.\d+)?"))</f>
        <v>1</v>
      </c>
    </row>
    <row r="626" ht="15.5" spans="1:6">
      <c r="A626" s="6" t="s">
        <v>1564</v>
      </c>
      <c r="B626" s="3" t="s">
        <v>1565</v>
      </c>
      <c r="C626" s="4" t="s">
        <v>49</v>
      </c>
      <c r="D626" s="7">
        <v>337.9</v>
      </c>
      <c r="E626" s="8" t="s">
        <v>7531</v>
      </c>
      <c r="F626" s="9">
        <f t="array" ref="F626">VALUE(_wpsfn.REGEXP(E626,"\d+(\.\d+)?"))</f>
        <v>1</v>
      </c>
    </row>
    <row r="627" ht="15.5" spans="1:6">
      <c r="A627" s="6" t="s">
        <v>1566</v>
      </c>
      <c r="B627" s="3" t="s">
        <v>1567</v>
      </c>
      <c r="C627" s="4" t="s">
        <v>49</v>
      </c>
      <c r="D627" s="7">
        <v>357.8</v>
      </c>
      <c r="E627" s="8" t="s">
        <v>7531</v>
      </c>
      <c r="F627" s="9">
        <f t="array" ref="F627">VALUE(_wpsfn.REGEXP(E627,"\d+(\.\d+)?"))</f>
        <v>1</v>
      </c>
    </row>
    <row r="628" ht="15.5" spans="1:6">
      <c r="A628" s="6" t="s">
        <v>1570</v>
      </c>
      <c r="B628" s="3" t="s">
        <v>1571</v>
      </c>
      <c r="C628" s="4" t="s">
        <v>156</v>
      </c>
      <c r="D628" s="7">
        <v>216.55</v>
      </c>
      <c r="E628" s="8" t="s">
        <v>7576</v>
      </c>
      <c r="F628" s="9">
        <f t="array" ref="F628">VALUE(_wpsfn.REGEXP(E628,"\d+(\.\d+)?"))</f>
        <v>10</v>
      </c>
    </row>
    <row r="629" ht="15.5" spans="1:6">
      <c r="A629" s="6" t="s">
        <v>1572</v>
      </c>
      <c r="B629" s="3" t="s">
        <v>1573</v>
      </c>
      <c r="C629" s="4" t="s">
        <v>156</v>
      </c>
      <c r="D629" s="7">
        <v>193.7</v>
      </c>
      <c r="E629" s="8" t="s">
        <v>7576</v>
      </c>
      <c r="F629" s="9">
        <f t="array" ref="F629">VALUE(_wpsfn.REGEXP(E629,"\d+(\.\d+)?"))</f>
        <v>10</v>
      </c>
    </row>
    <row r="630" ht="15.5" spans="1:6">
      <c r="A630" s="6" t="s">
        <v>1576</v>
      </c>
      <c r="B630" s="3" t="s">
        <v>1577</v>
      </c>
      <c r="C630" s="4" t="s">
        <v>156</v>
      </c>
      <c r="D630" s="7">
        <v>83.9</v>
      </c>
      <c r="E630" s="8" t="s">
        <v>7576</v>
      </c>
      <c r="F630" s="9">
        <f t="array" ref="F630">VALUE(_wpsfn.REGEXP(E630,"\d+(\.\d+)?"))</f>
        <v>10</v>
      </c>
    </row>
    <row r="631" ht="15.5" spans="1:6">
      <c r="A631" s="6" t="s">
        <v>1578</v>
      </c>
      <c r="B631" s="3" t="s">
        <v>1579</v>
      </c>
      <c r="C631" s="4" t="s">
        <v>156</v>
      </c>
      <c r="D631" s="7">
        <v>69.4</v>
      </c>
      <c r="E631" s="8" t="s">
        <v>7576</v>
      </c>
      <c r="F631" s="9">
        <f t="array" ref="F631">VALUE(_wpsfn.REGEXP(E631,"\d+(\.\d+)?"))</f>
        <v>10</v>
      </c>
    </row>
    <row r="632" ht="15.5" spans="1:6">
      <c r="A632" s="6" t="s">
        <v>1580</v>
      </c>
      <c r="B632" s="3" t="s">
        <v>1581</v>
      </c>
      <c r="C632" s="4" t="s">
        <v>156</v>
      </c>
      <c r="D632" s="7">
        <v>59.45</v>
      </c>
      <c r="E632" s="8" t="s">
        <v>7576</v>
      </c>
      <c r="F632" s="9">
        <f t="array" ref="F632">VALUE(_wpsfn.REGEXP(E632,"\d+(\.\d+)?"))</f>
        <v>10</v>
      </c>
    </row>
    <row r="633" ht="15.5" spans="1:6">
      <c r="A633" s="6" t="s">
        <v>1582</v>
      </c>
      <c r="B633" s="3" t="s">
        <v>1583</v>
      </c>
      <c r="C633" s="4" t="s">
        <v>156</v>
      </c>
      <c r="D633" s="7">
        <v>44.3</v>
      </c>
      <c r="E633" s="8" t="s">
        <v>7576</v>
      </c>
      <c r="F633" s="9">
        <f t="array" ref="F633">VALUE(_wpsfn.REGEXP(E633,"\d+(\.\d+)?"))</f>
        <v>10</v>
      </c>
    </row>
    <row r="634" ht="77.5" spans="1:6">
      <c r="A634" s="6" t="s">
        <v>1584</v>
      </c>
      <c r="B634" s="12" t="s">
        <v>1585</v>
      </c>
      <c r="C634" s="4" t="s">
        <v>156</v>
      </c>
      <c r="D634" s="7">
        <v>122.15</v>
      </c>
      <c r="E634" s="8" t="s">
        <v>7576</v>
      </c>
      <c r="F634" s="9">
        <f t="array" ref="F634">VALUE(_wpsfn.REGEXP(E634,"\d+(\.\d+)?"))</f>
        <v>10</v>
      </c>
    </row>
    <row r="635" ht="15.5" spans="1:6">
      <c r="A635" s="6" t="s">
        <v>1588</v>
      </c>
      <c r="B635" s="3" t="s">
        <v>1589</v>
      </c>
      <c r="C635" s="4" t="s">
        <v>156</v>
      </c>
      <c r="D635" s="7">
        <v>98.35</v>
      </c>
      <c r="E635" s="8" t="s">
        <v>7576</v>
      </c>
      <c r="F635" s="9">
        <f t="array" ref="F635">VALUE(_wpsfn.REGEXP(E635,"\d+(\.\d+)?"))</f>
        <v>10</v>
      </c>
    </row>
    <row r="636" ht="15.5" spans="1:6">
      <c r="A636" s="6" t="s">
        <v>1590</v>
      </c>
      <c r="B636" s="3" t="s">
        <v>1591</v>
      </c>
      <c r="C636" s="4" t="s">
        <v>156</v>
      </c>
      <c r="D636" s="7">
        <v>79.85</v>
      </c>
      <c r="E636" s="8" t="s">
        <v>7576</v>
      </c>
      <c r="F636" s="9">
        <f t="array" ref="F636">VALUE(_wpsfn.REGEXP(E636,"\d+(\.\d+)?"))</f>
        <v>10</v>
      </c>
    </row>
    <row r="637" ht="15.5" spans="1:6">
      <c r="A637" s="6" t="s">
        <v>1594</v>
      </c>
      <c r="B637" s="3" t="s">
        <v>1552</v>
      </c>
      <c r="C637" s="4" t="s">
        <v>156</v>
      </c>
      <c r="D637" s="7">
        <v>39.95</v>
      </c>
      <c r="E637" s="8" t="s">
        <v>7576</v>
      </c>
      <c r="F637" s="9">
        <f t="array" ref="F637">VALUE(_wpsfn.REGEXP(E637,"\d+(\.\d+)?"))</f>
        <v>10</v>
      </c>
    </row>
    <row r="638" ht="15.5" spans="1:6">
      <c r="A638" s="6" t="s">
        <v>1595</v>
      </c>
      <c r="B638" s="3" t="s">
        <v>1554</v>
      </c>
      <c r="C638" s="4" t="s">
        <v>156</v>
      </c>
      <c r="D638" s="7">
        <v>32.55</v>
      </c>
      <c r="E638" s="8" t="s">
        <v>7576</v>
      </c>
      <c r="F638" s="9">
        <f t="array" ref="F638">VALUE(_wpsfn.REGEXP(E638,"\d+(\.\d+)?"))</f>
        <v>10</v>
      </c>
    </row>
    <row r="639" ht="15.5" spans="1:6">
      <c r="A639" s="6" t="s">
        <v>1596</v>
      </c>
      <c r="B639" s="3" t="s">
        <v>1597</v>
      </c>
      <c r="C639" s="4" t="s">
        <v>156</v>
      </c>
      <c r="D639" s="7">
        <v>29.7</v>
      </c>
      <c r="E639" s="8" t="s">
        <v>7576</v>
      </c>
      <c r="F639" s="9">
        <f t="array" ref="F639">VALUE(_wpsfn.REGEXP(E639,"\d+(\.\d+)?"))</f>
        <v>10</v>
      </c>
    </row>
    <row r="640" ht="15.5" spans="1:6">
      <c r="A640" s="6" t="s">
        <v>1600</v>
      </c>
      <c r="B640" s="3" t="s">
        <v>1550</v>
      </c>
      <c r="C640" s="4" t="s">
        <v>156</v>
      </c>
      <c r="D640" s="7">
        <v>33.1</v>
      </c>
      <c r="E640" s="8" t="s">
        <v>7576</v>
      </c>
      <c r="F640" s="9">
        <f t="array" ref="F640">VALUE(_wpsfn.REGEXP(E640,"\d+(\.\d+)?"))</f>
        <v>10</v>
      </c>
    </row>
    <row r="641" ht="15.5" spans="1:6">
      <c r="A641" s="6" t="s">
        <v>1601</v>
      </c>
      <c r="B641" s="3" t="s">
        <v>1602</v>
      </c>
      <c r="C641" s="4" t="s">
        <v>156</v>
      </c>
      <c r="D641" s="7">
        <v>29.7</v>
      </c>
      <c r="E641" s="8" t="s">
        <v>7576</v>
      </c>
      <c r="F641" s="9">
        <f t="array" ref="F641">VALUE(_wpsfn.REGEXP(E641,"\d+(\.\d+)?"))</f>
        <v>10</v>
      </c>
    </row>
    <row r="642" ht="15.5" spans="1:6">
      <c r="A642" s="6" t="s">
        <v>1603</v>
      </c>
      <c r="B642" s="3" t="s">
        <v>1604</v>
      </c>
      <c r="C642" s="4" t="s">
        <v>156</v>
      </c>
      <c r="D642" s="7">
        <v>25.3</v>
      </c>
      <c r="E642" s="8" t="s">
        <v>7576</v>
      </c>
      <c r="F642" s="9">
        <f t="array" ref="F642">VALUE(_wpsfn.REGEXP(E642,"\d+(\.\d+)?"))</f>
        <v>10</v>
      </c>
    </row>
    <row r="643" ht="31" spans="1:6">
      <c r="A643" s="6" t="s">
        <v>1607</v>
      </c>
      <c r="B643" s="3" t="s">
        <v>1608</v>
      </c>
      <c r="C643" s="4" t="s">
        <v>156</v>
      </c>
      <c r="D643" s="7">
        <v>67.4</v>
      </c>
      <c r="E643" s="8" t="s">
        <v>7576</v>
      </c>
      <c r="F643" s="9">
        <f t="array" ref="F643">VALUE(_wpsfn.REGEXP(E643,"\d+(\.\d+)?"))</f>
        <v>10</v>
      </c>
    </row>
    <row r="644" ht="31" spans="1:6">
      <c r="A644" s="6" t="s">
        <v>1609</v>
      </c>
      <c r="B644" s="3" t="s">
        <v>1610</v>
      </c>
      <c r="C644" s="4" t="s">
        <v>156</v>
      </c>
      <c r="D644" s="7">
        <v>61.05</v>
      </c>
      <c r="E644" s="8" t="s">
        <v>7576</v>
      </c>
      <c r="F644" s="9">
        <f t="array" ref="F644">VALUE(_wpsfn.REGEXP(E644,"\d+(\.\d+)?"))</f>
        <v>10</v>
      </c>
    </row>
    <row r="645" ht="31" spans="1:6">
      <c r="A645" s="6" t="s">
        <v>1611</v>
      </c>
      <c r="B645" s="3" t="s">
        <v>1612</v>
      </c>
      <c r="C645" s="4" t="s">
        <v>156</v>
      </c>
      <c r="D645" s="7">
        <v>53.95</v>
      </c>
      <c r="E645" s="8" t="s">
        <v>7576</v>
      </c>
      <c r="F645" s="9">
        <f t="array" ref="F645">VALUE(_wpsfn.REGEXP(E645,"\d+(\.\d+)?"))</f>
        <v>10</v>
      </c>
    </row>
    <row r="646" ht="62" spans="1:6">
      <c r="A646" s="6" t="s">
        <v>1613</v>
      </c>
      <c r="B646" s="12" t="s">
        <v>1614</v>
      </c>
      <c r="C646" s="4" t="s">
        <v>156</v>
      </c>
      <c r="D646" s="7">
        <v>100.6</v>
      </c>
      <c r="E646" s="8" t="s">
        <v>7576</v>
      </c>
      <c r="F646" s="9">
        <f t="array" ref="F646">VALUE(_wpsfn.REGEXP(E646,"\d+(\.\d+)?"))</f>
        <v>10</v>
      </c>
    </row>
    <row r="647" ht="15.5" spans="1:6">
      <c r="A647" s="6" t="s">
        <v>1618</v>
      </c>
      <c r="B647" s="3" t="s">
        <v>1619</v>
      </c>
      <c r="C647" s="4" t="s">
        <v>156</v>
      </c>
      <c r="D647" s="7">
        <v>118.2</v>
      </c>
      <c r="E647" s="8" t="s">
        <v>7576</v>
      </c>
      <c r="F647" s="9">
        <f t="array" ref="F647">VALUE(_wpsfn.REGEXP(E647,"\d+(\.\d+)?"))</f>
        <v>10</v>
      </c>
    </row>
    <row r="648" ht="15.5" spans="1:6">
      <c r="A648" s="6" t="s">
        <v>1620</v>
      </c>
      <c r="B648" s="3" t="s">
        <v>1621</v>
      </c>
      <c r="C648" s="4" t="s">
        <v>156</v>
      </c>
      <c r="D648" s="7">
        <v>107.1</v>
      </c>
      <c r="E648" s="8" t="s">
        <v>7576</v>
      </c>
      <c r="F648" s="9">
        <f t="array" ref="F648">VALUE(_wpsfn.REGEXP(E648,"\d+(\.\d+)?"))</f>
        <v>10</v>
      </c>
    </row>
    <row r="649" ht="15.5" spans="1:6">
      <c r="A649" s="6" t="s">
        <v>1622</v>
      </c>
      <c r="B649" s="3" t="s">
        <v>1623</v>
      </c>
      <c r="C649" s="4" t="s">
        <v>156</v>
      </c>
      <c r="D649" s="7">
        <v>80.05</v>
      </c>
      <c r="E649" s="8" t="s">
        <v>7576</v>
      </c>
      <c r="F649" s="9">
        <f t="array" ref="F649">VALUE(_wpsfn.REGEXP(E649,"\d+(\.\d+)?"))</f>
        <v>10</v>
      </c>
    </row>
    <row r="650" ht="15.5" spans="1:6">
      <c r="A650" s="6" t="s">
        <v>1624</v>
      </c>
      <c r="B650" s="3" t="s">
        <v>1518</v>
      </c>
      <c r="C650" s="4" t="s">
        <v>156</v>
      </c>
      <c r="D650" s="7">
        <v>43.75</v>
      </c>
      <c r="E650" s="8" t="s">
        <v>7576</v>
      </c>
      <c r="F650" s="9">
        <f t="array" ref="F650">VALUE(_wpsfn.REGEXP(E650,"\d+(\.\d+)?"))</f>
        <v>10</v>
      </c>
    </row>
    <row r="651" ht="15.5" spans="1:6">
      <c r="A651" s="6" t="s">
        <v>1627</v>
      </c>
      <c r="B651" s="3" t="s">
        <v>1628</v>
      </c>
      <c r="C651" s="4" t="s">
        <v>156</v>
      </c>
      <c r="D651" s="7">
        <v>129.85</v>
      </c>
      <c r="E651" s="8" t="s">
        <v>7576</v>
      </c>
      <c r="F651" s="9">
        <f t="array" ref="F651">VALUE(_wpsfn.REGEXP(E651,"\d+(\.\d+)?"))</f>
        <v>10</v>
      </c>
    </row>
    <row r="652" ht="15.5" spans="1:6">
      <c r="A652" s="6" t="s">
        <v>1629</v>
      </c>
      <c r="B652" s="3" t="s">
        <v>1630</v>
      </c>
      <c r="C652" s="4" t="s">
        <v>156</v>
      </c>
      <c r="D652" s="7">
        <v>106.35</v>
      </c>
      <c r="E652" s="8" t="s">
        <v>7576</v>
      </c>
      <c r="F652" s="9">
        <f t="array" ref="F652">VALUE(_wpsfn.REGEXP(E652,"\d+(\.\d+)?"))</f>
        <v>10</v>
      </c>
    </row>
    <row r="653" ht="15.5" spans="1:6">
      <c r="A653" s="6" t="s">
        <v>1631</v>
      </c>
      <c r="B653" s="3" t="s">
        <v>1632</v>
      </c>
      <c r="C653" s="4" t="s">
        <v>156</v>
      </c>
      <c r="D653" s="7">
        <v>89.3</v>
      </c>
      <c r="E653" s="8" t="s">
        <v>7576</v>
      </c>
      <c r="F653" s="9">
        <f t="array" ref="F653">VALUE(_wpsfn.REGEXP(E653,"\d+(\.\d+)?"))</f>
        <v>10</v>
      </c>
    </row>
    <row r="654" ht="15.5" spans="1:6">
      <c r="A654" s="6" t="s">
        <v>1636</v>
      </c>
      <c r="B654" s="3" t="s">
        <v>1637</v>
      </c>
      <c r="C654" s="4" t="s">
        <v>156</v>
      </c>
      <c r="D654" s="7">
        <v>268.65</v>
      </c>
      <c r="E654" s="8" t="s">
        <v>7576</v>
      </c>
      <c r="F654" s="9">
        <f t="array" ref="F654">VALUE(_wpsfn.REGEXP(E654,"\d+(\.\d+)?"))</f>
        <v>10</v>
      </c>
    </row>
    <row r="655" ht="15.5" spans="1:6">
      <c r="A655" s="6" t="s">
        <v>1638</v>
      </c>
      <c r="B655" s="3" t="s">
        <v>1639</v>
      </c>
      <c r="C655" s="4" t="s">
        <v>156</v>
      </c>
      <c r="D655" s="7">
        <v>185.15</v>
      </c>
      <c r="E655" s="8" t="s">
        <v>7576</v>
      </c>
      <c r="F655" s="9">
        <f t="array" ref="F655">VALUE(_wpsfn.REGEXP(E655,"\d+(\.\d+)?"))</f>
        <v>10</v>
      </c>
    </row>
    <row r="656" ht="15.5" spans="1:6">
      <c r="A656" s="6" t="s">
        <v>1640</v>
      </c>
      <c r="B656" s="3" t="s">
        <v>1641</v>
      </c>
      <c r="C656" s="4" t="s">
        <v>156</v>
      </c>
      <c r="D656" s="7">
        <v>206.4</v>
      </c>
      <c r="E656" s="8" t="s">
        <v>7576</v>
      </c>
      <c r="F656" s="9">
        <f t="array" ref="F656">VALUE(_wpsfn.REGEXP(E656,"\d+(\.\d+)?"))</f>
        <v>10</v>
      </c>
    </row>
    <row r="657" ht="15.5" spans="1:6">
      <c r="A657" s="6" t="s">
        <v>1642</v>
      </c>
      <c r="B657" s="3" t="s">
        <v>1643</v>
      </c>
      <c r="C657" s="4" t="s">
        <v>156</v>
      </c>
      <c r="D657" s="7">
        <v>148.25</v>
      </c>
      <c r="E657" s="8" t="s">
        <v>7576</v>
      </c>
      <c r="F657" s="9">
        <f t="array" ref="F657">VALUE(_wpsfn.REGEXP(E657,"\d+(\.\d+)?"))</f>
        <v>10</v>
      </c>
    </row>
    <row r="658" ht="15.5" spans="1:6">
      <c r="A658" s="6" t="s">
        <v>1644</v>
      </c>
      <c r="B658" s="3" t="s">
        <v>1645</v>
      </c>
      <c r="C658" s="4" t="s">
        <v>156</v>
      </c>
      <c r="D658" s="7">
        <v>173.4</v>
      </c>
      <c r="E658" s="8" t="s">
        <v>7576</v>
      </c>
      <c r="F658" s="9">
        <f t="array" ref="F658">VALUE(_wpsfn.REGEXP(E658,"\d+(\.\d+)?"))</f>
        <v>10</v>
      </c>
    </row>
    <row r="659" ht="15.5" spans="1:6">
      <c r="A659" s="6" t="s">
        <v>1646</v>
      </c>
      <c r="B659" s="3" t="s">
        <v>1647</v>
      </c>
      <c r="C659" s="4" t="s">
        <v>156</v>
      </c>
      <c r="D659" s="7">
        <v>101.85</v>
      </c>
      <c r="E659" s="8" t="s">
        <v>7576</v>
      </c>
      <c r="F659" s="9">
        <f t="array" ref="F659">VALUE(_wpsfn.REGEXP(E659,"\d+(\.\d+)?"))</f>
        <v>10</v>
      </c>
    </row>
    <row r="660" ht="15.5" spans="1:6">
      <c r="A660" s="6" t="s">
        <v>1648</v>
      </c>
      <c r="B660" s="3" t="s">
        <v>1649</v>
      </c>
      <c r="C660" s="4" t="s">
        <v>156</v>
      </c>
      <c r="D660" s="7">
        <v>40.9</v>
      </c>
      <c r="E660" s="8" t="s">
        <v>7576</v>
      </c>
      <c r="F660" s="9">
        <f t="array" ref="F660">VALUE(_wpsfn.REGEXP(E660,"\d+(\.\d+)?"))</f>
        <v>10</v>
      </c>
    </row>
    <row r="661" ht="15.5" spans="1:6">
      <c r="A661" s="6" t="s">
        <v>1652</v>
      </c>
      <c r="B661" s="3" t="s">
        <v>1653</v>
      </c>
      <c r="C661" s="4" t="s">
        <v>156</v>
      </c>
      <c r="D661" s="7">
        <v>463.15</v>
      </c>
      <c r="E661" s="8" t="s">
        <v>7576</v>
      </c>
      <c r="F661" s="9">
        <f t="array" ref="F661">VALUE(_wpsfn.REGEXP(E661,"\d+(\.\d+)?"))</f>
        <v>10</v>
      </c>
    </row>
    <row r="662" ht="15.5" spans="1:6">
      <c r="A662" s="6" t="s">
        <v>1654</v>
      </c>
      <c r="B662" s="3" t="s">
        <v>1655</v>
      </c>
      <c r="C662" s="4" t="s">
        <v>156</v>
      </c>
      <c r="D662" s="7">
        <v>414.6</v>
      </c>
      <c r="E662" s="8" t="s">
        <v>7576</v>
      </c>
      <c r="F662" s="9">
        <f t="array" ref="F662">VALUE(_wpsfn.REGEXP(E662,"\d+(\.\d+)?"))</f>
        <v>10</v>
      </c>
    </row>
    <row r="663" ht="15.5" spans="1:6">
      <c r="A663" s="6" t="s">
        <v>1656</v>
      </c>
      <c r="B663" s="3" t="s">
        <v>1657</v>
      </c>
      <c r="C663" s="4" t="s">
        <v>156</v>
      </c>
      <c r="D663" s="7">
        <v>381.75</v>
      </c>
      <c r="E663" s="8" t="s">
        <v>7576</v>
      </c>
      <c r="F663" s="9">
        <f t="array" ref="F663">VALUE(_wpsfn.REGEXP(E663,"\d+(\.\d+)?"))</f>
        <v>10</v>
      </c>
    </row>
    <row r="664" ht="15.5" spans="1:6">
      <c r="A664" s="6" t="s">
        <v>1658</v>
      </c>
      <c r="B664" s="3" t="s">
        <v>1659</v>
      </c>
      <c r="C664" s="4" t="s">
        <v>156</v>
      </c>
      <c r="D664" s="7">
        <v>339.2</v>
      </c>
      <c r="E664" s="8" t="s">
        <v>7576</v>
      </c>
      <c r="F664" s="9">
        <f t="array" ref="F664">VALUE(_wpsfn.REGEXP(E664,"\d+(\.\d+)?"))</f>
        <v>10</v>
      </c>
    </row>
    <row r="665" ht="15.5" spans="1:6">
      <c r="A665" s="6" t="s">
        <v>1662</v>
      </c>
      <c r="B665" s="3" t="s">
        <v>1577</v>
      </c>
      <c r="C665" s="4" t="s">
        <v>156</v>
      </c>
      <c r="D665" s="7">
        <v>441.6</v>
      </c>
      <c r="E665" s="8" t="s">
        <v>7576</v>
      </c>
      <c r="F665" s="9">
        <f t="array" ref="F665">VALUE(_wpsfn.REGEXP(E665,"\d+(\.\d+)?"))</f>
        <v>10</v>
      </c>
    </row>
    <row r="666" ht="15.5" spans="1:6">
      <c r="A666" s="6" t="s">
        <v>1663</v>
      </c>
      <c r="B666" s="3" t="s">
        <v>1579</v>
      </c>
      <c r="C666" s="4" t="s">
        <v>156</v>
      </c>
      <c r="D666" s="7">
        <v>358.4</v>
      </c>
      <c r="E666" s="8" t="s">
        <v>7576</v>
      </c>
      <c r="F666" s="9">
        <f t="array" ref="F666">VALUE(_wpsfn.REGEXP(E666,"\d+(\.\d+)?"))</f>
        <v>10</v>
      </c>
    </row>
    <row r="667" ht="15.5" spans="1:6">
      <c r="A667" s="6" t="s">
        <v>1664</v>
      </c>
      <c r="B667" s="3" t="s">
        <v>1581</v>
      </c>
      <c r="C667" s="4" t="s">
        <v>156</v>
      </c>
      <c r="D667" s="7">
        <v>287.25</v>
      </c>
      <c r="E667" s="8" t="s">
        <v>7576</v>
      </c>
      <c r="F667" s="9">
        <f t="array" ref="F667">VALUE(_wpsfn.REGEXP(E667,"\d+(\.\d+)?"))</f>
        <v>10</v>
      </c>
    </row>
    <row r="668" ht="15.5" spans="1:6">
      <c r="A668" s="6" t="s">
        <v>1665</v>
      </c>
      <c r="B668" s="3" t="s">
        <v>1583</v>
      </c>
      <c r="C668" s="4" t="s">
        <v>156</v>
      </c>
      <c r="D668" s="7">
        <v>197.5</v>
      </c>
      <c r="E668" s="8" t="s">
        <v>7576</v>
      </c>
      <c r="F668" s="9">
        <f t="array" ref="F668">VALUE(_wpsfn.REGEXP(E668,"\d+(\.\d+)?"))</f>
        <v>10</v>
      </c>
    </row>
    <row r="669" ht="15.5" spans="1:6">
      <c r="A669" s="6" t="s">
        <v>1668</v>
      </c>
      <c r="B669" s="3" t="s">
        <v>1669</v>
      </c>
      <c r="C669" s="4" t="s">
        <v>156</v>
      </c>
      <c r="D669" s="7">
        <v>322.2</v>
      </c>
      <c r="E669" s="8" t="s">
        <v>7576</v>
      </c>
      <c r="F669" s="9">
        <f t="array" ref="F669">VALUE(_wpsfn.REGEXP(E669,"\d+(\.\d+)?"))</f>
        <v>10</v>
      </c>
    </row>
    <row r="670" ht="15.5" spans="1:6">
      <c r="A670" s="6" t="s">
        <v>1670</v>
      </c>
      <c r="B670" s="3" t="s">
        <v>1671</v>
      </c>
      <c r="C670" s="4" t="s">
        <v>156</v>
      </c>
      <c r="D670" s="7">
        <v>308</v>
      </c>
      <c r="E670" s="8" t="s">
        <v>7576</v>
      </c>
      <c r="F670" s="9">
        <f t="array" ref="F670">VALUE(_wpsfn.REGEXP(E670,"\d+(\.\d+)?"))</f>
        <v>10</v>
      </c>
    </row>
    <row r="671" ht="77.5" spans="1:6">
      <c r="A671" s="6" t="s">
        <v>1672</v>
      </c>
      <c r="B671" s="12" t="s">
        <v>1673</v>
      </c>
      <c r="C671" s="4" t="s">
        <v>156</v>
      </c>
      <c r="D671" s="7">
        <v>854.65</v>
      </c>
      <c r="E671" s="8" t="s">
        <v>7544</v>
      </c>
      <c r="F671" s="9">
        <f t="array" ref="F671">VALUE(_wpsfn.REGEXP(E671,"\d+(\.\d+)?"))</f>
        <v>1</v>
      </c>
    </row>
    <row r="672" ht="77.5" spans="1:6">
      <c r="A672" s="6" t="s">
        <v>1674</v>
      </c>
      <c r="B672" s="12" t="s">
        <v>1675</v>
      </c>
      <c r="C672" s="4" t="s">
        <v>156</v>
      </c>
      <c r="D672" s="7">
        <v>726.6</v>
      </c>
      <c r="E672" s="8" t="s">
        <v>7544</v>
      </c>
      <c r="F672" s="9">
        <f t="array" ref="F672">VALUE(_wpsfn.REGEXP(E672,"\d+(\.\d+)?"))</f>
        <v>1</v>
      </c>
    </row>
    <row r="673" ht="46.5" spans="1:6">
      <c r="A673" s="6" t="s">
        <v>1676</v>
      </c>
      <c r="B673" s="12" t="s">
        <v>1677</v>
      </c>
      <c r="C673" s="4" t="s">
        <v>156</v>
      </c>
      <c r="D673" s="7">
        <v>1183.3</v>
      </c>
      <c r="E673" s="8" t="s">
        <v>7544</v>
      </c>
      <c r="F673" s="9">
        <f t="array" ref="F673">VALUE(_wpsfn.REGEXP(E673,"\d+(\.\d+)?"))</f>
        <v>1</v>
      </c>
    </row>
    <row r="674" ht="15.5" spans="1:6">
      <c r="A674" s="6" t="s">
        <v>1680</v>
      </c>
      <c r="B674" s="3" t="s">
        <v>1681</v>
      </c>
      <c r="C674" s="4" t="s">
        <v>156</v>
      </c>
      <c r="D674" s="7">
        <v>311.2</v>
      </c>
      <c r="E674" s="8" t="s">
        <v>7544</v>
      </c>
      <c r="F674" s="9">
        <f t="array" ref="F674">VALUE(_wpsfn.REGEXP(E674,"\d+(\.\d+)?"))</f>
        <v>1</v>
      </c>
    </row>
    <row r="675" ht="15.5" spans="1:6">
      <c r="A675" s="6" t="s">
        <v>1682</v>
      </c>
      <c r="B675" s="3" t="s">
        <v>1683</v>
      </c>
      <c r="C675" s="4" t="s">
        <v>156</v>
      </c>
      <c r="D675" s="7">
        <v>356.75</v>
      </c>
      <c r="E675" s="8" t="s">
        <v>7544</v>
      </c>
      <c r="F675" s="9">
        <f t="array" ref="F675">VALUE(_wpsfn.REGEXP(E675,"\d+(\.\d+)?"))</f>
        <v>1</v>
      </c>
    </row>
    <row r="676" ht="15.5" spans="1:6">
      <c r="A676" s="6" t="s">
        <v>1684</v>
      </c>
      <c r="B676" s="3" t="s">
        <v>1685</v>
      </c>
      <c r="C676" s="4" t="s">
        <v>156</v>
      </c>
      <c r="D676" s="7">
        <v>362.4</v>
      </c>
      <c r="E676" s="8" t="s">
        <v>7544</v>
      </c>
      <c r="F676" s="9">
        <f t="array" ref="F676">VALUE(_wpsfn.REGEXP(E676,"\d+(\.\d+)?"))</f>
        <v>1</v>
      </c>
    </row>
    <row r="677" ht="15.5" spans="1:6">
      <c r="A677" s="6" t="s">
        <v>1686</v>
      </c>
      <c r="B677" s="3" t="s">
        <v>1597</v>
      </c>
      <c r="C677" s="4" t="s">
        <v>156</v>
      </c>
      <c r="D677" s="7">
        <v>386.6</v>
      </c>
      <c r="E677" s="8" t="s">
        <v>7544</v>
      </c>
      <c r="F677" s="9">
        <f t="array" ref="F677">VALUE(_wpsfn.REGEXP(E677,"\d+(\.\d+)?"))</f>
        <v>1</v>
      </c>
    </row>
    <row r="678" ht="46.5" spans="1:6">
      <c r="A678" s="6" t="s">
        <v>1687</v>
      </c>
      <c r="B678" s="12" t="s">
        <v>1688</v>
      </c>
      <c r="C678" s="4" t="s">
        <v>156</v>
      </c>
      <c r="D678" s="7">
        <v>74.25</v>
      </c>
      <c r="E678" s="8" t="s">
        <v>7576</v>
      </c>
      <c r="F678" s="9">
        <f t="array" ref="F678">VALUE(_wpsfn.REGEXP(E678,"\d+(\.\d+)?"))</f>
        <v>10</v>
      </c>
    </row>
    <row r="679" ht="15.5" spans="1:6">
      <c r="A679" s="6" t="s">
        <v>1691</v>
      </c>
      <c r="B679" s="3" t="s">
        <v>1552</v>
      </c>
      <c r="C679" s="4" t="s">
        <v>156</v>
      </c>
      <c r="D679" s="7">
        <v>256.65</v>
      </c>
      <c r="E679" s="8" t="s">
        <v>7576</v>
      </c>
      <c r="F679" s="9">
        <f t="array" ref="F679">VALUE(_wpsfn.REGEXP(E679,"\d+(\.\d+)?"))</f>
        <v>10</v>
      </c>
    </row>
    <row r="680" ht="15.5" spans="1:6">
      <c r="A680" s="6" t="s">
        <v>1692</v>
      </c>
      <c r="B680" s="3" t="s">
        <v>1554</v>
      </c>
      <c r="C680" s="4" t="s">
        <v>156</v>
      </c>
      <c r="D680" s="7">
        <v>234.7</v>
      </c>
      <c r="E680" s="8" t="s">
        <v>7576</v>
      </c>
      <c r="F680" s="9">
        <f t="array" ref="F680">VALUE(_wpsfn.REGEXP(E680,"\d+(\.\d+)?"))</f>
        <v>10</v>
      </c>
    </row>
    <row r="681" ht="15.5" spans="1:6">
      <c r="A681" s="6" t="s">
        <v>1693</v>
      </c>
      <c r="B681" s="3" t="s">
        <v>1597</v>
      </c>
      <c r="C681" s="4" t="s">
        <v>156</v>
      </c>
      <c r="D681" s="7">
        <v>184.95</v>
      </c>
      <c r="E681" s="8" t="s">
        <v>7576</v>
      </c>
      <c r="F681" s="9">
        <f t="array" ref="F681">VALUE(_wpsfn.REGEXP(E681,"\d+(\.\d+)?"))</f>
        <v>10</v>
      </c>
    </row>
    <row r="682" ht="46.5" spans="1:6">
      <c r="A682" s="6" t="s">
        <v>1694</v>
      </c>
      <c r="B682" s="12" t="s">
        <v>1695</v>
      </c>
      <c r="C682" s="4" t="s">
        <v>156</v>
      </c>
      <c r="D682" s="7">
        <v>121.65</v>
      </c>
      <c r="E682" s="8" t="s">
        <v>7576</v>
      </c>
      <c r="F682" s="9">
        <f t="array" ref="F682">VALUE(_wpsfn.REGEXP(E682,"\d+(\.\d+)?"))</f>
        <v>10</v>
      </c>
    </row>
    <row r="683" ht="108.5" spans="1:6">
      <c r="A683" s="6" t="s">
        <v>1696</v>
      </c>
      <c r="B683" s="12" t="s">
        <v>1697</v>
      </c>
      <c r="C683" s="4" t="s">
        <v>156</v>
      </c>
      <c r="D683" s="7">
        <v>1124.85</v>
      </c>
      <c r="E683" s="8" t="s">
        <v>7576</v>
      </c>
      <c r="F683" s="9">
        <f t="array" ref="F683">VALUE(_wpsfn.REGEXP(E683,"\d+(\.\d+)?"))</f>
        <v>10</v>
      </c>
    </row>
    <row r="684" ht="139.5" spans="1:6">
      <c r="A684" s="6" t="s">
        <v>1698</v>
      </c>
      <c r="B684" s="12" t="s">
        <v>1699</v>
      </c>
      <c r="C684" s="4" t="s">
        <v>156</v>
      </c>
      <c r="D684" s="7">
        <v>983.15</v>
      </c>
      <c r="E684" s="8" t="s">
        <v>7576</v>
      </c>
      <c r="F684" s="9">
        <f t="array" ref="F684">VALUE(_wpsfn.REGEXP(E684,"\d+(\.\d+)?"))</f>
        <v>10</v>
      </c>
    </row>
    <row r="685" ht="46.5" spans="1:6">
      <c r="A685" s="6" t="s">
        <v>1700</v>
      </c>
      <c r="B685" s="12" t="s">
        <v>1701</v>
      </c>
      <c r="C685" s="4" t="s">
        <v>156</v>
      </c>
      <c r="D685" s="7">
        <v>89</v>
      </c>
      <c r="E685" s="8" t="s">
        <v>7576</v>
      </c>
      <c r="F685" s="9">
        <f t="array" ref="F685">VALUE(_wpsfn.REGEXP(E685,"\d+(\.\d+)?"))</f>
        <v>10</v>
      </c>
    </row>
    <row r="686" ht="15.5" spans="1:6">
      <c r="A686" s="6" t="s">
        <v>1704</v>
      </c>
      <c r="B686" s="3" t="s">
        <v>1705</v>
      </c>
      <c r="C686" s="4" t="s">
        <v>156</v>
      </c>
      <c r="D686" s="7">
        <v>218.15</v>
      </c>
      <c r="E686" s="8" t="s">
        <v>7576</v>
      </c>
      <c r="F686" s="9">
        <f t="array" ref="F686">VALUE(_wpsfn.REGEXP(E686,"\d+(\.\d+)?"))</f>
        <v>10</v>
      </c>
    </row>
    <row r="687" ht="15.5" spans="1:6">
      <c r="A687" s="6" t="s">
        <v>1706</v>
      </c>
      <c r="B687" s="3" t="s">
        <v>1707</v>
      </c>
      <c r="C687" s="4" t="s">
        <v>156</v>
      </c>
      <c r="D687" s="7">
        <v>175.8</v>
      </c>
      <c r="E687" s="8" t="s">
        <v>7576</v>
      </c>
      <c r="F687" s="9">
        <f t="array" ref="F687">VALUE(_wpsfn.REGEXP(E687,"\d+(\.\d+)?"))</f>
        <v>10</v>
      </c>
    </row>
    <row r="688" ht="15.5" spans="1:6">
      <c r="A688" s="6" t="s">
        <v>1708</v>
      </c>
      <c r="B688" s="3" t="s">
        <v>1709</v>
      </c>
      <c r="C688" s="4" t="s">
        <v>156</v>
      </c>
      <c r="D688" s="7">
        <v>167.25</v>
      </c>
      <c r="E688" s="8" t="s">
        <v>7576</v>
      </c>
      <c r="F688" s="9">
        <f t="array" ref="F688">VALUE(_wpsfn.REGEXP(E688,"\d+(\.\d+)?"))</f>
        <v>10</v>
      </c>
    </row>
    <row r="689" ht="15.5" spans="1:6">
      <c r="A689" s="6" t="s">
        <v>1712</v>
      </c>
      <c r="B689" s="3" t="s">
        <v>1550</v>
      </c>
      <c r="C689" s="4" t="s">
        <v>156</v>
      </c>
      <c r="D689" s="7">
        <v>139.1</v>
      </c>
      <c r="E689" s="8" t="s">
        <v>7576</v>
      </c>
      <c r="F689" s="9">
        <f t="array" ref="F689">VALUE(_wpsfn.REGEXP(E689,"\d+(\.\d+)?"))</f>
        <v>10</v>
      </c>
    </row>
    <row r="690" ht="15.5" spans="1:6">
      <c r="A690" s="6" t="s">
        <v>1713</v>
      </c>
      <c r="B690" s="3" t="s">
        <v>1602</v>
      </c>
      <c r="C690" s="4" t="s">
        <v>156</v>
      </c>
      <c r="D690" s="7">
        <v>126</v>
      </c>
      <c r="E690" s="8" t="s">
        <v>7576</v>
      </c>
      <c r="F690" s="9">
        <f t="array" ref="F690">VALUE(_wpsfn.REGEXP(E690,"\d+(\.\d+)?"))</f>
        <v>10</v>
      </c>
    </row>
    <row r="691" ht="15.5" spans="1:6">
      <c r="A691" s="6" t="s">
        <v>1714</v>
      </c>
      <c r="B691" s="3" t="s">
        <v>1604</v>
      </c>
      <c r="C691" s="4" t="s">
        <v>156</v>
      </c>
      <c r="D691" s="7">
        <v>111.05</v>
      </c>
      <c r="E691" s="8" t="s">
        <v>7576</v>
      </c>
      <c r="F691" s="9">
        <f t="array" ref="F691">VALUE(_wpsfn.REGEXP(E691,"\d+(\.\d+)?"))</f>
        <v>10</v>
      </c>
    </row>
    <row r="692" ht="77.5" spans="1:6">
      <c r="A692" s="6" t="s">
        <v>1716</v>
      </c>
      <c r="B692" s="12" t="s">
        <v>1717</v>
      </c>
      <c r="C692" s="4" t="s">
        <v>156</v>
      </c>
      <c r="D692" s="7">
        <v>998.35</v>
      </c>
      <c r="E692" s="8" t="s">
        <v>7544</v>
      </c>
      <c r="F692" s="9">
        <f t="array" ref="F692">VALUE(_wpsfn.REGEXP(E692,"\d+(\.\d+)?"))</f>
        <v>1</v>
      </c>
    </row>
    <row r="693" ht="62" spans="1:6">
      <c r="A693" s="6" t="s">
        <v>1718</v>
      </c>
      <c r="B693" s="12" t="s">
        <v>1719</v>
      </c>
      <c r="C693" s="4" t="s">
        <v>156</v>
      </c>
      <c r="D693" s="7">
        <v>952.8</v>
      </c>
      <c r="E693" s="8" t="s">
        <v>7544</v>
      </c>
      <c r="F693" s="9">
        <f t="array" ref="F693">VALUE(_wpsfn.REGEXP(E693,"\d+(\.\d+)?"))</f>
        <v>1</v>
      </c>
    </row>
    <row r="694" ht="15.5" spans="1:6">
      <c r="A694" s="6" t="s">
        <v>1722</v>
      </c>
      <c r="B694" s="3" t="s">
        <v>1723</v>
      </c>
      <c r="C694" s="4" t="s">
        <v>156</v>
      </c>
      <c r="D694" s="7">
        <v>319.75</v>
      </c>
      <c r="E694" s="8" t="s">
        <v>7544</v>
      </c>
      <c r="F694" s="9">
        <f t="array" ref="F694">VALUE(_wpsfn.REGEXP(E694,"\d+(\.\d+)?"))</f>
        <v>1</v>
      </c>
    </row>
    <row r="695" ht="15.5" spans="1:6">
      <c r="A695" s="6" t="s">
        <v>1724</v>
      </c>
      <c r="B695" s="3" t="s">
        <v>1725</v>
      </c>
      <c r="C695" s="4" t="s">
        <v>156</v>
      </c>
      <c r="D695" s="7">
        <v>333.95</v>
      </c>
      <c r="E695" s="8" t="s">
        <v>7544</v>
      </c>
      <c r="F695" s="9">
        <f t="array" ref="F695">VALUE(_wpsfn.REGEXP(E695,"\d+(\.\d+)?"))</f>
        <v>1</v>
      </c>
    </row>
    <row r="696" ht="15.5" spans="1:6">
      <c r="A696" s="6" t="s">
        <v>1726</v>
      </c>
      <c r="B696" s="3" t="s">
        <v>1727</v>
      </c>
      <c r="C696" s="4" t="s">
        <v>156</v>
      </c>
      <c r="D696" s="7">
        <v>372.4</v>
      </c>
      <c r="E696" s="8" t="s">
        <v>7544</v>
      </c>
      <c r="F696" s="9">
        <f t="array" ref="F696">VALUE(_wpsfn.REGEXP(E696,"\d+(\.\d+)?"))</f>
        <v>1</v>
      </c>
    </row>
    <row r="697" ht="15.5" spans="1:6">
      <c r="A697" s="6" t="s">
        <v>1728</v>
      </c>
      <c r="B697" s="3" t="s">
        <v>1729</v>
      </c>
      <c r="C697" s="4" t="s">
        <v>156</v>
      </c>
      <c r="D697" s="7">
        <v>409.35</v>
      </c>
      <c r="E697" s="8" t="s">
        <v>7544</v>
      </c>
      <c r="F697" s="9">
        <f t="array" ref="F697">VALUE(_wpsfn.REGEXP(E697,"\d+(\.\d+)?"))</f>
        <v>1</v>
      </c>
    </row>
    <row r="698" ht="46.5" spans="1:6">
      <c r="A698" s="6" t="s">
        <v>1730</v>
      </c>
      <c r="B698" s="12" t="s">
        <v>1731</v>
      </c>
      <c r="C698" s="4" t="s">
        <v>156</v>
      </c>
      <c r="D698" s="7">
        <v>151.05</v>
      </c>
      <c r="E698" s="8" t="s">
        <v>7576</v>
      </c>
      <c r="F698" s="9">
        <f t="array" ref="F698">VALUE(_wpsfn.REGEXP(E698,"\d+(\.\d+)?"))</f>
        <v>10</v>
      </c>
    </row>
    <row r="699" ht="15.5" spans="1:6">
      <c r="A699" s="6" t="s">
        <v>1734</v>
      </c>
      <c r="B699" s="3" t="s">
        <v>1552</v>
      </c>
      <c r="C699" s="4" t="s">
        <v>156</v>
      </c>
      <c r="D699" s="7">
        <v>231.05</v>
      </c>
      <c r="E699" s="8" t="s">
        <v>7576</v>
      </c>
      <c r="F699" s="9">
        <f t="array" ref="F699">VALUE(_wpsfn.REGEXP(E699,"\d+(\.\d+)?"))</f>
        <v>10</v>
      </c>
    </row>
    <row r="700" ht="15.5" spans="1:6">
      <c r="A700" s="6" t="s">
        <v>1735</v>
      </c>
      <c r="B700" s="3" t="s">
        <v>1554</v>
      </c>
      <c r="C700" s="4" t="s">
        <v>156</v>
      </c>
      <c r="D700" s="7">
        <v>206.25</v>
      </c>
      <c r="E700" s="8" t="s">
        <v>7576</v>
      </c>
      <c r="F700" s="9">
        <f t="array" ref="F700">VALUE(_wpsfn.REGEXP(E700,"\d+(\.\d+)?"))</f>
        <v>10</v>
      </c>
    </row>
    <row r="701" ht="15.5" spans="1:6">
      <c r="A701" s="6" t="s">
        <v>1736</v>
      </c>
      <c r="B701" s="3" t="s">
        <v>1597</v>
      </c>
      <c r="C701" s="4" t="s">
        <v>156</v>
      </c>
      <c r="D701" s="7">
        <v>176.4</v>
      </c>
      <c r="E701" s="8" t="s">
        <v>7576</v>
      </c>
      <c r="F701" s="9">
        <f t="array" ref="F701">VALUE(_wpsfn.REGEXP(E701,"\d+(\.\d+)?"))</f>
        <v>10</v>
      </c>
    </row>
    <row r="702" ht="46.5" spans="1:6">
      <c r="A702" s="6" t="s">
        <v>1737</v>
      </c>
      <c r="B702" s="12" t="s">
        <v>1738</v>
      </c>
      <c r="C702" s="4" t="s">
        <v>156</v>
      </c>
      <c r="D702" s="7">
        <v>155.45</v>
      </c>
      <c r="E702" s="8" t="s">
        <v>7576</v>
      </c>
      <c r="F702" s="9">
        <f t="array" ref="F702">VALUE(_wpsfn.REGEXP(E702,"\d+(\.\d+)?"))</f>
        <v>10</v>
      </c>
    </row>
    <row r="703" ht="15.5" spans="1:6">
      <c r="A703" s="6" t="s">
        <v>1741</v>
      </c>
      <c r="B703" s="3" t="s">
        <v>1705</v>
      </c>
      <c r="C703" s="4" t="s">
        <v>156</v>
      </c>
      <c r="D703" s="7">
        <v>215.2</v>
      </c>
      <c r="E703" s="8" t="s">
        <v>7576</v>
      </c>
      <c r="F703" s="9">
        <f t="array" ref="F703">VALUE(_wpsfn.REGEXP(E703,"\d+(\.\d+)?"))</f>
        <v>10</v>
      </c>
    </row>
    <row r="704" ht="15.5" spans="1:6">
      <c r="A704" s="6" t="s">
        <v>1742</v>
      </c>
      <c r="B704" s="3" t="s">
        <v>1707</v>
      </c>
      <c r="C704" s="4" t="s">
        <v>156</v>
      </c>
      <c r="D704" s="7">
        <v>191</v>
      </c>
      <c r="E704" s="8" t="s">
        <v>7576</v>
      </c>
      <c r="F704" s="9">
        <f t="array" ref="F704">VALUE(_wpsfn.REGEXP(E704,"\d+(\.\d+)?"))</f>
        <v>10</v>
      </c>
    </row>
    <row r="705" ht="15.5" spans="1:6">
      <c r="A705" s="6" t="s">
        <v>1743</v>
      </c>
      <c r="B705" s="3" t="s">
        <v>1709</v>
      </c>
      <c r="C705" s="4" t="s">
        <v>156</v>
      </c>
      <c r="D705" s="7">
        <v>166.8</v>
      </c>
      <c r="E705" s="8" t="s">
        <v>7576</v>
      </c>
      <c r="F705" s="9">
        <f t="array" ref="F705">VALUE(_wpsfn.REGEXP(E705,"\d+(\.\d+)?"))</f>
        <v>10</v>
      </c>
    </row>
    <row r="706" ht="15.5" spans="1:6">
      <c r="A706" s="6" t="s">
        <v>1747</v>
      </c>
      <c r="B706" s="3" t="s">
        <v>1748</v>
      </c>
      <c r="C706" s="4" t="s">
        <v>156</v>
      </c>
      <c r="D706" s="7">
        <v>150.1</v>
      </c>
      <c r="E706" s="8" t="s">
        <v>7576</v>
      </c>
      <c r="F706" s="9">
        <f t="array" ref="F706">VALUE(_wpsfn.REGEXP(E706,"\d+(\.\d+)?"))</f>
        <v>10</v>
      </c>
    </row>
    <row r="707" ht="15.5" spans="1:6">
      <c r="A707" s="6" t="s">
        <v>1749</v>
      </c>
      <c r="B707" s="3" t="s">
        <v>1750</v>
      </c>
      <c r="C707" s="4" t="s">
        <v>156</v>
      </c>
      <c r="D707" s="7">
        <v>126.65</v>
      </c>
      <c r="E707" s="8" t="s">
        <v>7576</v>
      </c>
      <c r="F707" s="9">
        <f t="array" ref="F707">VALUE(_wpsfn.REGEXP(E707,"\d+(\.\d+)?"))</f>
        <v>10</v>
      </c>
    </row>
    <row r="708" ht="15.5" spans="1:6">
      <c r="A708" s="6" t="s">
        <v>1751</v>
      </c>
      <c r="B708" s="3" t="s">
        <v>1752</v>
      </c>
      <c r="C708" s="4" t="s">
        <v>156</v>
      </c>
      <c r="D708" s="7">
        <v>115.4</v>
      </c>
      <c r="E708" s="8" t="s">
        <v>7576</v>
      </c>
      <c r="F708" s="9">
        <f t="array" ref="F708">VALUE(_wpsfn.REGEXP(E708,"\d+(\.\d+)?"))</f>
        <v>10</v>
      </c>
    </row>
    <row r="709" ht="15.5" spans="1:6">
      <c r="A709" s="6" t="s">
        <v>1753</v>
      </c>
      <c r="B709" s="3" t="s">
        <v>1754</v>
      </c>
      <c r="C709" s="4" t="s">
        <v>156</v>
      </c>
      <c r="D709" s="7">
        <v>104.75</v>
      </c>
      <c r="E709" s="8" t="s">
        <v>7576</v>
      </c>
      <c r="F709" s="9">
        <f t="array" ref="F709">VALUE(_wpsfn.REGEXP(E709,"\d+(\.\d+)?"))</f>
        <v>10</v>
      </c>
    </row>
    <row r="710" ht="15.5" spans="1:6">
      <c r="A710" s="6" t="s">
        <v>1755</v>
      </c>
      <c r="B710" s="3" t="s">
        <v>1756</v>
      </c>
      <c r="C710" s="4" t="s">
        <v>156</v>
      </c>
      <c r="D710" s="7">
        <v>96.9</v>
      </c>
      <c r="E710" s="8" t="s">
        <v>7576</v>
      </c>
      <c r="F710" s="9">
        <f t="array" ref="F710">VALUE(_wpsfn.REGEXP(E710,"\d+(\.\d+)?"))</f>
        <v>10</v>
      </c>
    </row>
    <row r="711" ht="15.5" spans="1:6">
      <c r="A711" s="6" t="s">
        <v>1757</v>
      </c>
      <c r="B711" s="3" t="s">
        <v>1758</v>
      </c>
      <c r="C711" s="4" t="s">
        <v>156</v>
      </c>
      <c r="D711" s="7">
        <v>87.9</v>
      </c>
      <c r="E711" s="8" t="s">
        <v>7576</v>
      </c>
      <c r="F711" s="9">
        <f t="array" ref="F711">VALUE(_wpsfn.REGEXP(E711,"\d+(\.\d+)?"))</f>
        <v>10</v>
      </c>
    </row>
    <row r="712" ht="15.5" spans="1:6">
      <c r="A712" s="6" t="s">
        <v>1759</v>
      </c>
      <c r="B712" s="3" t="s">
        <v>1760</v>
      </c>
      <c r="C712" s="4" t="s">
        <v>156</v>
      </c>
      <c r="D712" s="7">
        <v>81.5</v>
      </c>
      <c r="E712" s="8" t="s">
        <v>7576</v>
      </c>
      <c r="F712" s="9">
        <f t="array" ref="F712">VALUE(_wpsfn.REGEXP(E712,"\d+(\.\d+)?"))</f>
        <v>10</v>
      </c>
    </row>
    <row r="713" ht="15.5" spans="1:6">
      <c r="A713" s="6" t="s">
        <v>1761</v>
      </c>
      <c r="B713" s="3" t="s">
        <v>1762</v>
      </c>
      <c r="C713" s="4" t="s">
        <v>156</v>
      </c>
      <c r="D713" s="7">
        <v>76.5</v>
      </c>
      <c r="E713" s="8" t="s">
        <v>7576</v>
      </c>
      <c r="F713" s="9">
        <f t="array" ref="F713">VALUE(_wpsfn.REGEXP(E713,"\d+(\.\d+)?"))</f>
        <v>10</v>
      </c>
    </row>
    <row r="714" ht="15.5" spans="1:6">
      <c r="A714" s="6" t="s">
        <v>1766</v>
      </c>
      <c r="B714" s="3" t="s">
        <v>1571</v>
      </c>
      <c r="C714" s="4" t="s">
        <v>156</v>
      </c>
      <c r="D714" s="7">
        <v>303.25</v>
      </c>
      <c r="E714" s="8" t="s">
        <v>7576</v>
      </c>
      <c r="F714" s="9">
        <f t="array" ref="F714">VALUE(_wpsfn.REGEXP(E714,"\d+(\.\d+)?"))</f>
        <v>10</v>
      </c>
    </row>
    <row r="715" ht="15.5" spans="1:6">
      <c r="A715" s="6" t="s">
        <v>1767</v>
      </c>
      <c r="B715" s="3" t="s">
        <v>1573</v>
      </c>
      <c r="C715" s="4" t="s">
        <v>156</v>
      </c>
      <c r="D715" s="7">
        <v>260.6</v>
      </c>
      <c r="E715" s="8" t="s">
        <v>7576</v>
      </c>
      <c r="F715" s="9">
        <f t="array" ref="F715">VALUE(_wpsfn.REGEXP(E715,"\d+(\.\d+)?"))</f>
        <v>10</v>
      </c>
    </row>
    <row r="716" ht="15.5" spans="1:6">
      <c r="A716" s="6" t="s">
        <v>1770</v>
      </c>
      <c r="B716" s="3" t="s">
        <v>1771</v>
      </c>
      <c r="C716" s="4" t="s">
        <v>156</v>
      </c>
      <c r="D716" s="7">
        <v>130.1</v>
      </c>
      <c r="E716" s="8" t="s">
        <v>7576</v>
      </c>
      <c r="F716" s="9">
        <f t="array" ref="F716">VALUE(_wpsfn.REGEXP(E716,"\d+(\.\d+)?"))</f>
        <v>10</v>
      </c>
    </row>
    <row r="717" ht="15.5" spans="1:6">
      <c r="A717" s="6" t="s">
        <v>1772</v>
      </c>
      <c r="B717" s="3" t="s">
        <v>1577</v>
      </c>
      <c r="C717" s="4" t="s">
        <v>156</v>
      </c>
      <c r="D717" s="7">
        <v>115.15</v>
      </c>
      <c r="E717" s="8" t="s">
        <v>7576</v>
      </c>
      <c r="F717" s="9">
        <f t="array" ref="F717">VALUE(_wpsfn.REGEXP(E717,"\d+(\.\d+)?"))</f>
        <v>10</v>
      </c>
    </row>
    <row r="718" ht="15.5" spans="1:6">
      <c r="A718" s="6" t="s">
        <v>1773</v>
      </c>
      <c r="B718" s="3" t="s">
        <v>1579</v>
      </c>
      <c r="C718" s="4" t="s">
        <v>156</v>
      </c>
      <c r="D718" s="7">
        <v>99.7</v>
      </c>
      <c r="E718" s="8" t="s">
        <v>7576</v>
      </c>
      <c r="F718" s="9">
        <f t="array" ref="F718">VALUE(_wpsfn.REGEXP(E718,"\d+(\.\d+)?"))</f>
        <v>10</v>
      </c>
    </row>
    <row r="719" ht="15.5" spans="1:6">
      <c r="A719" s="6" t="s">
        <v>1774</v>
      </c>
      <c r="B719" s="3" t="s">
        <v>1581</v>
      </c>
      <c r="C719" s="4" t="s">
        <v>156</v>
      </c>
      <c r="D719" s="7">
        <v>82.55</v>
      </c>
      <c r="E719" s="8" t="s">
        <v>7576</v>
      </c>
      <c r="F719" s="9">
        <f t="array" ref="F719">VALUE(_wpsfn.REGEXP(E719,"\d+(\.\d+)?"))</f>
        <v>10</v>
      </c>
    </row>
    <row r="720" ht="15.5" spans="1:6">
      <c r="A720" s="6" t="s">
        <v>1775</v>
      </c>
      <c r="B720" s="3" t="s">
        <v>1583</v>
      </c>
      <c r="C720" s="4" t="s">
        <v>156</v>
      </c>
      <c r="D720" s="7">
        <v>64.7</v>
      </c>
      <c r="E720" s="8" t="s">
        <v>7576</v>
      </c>
      <c r="F720" s="9">
        <f t="array" ref="F720">VALUE(_wpsfn.REGEXP(E720,"\d+(\.\d+)?"))</f>
        <v>10</v>
      </c>
    </row>
    <row r="721" ht="93" spans="1:6">
      <c r="A721" s="6" t="s">
        <v>1776</v>
      </c>
      <c r="B721" s="12" t="s">
        <v>1777</v>
      </c>
      <c r="C721" s="4" t="s">
        <v>156</v>
      </c>
      <c r="D721" s="7">
        <v>100.8</v>
      </c>
      <c r="E721" s="8" t="s">
        <v>7576</v>
      </c>
      <c r="F721" s="9">
        <f t="array" ref="F721">VALUE(_wpsfn.REGEXP(E721,"\d+(\.\d+)?"))</f>
        <v>10</v>
      </c>
    </row>
    <row r="722" ht="108.5" spans="1:6">
      <c r="A722" s="6" t="s">
        <v>1778</v>
      </c>
      <c r="B722" s="12" t="s">
        <v>1779</v>
      </c>
      <c r="C722" s="4" t="s">
        <v>156</v>
      </c>
      <c r="D722" s="7">
        <v>239.4</v>
      </c>
      <c r="E722" s="8" t="s">
        <v>7576</v>
      </c>
      <c r="F722" s="9">
        <f t="array" ref="F722">VALUE(_wpsfn.REGEXP(E722,"\d+(\.\d+)?"))</f>
        <v>10</v>
      </c>
    </row>
    <row r="723" ht="15.5" spans="1:6">
      <c r="A723" s="6" t="s">
        <v>1782</v>
      </c>
      <c r="B723" s="3" t="s">
        <v>1552</v>
      </c>
      <c r="C723" s="4" t="s">
        <v>156</v>
      </c>
      <c r="D723" s="7">
        <v>66.25</v>
      </c>
      <c r="E723" s="8" t="s">
        <v>7576</v>
      </c>
      <c r="F723" s="9">
        <f t="array" ref="F723">VALUE(_wpsfn.REGEXP(E723,"\d+(\.\d+)?"))</f>
        <v>10</v>
      </c>
    </row>
    <row r="724" ht="15.5" spans="1:6">
      <c r="A724" s="6" t="s">
        <v>1783</v>
      </c>
      <c r="B724" s="3" t="s">
        <v>1554</v>
      </c>
      <c r="C724" s="4" t="s">
        <v>156</v>
      </c>
      <c r="D724" s="7">
        <v>59.55</v>
      </c>
      <c r="E724" s="8" t="s">
        <v>7576</v>
      </c>
      <c r="F724" s="9">
        <f t="array" ref="F724">VALUE(_wpsfn.REGEXP(E724,"\d+(\.\d+)?"))</f>
        <v>10</v>
      </c>
    </row>
    <row r="725" ht="15.5" spans="1:6">
      <c r="A725" s="6" t="s">
        <v>1784</v>
      </c>
      <c r="B725" s="3" t="s">
        <v>1597</v>
      </c>
      <c r="C725" s="4" t="s">
        <v>156</v>
      </c>
      <c r="D725" s="7">
        <v>51.75</v>
      </c>
      <c r="E725" s="8" t="s">
        <v>7576</v>
      </c>
      <c r="F725" s="9">
        <f t="array" ref="F725">VALUE(_wpsfn.REGEXP(E725,"\d+(\.\d+)?"))</f>
        <v>10</v>
      </c>
    </row>
    <row r="726" ht="15.5" spans="1:6">
      <c r="A726" s="6" t="s">
        <v>1787</v>
      </c>
      <c r="B726" s="3" t="s">
        <v>1788</v>
      </c>
      <c r="C726" s="4" t="s">
        <v>156</v>
      </c>
      <c r="D726" s="7">
        <v>39.6</v>
      </c>
      <c r="E726" s="8" t="s">
        <v>7576</v>
      </c>
      <c r="F726" s="9">
        <f t="array" ref="F726">VALUE(_wpsfn.REGEXP(E726,"\d+(\.\d+)?"))</f>
        <v>10</v>
      </c>
    </row>
    <row r="727" ht="15.5" spans="1:6">
      <c r="A727" s="6" t="s">
        <v>1789</v>
      </c>
      <c r="B727" s="3" t="s">
        <v>1790</v>
      </c>
      <c r="C727" s="4" t="s">
        <v>156</v>
      </c>
      <c r="D727" s="7">
        <v>72.35</v>
      </c>
      <c r="E727" s="8" t="s">
        <v>7576</v>
      </c>
      <c r="F727" s="9">
        <f t="array" ref="F727">VALUE(_wpsfn.REGEXP(E727,"\d+(\.\d+)?"))</f>
        <v>10</v>
      </c>
    </row>
    <row r="728" ht="93" spans="1:6">
      <c r="A728" s="6" t="s">
        <v>1791</v>
      </c>
      <c r="B728" s="12" t="s">
        <v>1792</v>
      </c>
      <c r="C728" s="4" t="s">
        <v>156</v>
      </c>
      <c r="D728" s="7">
        <v>71.5</v>
      </c>
      <c r="E728" s="8" t="s">
        <v>7576</v>
      </c>
      <c r="F728" s="9">
        <f t="array" ref="F728">VALUE(_wpsfn.REGEXP(E728,"\d+(\.\d+)?"))</f>
        <v>10</v>
      </c>
    </row>
    <row r="729" ht="108.5" spans="1:6">
      <c r="A729" s="6" t="s">
        <v>1793</v>
      </c>
      <c r="B729" s="12" t="s">
        <v>1794</v>
      </c>
      <c r="C729" s="4" t="s">
        <v>156</v>
      </c>
      <c r="D729" s="7">
        <v>868.95</v>
      </c>
      <c r="E729" s="8" t="s">
        <v>7600</v>
      </c>
      <c r="F729" s="9">
        <f t="array" ref="F729">VALUE(_wpsfn.REGEXP(E729,"\d+(\.\d+)?"))</f>
        <v>1</v>
      </c>
    </row>
    <row r="730" ht="46.5" spans="1:6">
      <c r="A730" s="6" t="s">
        <v>1795</v>
      </c>
      <c r="B730" s="12" t="s">
        <v>1796</v>
      </c>
      <c r="C730" s="4" t="s">
        <v>49</v>
      </c>
      <c r="D730" s="7">
        <v>160.35</v>
      </c>
      <c r="E730" s="8" t="s">
        <v>7596</v>
      </c>
      <c r="F730" s="9">
        <f t="array" ref="F730">VALUE(_wpsfn.REGEXP(E730,"\d+(\.\d+)?"))</f>
        <v>2</v>
      </c>
    </row>
    <row r="731" ht="77.5" spans="1:6">
      <c r="A731" s="6" t="s">
        <v>1800</v>
      </c>
      <c r="B731" s="3" t="s">
        <v>1801</v>
      </c>
      <c r="C731" s="4" t="s">
        <v>12</v>
      </c>
      <c r="D731" s="7">
        <v>2131.1</v>
      </c>
      <c r="E731" s="8" t="s">
        <v>7601</v>
      </c>
      <c r="F731" s="9">
        <f t="array" ref="F731">VALUE(_wpsfn.REGEXP(E731,"\d+(\.\d+)?"))</f>
        <v>21.9</v>
      </c>
    </row>
    <row r="732" ht="77.5" spans="1:6">
      <c r="A732" s="6" t="s">
        <v>1802</v>
      </c>
      <c r="B732" s="3" t="s">
        <v>1803</v>
      </c>
      <c r="C732" s="4" t="s">
        <v>12</v>
      </c>
      <c r="D732" s="7">
        <v>1818.15</v>
      </c>
      <c r="E732" s="8" t="s">
        <v>7601</v>
      </c>
      <c r="F732" s="9">
        <f t="array" ref="F732">VALUE(_wpsfn.REGEXP(E732,"\d+(\.\d+)?"))</f>
        <v>21.9</v>
      </c>
    </row>
    <row r="733" ht="124" spans="1:6">
      <c r="A733" s="6" t="s">
        <v>1804</v>
      </c>
      <c r="B733" s="3" t="s">
        <v>1805</v>
      </c>
      <c r="C733" s="4" t="s">
        <v>12</v>
      </c>
      <c r="D733" s="7">
        <v>2225</v>
      </c>
      <c r="E733" s="8" t="s">
        <v>7601</v>
      </c>
      <c r="F733" s="9">
        <f t="array" ref="F733">VALUE(_wpsfn.REGEXP(E733,"\d+(\.\d+)?"))</f>
        <v>21.9</v>
      </c>
    </row>
    <row r="734" ht="108.5" spans="1:6">
      <c r="A734" s="6" t="s">
        <v>1806</v>
      </c>
      <c r="B734" s="3" t="s">
        <v>1807</v>
      </c>
      <c r="C734" s="4" t="s">
        <v>12</v>
      </c>
      <c r="D734" s="7">
        <v>2062.85</v>
      </c>
      <c r="E734" s="8" t="s">
        <v>7601</v>
      </c>
      <c r="F734" s="9">
        <f t="array" ref="F734">VALUE(_wpsfn.REGEXP(E734,"\d+(\.\d+)?"))</f>
        <v>21.9</v>
      </c>
    </row>
    <row r="735" ht="77.5" spans="1:6">
      <c r="A735" s="6" t="s">
        <v>1808</v>
      </c>
      <c r="B735" s="3" t="s">
        <v>1809</v>
      </c>
      <c r="C735" s="4" t="s">
        <v>12</v>
      </c>
      <c r="D735" s="7">
        <v>2034.4</v>
      </c>
      <c r="E735" s="8" t="s">
        <v>7601</v>
      </c>
      <c r="F735" s="9">
        <f t="array" ref="F735">VALUE(_wpsfn.REGEXP(E735,"\d+(\.\d+)?"))</f>
        <v>21.9</v>
      </c>
    </row>
    <row r="736" ht="31" spans="1:6">
      <c r="A736" s="6" t="s">
        <v>1812</v>
      </c>
      <c r="B736" s="3" t="s">
        <v>1813</v>
      </c>
      <c r="C736" s="4" t="s">
        <v>156</v>
      </c>
      <c r="D736" s="7">
        <v>42.95</v>
      </c>
      <c r="E736" s="8" t="s">
        <v>7576</v>
      </c>
      <c r="F736" s="9">
        <f t="array" ref="F736">VALUE(_wpsfn.REGEXP(E736,"\d+(\.\d+)?"))</f>
        <v>10</v>
      </c>
    </row>
    <row r="737" ht="31" spans="1:6">
      <c r="A737" s="6" t="s">
        <v>1814</v>
      </c>
      <c r="B737" s="3" t="s">
        <v>1815</v>
      </c>
      <c r="C737" s="4" t="s">
        <v>156</v>
      </c>
      <c r="D737" s="7">
        <v>41.55</v>
      </c>
      <c r="E737" s="8" t="s">
        <v>7576</v>
      </c>
      <c r="F737" s="9">
        <f t="array" ref="F737">VALUE(_wpsfn.REGEXP(E737,"\d+(\.\d+)?"))</f>
        <v>10</v>
      </c>
    </row>
    <row r="738" ht="46.5" spans="1:6">
      <c r="A738" s="6" t="s">
        <v>1818</v>
      </c>
      <c r="B738" s="3" t="s">
        <v>1819</v>
      </c>
      <c r="C738" s="4" t="s">
        <v>156</v>
      </c>
      <c r="D738" s="7">
        <v>75.9</v>
      </c>
      <c r="E738" s="8" t="s">
        <v>7576</v>
      </c>
      <c r="F738" s="9">
        <f t="array" ref="F738">VALUE(_wpsfn.REGEXP(E738,"\d+(\.\d+)?"))</f>
        <v>10</v>
      </c>
    </row>
    <row r="739" ht="46.5" spans="1:6">
      <c r="A739" s="6" t="s">
        <v>1820</v>
      </c>
      <c r="B739" s="3" t="s">
        <v>1821</v>
      </c>
      <c r="C739" s="4" t="s">
        <v>156</v>
      </c>
      <c r="D739" s="7">
        <v>89.1</v>
      </c>
      <c r="E739" s="8" t="s">
        <v>7576</v>
      </c>
      <c r="F739" s="9">
        <f t="array" ref="F739">VALUE(_wpsfn.REGEXP(E739,"\d+(\.\d+)?"))</f>
        <v>10</v>
      </c>
    </row>
    <row r="740" ht="31" spans="1:6">
      <c r="A740" s="6" t="s">
        <v>1824</v>
      </c>
      <c r="B740" s="3" t="s">
        <v>1825</v>
      </c>
      <c r="C740" s="4" t="s">
        <v>156</v>
      </c>
      <c r="D740" s="7">
        <v>69.75</v>
      </c>
      <c r="E740" s="8" t="s">
        <v>7576</v>
      </c>
      <c r="F740" s="9">
        <f t="array" ref="F740">VALUE(_wpsfn.REGEXP(E740,"\d+(\.\d+)?"))</f>
        <v>10</v>
      </c>
    </row>
    <row r="741" ht="31" spans="1:6">
      <c r="A741" s="6" t="s">
        <v>1826</v>
      </c>
      <c r="B741" s="3" t="s">
        <v>1827</v>
      </c>
      <c r="C741" s="4" t="s">
        <v>156</v>
      </c>
      <c r="D741" s="7">
        <v>106.15</v>
      </c>
      <c r="E741" s="8" t="s">
        <v>7576</v>
      </c>
      <c r="F741" s="9">
        <f t="array" ref="F741">VALUE(_wpsfn.REGEXP(E741,"\d+(\.\d+)?"))</f>
        <v>10</v>
      </c>
    </row>
    <row r="742" ht="62" spans="1:6">
      <c r="A742" s="6" t="s">
        <v>1828</v>
      </c>
      <c r="B742" s="12" t="s">
        <v>1829</v>
      </c>
      <c r="C742" s="4" t="s">
        <v>156</v>
      </c>
      <c r="D742" s="7">
        <v>40.05</v>
      </c>
      <c r="E742" s="8" t="s">
        <v>7576</v>
      </c>
      <c r="F742" s="9">
        <f t="array" ref="F742">VALUE(_wpsfn.REGEXP(E742,"\d+(\.\d+)?"))</f>
        <v>10</v>
      </c>
    </row>
    <row r="743" ht="139.5" spans="1:6">
      <c r="A743" s="6" t="s">
        <v>1830</v>
      </c>
      <c r="B743" s="12" t="s">
        <v>1831</v>
      </c>
      <c r="C743" s="4" t="s">
        <v>12</v>
      </c>
      <c r="D743" s="7">
        <v>689.4</v>
      </c>
      <c r="E743" s="8" t="s">
        <v>7602</v>
      </c>
      <c r="F743" s="9">
        <f t="array" ref="F743">VALUE(_wpsfn.REGEXP(E743,"\d+(\.\d+)?"))</f>
        <v>2.1</v>
      </c>
    </row>
    <row r="744" ht="15.5" spans="1:6">
      <c r="A744" s="6" t="s">
        <v>1834</v>
      </c>
      <c r="B744" s="3" t="s">
        <v>1835</v>
      </c>
      <c r="C744" s="4" t="s">
        <v>49</v>
      </c>
      <c r="D744" s="7">
        <v>354.35</v>
      </c>
      <c r="E744" s="8" t="s">
        <v>7603</v>
      </c>
      <c r="F744" s="9">
        <f t="array" ref="F744">VALUE(_wpsfn.REGEXP(E744,"\d+(\.\d+)?"))</f>
        <v>5</v>
      </c>
    </row>
    <row r="745" ht="108.5" spans="1:6">
      <c r="A745" s="6" t="s">
        <v>1836</v>
      </c>
      <c r="B745" s="12" t="s">
        <v>1837</v>
      </c>
      <c r="C745" s="4" t="s">
        <v>49</v>
      </c>
      <c r="D745" s="7">
        <v>102.15</v>
      </c>
      <c r="E745" s="8" t="s">
        <v>7552</v>
      </c>
      <c r="F745" s="9">
        <f t="array" ref="F745">VALUE(_wpsfn.REGEXP(E745,"\d+(\.\d+)?"))</f>
        <v>10</v>
      </c>
    </row>
    <row r="746" ht="93" spans="1:6">
      <c r="A746" s="6" t="s">
        <v>1838</v>
      </c>
      <c r="B746" s="12" t="s">
        <v>1839</v>
      </c>
      <c r="C746" s="4" t="s">
        <v>156</v>
      </c>
      <c r="D746" s="7">
        <v>850.05</v>
      </c>
      <c r="E746" s="8" t="s">
        <v>7544</v>
      </c>
      <c r="F746" s="9">
        <f t="array" ref="F746">VALUE(_wpsfn.REGEXP(E746,"\d+(\.\d+)?"))</f>
        <v>1</v>
      </c>
    </row>
    <row r="747" ht="15.5" spans="1:6">
      <c r="A747" s="6" t="s">
        <v>1842</v>
      </c>
      <c r="B747" s="3" t="s">
        <v>1843</v>
      </c>
      <c r="C747" s="4" t="s">
        <v>156</v>
      </c>
      <c r="D747" s="7">
        <v>52.5</v>
      </c>
      <c r="E747" s="8" t="s">
        <v>7544</v>
      </c>
      <c r="F747" s="9">
        <f t="array" ref="F747">VALUE(_wpsfn.REGEXP(E747,"\d+(\.\d+)?"))</f>
        <v>1</v>
      </c>
    </row>
    <row r="748" ht="15.5" spans="1:6">
      <c r="A748" s="6" t="s">
        <v>1844</v>
      </c>
      <c r="B748" s="3" t="s">
        <v>1845</v>
      </c>
      <c r="C748" s="4" t="s">
        <v>156</v>
      </c>
      <c r="D748" s="7">
        <v>39.7</v>
      </c>
      <c r="E748" s="8" t="s">
        <v>7544</v>
      </c>
      <c r="F748" s="9">
        <f t="array" ref="F748">VALUE(_wpsfn.REGEXP(E748,"\d+(\.\d+)?"))</f>
        <v>1</v>
      </c>
    </row>
    <row r="749" ht="62" spans="1:6">
      <c r="A749" s="6" t="s">
        <v>1846</v>
      </c>
      <c r="B749" s="12" t="s">
        <v>1847</v>
      </c>
      <c r="C749" s="4" t="s">
        <v>1848</v>
      </c>
      <c r="D749" s="7">
        <v>414.2</v>
      </c>
      <c r="E749" s="8" t="s">
        <v>7604</v>
      </c>
      <c r="F749" s="9">
        <f t="array" ref="F749">VALUE(_wpsfn.REGEXP(E749,"\d+(\.\d+)?"))</f>
        <v>10</v>
      </c>
    </row>
    <row r="750" ht="93" spans="1:6">
      <c r="A750" s="6" t="s">
        <v>1849</v>
      </c>
      <c r="B750" s="12" t="s">
        <v>1850</v>
      </c>
      <c r="C750" s="4" t="s">
        <v>156</v>
      </c>
      <c r="D750" s="7">
        <v>20.4</v>
      </c>
      <c r="E750" s="8" t="s">
        <v>7544</v>
      </c>
      <c r="F750" s="9">
        <f t="array" ref="F750">VALUE(_wpsfn.REGEXP(E750,"\d+(\.\d+)?"))</f>
        <v>1</v>
      </c>
    </row>
    <row r="751" ht="15.5" spans="1:6">
      <c r="A751" s="6" t="s">
        <v>1853</v>
      </c>
      <c r="B751" s="3" t="s">
        <v>1854</v>
      </c>
      <c r="C751" s="4" t="s">
        <v>49</v>
      </c>
      <c r="D751" s="7">
        <v>270.2</v>
      </c>
      <c r="E751" s="8" t="s">
        <v>7603</v>
      </c>
      <c r="F751" s="9">
        <f t="array" ref="F751">VALUE(_wpsfn.REGEXP(E751,"\d+(\.\d+)?"))</f>
        <v>5</v>
      </c>
    </row>
    <row r="752" ht="15.5" spans="1:6">
      <c r="A752" s="6" t="s">
        <v>1855</v>
      </c>
      <c r="B752" s="3" t="s">
        <v>1856</v>
      </c>
      <c r="C752" s="4" t="s">
        <v>49</v>
      </c>
      <c r="D752" s="7">
        <v>331.35</v>
      </c>
      <c r="E752" s="8" t="s">
        <v>7603</v>
      </c>
      <c r="F752" s="9">
        <f t="array" ref="F752">VALUE(_wpsfn.REGEXP(E752,"\d+(\.\d+)?"))</f>
        <v>5</v>
      </c>
    </row>
    <row r="753" ht="409.5" spans="1:6">
      <c r="A753" s="6" t="s">
        <v>1859</v>
      </c>
      <c r="B753" s="3" t="s">
        <v>1860</v>
      </c>
      <c r="C753" s="4" t="s">
        <v>12</v>
      </c>
      <c r="D753" s="7">
        <v>2969.25</v>
      </c>
      <c r="E753" s="8" t="s">
        <v>7588</v>
      </c>
      <c r="F753" s="9">
        <f t="array" ref="F753">VALUE(_wpsfn.REGEXP(E753,"\d+(\.\d+)?"))</f>
        <v>2.38</v>
      </c>
    </row>
    <row r="754" ht="409.5" spans="1:6">
      <c r="A754" s="6" t="s">
        <v>1861</v>
      </c>
      <c r="B754" s="3" t="s">
        <v>1862</v>
      </c>
      <c r="C754" s="4" t="s">
        <v>12</v>
      </c>
      <c r="D754" s="7">
        <v>3253.8</v>
      </c>
      <c r="E754" s="8" t="s">
        <v>7588</v>
      </c>
      <c r="F754" s="9">
        <f t="array" ref="F754">VALUE(_wpsfn.REGEXP(E754,"\d+(\.\d+)?"))</f>
        <v>2.38</v>
      </c>
    </row>
    <row r="755" ht="341" spans="1:6">
      <c r="A755" s="6" t="s">
        <v>1863</v>
      </c>
      <c r="B755" s="3" t="s">
        <v>1864</v>
      </c>
      <c r="C755" s="4" t="s">
        <v>12</v>
      </c>
      <c r="D755" s="7">
        <v>3068.85</v>
      </c>
      <c r="E755" s="8" t="s">
        <v>7588</v>
      </c>
      <c r="F755" s="9">
        <f t="array" ref="F755">VALUE(_wpsfn.REGEXP(E755,"\d+(\.\d+)?"))</f>
        <v>2.38</v>
      </c>
    </row>
    <row r="756" ht="232.5" spans="1:6">
      <c r="A756" s="6" t="s">
        <v>1865</v>
      </c>
      <c r="B756" s="12" t="s">
        <v>1866</v>
      </c>
      <c r="C756" s="4" t="s">
        <v>49</v>
      </c>
      <c r="D756" s="7">
        <v>492.7</v>
      </c>
      <c r="E756" s="8" t="s">
        <v>7605</v>
      </c>
      <c r="F756" s="9">
        <f t="array" ref="F756">VALUE(_wpsfn.REGEXP(E756,"\d+(\.\d+)?"))</f>
        <v>5</v>
      </c>
    </row>
    <row r="757" ht="15.5" spans="1:6">
      <c r="A757" s="6" t="s">
        <v>1869</v>
      </c>
      <c r="B757" s="3" t="s">
        <v>1870</v>
      </c>
      <c r="C757" s="4" t="s">
        <v>12</v>
      </c>
      <c r="D757" s="7">
        <v>3182.95</v>
      </c>
      <c r="E757" s="8" t="s">
        <v>7588</v>
      </c>
      <c r="F757" s="9">
        <f t="array" ref="F757">VALUE(_wpsfn.REGEXP(E757,"\d+(\.\d+)?"))</f>
        <v>2.38</v>
      </c>
    </row>
    <row r="758" ht="31" spans="1:6">
      <c r="A758" s="6" t="s">
        <v>1871</v>
      </c>
      <c r="B758" s="3" t="s">
        <v>1872</v>
      </c>
      <c r="C758" s="4" t="s">
        <v>12</v>
      </c>
      <c r="D758" s="7">
        <v>3663.8</v>
      </c>
      <c r="E758" s="8" t="s">
        <v>7588</v>
      </c>
      <c r="F758" s="9">
        <f t="array" ref="F758">VALUE(_wpsfn.REGEXP(E758,"\d+(\.\d+)?"))</f>
        <v>2.38</v>
      </c>
    </row>
    <row r="759" ht="217" spans="1:6">
      <c r="A759" s="6" t="s">
        <v>1873</v>
      </c>
      <c r="B759" s="12" t="s">
        <v>1874</v>
      </c>
      <c r="C759" s="4" t="s">
        <v>49</v>
      </c>
      <c r="D759" s="7">
        <v>570.95</v>
      </c>
      <c r="E759" s="8" t="s">
        <v>7605</v>
      </c>
      <c r="F759" s="9">
        <f t="array" ref="F759">VALUE(_wpsfn.REGEXP(E759,"\d+(\.\d+)?"))</f>
        <v>5</v>
      </c>
    </row>
    <row r="760" ht="201.5" spans="1:6">
      <c r="A760" s="6" t="s">
        <v>1876</v>
      </c>
      <c r="B760" s="3" t="s">
        <v>1877</v>
      </c>
      <c r="C760" s="4" t="s">
        <v>12</v>
      </c>
      <c r="D760" s="7">
        <v>3720.75</v>
      </c>
      <c r="E760" s="8" t="s">
        <v>7588</v>
      </c>
      <c r="F760" s="9">
        <f t="array" ref="F760">VALUE(_wpsfn.REGEXP(E760,"\d+(\.\d+)?"))</f>
        <v>2.38</v>
      </c>
    </row>
    <row r="761" ht="217" spans="1:6">
      <c r="A761" s="6" t="s">
        <v>1878</v>
      </c>
      <c r="B761" s="3" t="s">
        <v>1879</v>
      </c>
      <c r="C761" s="4" t="s">
        <v>12</v>
      </c>
      <c r="D761" s="7">
        <v>4488.95</v>
      </c>
      <c r="E761" s="8" t="s">
        <v>7588</v>
      </c>
      <c r="F761" s="9">
        <f t="array" ref="F761">VALUE(_wpsfn.REGEXP(E761,"\d+(\.\d+)?"))</f>
        <v>2.38</v>
      </c>
    </row>
    <row r="762" ht="325.5" spans="1:6">
      <c r="A762" s="6" t="s">
        <v>1880</v>
      </c>
      <c r="B762" s="12" t="s">
        <v>7606</v>
      </c>
      <c r="C762" s="4" t="s">
        <v>49</v>
      </c>
      <c r="D762" s="7">
        <v>696</v>
      </c>
      <c r="E762" s="8" t="s">
        <v>7603</v>
      </c>
      <c r="F762" s="9">
        <f t="array" ref="F762">VALUE(_wpsfn.REGEXP(E762,"\d+(\.\d+)?"))</f>
        <v>5</v>
      </c>
    </row>
    <row r="763" ht="186" spans="1:6">
      <c r="A763" s="6" t="s">
        <v>1882</v>
      </c>
      <c r="B763" s="12" t="s">
        <v>1883</v>
      </c>
      <c r="C763" s="4" t="s">
        <v>49</v>
      </c>
      <c r="D763" s="7">
        <v>135.8</v>
      </c>
      <c r="E763" s="8" t="s">
        <v>7603</v>
      </c>
      <c r="F763" s="9">
        <f t="array" ref="F763">VALUE(_wpsfn.REGEXP(E763,"\d+(\.\d+)?"))</f>
        <v>5</v>
      </c>
    </row>
    <row r="764" ht="139.5" spans="1:6">
      <c r="A764" s="6" t="s">
        <v>1887</v>
      </c>
      <c r="B764" s="12" t="s">
        <v>1888</v>
      </c>
      <c r="C764" s="4" t="s">
        <v>12</v>
      </c>
      <c r="D764" s="7">
        <v>3754.2</v>
      </c>
      <c r="E764" s="8" t="s">
        <v>7607</v>
      </c>
      <c r="F764" s="9">
        <f t="array" ref="F764">VALUE(_wpsfn.REGEXP(E764,"\d+(\.\d+)?"))</f>
        <v>1.57</v>
      </c>
    </row>
    <row r="765" ht="124" spans="1:6">
      <c r="A765" s="6" t="s">
        <v>1889</v>
      </c>
      <c r="B765" s="12" t="s">
        <v>1890</v>
      </c>
      <c r="C765" s="4" t="s">
        <v>12</v>
      </c>
      <c r="D765" s="7">
        <v>4138.35</v>
      </c>
      <c r="E765" s="8" t="s">
        <v>7608</v>
      </c>
      <c r="F765" s="9">
        <f t="array" ref="F765">VALUE(_wpsfn.REGEXP(E765,"\d+(\.\d+)?"))</f>
        <v>1.57</v>
      </c>
    </row>
    <row r="766" ht="124" spans="1:6">
      <c r="A766" s="6" t="s">
        <v>1891</v>
      </c>
      <c r="B766" s="12" t="s">
        <v>1892</v>
      </c>
      <c r="C766" s="4" t="s">
        <v>12</v>
      </c>
      <c r="D766" s="7">
        <v>4678.95</v>
      </c>
      <c r="E766" s="8" t="s">
        <v>7607</v>
      </c>
      <c r="F766" s="9">
        <f t="array" ref="F766">VALUE(_wpsfn.REGEXP(E766,"\d+(\.\d+)?"))</f>
        <v>1.57</v>
      </c>
    </row>
    <row r="767" ht="15.5" spans="1:6">
      <c r="A767" s="6" t="s">
        <v>1895</v>
      </c>
      <c r="B767" s="3" t="s">
        <v>1896</v>
      </c>
      <c r="C767" s="4" t="s">
        <v>12</v>
      </c>
      <c r="D767" s="7">
        <v>2486.25</v>
      </c>
      <c r="E767" s="8" t="s">
        <v>7589</v>
      </c>
      <c r="F767" s="9">
        <f t="array" ref="F767">VALUE(_wpsfn.REGEXP(E767,"\d+(\.\d+)?"))</f>
        <v>0.66</v>
      </c>
    </row>
    <row r="768" ht="31" spans="1:6">
      <c r="A768" s="6" t="s">
        <v>1897</v>
      </c>
      <c r="B768" s="3" t="s">
        <v>1898</v>
      </c>
      <c r="C768" s="4" t="s">
        <v>12</v>
      </c>
      <c r="D768" s="7">
        <v>2777.7</v>
      </c>
      <c r="E768" s="8" t="s">
        <v>7589</v>
      </c>
      <c r="F768" s="9">
        <f t="array" ref="F768">VALUE(_wpsfn.REGEXP(E768,"\d+(\.\d+)?"))</f>
        <v>0.66</v>
      </c>
    </row>
    <row r="769" ht="15.5" spans="1:6">
      <c r="A769" s="6" t="s">
        <v>1901</v>
      </c>
      <c r="B769" s="3" t="s">
        <v>1902</v>
      </c>
      <c r="C769" s="4" t="s">
        <v>12</v>
      </c>
      <c r="D769" s="7">
        <v>1045.95</v>
      </c>
      <c r="E769" s="8" t="s">
        <v>7609</v>
      </c>
      <c r="F769" s="9">
        <f t="array" ref="F769">VALUE(_wpsfn.REGEXP(E769,"\d+(\.\d+)?"))</f>
        <v>5</v>
      </c>
    </row>
    <row r="770" ht="15.5" spans="1:6">
      <c r="A770" s="6" t="s">
        <v>1903</v>
      </c>
      <c r="B770" s="3" t="s">
        <v>1904</v>
      </c>
      <c r="C770" s="4" t="s">
        <v>12</v>
      </c>
      <c r="D770" s="7">
        <v>897.3</v>
      </c>
      <c r="E770" s="8" t="s">
        <v>7609</v>
      </c>
      <c r="F770" s="9">
        <f t="array" ref="F770">VALUE(_wpsfn.REGEXP(E770,"\d+(\.\d+)?"))</f>
        <v>5</v>
      </c>
    </row>
    <row r="771" ht="403" spans="1:6">
      <c r="A771" s="6" t="s">
        <v>1905</v>
      </c>
      <c r="B771" s="12" t="s">
        <v>1906</v>
      </c>
      <c r="C771" s="4" t="s">
        <v>12</v>
      </c>
      <c r="D771" s="7">
        <v>5207.45</v>
      </c>
      <c r="E771" s="8" t="s">
        <v>7610</v>
      </c>
      <c r="F771" s="9">
        <f t="array" ref="F771">VALUE(_wpsfn.REGEXP(E771,"\d+(\.\d+)?"))</f>
        <v>0.54</v>
      </c>
    </row>
    <row r="772" ht="186" spans="1:6">
      <c r="A772" s="6" t="s">
        <v>1907</v>
      </c>
      <c r="B772" s="12" t="s">
        <v>1908</v>
      </c>
      <c r="C772" s="4" t="s">
        <v>12</v>
      </c>
      <c r="D772" s="7">
        <v>2307.35</v>
      </c>
      <c r="E772" s="8" t="s">
        <v>7592</v>
      </c>
      <c r="F772" s="9">
        <f t="array" ref="F772">VALUE(_wpsfn.REGEXP(E772,"\d+(\.\d+)?"))</f>
        <v>2.2</v>
      </c>
    </row>
    <row r="773" ht="31" spans="1:6">
      <c r="A773" s="6" t="s">
        <v>1911</v>
      </c>
      <c r="B773" s="3" t="s">
        <v>1912</v>
      </c>
      <c r="C773" s="4" t="s">
        <v>12</v>
      </c>
      <c r="D773" s="7">
        <v>1927.5</v>
      </c>
      <c r="E773" s="8" t="s">
        <v>7592</v>
      </c>
      <c r="F773" s="9">
        <f t="array" ref="F773">VALUE(_wpsfn.REGEXP(E773,"\d+(\.\d+)?"))</f>
        <v>2.2</v>
      </c>
    </row>
    <row r="774" ht="31" spans="1:6">
      <c r="A774" s="6" t="s">
        <v>1913</v>
      </c>
      <c r="B774" s="3" t="s">
        <v>1914</v>
      </c>
      <c r="C774" s="4" t="s">
        <v>12</v>
      </c>
      <c r="D774" s="7">
        <v>1809.4</v>
      </c>
      <c r="E774" s="8" t="s">
        <v>7592</v>
      </c>
      <c r="F774" s="9">
        <f t="array" ref="F774">VALUE(_wpsfn.REGEXP(E774,"\d+(\.\d+)?"))</f>
        <v>2.2</v>
      </c>
    </row>
    <row r="775" ht="15.5" spans="1:6">
      <c r="A775" s="6" t="s">
        <v>1917</v>
      </c>
      <c r="B775" s="3" t="s">
        <v>558</v>
      </c>
      <c r="C775" s="4" t="s">
        <v>12</v>
      </c>
      <c r="D775" s="7">
        <v>1801.6</v>
      </c>
      <c r="E775" s="8" t="s">
        <v>7602</v>
      </c>
      <c r="F775" s="9">
        <f t="array" ref="F775">VALUE(_wpsfn.REGEXP(E775,"\d+(\.\d+)?"))</f>
        <v>2.1</v>
      </c>
    </row>
    <row r="776" ht="77.5" spans="1:6">
      <c r="A776" s="6" t="s">
        <v>1918</v>
      </c>
      <c r="B776" s="12" t="s">
        <v>1919</v>
      </c>
      <c r="C776" s="4" t="s">
        <v>575</v>
      </c>
      <c r="D776" s="7">
        <v>596.15</v>
      </c>
      <c r="E776" s="8" t="s">
        <v>7611</v>
      </c>
      <c r="F776" s="9">
        <f t="array" ref="F776">VALUE(_wpsfn.REGEXP(E776,"\d+(\.\d+)?"))</f>
        <v>1</v>
      </c>
    </row>
    <row r="777" ht="15.5" spans="1:6">
      <c r="A777" s="6" t="s">
        <v>1924</v>
      </c>
      <c r="B777" s="3" t="s">
        <v>1925</v>
      </c>
      <c r="C777" s="4" t="s">
        <v>12</v>
      </c>
      <c r="D777" s="7">
        <v>1790.95</v>
      </c>
      <c r="E777" s="8" t="s">
        <v>7612</v>
      </c>
      <c r="F777" s="9">
        <f t="array" ref="F777">VALUE(_wpsfn.REGEXP(E777,"\d+(\.\d+)?"))</f>
        <v>11.16</v>
      </c>
    </row>
    <row r="778" ht="31" spans="1:6">
      <c r="A778" s="6" t="s">
        <v>1928</v>
      </c>
      <c r="B778" s="3" t="s">
        <v>1929</v>
      </c>
      <c r="C778" s="4" t="s">
        <v>12</v>
      </c>
      <c r="D778" s="7">
        <v>1443.45</v>
      </c>
      <c r="E778" s="8" t="s">
        <v>7612</v>
      </c>
      <c r="F778" s="9">
        <f t="array" ref="F778">VALUE(_wpsfn.REGEXP(E778,"\d+(\.\d+)?"))</f>
        <v>11.16</v>
      </c>
    </row>
    <row r="779" ht="31" spans="1:6">
      <c r="A779" s="6" t="s">
        <v>1930</v>
      </c>
      <c r="B779" s="3" t="s">
        <v>1931</v>
      </c>
      <c r="C779" s="4" t="s">
        <v>12</v>
      </c>
      <c r="D779" s="7">
        <v>1427.8</v>
      </c>
      <c r="E779" s="8" t="s">
        <v>7612</v>
      </c>
      <c r="F779" s="9">
        <f t="array" ref="F779">VALUE(_wpsfn.REGEXP(E779,"\d+(\.\d+)?"))</f>
        <v>11.16</v>
      </c>
    </row>
    <row r="780" ht="15.5" spans="1:6">
      <c r="A780" s="6" t="s">
        <v>1934</v>
      </c>
      <c r="B780" s="3" t="s">
        <v>1935</v>
      </c>
      <c r="C780" s="4" t="s">
        <v>12</v>
      </c>
      <c r="D780" s="7">
        <v>1308.85</v>
      </c>
      <c r="E780" s="8" t="s">
        <v>7612</v>
      </c>
      <c r="F780" s="9">
        <f t="array" ref="F780">VALUE(_wpsfn.REGEXP(E780,"\d+(\.\d+)?"))</f>
        <v>11.16</v>
      </c>
    </row>
    <row r="781" ht="15.5" spans="1:6">
      <c r="A781" s="6" t="s">
        <v>1940</v>
      </c>
      <c r="B781" s="3" t="s">
        <v>1256</v>
      </c>
      <c r="C781" s="4" t="s">
        <v>12</v>
      </c>
      <c r="D781" s="7">
        <v>5024.15</v>
      </c>
      <c r="E781" s="8" t="s">
        <v>7587</v>
      </c>
      <c r="F781" s="9">
        <f t="array" ref="F781">VALUE(_wpsfn.REGEXP(E781,"\d+(\.\d+)?"))</f>
        <v>2.16</v>
      </c>
    </row>
    <row r="782" ht="31" spans="1:6">
      <c r="A782" s="6" t="s">
        <v>1941</v>
      </c>
      <c r="B782" s="3" t="s">
        <v>1229</v>
      </c>
      <c r="C782" s="4" t="s">
        <v>12</v>
      </c>
      <c r="D782" s="7">
        <v>3771.2</v>
      </c>
      <c r="E782" s="8" t="s">
        <v>7587</v>
      </c>
      <c r="F782" s="9">
        <f t="array" ref="F782">VALUE(_wpsfn.REGEXP(E782,"\d+(\.\d+)?"))</f>
        <v>2.16</v>
      </c>
    </row>
    <row r="783" ht="31" spans="1:6">
      <c r="A783" s="6" t="s">
        <v>1942</v>
      </c>
      <c r="B783" s="3" t="s">
        <v>1422</v>
      </c>
      <c r="C783" s="4" t="s">
        <v>12</v>
      </c>
      <c r="D783" s="7">
        <v>4546.8</v>
      </c>
      <c r="E783" s="8" t="s">
        <v>7587</v>
      </c>
      <c r="F783" s="9">
        <f t="array" ref="F783">VALUE(_wpsfn.REGEXP(E783,"\d+(\.\d+)?"))</f>
        <v>2.16</v>
      </c>
    </row>
    <row r="784" ht="15.5" spans="1:6">
      <c r="A784" s="6" t="s">
        <v>1944</v>
      </c>
      <c r="B784" s="3" t="s">
        <v>1256</v>
      </c>
      <c r="C784" s="4" t="s">
        <v>12</v>
      </c>
      <c r="D784" s="7">
        <v>5217.65</v>
      </c>
      <c r="E784" s="8" t="s">
        <v>7587</v>
      </c>
      <c r="F784" s="9">
        <f t="array" ref="F784">VALUE(_wpsfn.REGEXP(E784,"\d+(\.\d+)?"))</f>
        <v>2.16</v>
      </c>
    </row>
    <row r="785" ht="31" spans="1:6">
      <c r="A785" s="6" t="s">
        <v>1945</v>
      </c>
      <c r="B785" s="3" t="s">
        <v>1229</v>
      </c>
      <c r="C785" s="4" t="s">
        <v>12</v>
      </c>
      <c r="D785" s="7">
        <v>3964.75</v>
      </c>
      <c r="E785" s="8" t="s">
        <v>7587</v>
      </c>
      <c r="F785" s="9">
        <f t="array" ref="F785">VALUE(_wpsfn.REGEXP(E785,"\d+(\.\d+)?"))</f>
        <v>2.16</v>
      </c>
    </row>
    <row r="786" ht="31" spans="1:6">
      <c r="A786" s="6" t="s">
        <v>1946</v>
      </c>
      <c r="B786" s="3" t="s">
        <v>1422</v>
      </c>
      <c r="C786" s="4" t="s">
        <v>12</v>
      </c>
      <c r="D786" s="7">
        <v>4740.3</v>
      </c>
      <c r="E786" s="8" t="s">
        <v>7587</v>
      </c>
      <c r="F786" s="9">
        <f t="array" ref="F786">VALUE(_wpsfn.REGEXP(E786,"\d+(\.\d+)?"))</f>
        <v>2.16</v>
      </c>
    </row>
    <row r="787" ht="15.5" spans="1:6">
      <c r="A787" s="6" t="s">
        <v>1950</v>
      </c>
      <c r="B787" s="3" t="s">
        <v>1256</v>
      </c>
      <c r="C787" s="4" t="s">
        <v>12</v>
      </c>
      <c r="D787" s="7">
        <v>4498.6</v>
      </c>
      <c r="E787" s="8" t="s">
        <v>7587</v>
      </c>
      <c r="F787" s="9">
        <f t="array" ref="F787">VALUE(_wpsfn.REGEXP(E787,"\d+(\.\d+)?"))</f>
        <v>2.16</v>
      </c>
    </row>
    <row r="788" ht="31" spans="1:6">
      <c r="A788" s="6" t="s">
        <v>1951</v>
      </c>
      <c r="B788" s="3" t="s">
        <v>1229</v>
      </c>
      <c r="C788" s="4" t="s">
        <v>12</v>
      </c>
      <c r="D788" s="7">
        <v>3426.05</v>
      </c>
      <c r="E788" s="8" t="s">
        <v>7587</v>
      </c>
      <c r="F788" s="9">
        <f t="array" ref="F788">VALUE(_wpsfn.REGEXP(E788,"\d+(\.\d+)?"))</f>
        <v>2.16</v>
      </c>
    </row>
    <row r="789" ht="31" spans="1:6">
      <c r="A789" s="6" t="s">
        <v>1953</v>
      </c>
      <c r="B789" s="3" t="s">
        <v>1422</v>
      </c>
      <c r="C789" s="4" t="s">
        <v>12</v>
      </c>
      <c r="D789" s="7">
        <v>4090</v>
      </c>
      <c r="E789" s="8" t="s">
        <v>7587</v>
      </c>
      <c r="F789" s="9">
        <f t="array" ref="F789">VALUE(_wpsfn.REGEXP(E789,"\d+(\.\d+)?"))</f>
        <v>2.16</v>
      </c>
    </row>
    <row r="790" ht="15.5" spans="1:6">
      <c r="A790" s="6" t="s">
        <v>1955</v>
      </c>
      <c r="B790" s="3" t="s">
        <v>1256</v>
      </c>
      <c r="C790" s="4" t="s">
        <v>12</v>
      </c>
      <c r="D790" s="7">
        <v>4692.1</v>
      </c>
      <c r="E790" s="8" t="s">
        <v>7587</v>
      </c>
      <c r="F790" s="9">
        <f t="array" ref="F790">VALUE(_wpsfn.REGEXP(E790,"\d+(\.\d+)?"))</f>
        <v>2.16</v>
      </c>
    </row>
    <row r="791" ht="31" spans="1:6">
      <c r="A791" s="6" t="s">
        <v>1956</v>
      </c>
      <c r="B791" s="3" t="s">
        <v>1229</v>
      </c>
      <c r="C791" s="4" t="s">
        <v>12</v>
      </c>
      <c r="D791" s="7">
        <v>3619.6</v>
      </c>
      <c r="E791" s="8" t="s">
        <v>7587</v>
      </c>
      <c r="F791" s="9">
        <f t="array" ref="F791">VALUE(_wpsfn.REGEXP(E791,"\d+(\.\d+)?"))</f>
        <v>2.16</v>
      </c>
    </row>
    <row r="792" ht="31" spans="1:6">
      <c r="A792" s="6" t="s">
        <v>1957</v>
      </c>
      <c r="B792" s="3" t="s">
        <v>1422</v>
      </c>
      <c r="C792" s="4" t="s">
        <v>12</v>
      </c>
      <c r="D792" s="7">
        <v>4283.5</v>
      </c>
      <c r="E792" s="8" t="s">
        <v>7587</v>
      </c>
      <c r="F792" s="9">
        <f t="array" ref="F792">VALUE(_wpsfn.REGEXP(E792,"\d+(\.\d+)?"))</f>
        <v>2.16</v>
      </c>
    </row>
    <row r="793" ht="31" spans="1:6">
      <c r="A793" s="6" t="s">
        <v>1960</v>
      </c>
      <c r="B793" s="3" t="s">
        <v>1961</v>
      </c>
      <c r="C793" s="4" t="s">
        <v>12</v>
      </c>
      <c r="D793" s="7">
        <v>1597.15</v>
      </c>
      <c r="E793" s="8" t="s">
        <v>7598</v>
      </c>
      <c r="F793" s="9">
        <f t="array" ref="F793">VALUE(_wpsfn.REGEXP(E793,"\d+(\.\d+)?"))</f>
        <v>1.54</v>
      </c>
    </row>
    <row r="794" ht="15.5" spans="1:6">
      <c r="A794" s="6" t="s">
        <v>1962</v>
      </c>
      <c r="B794" s="3" t="s">
        <v>1498</v>
      </c>
      <c r="C794" s="4" t="s">
        <v>12</v>
      </c>
      <c r="D794" s="7">
        <v>1228</v>
      </c>
      <c r="E794" s="8" t="s">
        <v>7598</v>
      </c>
      <c r="F794" s="9">
        <f t="array" ref="F794">VALUE(_wpsfn.REGEXP(E794,"\d+(\.\d+)?"))</f>
        <v>1.54</v>
      </c>
    </row>
    <row r="795" ht="232.5" spans="1:6">
      <c r="A795" s="6" t="s">
        <v>1963</v>
      </c>
      <c r="B795" s="12" t="s">
        <v>1964</v>
      </c>
      <c r="C795" s="4" t="s">
        <v>49</v>
      </c>
      <c r="D795" s="7">
        <v>1709.25</v>
      </c>
      <c r="E795" s="8" t="s">
        <v>7613</v>
      </c>
      <c r="F795" s="9">
        <f t="array" ref="F795">VALUE(_wpsfn.REGEXP(E795,"\d+(\.\d+)?"))</f>
        <v>9.1</v>
      </c>
    </row>
    <row r="796" ht="263.5" spans="1:6">
      <c r="A796" s="6" t="s">
        <v>1965</v>
      </c>
      <c r="B796" s="12" t="s">
        <v>1966</v>
      </c>
      <c r="C796" s="4" t="s">
        <v>12</v>
      </c>
      <c r="D796" s="7">
        <v>7533.2</v>
      </c>
      <c r="E796" s="8" t="s">
        <v>7614</v>
      </c>
      <c r="F796" s="9">
        <f t="array" ref="F796">VALUE(_wpsfn.REGEXP(E796,"\d+(\.\d+)?"))</f>
        <v>3.5</v>
      </c>
    </row>
    <row r="797" ht="409.5" spans="1:6">
      <c r="A797" s="6" t="s">
        <v>1967</v>
      </c>
      <c r="B797" s="12" t="s">
        <v>1968</v>
      </c>
      <c r="C797" s="4" t="s">
        <v>12</v>
      </c>
      <c r="D797" s="7">
        <v>40405.55</v>
      </c>
      <c r="E797" s="8" t="s">
        <v>7615</v>
      </c>
      <c r="F797" s="9">
        <f t="array" ref="F797">VALUE(_wpsfn.REGEXP(E797,"\d+(\.\d+)?"))</f>
        <v>2.46</v>
      </c>
    </row>
    <row r="798" ht="93" spans="1:6">
      <c r="A798" s="6" t="s">
        <v>1969</v>
      </c>
      <c r="B798" s="12" t="s">
        <v>1970</v>
      </c>
      <c r="C798" s="4" t="s">
        <v>156</v>
      </c>
      <c r="D798" s="7">
        <v>8366.15</v>
      </c>
      <c r="E798" s="8" t="s">
        <v>7544</v>
      </c>
      <c r="F798" s="9">
        <f t="array" ref="F798">VALUE(_wpsfn.REGEXP(E798,"\d+(\.\d+)?"))</f>
        <v>1</v>
      </c>
    </row>
    <row r="799" ht="31" spans="1:6">
      <c r="A799" s="6" t="s">
        <v>1973</v>
      </c>
      <c r="B799" s="3" t="s">
        <v>1974</v>
      </c>
      <c r="C799" s="4" t="s">
        <v>12</v>
      </c>
      <c r="D799" s="7">
        <v>1224.65</v>
      </c>
      <c r="E799" s="8" t="s">
        <v>7397</v>
      </c>
      <c r="F799" s="9">
        <f t="array" ref="F799">VALUE(_wpsfn.REGEXP(E799,"\d+(\.\d+)?"))</f>
        <v>10</v>
      </c>
    </row>
    <row r="800" ht="294.5" spans="1:6">
      <c r="A800" s="6" t="s">
        <v>1975</v>
      </c>
      <c r="B800" s="12" t="s">
        <v>1976</v>
      </c>
      <c r="C800" s="4" t="s">
        <v>49</v>
      </c>
      <c r="D800" s="7">
        <v>573.45</v>
      </c>
      <c r="E800" s="8" t="s">
        <v>7605</v>
      </c>
      <c r="F800" s="9">
        <f t="array" ref="F800">VALUE(_wpsfn.REGEXP(E800,"\d+(\.\d+)?"))</f>
        <v>5</v>
      </c>
    </row>
    <row r="801" ht="15.5" spans="1:6">
      <c r="A801" s="6" t="s">
        <v>1979</v>
      </c>
      <c r="B801" s="3" t="s">
        <v>1980</v>
      </c>
      <c r="C801" s="4" t="s">
        <v>12</v>
      </c>
      <c r="D801" s="7">
        <v>3997.45</v>
      </c>
      <c r="E801" s="8" t="s">
        <v>7588</v>
      </c>
      <c r="F801" s="9">
        <f t="array" ref="F801">VALUE(_wpsfn.REGEXP(E801,"\d+(\.\d+)?"))</f>
        <v>2.38</v>
      </c>
    </row>
    <row r="802" ht="15.5" spans="1:6">
      <c r="A802" s="6" t="s">
        <v>1981</v>
      </c>
      <c r="B802" s="3" t="s">
        <v>1982</v>
      </c>
      <c r="C802" s="4" t="s">
        <v>12</v>
      </c>
      <c r="D802" s="7">
        <v>4713.05</v>
      </c>
      <c r="E802" s="8" t="s">
        <v>7588</v>
      </c>
      <c r="F802" s="9">
        <f t="array" ref="F802">VALUE(_wpsfn.REGEXP(E802,"\d+(\.\d+)?"))</f>
        <v>2.38</v>
      </c>
    </row>
    <row r="803" ht="263.5" spans="1:6">
      <c r="A803" s="6" t="s">
        <v>1983</v>
      </c>
      <c r="B803" s="12" t="s">
        <v>1984</v>
      </c>
      <c r="C803" s="4" t="s">
        <v>49</v>
      </c>
      <c r="D803" s="7">
        <v>623</v>
      </c>
      <c r="E803" s="8" t="s">
        <v>7605</v>
      </c>
      <c r="F803" s="9">
        <f t="array" ref="F803">VALUE(_wpsfn.REGEXP(E803,"\d+(\.\d+)?"))</f>
        <v>5</v>
      </c>
    </row>
    <row r="804" ht="325.5" spans="1:6">
      <c r="A804" s="6" t="s">
        <v>1985</v>
      </c>
      <c r="B804" s="12" t="s">
        <v>1986</v>
      </c>
      <c r="C804" s="4" t="s">
        <v>12</v>
      </c>
      <c r="D804" s="7">
        <v>4076.05</v>
      </c>
      <c r="E804" s="8" t="s">
        <v>7588</v>
      </c>
      <c r="F804" s="9">
        <f t="array" ref="F804">VALUE(_wpsfn.REGEXP(E804,"\d+(\.\d+)?"))</f>
        <v>2.38</v>
      </c>
    </row>
    <row r="805" ht="294.5" spans="1:6">
      <c r="A805" s="6" t="s">
        <v>1987</v>
      </c>
      <c r="B805" s="12" t="s">
        <v>1988</v>
      </c>
      <c r="C805" s="4" t="s">
        <v>49</v>
      </c>
      <c r="D805" s="7">
        <v>763.85</v>
      </c>
      <c r="E805" s="8" t="s">
        <v>7605</v>
      </c>
      <c r="F805" s="9">
        <f t="array" ref="F805">VALUE(_wpsfn.REGEXP(E805,"\d+(\.\d+)?"))</f>
        <v>5</v>
      </c>
    </row>
    <row r="806" ht="409.5" spans="1:6">
      <c r="A806" s="6" t="s">
        <v>1989</v>
      </c>
      <c r="B806" s="12" t="s">
        <v>1990</v>
      </c>
      <c r="C806" s="4" t="s">
        <v>12</v>
      </c>
      <c r="D806" s="7">
        <v>4362</v>
      </c>
      <c r="E806" s="8" t="s">
        <v>7588</v>
      </c>
      <c r="F806" s="9">
        <f t="array" ref="F806">VALUE(_wpsfn.REGEXP(E806,"\d+(\.\d+)?"))</f>
        <v>2.38</v>
      </c>
    </row>
    <row r="807" ht="77.5" spans="1:6">
      <c r="A807" s="6" t="s">
        <v>1996</v>
      </c>
      <c r="B807" s="3" t="s">
        <v>1997</v>
      </c>
      <c r="C807" s="4" t="s">
        <v>12</v>
      </c>
      <c r="D807" s="7">
        <v>8298.85</v>
      </c>
      <c r="E807" s="8" t="s">
        <v>7616</v>
      </c>
      <c r="F807" s="9">
        <f t="array" ref="F807">VALUE(_wpsfn.REGEXP(E807,"\d+(\.\d+)?"))</f>
        <v>1.98</v>
      </c>
    </row>
    <row r="808" ht="93" spans="1:6">
      <c r="A808" s="6" t="s">
        <v>1998</v>
      </c>
      <c r="B808" s="3" t="s">
        <v>1999</v>
      </c>
      <c r="C808" s="4" t="s">
        <v>12</v>
      </c>
      <c r="D808" s="7">
        <v>8799.25</v>
      </c>
      <c r="E808" s="8" t="s">
        <v>7617</v>
      </c>
      <c r="F808" s="9">
        <f t="array" ref="F808">VALUE(_wpsfn.REGEXP(E808,"\d+(\.\d+)?"))</f>
        <v>2.97</v>
      </c>
    </row>
    <row r="809" ht="93" spans="1:6">
      <c r="A809" s="6" t="s">
        <v>2000</v>
      </c>
      <c r="B809" s="3" t="s">
        <v>2001</v>
      </c>
      <c r="C809" s="4" t="s">
        <v>12</v>
      </c>
      <c r="D809" s="7">
        <v>9628.6</v>
      </c>
      <c r="E809" s="8" t="s">
        <v>7618</v>
      </c>
      <c r="F809" s="9">
        <f t="array" ref="F809">VALUE(_wpsfn.REGEXP(E809,"\d+(\.\d+)?"))</f>
        <v>3</v>
      </c>
    </row>
    <row r="810" ht="62" spans="1:6">
      <c r="A810" s="6" t="s">
        <v>2004</v>
      </c>
      <c r="B810" s="3" t="s">
        <v>2005</v>
      </c>
      <c r="C810" s="4" t="s">
        <v>12</v>
      </c>
      <c r="D810" s="7">
        <v>7860.35</v>
      </c>
      <c r="E810" s="8" t="s">
        <v>7619</v>
      </c>
      <c r="F810" s="9">
        <f t="array" ref="F810">VALUE(_wpsfn.REGEXP(E810,"\d+(\.\d+)?"))</f>
        <v>5.94</v>
      </c>
    </row>
    <row r="811" ht="62" spans="1:6">
      <c r="A811" s="6" t="s">
        <v>2006</v>
      </c>
      <c r="B811" s="3" t="s">
        <v>2007</v>
      </c>
      <c r="C811" s="4" t="s">
        <v>12</v>
      </c>
      <c r="D811" s="7">
        <v>8579.55</v>
      </c>
      <c r="E811" s="8" t="s">
        <v>7620</v>
      </c>
      <c r="F811" s="9">
        <f t="array" ref="F811">VALUE(_wpsfn.REGEXP(E811,"\d+(\.\d+)?"))</f>
        <v>6</v>
      </c>
    </row>
    <row r="812" ht="108.5" spans="1:6">
      <c r="A812" s="6" t="s">
        <v>2010</v>
      </c>
      <c r="B812" s="3" t="s">
        <v>7621</v>
      </c>
      <c r="C812" s="4" t="s">
        <v>12</v>
      </c>
      <c r="D812" s="7">
        <v>9873.05</v>
      </c>
      <c r="E812" s="8" t="s">
        <v>7616</v>
      </c>
      <c r="F812" s="9">
        <f t="array" ref="F812">VALUE(_wpsfn.REGEXP(E812,"\d+(\.\d+)?"))</f>
        <v>1.98</v>
      </c>
    </row>
    <row r="813" ht="124" spans="1:6">
      <c r="A813" s="6" t="s">
        <v>2012</v>
      </c>
      <c r="B813" s="3" t="s">
        <v>7622</v>
      </c>
      <c r="C813" s="4" t="s">
        <v>12</v>
      </c>
      <c r="D813" s="7">
        <v>9968.7</v>
      </c>
      <c r="E813" s="8" t="s">
        <v>7617</v>
      </c>
      <c r="F813" s="9">
        <f t="array" ref="F813">VALUE(_wpsfn.REGEXP(E813,"\d+(\.\d+)?"))</f>
        <v>2.97</v>
      </c>
    </row>
    <row r="814" ht="93" spans="1:6">
      <c r="A814" s="6" t="s">
        <v>2016</v>
      </c>
      <c r="B814" s="3" t="s">
        <v>7623</v>
      </c>
      <c r="C814" s="4" t="s">
        <v>12</v>
      </c>
      <c r="D814" s="7">
        <v>10993.55</v>
      </c>
      <c r="E814" s="8" t="s">
        <v>7616</v>
      </c>
      <c r="F814" s="9">
        <f t="array" ref="F814">VALUE(_wpsfn.REGEXP(E814,"\d+(\.\d+)?"))</f>
        <v>1.98</v>
      </c>
    </row>
    <row r="815" ht="108.5" spans="1:6">
      <c r="A815" s="6" t="s">
        <v>2018</v>
      </c>
      <c r="B815" s="3" t="s">
        <v>2019</v>
      </c>
      <c r="C815" s="4" t="s">
        <v>12</v>
      </c>
      <c r="D815" s="7">
        <v>10874.2</v>
      </c>
      <c r="E815" s="8" t="s">
        <v>7617</v>
      </c>
      <c r="F815" s="9">
        <f t="array" ref="F815">VALUE(_wpsfn.REGEXP(E815,"\d+(\.\d+)?"))</f>
        <v>2.97</v>
      </c>
    </row>
    <row r="816" ht="108.5" spans="1:6">
      <c r="A816" s="6" t="s">
        <v>2020</v>
      </c>
      <c r="B816" s="3" t="s">
        <v>2021</v>
      </c>
      <c r="C816" s="4" t="s">
        <v>12</v>
      </c>
      <c r="D816" s="7">
        <v>12372.25</v>
      </c>
      <c r="E816" s="8" t="s">
        <v>7618</v>
      </c>
      <c r="F816" s="9">
        <f t="array" ref="F816">VALUE(_wpsfn.REGEXP(E816,"\d+(\.\d+)?"))</f>
        <v>3</v>
      </c>
    </row>
    <row r="817" ht="77.5" spans="1:6">
      <c r="A817" s="6" t="s">
        <v>2024</v>
      </c>
      <c r="B817" s="3" t="s">
        <v>7624</v>
      </c>
      <c r="C817" s="4" t="s">
        <v>12</v>
      </c>
      <c r="D817" s="7">
        <v>8748.35</v>
      </c>
      <c r="E817" s="8" t="s">
        <v>7625</v>
      </c>
      <c r="F817" s="9">
        <f t="array" ref="F817">VALUE(_wpsfn.REGEXP(E817,"\d+(\.\d+)?"))</f>
        <v>2.88</v>
      </c>
    </row>
    <row r="818" ht="93" spans="1:6">
      <c r="A818" s="6" t="s">
        <v>2026</v>
      </c>
      <c r="B818" s="3" t="s">
        <v>7626</v>
      </c>
      <c r="C818" s="4" t="s">
        <v>12</v>
      </c>
      <c r="D818" s="7">
        <v>8543.6</v>
      </c>
      <c r="E818" s="8" t="s">
        <v>7627</v>
      </c>
      <c r="F818" s="9">
        <f t="array" ref="F818">VALUE(_wpsfn.REGEXP(E818,"\d+(\.\d+)?"))</f>
        <v>4.46</v>
      </c>
    </row>
    <row r="819" ht="93" spans="1:6">
      <c r="A819" s="6" t="s">
        <v>2028</v>
      </c>
      <c r="B819" s="3" t="s">
        <v>7628</v>
      </c>
      <c r="C819" s="4" t="s">
        <v>12</v>
      </c>
      <c r="D819" s="7">
        <v>9888.35</v>
      </c>
      <c r="E819" s="8" t="s">
        <v>7629</v>
      </c>
      <c r="F819" s="9">
        <f t="array" ref="F819">VALUE(_wpsfn.REGEXP(E819,"\d+(\.\d+)?"))</f>
        <v>4.3</v>
      </c>
    </row>
    <row r="820" ht="62" spans="1:6">
      <c r="A820" s="6" t="s">
        <v>2032</v>
      </c>
      <c r="B820" s="3" t="s">
        <v>2033</v>
      </c>
      <c r="C820" s="4" t="s">
        <v>12</v>
      </c>
      <c r="D820" s="7">
        <v>8106.3</v>
      </c>
      <c r="E820" s="8" t="s">
        <v>7630</v>
      </c>
      <c r="F820" s="9">
        <f t="array" ref="F820">VALUE(_wpsfn.REGEXP(E820,"\d+(\.\d+)?"))</f>
        <v>4.2</v>
      </c>
    </row>
    <row r="821" ht="62" spans="1:6">
      <c r="A821" s="6" t="s">
        <v>2034</v>
      </c>
      <c r="B821" s="3" t="s">
        <v>2035</v>
      </c>
      <c r="C821" s="4" t="s">
        <v>12</v>
      </c>
      <c r="D821" s="7">
        <v>7732.85</v>
      </c>
      <c r="E821" s="8" t="s">
        <v>7631</v>
      </c>
      <c r="F821" s="9">
        <f t="array" ref="F821">VALUE(_wpsfn.REGEXP(E821,"\d+(\.\d+)?"))</f>
        <v>5.67</v>
      </c>
    </row>
    <row r="822" ht="62" spans="1:6">
      <c r="A822" s="6" t="s">
        <v>2038</v>
      </c>
      <c r="B822" s="3" t="s">
        <v>2033</v>
      </c>
      <c r="C822" s="4" t="s">
        <v>12</v>
      </c>
      <c r="D822" s="7">
        <v>7345.35</v>
      </c>
      <c r="E822" s="8" t="s">
        <v>7632</v>
      </c>
      <c r="F822" s="9">
        <f t="array" ref="F822">VALUE(_wpsfn.REGEXP(E822,"\d+(\.\d+)?"))</f>
        <v>8.4</v>
      </c>
    </row>
    <row r="823" ht="62" spans="1:6">
      <c r="A823" s="6" t="s">
        <v>2039</v>
      </c>
      <c r="B823" s="3" t="s">
        <v>2035</v>
      </c>
      <c r="C823" s="4" t="s">
        <v>12</v>
      </c>
      <c r="D823" s="7">
        <v>7196.7</v>
      </c>
      <c r="E823" s="8" t="s">
        <v>7633</v>
      </c>
      <c r="F823" s="9">
        <f t="array" ref="F823">VALUE(_wpsfn.REGEXP(E823,"\d+(\.\d+)?"))</f>
        <v>10.8</v>
      </c>
    </row>
    <row r="824" ht="77.5" spans="1:6">
      <c r="A824" s="6" t="s">
        <v>2042</v>
      </c>
      <c r="B824" s="3" t="s">
        <v>7634</v>
      </c>
      <c r="C824" s="4" t="s">
        <v>12</v>
      </c>
      <c r="D824" s="7">
        <v>10078.95</v>
      </c>
      <c r="E824" s="8" t="s">
        <v>7630</v>
      </c>
      <c r="F824" s="9">
        <f t="array" ref="F824">VALUE(_wpsfn.REGEXP(E824,"\d+(\.\d+)?"))</f>
        <v>4.2</v>
      </c>
    </row>
    <row r="825" ht="77.5" spans="1:6">
      <c r="A825" s="6" t="s">
        <v>2044</v>
      </c>
      <c r="B825" s="3" t="s">
        <v>7635</v>
      </c>
      <c r="C825" s="4" t="s">
        <v>12</v>
      </c>
      <c r="D825" s="7">
        <v>9894.8</v>
      </c>
      <c r="E825" s="8" t="s">
        <v>7631</v>
      </c>
      <c r="F825" s="9">
        <f t="array" ref="F825">VALUE(_wpsfn.REGEXP(E825,"\d+(\.\d+)?"))</f>
        <v>5.67</v>
      </c>
    </row>
    <row r="826" ht="62" spans="1:6">
      <c r="A826" s="6" t="s">
        <v>2048</v>
      </c>
      <c r="B826" s="3" t="s">
        <v>2049</v>
      </c>
      <c r="C826" s="4" t="s">
        <v>12</v>
      </c>
      <c r="D826" s="7">
        <v>8287.05</v>
      </c>
      <c r="E826" s="8" t="s">
        <v>7631</v>
      </c>
      <c r="F826" s="9">
        <f t="array" ref="F826">VALUE(_wpsfn.REGEXP(E826,"\d+(\.\d+)?"))</f>
        <v>5.67</v>
      </c>
    </row>
    <row r="827" ht="62" spans="1:6">
      <c r="A827" s="6" t="s">
        <v>2050</v>
      </c>
      <c r="B827" s="3" t="s">
        <v>2051</v>
      </c>
      <c r="C827" s="4" t="s">
        <v>12</v>
      </c>
      <c r="D827" s="7">
        <v>7943.95</v>
      </c>
      <c r="E827" s="8" t="s">
        <v>7636</v>
      </c>
      <c r="F827" s="9">
        <f t="array" ref="F827">VALUE(_wpsfn.REGEXP(E827,"\d+(\.\d+)?"))</f>
        <v>8.1</v>
      </c>
    </row>
    <row r="828" ht="46.5" spans="1:6">
      <c r="A828" s="6" t="s">
        <v>2054</v>
      </c>
      <c r="B828" s="3" t="s">
        <v>2055</v>
      </c>
      <c r="C828" s="4" t="s">
        <v>12</v>
      </c>
      <c r="D828" s="7">
        <v>8247.25</v>
      </c>
      <c r="E828" s="8" t="s">
        <v>7610</v>
      </c>
      <c r="F828" s="9">
        <f t="array" ref="F828">VALUE(_wpsfn.REGEXP(E828,"\d+(\.\d+)?"))</f>
        <v>0.54</v>
      </c>
    </row>
    <row r="829" ht="46.5" spans="1:6">
      <c r="A829" s="6" t="s">
        <v>2056</v>
      </c>
      <c r="B829" s="3" t="s">
        <v>2057</v>
      </c>
      <c r="C829" s="4" t="s">
        <v>12</v>
      </c>
      <c r="D829" s="7">
        <v>8054.75</v>
      </c>
      <c r="E829" s="8" t="s">
        <v>7505</v>
      </c>
      <c r="F829" s="9">
        <f t="array" ref="F829">VALUE(_wpsfn.REGEXP(E829,"\d+(\.\d+)?"))</f>
        <v>0.72</v>
      </c>
    </row>
    <row r="830" ht="46.5" spans="1:6">
      <c r="A830" s="6" t="s">
        <v>2058</v>
      </c>
      <c r="B830" s="3" t="s">
        <v>2059</v>
      </c>
      <c r="C830" s="4" t="s">
        <v>12</v>
      </c>
      <c r="D830" s="7">
        <v>7080.05</v>
      </c>
      <c r="E830" s="8" t="s">
        <v>7637</v>
      </c>
      <c r="F830" s="9">
        <f t="array" ref="F830">VALUE(_wpsfn.REGEXP(E830,"\d+(\.\d+)?"))</f>
        <v>1.05</v>
      </c>
    </row>
    <row r="831" ht="46.5" spans="1:6">
      <c r="A831" s="6" t="s">
        <v>2060</v>
      </c>
      <c r="B831" s="3" t="s">
        <v>2061</v>
      </c>
      <c r="C831" s="4" t="s">
        <v>12</v>
      </c>
      <c r="D831" s="7">
        <v>6032.85</v>
      </c>
      <c r="E831" s="8" t="s">
        <v>7638</v>
      </c>
      <c r="F831" s="9">
        <f t="array" ref="F831">VALUE(_wpsfn.REGEXP(E831,"\d+(\.\d+)?"))</f>
        <v>2.43</v>
      </c>
    </row>
    <row r="832" ht="62" spans="1:6">
      <c r="A832" s="6" t="s">
        <v>2064</v>
      </c>
      <c r="B832" s="3" t="s">
        <v>2065</v>
      </c>
      <c r="C832" s="4" t="s">
        <v>12</v>
      </c>
      <c r="D832" s="7">
        <v>9155.2</v>
      </c>
      <c r="E832" s="8" t="s">
        <v>7610</v>
      </c>
      <c r="F832" s="9">
        <f t="array" ref="F832">VALUE(_wpsfn.REGEXP(E832,"\d+(\.\d+)?"))</f>
        <v>0.54</v>
      </c>
    </row>
    <row r="833" ht="62" spans="1:6">
      <c r="A833" s="6" t="s">
        <v>2066</v>
      </c>
      <c r="B833" s="3" t="s">
        <v>2067</v>
      </c>
      <c r="C833" s="4" t="s">
        <v>12</v>
      </c>
      <c r="D833" s="7">
        <v>8765.4</v>
      </c>
      <c r="E833" s="8" t="s">
        <v>7505</v>
      </c>
      <c r="F833" s="9">
        <f t="array" ref="F833">VALUE(_wpsfn.REGEXP(E833,"\d+(\.\d+)?"))</f>
        <v>0.72</v>
      </c>
    </row>
    <row r="834" ht="62" spans="1:6">
      <c r="A834" s="6" t="s">
        <v>2068</v>
      </c>
      <c r="B834" s="3" t="s">
        <v>2069</v>
      </c>
      <c r="C834" s="4" t="s">
        <v>12</v>
      </c>
      <c r="D834" s="7">
        <v>7827.75</v>
      </c>
      <c r="E834" s="8" t="s">
        <v>7637</v>
      </c>
      <c r="F834" s="9">
        <f t="array" ref="F834">VALUE(_wpsfn.REGEXP(E834,"\d+(\.\d+)?"))</f>
        <v>1.05</v>
      </c>
    </row>
    <row r="835" ht="62" spans="1:6">
      <c r="A835" s="6" t="s">
        <v>2070</v>
      </c>
      <c r="B835" s="3" t="s">
        <v>2071</v>
      </c>
      <c r="C835" s="4" t="s">
        <v>12</v>
      </c>
      <c r="D835" s="7">
        <v>6528.8</v>
      </c>
      <c r="E835" s="8" t="s">
        <v>7638</v>
      </c>
      <c r="F835" s="9">
        <f t="array" ref="F835">VALUE(_wpsfn.REGEXP(E835,"\d+(\.\d+)?"))</f>
        <v>2.43</v>
      </c>
    </row>
    <row r="836" ht="62" spans="1:6">
      <c r="A836" s="6" t="s">
        <v>2074</v>
      </c>
      <c r="B836" s="3" t="s">
        <v>2075</v>
      </c>
      <c r="C836" s="4" t="s">
        <v>12</v>
      </c>
      <c r="D836" s="7">
        <v>13201.2</v>
      </c>
      <c r="E836" s="8" t="s">
        <v>7610</v>
      </c>
      <c r="F836" s="9">
        <f t="array" ref="F836">VALUE(_wpsfn.REGEXP(E836,"\d+(\.\d+)?"))</f>
        <v>0.54</v>
      </c>
    </row>
    <row r="837" ht="62" spans="1:6">
      <c r="A837" s="6" t="s">
        <v>2076</v>
      </c>
      <c r="B837" s="3" t="s">
        <v>7639</v>
      </c>
      <c r="C837" s="4" t="s">
        <v>12</v>
      </c>
      <c r="D837" s="7">
        <v>12254.9</v>
      </c>
      <c r="E837" s="8" t="s">
        <v>7505</v>
      </c>
      <c r="F837" s="9">
        <f t="array" ref="F837">VALUE(_wpsfn.REGEXP(E837,"\d+(\.\d+)?"))</f>
        <v>0.72</v>
      </c>
    </row>
    <row r="838" ht="62" spans="1:6">
      <c r="A838" s="6" t="s">
        <v>2078</v>
      </c>
      <c r="B838" s="3" t="s">
        <v>7640</v>
      </c>
      <c r="C838" s="4" t="s">
        <v>12</v>
      </c>
      <c r="D838" s="7">
        <v>11919.85</v>
      </c>
      <c r="E838" s="8" t="s">
        <v>7637</v>
      </c>
      <c r="F838" s="9">
        <f t="array" ref="F838">VALUE(_wpsfn.REGEXP(E838,"\d+(\.\d+)?"))</f>
        <v>1.05</v>
      </c>
    </row>
    <row r="839" ht="62" spans="1:6">
      <c r="A839" s="6" t="s">
        <v>2082</v>
      </c>
      <c r="B839" s="3" t="s">
        <v>2083</v>
      </c>
      <c r="C839" s="4" t="s">
        <v>12</v>
      </c>
      <c r="D839" s="7">
        <v>14449.25</v>
      </c>
      <c r="E839" s="8" t="s">
        <v>7505</v>
      </c>
      <c r="F839" s="9">
        <f t="array" ref="F839">VALUE(_wpsfn.REGEXP(E839,"\d+(\.\d+)?"))</f>
        <v>0.72</v>
      </c>
    </row>
    <row r="840" ht="62" spans="1:6">
      <c r="A840" s="6" t="s">
        <v>2084</v>
      </c>
      <c r="B840" s="3" t="s">
        <v>2085</v>
      </c>
      <c r="C840" s="4" t="s">
        <v>12</v>
      </c>
      <c r="D840" s="7">
        <v>13387.15</v>
      </c>
      <c r="E840" s="8" t="s">
        <v>7637</v>
      </c>
      <c r="F840" s="9">
        <f t="array" ref="F840">VALUE(_wpsfn.REGEXP(E840,"\d+(\.\d+)?"))</f>
        <v>1.05</v>
      </c>
    </row>
    <row r="841" ht="62" spans="1:6">
      <c r="A841" s="6" t="s">
        <v>2086</v>
      </c>
      <c r="B841" s="3" t="s">
        <v>2087</v>
      </c>
      <c r="C841" s="4" t="s">
        <v>12</v>
      </c>
      <c r="D841" s="7">
        <v>14587.05</v>
      </c>
      <c r="E841" s="8" t="s">
        <v>7641</v>
      </c>
      <c r="F841" s="9">
        <f t="array" ref="F841">VALUE(_wpsfn.REGEXP(E841,"\d+(\.\d+)?"))</f>
        <v>1.2</v>
      </c>
    </row>
    <row r="842" ht="77.5" spans="1:6">
      <c r="A842" s="6" t="s">
        <v>2090</v>
      </c>
      <c r="B842" s="3" t="s">
        <v>7642</v>
      </c>
      <c r="C842" s="4" t="s">
        <v>12</v>
      </c>
      <c r="D842" s="7">
        <v>13078.7</v>
      </c>
      <c r="E842" s="8" t="s">
        <v>7643</v>
      </c>
      <c r="F842" s="9">
        <f t="array" ref="F842">VALUE(_wpsfn.REGEXP(E842,"\d+(\.\d+)?"))</f>
        <v>1.44</v>
      </c>
    </row>
    <row r="843" ht="77.5" spans="1:6">
      <c r="A843" s="6" t="s">
        <v>2092</v>
      </c>
      <c r="B843" s="3" t="s">
        <v>7644</v>
      </c>
      <c r="C843" s="4" t="s">
        <v>12</v>
      </c>
      <c r="D843" s="7">
        <v>12472.95</v>
      </c>
      <c r="E843" s="8" t="s">
        <v>7602</v>
      </c>
      <c r="F843" s="9">
        <f t="array" ref="F843">VALUE(_wpsfn.REGEXP(E843,"\d+(\.\d+)?"))</f>
        <v>2.1</v>
      </c>
    </row>
    <row r="844" ht="77.5" spans="1:6">
      <c r="A844" s="6" t="s">
        <v>2094</v>
      </c>
      <c r="B844" s="3" t="s">
        <v>7645</v>
      </c>
      <c r="C844" s="4" t="s">
        <v>12</v>
      </c>
      <c r="D844" s="7">
        <v>13477.1</v>
      </c>
      <c r="E844" s="8" t="s">
        <v>7646</v>
      </c>
      <c r="F844" s="9">
        <f t="array" ref="F844">VALUE(_wpsfn.REGEXP(E844,"\d+(\.\d+)?"))</f>
        <v>2.4</v>
      </c>
    </row>
    <row r="845" ht="77.5" spans="1:6">
      <c r="A845" s="6" t="s">
        <v>2098</v>
      </c>
      <c r="B845" s="3" t="s">
        <v>7647</v>
      </c>
      <c r="C845" s="4" t="s">
        <v>12</v>
      </c>
      <c r="D845" s="7">
        <v>11715.95</v>
      </c>
      <c r="E845" s="8" t="s">
        <v>7643</v>
      </c>
      <c r="F845" s="9">
        <f t="array" ref="F845">VALUE(_wpsfn.REGEXP(E845,"\d+(\.\d+)?"))</f>
        <v>1.44</v>
      </c>
    </row>
    <row r="846" ht="77.5" spans="1:6">
      <c r="A846" s="6" t="s">
        <v>2100</v>
      </c>
      <c r="B846" s="3" t="s">
        <v>7648</v>
      </c>
      <c r="C846" s="4" t="s">
        <v>12</v>
      </c>
      <c r="D846" s="7">
        <v>11466.8</v>
      </c>
      <c r="E846" s="8" t="s">
        <v>7602</v>
      </c>
      <c r="F846" s="9">
        <f t="array" ref="F846">VALUE(_wpsfn.REGEXP(E846,"\d+(\.\d+)?"))</f>
        <v>2.1</v>
      </c>
    </row>
    <row r="847" ht="77.5" spans="1:6">
      <c r="A847" s="6" t="s">
        <v>2102</v>
      </c>
      <c r="B847" s="3" t="s">
        <v>7649</v>
      </c>
      <c r="C847" s="4" t="s">
        <v>12</v>
      </c>
      <c r="D847" s="7">
        <v>12496.3</v>
      </c>
      <c r="E847" s="8" t="s">
        <v>7646</v>
      </c>
      <c r="F847" s="9">
        <f t="array" ref="F847">VALUE(_wpsfn.REGEXP(E847,"\d+(\.\d+)?"))</f>
        <v>2.4</v>
      </c>
    </row>
    <row r="848" ht="93" spans="1:6">
      <c r="A848" s="6" t="s">
        <v>2106</v>
      </c>
      <c r="B848" s="3" t="s">
        <v>2107</v>
      </c>
      <c r="C848" s="4" t="s">
        <v>12</v>
      </c>
      <c r="D848" s="7">
        <v>9870.15</v>
      </c>
      <c r="E848" s="8" t="s">
        <v>7643</v>
      </c>
      <c r="F848" s="9">
        <f t="array" ref="F848">VALUE(_wpsfn.REGEXP(E848,"\d+(\.\d+)?"))</f>
        <v>1.44</v>
      </c>
    </row>
    <row r="849" ht="93" spans="1:6">
      <c r="A849" s="6" t="s">
        <v>2108</v>
      </c>
      <c r="B849" s="3" t="s">
        <v>2109</v>
      </c>
      <c r="C849" s="4" t="s">
        <v>12</v>
      </c>
      <c r="D849" s="7">
        <v>9308</v>
      </c>
      <c r="E849" s="8" t="s">
        <v>7602</v>
      </c>
      <c r="F849" s="9">
        <f t="array" ref="F849">VALUE(_wpsfn.REGEXP(E849,"\d+(\.\d+)?"))</f>
        <v>2.1</v>
      </c>
    </row>
    <row r="850" ht="93" spans="1:6">
      <c r="A850" s="6" t="s">
        <v>2110</v>
      </c>
      <c r="B850" s="3" t="s">
        <v>2111</v>
      </c>
      <c r="C850" s="4" t="s">
        <v>12</v>
      </c>
      <c r="D850" s="7">
        <v>10212.6</v>
      </c>
      <c r="E850" s="8" t="s">
        <v>7646</v>
      </c>
      <c r="F850" s="9">
        <f t="array" ref="F850">VALUE(_wpsfn.REGEXP(E850,"\d+(\.\d+)?"))</f>
        <v>2.4</v>
      </c>
    </row>
    <row r="851" ht="93" spans="1:6">
      <c r="A851" s="6" t="s">
        <v>2114</v>
      </c>
      <c r="B851" s="3" t="s">
        <v>2115</v>
      </c>
      <c r="C851" s="4" t="s">
        <v>12</v>
      </c>
      <c r="D851" s="7">
        <v>10474.05</v>
      </c>
      <c r="E851" s="8" t="s">
        <v>7587</v>
      </c>
      <c r="F851" s="9">
        <f t="array" ref="F851">VALUE(_wpsfn.REGEXP(E851,"\d+(\.\d+)?"))</f>
        <v>2.16</v>
      </c>
    </row>
    <row r="852" ht="93" spans="1:6">
      <c r="A852" s="6" t="s">
        <v>2116</v>
      </c>
      <c r="B852" s="3" t="s">
        <v>2117</v>
      </c>
      <c r="C852" s="4" t="s">
        <v>12</v>
      </c>
      <c r="D852" s="7">
        <v>10051.2</v>
      </c>
      <c r="E852" s="8" t="s">
        <v>7650</v>
      </c>
      <c r="F852" s="9">
        <f t="array" ref="F852">VALUE(_wpsfn.REGEXP(E852,"\d+(\.\d+)?"))</f>
        <v>3.15</v>
      </c>
    </row>
    <row r="853" ht="93" spans="1:6">
      <c r="A853" s="6" t="s">
        <v>2118</v>
      </c>
      <c r="B853" s="3" t="s">
        <v>2119</v>
      </c>
      <c r="C853" s="4" t="s">
        <v>12</v>
      </c>
      <c r="D853" s="7">
        <v>10200.75</v>
      </c>
      <c r="E853" s="8" t="s">
        <v>7651</v>
      </c>
      <c r="F853" s="9">
        <f t="array" ref="F853">VALUE(_wpsfn.REGEXP(E853,"\d+(\.\d+)?"))</f>
        <v>4</v>
      </c>
    </row>
    <row r="854" ht="93" spans="1:6">
      <c r="A854" s="6" t="s">
        <v>2122</v>
      </c>
      <c r="B854" s="3" t="s">
        <v>2123</v>
      </c>
      <c r="C854" s="4" t="s">
        <v>12</v>
      </c>
      <c r="D854" s="7">
        <v>22785.35</v>
      </c>
      <c r="E854" s="8" t="s">
        <v>7637</v>
      </c>
      <c r="F854" s="9">
        <f t="array" ref="F854">VALUE(_wpsfn.REGEXP(E854,"\d+(\.\d+)?"))</f>
        <v>1.05</v>
      </c>
    </row>
    <row r="855" ht="124" spans="1:6">
      <c r="A855" s="6" t="s">
        <v>2126</v>
      </c>
      <c r="B855" s="3" t="s">
        <v>2127</v>
      </c>
      <c r="C855" s="4" t="s">
        <v>12</v>
      </c>
      <c r="D855" s="7">
        <v>20576.3</v>
      </c>
      <c r="E855" s="8" t="s">
        <v>7602</v>
      </c>
      <c r="F855" s="9">
        <f t="array" ref="F855">VALUE(_wpsfn.REGEXP(E855,"\d+(\.\d+)?"))</f>
        <v>2.1</v>
      </c>
    </row>
    <row r="856" ht="124" spans="1:6">
      <c r="A856" s="6" t="s">
        <v>2130</v>
      </c>
      <c r="B856" s="3" t="s">
        <v>2131</v>
      </c>
      <c r="C856" s="4" t="s">
        <v>12</v>
      </c>
      <c r="D856" s="7">
        <v>19047.6</v>
      </c>
      <c r="E856" s="8" t="s">
        <v>7602</v>
      </c>
      <c r="F856" s="9">
        <f t="array" ref="F856">VALUE(_wpsfn.REGEXP(E856,"\d+(\.\d+)?"))</f>
        <v>2.1</v>
      </c>
    </row>
    <row r="857" ht="62" spans="1:6">
      <c r="A857" s="6" t="s">
        <v>2134</v>
      </c>
      <c r="B857" s="3" t="s">
        <v>7652</v>
      </c>
      <c r="C857" s="4" t="s">
        <v>12</v>
      </c>
      <c r="D857" s="7">
        <v>12496.05</v>
      </c>
      <c r="E857" s="8" t="s">
        <v>7653</v>
      </c>
      <c r="F857" s="9">
        <f t="array" ref="F857">VALUE(_wpsfn.REGEXP(E857,"\d+(\.\d+)?"))</f>
        <v>1.89</v>
      </c>
    </row>
    <row r="858" ht="62" spans="1:6">
      <c r="A858" s="6" t="s">
        <v>2136</v>
      </c>
      <c r="B858" s="3" t="s">
        <v>2137</v>
      </c>
      <c r="C858" s="4" t="s">
        <v>12</v>
      </c>
      <c r="D858" s="7">
        <v>12454.4</v>
      </c>
      <c r="E858" s="8" t="s">
        <v>7638</v>
      </c>
      <c r="F858" s="9">
        <f t="array" ref="F858">VALUE(_wpsfn.REGEXP(E858,"\d+(\.\d+)?"))</f>
        <v>2.43</v>
      </c>
    </row>
    <row r="859" ht="77.5" spans="1:6">
      <c r="A859" s="6" t="s">
        <v>2140</v>
      </c>
      <c r="B859" s="3" t="s">
        <v>2141</v>
      </c>
      <c r="C859" s="4" t="s">
        <v>12</v>
      </c>
      <c r="D859" s="7">
        <v>11903.75</v>
      </c>
      <c r="E859" s="8" t="s">
        <v>7654</v>
      </c>
      <c r="F859" s="9">
        <f t="array" ref="F859">VALUE(_wpsfn.REGEXP(E859,"\d+(\.\d+)?"))</f>
        <v>3.78</v>
      </c>
    </row>
    <row r="860" ht="77.5" spans="1:6">
      <c r="A860" s="6" t="s">
        <v>2142</v>
      </c>
      <c r="B860" s="3" t="s">
        <v>2143</v>
      </c>
      <c r="C860" s="4" t="s">
        <v>12</v>
      </c>
      <c r="D860" s="7">
        <v>11818.95</v>
      </c>
      <c r="E860" s="8" t="s">
        <v>7655</v>
      </c>
      <c r="F860" s="9">
        <f t="array" ref="F860">VALUE(_wpsfn.REGEXP(E860,"\d+(\.\d+)?"))</f>
        <v>4.86</v>
      </c>
    </row>
    <row r="861" ht="77.5" spans="1:6">
      <c r="A861" s="6" t="s">
        <v>2146</v>
      </c>
      <c r="B861" s="3" t="s">
        <v>2147</v>
      </c>
      <c r="C861" s="4" t="s">
        <v>12</v>
      </c>
      <c r="D861" s="7">
        <v>19994.4</v>
      </c>
      <c r="E861" s="8" t="s">
        <v>7653</v>
      </c>
      <c r="F861" s="9">
        <f t="array" ref="F861">VALUE(_wpsfn.REGEXP(E861,"\d+(\.\d+)?"))</f>
        <v>1.89</v>
      </c>
    </row>
    <row r="862" ht="15.5" spans="1:6">
      <c r="A862" s="6" t="s">
        <v>2150</v>
      </c>
      <c r="B862" s="3" t="s">
        <v>2151</v>
      </c>
      <c r="C862" s="4" t="s">
        <v>156</v>
      </c>
      <c r="D862" s="7">
        <v>381.3</v>
      </c>
      <c r="E862" s="8" t="s">
        <v>7576</v>
      </c>
      <c r="F862" s="9">
        <f t="array" ref="F862">VALUE(_wpsfn.REGEXP(E862,"\d+(\.\d+)?"))</f>
        <v>10</v>
      </c>
    </row>
    <row r="863" ht="15.5" spans="1:6">
      <c r="A863" s="6" t="s">
        <v>2152</v>
      </c>
      <c r="B863" s="3" t="s">
        <v>2153</v>
      </c>
      <c r="C863" s="4" t="s">
        <v>156</v>
      </c>
      <c r="D863" s="7">
        <v>422.55</v>
      </c>
      <c r="E863" s="8" t="s">
        <v>7576</v>
      </c>
      <c r="F863" s="9">
        <f t="array" ref="F863">VALUE(_wpsfn.REGEXP(E863,"\d+(\.\d+)?"))</f>
        <v>10</v>
      </c>
    </row>
    <row r="864" ht="15.5" spans="1:6">
      <c r="A864" s="6" t="s">
        <v>2154</v>
      </c>
      <c r="B864" s="3" t="s">
        <v>2155</v>
      </c>
      <c r="C864" s="4" t="s">
        <v>156</v>
      </c>
      <c r="D864" s="7">
        <v>459.55</v>
      </c>
      <c r="E864" s="8" t="s">
        <v>7576</v>
      </c>
      <c r="F864" s="9">
        <f t="array" ref="F864">VALUE(_wpsfn.REGEXP(E864,"\d+(\.\d+)?"))</f>
        <v>10</v>
      </c>
    </row>
    <row r="865" ht="15.5" spans="1:6">
      <c r="A865" s="6" t="s">
        <v>2156</v>
      </c>
      <c r="B865" s="3" t="s">
        <v>2157</v>
      </c>
      <c r="C865" s="4" t="s">
        <v>156</v>
      </c>
      <c r="D865" s="7">
        <v>624.6</v>
      </c>
      <c r="E865" s="8" t="s">
        <v>7576</v>
      </c>
      <c r="F865" s="9">
        <f t="array" ref="F865">VALUE(_wpsfn.REGEXP(E865,"\d+(\.\d+)?"))</f>
        <v>10</v>
      </c>
    </row>
    <row r="866" ht="15.5" spans="1:6">
      <c r="A866" s="6" t="s">
        <v>2158</v>
      </c>
      <c r="B866" s="3" t="s">
        <v>2159</v>
      </c>
      <c r="C866" s="4" t="s">
        <v>156</v>
      </c>
      <c r="D866" s="7">
        <v>610.35</v>
      </c>
      <c r="E866" s="8" t="s">
        <v>7576</v>
      </c>
      <c r="F866" s="9">
        <f t="array" ref="F866">VALUE(_wpsfn.REGEXP(E866,"\d+(\.\d+)?"))</f>
        <v>10</v>
      </c>
    </row>
    <row r="867" ht="62" spans="1:6">
      <c r="A867" s="6" t="s">
        <v>2160</v>
      </c>
      <c r="B867" s="12" t="s">
        <v>2161</v>
      </c>
      <c r="C867" s="4" t="s">
        <v>156</v>
      </c>
      <c r="D867" s="7">
        <v>231.05</v>
      </c>
      <c r="E867" s="8" t="s">
        <v>7576</v>
      </c>
      <c r="F867" s="9">
        <f t="array" ref="F867">VALUE(_wpsfn.REGEXP(E867,"\d+(\.\d+)?"))</f>
        <v>10</v>
      </c>
    </row>
    <row r="868" ht="62" spans="1:6">
      <c r="A868" s="6" t="s">
        <v>2162</v>
      </c>
      <c r="B868" s="12" t="s">
        <v>2163</v>
      </c>
      <c r="C868" s="4" t="s">
        <v>156</v>
      </c>
      <c r="D868" s="7">
        <v>204</v>
      </c>
      <c r="E868" s="8" t="s">
        <v>7576</v>
      </c>
      <c r="F868" s="9">
        <f t="array" ref="F868">VALUE(_wpsfn.REGEXP(E868,"\d+(\.\d+)?"))</f>
        <v>10</v>
      </c>
    </row>
    <row r="869" ht="46.5" spans="1:6">
      <c r="A869" s="6" t="s">
        <v>2164</v>
      </c>
      <c r="B869" s="12" t="s">
        <v>2165</v>
      </c>
      <c r="C869" s="4" t="s">
        <v>156</v>
      </c>
      <c r="D869" s="7">
        <v>115.8</v>
      </c>
      <c r="E869" s="8" t="s">
        <v>7576</v>
      </c>
      <c r="F869" s="9">
        <f t="array" ref="F869">VALUE(_wpsfn.REGEXP(E869,"\d+(\.\d+)?"))</f>
        <v>10</v>
      </c>
    </row>
    <row r="870" ht="46.5" spans="1:6">
      <c r="A870" s="6" t="s">
        <v>2166</v>
      </c>
      <c r="B870" s="12" t="s">
        <v>2167</v>
      </c>
      <c r="C870" s="4" t="s">
        <v>156</v>
      </c>
      <c r="D870" s="7">
        <v>185.5</v>
      </c>
      <c r="E870" s="8" t="s">
        <v>7576</v>
      </c>
      <c r="F870" s="9">
        <f t="array" ref="F870">VALUE(_wpsfn.REGEXP(E870,"\d+(\.\d+)?"))</f>
        <v>10</v>
      </c>
    </row>
    <row r="871" ht="62" spans="1:6">
      <c r="A871" s="6" t="s">
        <v>2168</v>
      </c>
      <c r="B871" s="12" t="s">
        <v>2169</v>
      </c>
      <c r="C871" s="4" t="s">
        <v>156</v>
      </c>
      <c r="D871" s="7">
        <v>198.3</v>
      </c>
      <c r="E871" s="8" t="s">
        <v>7576</v>
      </c>
      <c r="F871" s="9">
        <f t="array" ref="F871">VALUE(_wpsfn.REGEXP(E871,"\d+(\.\d+)?"))</f>
        <v>10</v>
      </c>
    </row>
    <row r="872" ht="248" spans="1:6">
      <c r="A872" s="6" t="s">
        <v>2170</v>
      </c>
      <c r="B872" s="12" t="s">
        <v>2171</v>
      </c>
      <c r="C872" s="4" t="s">
        <v>575</v>
      </c>
      <c r="D872" s="7">
        <v>166.8</v>
      </c>
      <c r="E872" s="8" t="s">
        <v>7656</v>
      </c>
      <c r="F872" s="9">
        <f t="array" ref="F872">VALUE(_wpsfn.REGEXP(E872,"\d+(\.\d+)?"))</f>
        <v>58.35</v>
      </c>
    </row>
    <row r="873" ht="170.5" spans="1:6">
      <c r="A873" s="6" t="s">
        <v>2172</v>
      </c>
      <c r="B873" s="12" t="s">
        <v>2173</v>
      </c>
      <c r="C873" s="4" t="s">
        <v>12</v>
      </c>
      <c r="D873" s="7">
        <v>1956.9</v>
      </c>
      <c r="E873" s="8" t="s">
        <v>7589</v>
      </c>
      <c r="F873" s="9">
        <f t="array" ref="F873">VALUE(_wpsfn.REGEXP(E873,"\d+(\.\d+)?"))</f>
        <v>0.66</v>
      </c>
    </row>
    <row r="874" ht="46.5" spans="1:6">
      <c r="A874" s="6" t="s">
        <v>2176</v>
      </c>
      <c r="B874" s="3" t="s">
        <v>2177</v>
      </c>
      <c r="C874" s="4" t="s">
        <v>12</v>
      </c>
      <c r="D874" s="7">
        <v>1031.5</v>
      </c>
      <c r="E874" s="8" t="s">
        <v>7657</v>
      </c>
      <c r="F874" s="9">
        <f t="array" ref="F874">VALUE(_wpsfn.REGEXP(E874,"\d+(\.\d+)?"))</f>
        <v>7</v>
      </c>
    </row>
    <row r="875" ht="46.5" spans="1:6">
      <c r="A875" s="6" t="s">
        <v>2178</v>
      </c>
      <c r="B875" s="3" t="s">
        <v>2179</v>
      </c>
      <c r="C875" s="4" t="s">
        <v>12</v>
      </c>
      <c r="D875" s="7">
        <v>1248</v>
      </c>
      <c r="E875" s="8" t="s">
        <v>7657</v>
      </c>
      <c r="F875" s="9">
        <f t="array" ref="F875">VALUE(_wpsfn.REGEXP(E875,"\d+(\.\d+)?"))</f>
        <v>7</v>
      </c>
    </row>
    <row r="876" ht="62" spans="1:6">
      <c r="A876" s="6" t="s">
        <v>2182</v>
      </c>
      <c r="B876" s="3" t="s">
        <v>2183</v>
      </c>
      <c r="C876" s="4" t="s">
        <v>12</v>
      </c>
      <c r="D876" s="7">
        <v>1415.7</v>
      </c>
      <c r="E876" s="8" t="s">
        <v>7591</v>
      </c>
      <c r="F876" s="9">
        <f t="array" ref="F876">VALUE(_wpsfn.REGEXP(E876,"\d+(\.\d+)?"))</f>
        <v>0.6</v>
      </c>
    </row>
    <row r="877" ht="62" spans="1:6">
      <c r="A877" s="6" t="s">
        <v>2184</v>
      </c>
      <c r="B877" s="3" t="s">
        <v>2185</v>
      </c>
      <c r="C877" s="4" t="s">
        <v>12</v>
      </c>
      <c r="D877" s="7">
        <v>1874.7</v>
      </c>
      <c r="E877" s="8" t="s">
        <v>7591</v>
      </c>
      <c r="F877" s="9">
        <f t="array" ref="F877">VALUE(_wpsfn.REGEXP(E877,"\d+(\.\d+)?"))</f>
        <v>0.6</v>
      </c>
    </row>
    <row r="878" ht="15.5" spans="1:6">
      <c r="A878" s="6" t="s">
        <v>2188</v>
      </c>
      <c r="B878" s="3" t="s">
        <v>2189</v>
      </c>
      <c r="C878" s="4" t="s">
        <v>12</v>
      </c>
      <c r="D878" s="7">
        <v>1212.75</v>
      </c>
      <c r="E878" s="8" t="s">
        <v>7397</v>
      </c>
      <c r="F878" s="9">
        <f t="array" ref="F878">VALUE(_wpsfn.REGEXP(E878,"\d+(\.\d+)?"))</f>
        <v>10</v>
      </c>
    </row>
    <row r="879" ht="15.5" spans="1:6">
      <c r="A879" s="6" t="s">
        <v>2190</v>
      </c>
      <c r="B879" s="3" t="s">
        <v>2191</v>
      </c>
      <c r="C879" s="4" t="s">
        <v>12</v>
      </c>
      <c r="D879" s="7">
        <v>1436.55</v>
      </c>
      <c r="E879" s="8" t="s">
        <v>7397</v>
      </c>
      <c r="F879" s="9">
        <f t="array" ref="F879">VALUE(_wpsfn.REGEXP(E879,"\d+(\.\d+)?"))</f>
        <v>10</v>
      </c>
    </row>
    <row r="880" ht="15.5" spans="1:6">
      <c r="A880" s="6" t="s">
        <v>2192</v>
      </c>
      <c r="B880" s="3" t="s">
        <v>2193</v>
      </c>
      <c r="C880" s="4" t="s">
        <v>12</v>
      </c>
      <c r="D880" s="7">
        <v>1912.25</v>
      </c>
      <c r="E880" s="8" t="s">
        <v>7397</v>
      </c>
      <c r="F880" s="9">
        <f t="array" ref="F880">VALUE(_wpsfn.REGEXP(E880,"\d+(\.\d+)?"))</f>
        <v>10</v>
      </c>
    </row>
    <row r="881" ht="186" spans="1:6">
      <c r="A881" s="6" t="s">
        <v>2194</v>
      </c>
      <c r="B881" s="12" t="s">
        <v>2195</v>
      </c>
      <c r="C881" s="4" t="s">
        <v>12</v>
      </c>
      <c r="D881" s="7">
        <v>2135.25</v>
      </c>
      <c r="E881" s="8" t="s">
        <v>7592</v>
      </c>
      <c r="F881" s="9">
        <f t="array" ref="F881">VALUE(_wpsfn.REGEXP(E881,"\d+(\.\d+)?"))</f>
        <v>2.2</v>
      </c>
    </row>
    <row r="882" ht="15.5" spans="1:6">
      <c r="A882" s="6" t="s">
        <v>2198</v>
      </c>
      <c r="B882" s="3" t="s">
        <v>2191</v>
      </c>
      <c r="C882" s="4" t="s">
        <v>12</v>
      </c>
      <c r="D882" s="7">
        <v>2076.65</v>
      </c>
      <c r="E882" s="8" t="s">
        <v>7620</v>
      </c>
      <c r="F882" s="9">
        <f t="array" ref="F882">VALUE(_wpsfn.REGEXP(E882,"\d+(\.\d+)?"))</f>
        <v>6</v>
      </c>
    </row>
    <row r="883" ht="15.5" spans="1:6">
      <c r="A883" s="6" t="s">
        <v>2199</v>
      </c>
      <c r="B883" s="3" t="s">
        <v>2193</v>
      </c>
      <c r="C883" s="4" t="s">
        <v>12</v>
      </c>
      <c r="D883" s="7">
        <v>2552.4</v>
      </c>
      <c r="E883" s="8" t="s">
        <v>7620</v>
      </c>
      <c r="F883" s="9">
        <f t="array" ref="F883">VALUE(_wpsfn.REGEXP(E883,"\d+(\.\d+)?"))</f>
        <v>6</v>
      </c>
    </row>
    <row r="884" ht="356.5" spans="1:6">
      <c r="A884" s="6" t="s">
        <v>2200</v>
      </c>
      <c r="B884" s="12" t="s">
        <v>2201</v>
      </c>
      <c r="C884" s="4" t="s">
        <v>49</v>
      </c>
      <c r="D884" s="7">
        <v>2202.9</v>
      </c>
      <c r="E884" s="8" t="s">
        <v>7658</v>
      </c>
      <c r="F884" s="9">
        <f t="array" ref="F884">VALUE(_wpsfn.REGEXP(E884,"\d+(\.\d+)?"))</f>
        <v>5.81</v>
      </c>
    </row>
    <row r="885" ht="325.5" spans="1:6">
      <c r="A885" s="6" t="s">
        <v>2202</v>
      </c>
      <c r="B885" s="12" t="s">
        <v>2203</v>
      </c>
      <c r="C885" s="4" t="s">
        <v>12</v>
      </c>
      <c r="D885" s="7">
        <v>12017.9</v>
      </c>
      <c r="E885" s="8" t="s">
        <v>7659</v>
      </c>
      <c r="F885" s="9">
        <f t="array" ref="F885">VALUE(_wpsfn.REGEXP(E885,"\d+(\.\d+)?"))</f>
        <v>3.5</v>
      </c>
    </row>
    <row r="886" ht="341" spans="1:6">
      <c r="A886" s="6" t="s">
        <v>2204</v>
      </c>
      <c r="B886" s="12" t="s">
        <v>7660</v>
      </c>
      <c r="C886" s="4" t="s">
        <v>49</v>
      </c>
      <c r="D886" s="7">
        <v>2202.9</v>
      </c>
      <c r="E886" s="8" t="s">
        <v>7658</v>
      </c>
      <c r="F886" s="9">
        <f t="array" ref="F886">VALUE(_wpsfn.REGEXP(E886,"\d+(\.\d+)?"))</f>
        <v>5.81</v>
      </c>
    </row>
    <row r="887" ht="409.5" spans="1:6">
      <c r="A887" s="6" t="s">
        <v>2206</v>
      </c>
      <c r="B887" s="12" t="s">
        <v>7661</v>
      </c>
      <c r="C887" s="4" t="s">
        <v>12</v>
      </c>
      <c r="D887" s="7">
        <v>43677.65</v>
      </c>
      <c r="E887" s="8" t="s">
        <v>7615</v>
      </c>
      <c r="F887" s="9">
        <f t="array" ref="F887">VALUE(_wpsfn.REGEXP(E887,"\d+(\.\d+)?"))</f>
        <v>2.46</v>
      </c>
    </row>
    <row r="888" ht="15.5" spans="1:6">
      <c r="A888" s="6" t="s">
        <v>2210</v>
      </c>
      <c r="B888" s="3" t="s">
        <v>1552</v>
      </c>
      <c r="C888" s="4" t="s">
        <v>156</v>
      </c>
      <c r="D888" s="7">
        <v>119.2</v>
      </c>
      <c r="E888" s="8" t="s">
        <v>7576</v>
      </c>
      <c r="F888" s="9">
        <f t="array" ref="F888">VALUE(_wpsfn.REGEXP(E888,"\d+(\.\d+)?"))</f>
        <v>10</v>
      </c>
    </row>
    <row r="889" ht="15.5" spans="1:6">
      <c r="A889" s="6" t="s">
        <v>2211</v>
      </c>
      <c r="B889" s="3" t="s">
        <v>2212</v>
      </c>
      <c r="C889" s="4" t="s">
        <v>156</v>
      </c>
      <c r="D889" s="7">
        <v>90.45</v>
      </c>
      <c r="E889" s="8" t="s">
        <v>7576</v>
      </c>
      <c r="F889" s="9">
        <f t="array" ref="F889">VALUE(_wpsfn.REGEXP(E889,"\d+(\.\d+)?"))</f>
        <v>10</v>
      </c>
    </row>
    <row r="890" ht="15.5" spans="1:6">
      <c r="A890" s="6" t="s">
        <v>2213</v>
      </c>
      <c r="B890" s="3" t="s">
        <v>1597</v>
      </c>
      <c r="C890" s="4" t="s">
        <v>156</v>
      </c>
      <c r="D890" s="7">
        <v>58.75</v>
      </c>
      <c r="E890" s="8" t="s">
        <v>7576</v>
      </c>
      <c r="F890" s="9">
        <f t="array" ref="F890">VALUE(_wpsfn.REGEXP(E890,"\d+(\.\d+)?"))</f>
        <v>10</v>
      </c>
    </row>
    <row r="891" ht="15.5" spans="1:6">
      <c r="A891" s="6" t="s">
        <v>2216</v>
      </c>
      <c r="B891" s="3" t="s">
        <v>1222</v>
      </c>
      <c r="C891" s="4" t="s">
        <v>12</v>
      </c>
      <c r="D891" s="7">
        <v>1362.3</v>
      </c>
      <c r="E891" s="8" t="s">
        <v>7591</v>
      </c>
      <c r="F891" s="9">
        <f t="array" ref="F891">VALUE(_wpsfn.REGEXP(E891,"\d+(\.\d+)?"))</f>
        <v>0.6</v>
      </c>
    </row>
    <row r="892" ht="139.5" spans="1:6">
      <c r="A892" s="6" t="s">
        <v>2217</v>
      </c>
      <c r="B892" s="12" t="s">
        <v>2218</v>
      </c>
      <c r="C892" s="4" t="s">
        <v>12</v>
      </c>
      <c r="D892" s="7">
        <v>1010.6</v>
      </c>
      <c r="E892" s="8" t="s">
        <v>7590</v>
      </c>
      <c r="F892" s="9">
        <f t="array" ref="F892">VALUE(_wpsfn.REGEXP(E892,"\d+(\.\d+)?"))</f>
        <v>7</v>
      </c>
    </row>
    <row r="893" ht="186" spans="1:6">
      <c r="A893" s="6" t="s">
        <v>2219</v>
      </c>
      <c r="B893" s="12" t="s">
        <v>7662</v>
      </c>
      <c r="C893" s="4" t="s">
        <v>12</v>
      </c>
      <c r="D893" s="7">
        <v>2829.25</v>
      </c>
      <c r="E893" s="8" t="s">
        <v>7592</v>
      </c>
      <c r="F893" s="9">
        <f t="array" ref="F893">VALUE(_wpsfn.REGEXP(E893,"\d+(\.\d+)?"))</f>
        <v>2.2</v>
      </c>
    </row>
    <row r="894" ht="124" spans="1:6">
      <c r="A894" s="6" t="s">
        <v>2221</v>
      </c>
      <c r="B894" s="12" t="s">
        <v>7663</v>
      </c>
      <c r="C894" s="4" t="s">
        <v>12</v>
      </c>
      <c r="D894" s="7">
        <v>2593.15</v>
      </c>
      <c r="E894" s="8" t="s">
        <v>7591</v>
      </c>
      <c r="F894" s="9">
        <f t="array" ref="F894">VALUE(_wpsfn.REGEXP(E894,"\d+(\.\d+)?"))</f>
        <v>0.6</v>
      </c>
    </row>
    <row r="895" ht="15.5" spans="1:6">
      <c r="A895" s="6" t="s">
        <v>2225</v>
      </c>
      <c r="B895" s="3" t="s">
        <v>2226</v>
      </c>
      <c r="C895" s="4" t="s">
        <v>156</v>
      </c>
      <c r="D895" s="7">
        <v>186.65</v>
      </c>
      <c r="E895" s="8" t="s">
        <v>7576</v>
      </c>
      <c r="F895" s="9">
        <f t="array" ref="F895">VALUE(_wpsfn.REGEXP(E895,"\d+(\.\d+)?"))</f>
        <v>10</v>
      </c>
    </row>
    <row r="896" ht="124" spans="1:6">
      <c r="A896" s="6" t="s">
        <v>2227</v>
      </c>
      <c r="B896" s="12" t="s">
        <v>2228</v>
      </c>
      <c r="C896" s="4" t="s">
        <v>156</v>
      </c>
      <c r="D896" s="7">
        <v>272</v>
      </c>
      <c r="E896" s="8" t="s">
        <v>7576</v>
      </c>
      <c r="F896" s="9">
        <f t="array" ref="F896">VALUE(_wpsfn.REGEXP(E896,"\d+(\.\d+)?"))</f>
        <v>10</v>
      </c>
    </row>
    <row r="897" ht="77.5" spans="1:12">
      <c r="A897" s="6" t="s">
        <v>2229</v>
      </c>
      <c r="B897" s="12" t="s">
        <v>2230</v>
      </c>
      <c r="C897" s="4" t="s">
        <v>1848</v>
      </c>
      <c r="D897" s="7">
        <v>885.1</v>
      </c>
      <c r="E897" s="8" t="s">
        <v>7604</v>
      </c>
      <c r="F897" s="9">
        <f t="array" ref="F897">VALUE(_wpsfn.REGEXP(E897,"\d+(\.\d+)?"))</f>
        <v>10</v>
      </c>
    </row>
    <row r="898" ht="310" spans="1:12">
      <c r="A898" s="6" t="s">
        <v>2231</v>
      </c>
      <c r="B898" s="12" t="s">
        <v>2232</v>
      </c>
      <c r="C898" s="4" t="s">
        <v>575</v>
      </c>
      <c r="D898" s="7">
        <v>533.25</v>
      </c>
      <c r="E898" s="8" t="s">
        <v>7664</v>
      </c>
      <c r="F898" s="9">
        <f t="array" ref="F898">VALUE(_wpsfn.REGEXP(E898,"\d+(\.\d+)?"))</f>
        <v>2</v>
      </c>
    </row>
    <row r="899" ht="108.5" spans="1:12">
      <c r="A899" s="6" t="s">
        <v>2233</v>
      </c>
      <c r="B899" s="12" t="s">
        <v>2234</v>
      </c>
      <c r="C899" s="4" t="s">
        <v>49</v>
      </c>
      <c r="D899" s="7">
        <v>43.8</v>
      </c>
      <c r="E899" s="8" t="s">
        <v>7552</v>
      </c>
      <c r="F899" s="9">
        <f t="array" ref="F899">VALUE(_wpsfn.REGEXP(E899,"\d+(\.\d+)?"))</f>
        <v>10</v>
      </c>
    </row>
    <row r="900" ht="15.5" spans="1:12">
      <c r="A900" s="6" t="s">
        <v>204</v>
      </c>
      <c r="B900" s="12" t="s">
        <v>2</v>
      </c>
      <c r="C900" s="4" t="s">
        <v>3</v>
      </c>
      <c r="D900" s="14" t="s">
        <v>4</v>
      </c>
    </row>
    <row r="901" ht="77.5" spans="1:12">
      <c r="A901" s="6" t="s">
        <v>2236</v>
      </c>
      <c r="B901" s="12" t="s">
        <v>2237</v>
      </c>
      <c r="C901" s="4" t="s">
        <v>575</v>
      </c>
      <c r="D901" s="7">
        <v>117.35</v>
      </c>
      <c r="E901" s="8" t="s">
        <v>7665</v>
      </c>
      <c r="F901" s="9">
        <f t="array" ref="F901:G901">VALUE(_wpsfn.REGEXP(E901,"\d+(\.\d+)?"))</f>
        <v>100</v>
      </c>
      <c r="G901">
        <v>1</v>
      </c>
    </row>
    <row r="902" ht="93" spans="1:12">
      <c r="A902" s="6" t="s">
        <v>2238</v>
      </c>
      <c r="B902" s="12" t="s">
        <v>2239</v>
      </c>
      <c r="C902" s="4" t="s">
        <v>575</v>
      </c>
      <c r="D902" s="7">
        <v>133.7</v>
      </c>
      <c r="E902" s="8" t="s">
        <v>7666</v>
      </c>
      <c r="F902" s="9">
        <f t="array" ref="F902:L902">VALUE(_wpsfn.REGEXP(E902,"\d+(\.\d+)?"))</f>
        <v>395</v>
      </c>
      <c r="G902">
        <v>1.52</v>
      </c>
      <c r="H902">
        <v>0.51</v>
      </c>
      <c r="I902">
        <v>1.81</v>
      </c>
      <c r="J902">
        <v>0.06</v>
      </c>
      <c r="K902">
        <v>0.05</v>
      </c>
      <c r="L902">
        <v>3.95</v>
      </c>
    </row>
    <row r="903" ht="139.5" spans="1:12">
      <c r="A903" s="6" t="s">
        <v>2240</v>
      </c>
      <c r="B903" s="12" t="s">
        <v>2241</v>
      </c>
      <c r="C903" s="4" t="s">
        <v>12</v>
      </c>
      <c r="D903" s="7">
        <v>11439.6</v>
      </c>
      <c r="E903" s="8" t="s">
        <v>7667</v>
      </c>
      <c r="F903" s="9">
        <f t="array" ref="F903">VALUE(_wpsfn.REGEXP(E903,"\d+(\.\d+)?"))</f>
        <v>3.6</v>
      </c>
    </row>
    <row r="904" ht="139.5" spans="1:12">
      <c r="A904" s="6" t="s">
        <v>2242</v>
      </c>
      <c r="B904" s="12" t="s">
        <v>2243</v>
      </c>
      <c r="C904" s="4" t="s">
        <v>12</v>
      </c>
      <c r="D904" s="7">
        <v>6566.2</v>
      </c>
      <c r="E904" s="8" t="s">
        <v>7668</v>
      </c>
      <c r="F904" s="9">
        <f t="array" ref="F904">VALUE(_wpsfn.REGEXP(E904,"\d+(\.\d+)?"))</f>
        <v>5.76</v>
      </c>
    </row>
    <row r="905" ht="31" spans="1:12">
      <c r="A905" s="6" t="s">
        <v>2246</v>
      </c>
      <c r="B905" s="3" t="s">
        <v>2247</v>
      </c>
      <c r="C905" s="4" t="s">
        <v>12</v>
      </c>
      <c r="D905" s="7">
        <v>5804.35</v>
      </c>
      <c r="E905" s="8" t="s">
        <v>7668</v>
      </c>
      <c r="F905" s="9">
        <f t="array" ref="F905">VALUE(_wpsfn.REGEXP(E905,"\d+(\.\d+)?"))</f>
        <v>5.76</v>
      </c>
    </row>
    <row r="906" ht="31" spans="1:12">
      <c r="A906" s="6" t="s">
        <v>2248</v>
      </c>
      <c r="B906" s="3" t="s">
        <v>2249</v>
      </c>
      <c r="C906" s="4" t="s">
        <v>12</v>
      </c>
      <c r="D906" s="7">
        <v>5563.75</v>
      </c>
      <c r="E906" s="8" t="s">
        <v>7668</v>
      </c>
      <c r="F906" s="9">
        <f t="array" ref="F906">VALUE(_wpsfn.REGEXP(E906,"\d+(\.\d+)?"))</f>
        <v>5.76</v>
      </c>
    </row>
    <row r="907" ht="31" spans="1:12">
      <c r="A907" s="6" t="s">
        <v>2252</v>
      </c>
      <c r="B907" s="3" t="s">
        <v>2253</v>
      </c>
      <c r="C907" s="4" t="s">
        <v>12</v>
      </c>
      <c r="D907" s="7">
        <v>3653.2</v>
      </c>
      <c r="E907" s="8" t="s">
        <v>7669</v>
      </c>
      <c r="F907" s="9">
        <f t="array" ref="F907">VALUE(_wpsfn.REGEXP(E907,"\d+(\.\d+)?"))</f>
        <v>7.5</v>
      </c>
    </row>
    <row r="908" ht="31" spans="1:12">
      <c r="A908" s="6" t="s">
        <v>2254</v>
      </c>
      <c r="B908" s="3" t="s">
        <v>2255</v>
      </c>
      <c r="C908" s="4" t="s">
        <v>12</v>
      </c>
      <c r="D908" s="7">
        <v>3307.05</v>
      </c>
      <c r="E908" s="8" t="s">
        <v>7669</v>
      </c>
      <c r="F908" s="9">
        <f t="array" ref="F908">VALUE(_wpsfn.REGEXP(E908,"\d+(\.\d+)?"))</f>
        <v>7.5</v>
      </c>
    </row>
    <row r="909" ht="31" spans="1:12">
      <c r="A909" s="6" t="s">
        <v>2256</v>
      </c>
      <c r="B909" s="3" t="s">
        <v>2257</v>
      </c>
      <c r="C909" s="4" t="s">
        <v>12</v>
      </c>
      <c r="D909" s="7">
        <v>3191.35</v>
      </c>
      <c r="E909" s="8" t="s">
        <v>7669</v>
      </c>
      <c r="F909" s="9">
        <f t="array" ref="F909">VALUE(_wpsfn.REGEXP(E909,"\d+(\.\d+)?"))</f>
        <v>7.5</v>
      </c>
    </row>
    <row r="910" ht="31" spans="1:12">
      <c r="A910" s="6" t="s">
        <v>2258</v>
      </c>
      <c r="B910" s="12" t="s">
        <v>2259</v>
      </c>
      <c r="C910" s="4" t="s">
        <v>156</v>
      </c>
      <c r="D910" s="7">
        <v>492.35</v>
      </c>
      <c r="E910" s="8" t="s">
        <v>7544</v>
      </c>
      <c r="F910" s="9">
        <f t="array" ref="F910">VALUE(_wpsfn.REGEXP(E910,"\d+(\.\d+)?"))</f>
        <v>1</v>
      </c>
    </row>
    <row r="911" ht="31" spans="1:12">
      <c r="A911" s="6" t="s">
        <v>2262</v>
      </c>
      <c r="B911" s="3" t="s">
        <v>2263</v>
      </c>
      <c r="C911" s="4" t="s">
        <v>12</v>
      </c>
      <c r="D911" s="7">
        <v>1281.35</v>
      </c>
      <c r="E911" s="8" t="s">
        <v>7554</v>
      </c>
      <c r="F911" s="9">
        <f t="array" ref="F911">VALUE(_wpsfn.REGEXP(E911,"\d+(\.\d+)?"))</f>
        <v>1</v>
      </c>
    </row>
    <row r="912" ht="15.5" spans="1:12">
      <c r="A912" s="6" t="s">
        <v>2264</v>
      </c>
      <c r="B912" s="3" t="s">
        <v>2265</v>
      </c>
      <c r="C912" s="4" t="s">
        <v>12</v>
      </c>
      <c r="D912" s="7">
        <v>1181.8</v>
      </c>
      <c r="E912" s="8" t="s">
        <v>7554</v>
      </c>
      <c r="F912" s="9">
        <f t="array" ref="F912">VALUE(_wpsfn.REGEXP(E912,"\d+(\.\d+)?"))</f>
        <v>1</v>
      </c>
    </row>
    <row r="913" ht="77.5" spans="1:6">
      <c r="A913" s="6" t="s">
        <v>2266</v>
      </c>
      <c r="B913" s="12" t="s">
        <v>2267</v>
      </c>
      <c r="C913" s="4" t="s">
        <v>12</v>
      </c>
      <c r="D913" s="7">
        <v>768.25</v>
      </c>
      <c r="E913" s="8" t="s">
        <v>7503</v>
      </c>
      <c r="F913" s="9">
        <f t="array" ref="F913">VALUE(_wpsfn.REGEXP(E913,"\d+(\.\d+)?"))</f>
        <v>1.5</v>
      </c>
    </row>
    <row r="914" ht="77.5" spans="1:6">
      <c r="A914" s="6" t="s">
        <v>2270</v>
      </c>
      <c r="B914" s="3" t="s">
        <v>2271</v>
      </c>
      <c r="C914" s="4" t="s">
        <v>575</v>
      </c>
      <c r="D914" s="7">
        <v>82.45</v>
      </c>
      <c r="E914" s="8" t="s">
        <v>7670</v>
      </c>
      <c r="F914" s="9">
        <f t="array" ref="F914">VALUE(_wpsfn.REGEXP(E914,"\d+(\.\d+)?"))</f>
        <v>15</v>
      </c>
    </row>
    <row r="915" ht="46.5" spans="1:6">
      <c r="A915" s="6" t="s">
        <v>2272</v>
      </c>
      <c r="B915" s="3" t="s">
        <v>2273</v>
      </c>
      <c r="C915" s="4" t="s">
        <v>575</v>
      </c>
      <c r="D915" s="7">
        <v>40.8</v>
      </c>
      <c r="E915" s="8" t="s">
        <v>7670</v>
      </c>
      <c r="F915" s="9">
        <f t="array" ref="F915">VALUE(_wpsfn.REGEXP(E915,"\d+(\.\d+)?"))</f>
        <v>15</v>
      </c>
    </row>
    <row r="916" ht="77.5" spans="1:6">
      <c r="A916" s="6" t="s">
        <v>2276</v>
      </c>
      <c r="B916" s="3" t="s">
        <v>2271</v>
      </c>
      <c r="C916" s="4" t="s">
        <v>575</v>
      </c>
      <c r="D916" s="7">
        <v>131.05</v>
      </c>
      <c r="E916" s="8" t="s">
        <v>7671</v>
      </c>
      <c r="F916" s="9">
        <f t="array" ref="F916">VALUE(_wpsfn.REGEXP(E916,"\d+(\.\d+)?"))</f>
        <v>300</v>
      </c>
    </row>
    <row r="917" ht="46.5" spans="1:6">
      <c r="A917" s="6" t="s">
        <v>2277</v>
      </c>
      <c r="B917" s="3" t="s">
        <v>2273</v>
      </c>
      <c r="C917" s="4" t="s">
        <v>575</v>
      </c>
      <c r="D917" s="7">
        <v>128.25</v>
      </c>
      <c r="E917" s="8" t="s">
        <v>7671</v>
      </c>
      <c r="F917" s="9">
        <f t="array" ref="F917">VALUE(_wpsfn.REGEXP(E917,"\d+(\.\d+)?"))</f>
        <v>300</v>
      </c>
    </row>
    <row r="918" ht="93" spans="1:6">
      <c r="A918" s="6" t="s">
        <v>2278</v>
      </c>
      <c r="B918" s="12" t="s">
        <v>2279</v>
      </c>
      <c r="C918" s="4" t="s">
        <v>49</v>
      </c>
      <c r="D918" s="7">
        <v>49.6</v>
      </c>
      <c r="E918" s="8" t="s">
        <v>7531</v>
      </c>
      <c r="F918" s="9">
        <f t="array" ref="F918">VALUE(_wpsfn.REGEXP(E918,"\d+(\.\d+)?"))</f>
        <v>1</v>
      </c>
    </row>
    <row r="919" ht="77.5" spans="1:6">
      <c r="A919" s="6" t="s">
        <v>2282</v>
      </c>
      <c r="B919" s="3" t="s">
        <v>2283</v>
      </c>
      <c r="C919" s="4" t="s">
        <v>575</v>
      </c>
      <c r="D919" s="7">
        <v>141.7</v>
      </c>
      <c r="E919" s="8" t="s">
        <v>7672</v>
      </c>
      <c r="F919" s="9">
        <f t="array" ref="F919">VALUE(_wpsfn.REGEXP(E919,"\d+(\.\d+)?"))</f>
        <v>17.5</v>
      </c>
    </row>
    <row r="920" ht="46.5" spans="1:6">
      <c r="A920" s="6" t="s">
        <v>2284</v>
      </c>
      <c r="B920" s="3" t="s">
        <v>2273</v>
      </c>
      <c r="C920" s="4" t="s">
        <v>575</v>
      </c>
      <c r="D920" s="7">
        <v>136</v>
      </c>
      <c r="E920" s="8" t="s">
        <v>7672</v>
      </c>
      <c r="F920" s="9">
        <f t="array" ref="F920">VALUE(_wpsfn.REGEXP(E920,"\d+(\.\d+)?"))</f>
        <v>17.5</v>
      </c>
    </row>
    <row r="921" ht="31" spans="1:6">
      <c r="A921" s="6" t="s">
        <v>2289</v>
      </c>
      <c r="B921" s="3" t="s">
        <v>2290</v>
      </c>
      <c r="C921" s="4" t="s">
        <v>49</v>
      </c>
      <c r="D921" s="7">
        <v>583.3</v>
      </c>
      <c r="E921" s="8" t="s">
        <v>7605</v>
      </c>
      <c r="F921" s="9">
        <f t="array" ref="F921">VALUE(_wpsfn.REGEXP(E921,"\d+(\.\d+)?"))</f>
        <v>5</v>
      </c>
    </row>
    <row r="922" ht="46.5" spans="1:6">
      <c r="A922" s="6" t="s">
        <v>2291</v>
      </c>
      <c r="B922" s="3" t="s">
        <v>2273</v>
      </c>
      <c r="C922" s="4" t="s">
        <v>49</v>
      </c>
      <c r="D922" s="7">
        <v>570.4</v>
      </c>
      <c r="E922" s="8" t="s">
        <v>7605</v>
      </c>
      <c r="F922" s="9">
        <f t="array" ref="F922">VALUE(_wpsfn.REGEXP(E922,"\d+(\.\d+)?"))</f>
        <v>5</v>
      </c>
    </row>
    <row r="923" ht="31" spans="1:6">
      <c r="A923" s="6" t="s">
        <v>2294</v>
      </c>
      <c r="B923" s="3" t="s">
        <v>2290</v>
      </c>
      <c r="C923" s="4" t="s">
        <v>49</v>
      </c>
      <c r="D923" s="7">
        <v>611.75</v>
      </c>
      <c r="E923" s="8" t="s">
        <v>7605</v>
      </c>
      <c r="F923" s="9">
        <f t="array" ref="F923">VALUE(_wpsfn.REGEXP(E923,"\d+(\.\d+)?"))</f>
        <v>5</v>
      </c>
    </row>
    <row r="924" ht="46.5" spans="1:6">
      <c r="A924" s="6" t="s">
        <v>2295</v>
      </c>
      <c r="B924" s="3" t="s">
        <v>2273</v>
      </c>
      <c r="C924" s="4" t="s">
        <v>49</v>
      </c>
      <c r="D924" s="7">
        <v>598.85</v>
      </c>
      <c r="E924" s="8" t="s">
        <v>7605</v>
      </c>
      <c r="F924" s="9">
        <f t="array" ref="F924">VALUE(_wpsfn.REGEXP(E924,"\d+(\.\d+)?"))</f>
        <v>5</v>
      </c>
    </row>
    <row r="925" ht="31" spans="1:6">
      <c r="A925" s="6" t="s">
        <v>2298</v>
      </c>
      <c r="B925" s="3" t="s">
        <v>2290</v>
      </c>
      <c r="C925" s="4" t="s">
        <v>49</v>
      </c>
      <c r="D925" s="7">
        <v>640.2</v>
      </c>
      <c r="E925" s="8" t="s">
        <v>7605</v>
      </c>
      <c r="F925" s="9">
        <f t="array" ref="F925">VALUE(_wpsfn.REGEXP(E925,"\d+(\.\d+)?"))</f>
        <v>5</v>
      </c>
    </row>
    <row r="926" ht="46.5" spans="1:6">
      <c r="A926" s="6" t="s">
        <v>2299</v>
      </c>
      <c r="B926" s="3" t="s">
        <v>2273</v>
      </c>
      <c r="C926" s="4" t="s">
        <v>49</v>
      </c>
      <c r="D926" s="7">
        <v>627.3</v>
      </c>
      <c r="E926" s="8" t="s">
        <v>7605</v>
      </c>
      <c r="F926" s="9">
        <f t="array" ref="F926">VALUE(_wpsfn.REGEXP(E926,"\d+(\.\d+)?"))</f>
        <v>5</v>
      </c>
    </row>
    <row r="927" ht="77.5" spans="1:6">
      <c r="A927" s="6" t="s">
        <v>2302</v>
      </c>
      <c r="B927" s="3" t="s">
        <v>2271</v>
      </c>
      <c r="C927" s="4" t="s">
        <v>575</v>
      </c>
      <c r="D927" s="7">
        <v>195.2</v>
      </c>
      <c r="E927" s="8" t="s">
        <v>7673</v>
      </c>
      <c r="F927" s="9">
        <f t="array" ref="F927">VALUE(_wpsfn.REGEXP(E927,"\d+(\.\d+)?"))</f>
        <v>7.13</v>
      </c>
    </row>
    <row r="928" ht="46.5" spans="1:6">
      <c r="A928" s="6" t="s">
        <v>2303</v>
      </c>
      <c r="B928" s="3" t="s">
        <v>2273</v>
      </c>
      <c r="C928" s="4" t="s">
        <v>575</v>
      </c>
      <c r="D928" s="7">
        <v>181.25</v>
      </c>
      <c r="E928" s="8" t="s">
        <v>7673</v>
      </c>
      <c r="F928" s="9">
        <f t="array" ref="F928">VALUE(_wpsfn.REGEXP(E928,"\d+(\.\d+)?"))</f>
        <v>7.13</v>
      </c>
    </row>
    <row r="929" ht="15.5" spans="1:7">
      <c r="A929" s="6" t="s">
        <v>2306</v>
      </c>
      <c r="B929" s="3" t="s">
        <v>2307</v>
      </c>
      <c r="C929" s="4" t="s">
        <v>575</v>
      </c>
      <c r="D929" s="7">
        <v>194.4</v>
      </c>
      <c r="E929" s="8" t="s">
        <v>7674</v>
      </c>
      <c r="F929" s="9">
        <f t="array" ref="F929">VALUE(_wpsfn.REGEXP(E929,"\d+(\.\d+)?"))</f>
        <v>119</v>
      </c>
    </row>
    <row r="930" ht="15.5" spans="1:7">
      <c r="A930" s="6" t="s">
        <v>2308</v>
      </c>
      <c r="B930" s="3" t="s">
        <v>2309</v>
      </c>
      <c r="C930" s="4" t="s">
        <v>575</v>
      </c>
      <c r="D930" s="7">
        <v>206.35</v>
      </c>
      <c r="E930" s="8" t="s">
        <v>7674</v>
      </c>
      <c r="F930" s="9">
        <f t="array" ref="F930">VALUE(_wpsfn.REGEXP(E930,"\d+(\.\d+)?"))</f>
        <v>119</v>
      </c>
    </row>
    <row r="931" ht="31" spans="1:7">
      <c r="A931" s="6" t="s">
        <v>2310</v>
      </c>
      <c r="B931" s="3" t="s">
        <v>2311</v>
      </c>
      <c r="C931" s="4" t="s">
        <v>575</v>
      </c>
      <c r="D931" s="7">
        <v>194.4</v>
      </c>
      <c r="E931" s="8" t="s">
        <v>7674</v>
      </c>
      <c r="F931" s="9">
        <f t="array" ref="F931">VALUE(_wpsfn.REGEXP(E931,"\d+(\.\d+)?"))</f>
        <v>119</v>
      </c>
    </row>
    <row r="932" ht="93" spans="1:7">
      <c r="A932" s="6" t="s">
        <v>2312</v>
      </c>
      <c r="B932" s="12" t="s">
        <v>2313</v>
      </c>
      <c r="C932" s="4" t="s">
        <v>156</v>
      </c>
      <c r="D932" s="7">
        <v>226</v>
      </c>
      <c r="E932" s="8" t="s">
        <v>7675</v>
      </c>
      <c r="F932" s="9">
        <f t="array" ref="F932">VALUE(_wpsfn.REGEXP(E932,"\d+(\.\d+)?"))</f>
        <v>1</v>
      </c>
    </row>
    <row r="933" ht="170.5" spans="1:7">
      <c r="A933" s="6" t="s">
        <v>2314</v>
      </c>
      <c r="B933" s="12" t="s">
        <v>2315</v>
      </c>
      <c r="C933" s="4" t="s">
        <v>156</v>
      </c>
      <c r="D933" s="7">
        <v>220.65</v>
      </c>
      <c r="E933" s="8" t="s">
        <v>7676</v>
      </c>
      <c r="F933" s="9">
        <f t="array" ref="F933">VALUE(_wpsfn.REGEXP(E933,"\d+(\.\d+)?"))</f>
        <v>1</v>
      </c>
    </row>
    <row r="934" ht="46.5" spans="1:7">
      <c r="A934" s="6" t="s">
        <v>2316</v>
      </c>
      <c r="B934" s="12" t="s">
        <v>2317</v>
      </c>
      <c r="C934" s="4" t="s">
        <v>575</v>
      </c>
      <c r="D934" s="7">
        <v>97.2</v>
      </c>
      <c r="E934" s="8" t="s">
        <v>7677</v>
      </c>
      <c r="F934" s="9">
        <f t="array" ref="F934:G934">VALUE(_wpsfn.REGEXP(E934,"\d+(\.\d+)?"))</f>
        <v>2.4</v>
      </c>
      <c r="G934">
        <v>0.024</v>
      </c>
    </row>
    <row r="935" ht="31" spans="1:7">
      <c r="A935" s="6" t="s">
        <v>2318</v>
      </c>
      <c r="B935" s="12" t="s">
        <v>2319</v>
      </c>
      <c r="C935" s="4" t="s">
        <v>575</v>
      </c>
      <c r="D935" s="7">
        <v>159.35</v>
      </c>
      <c r="E935" s="8" t="s">
        <v>7678</v>
      </c>
      <c r="F935" s="9">
        <f t="array" ref="F935:G935">VALUE(_wpsfn.REGEXP(E935,"\d+(\.\d+)?"))</f>
        <v>10</v>
      </c>
      <c r="G935">
        <v>0.1</v>
      </c>
    </row>
    <row r="936" ht="31" spans="1:7">
      <c r="A936" s="6" t="s">
        <v>2320</v>
      </c>
      <c r="B936" s="12" t="s">
        <v>2321</v>
      </c>
      <c r="C936" s="4" t="s">
        <v>575</v>
      </c>
      <c r="D936" s="7">
        <v>278.3</v>
      </c>
      <c r="E936" s="8" t="s">
        <v>7678</v>
      </c>
      <c r="F936" s="9">
        <f t="array" ref="F936:G936">VALUE(_wpsfn.REGEXP(E936,"\d+(\.\d+)?"))</f>
        <v>10</v>
      </c>
      <c r="G936">
        <v>0.1</v>
      </c>
    </row>
    <row r="937" ht="46.5" spans="1:7">
      <c r="A937" s="6" t="s">
        <v>2322</v>
      </c>
      <c r="B937" s="12" t="s">
        <v>2323</v>
      </c>
      <c r="C937" s="4" t="s">
        <v>2324</v>
      </c>
      <c r="D937" s="7">
        <v>5.1</v>
      </c>
      <c r="E937" s="8" t="s">
        <v>7679</v>
      </c>
      <c r="F937" s="9">
        <f t="array" ref="F937">VALUE(_wpsfn.REGEXP(E937,"\d+(\.\d+)?"))</f>
        <v>1</v>
      </c>
    </row>
    <row r="938" ht="46.5" spans="1:7">
      <c r="A938" s="6" t="s">
        <v>2327</v>
      </c>
      <c r="B938" s="3" t="s">
        <v>2328</v>
      </c>
      <c r="C938" s="4" t="s">
        <v>575</v>
      </c>
      <c r="D938" s="7">
        <v>123.6</v>
      </c>
      <c r="E938" s="8" t="s">
        <v>7680</v>
      </c>
      <c r="F938" s="9">
        <f t="array" ref="F938:G938">VALUE(_wpsfn.REGEXP(E938,"\d+(\.\d+)?"))</f>
        <v>533.1</v>
      </c>
      <c r="G938">
        <v>5.331</v>
      </c>
    </row>
    <row r="939" ht="31" spans="1:7">
      <c r="A939" s="6" t="s">
        <v>2329</v>
      </c>
      <c r="B939" s="3" t="s">
        <v>2330</v>
      </c>
      <c r="C939" s="4" t="s">
        <v>575</v>
      </c>
      <c r="D939" s="7">
        <v>172.6</v>
      </c>
      <c r="E939" s="8" t="s">
        <v>7681</v>
      </c>
      <c r="F939" s="9">
        <f t="array" ref="F939:G939">VALUE(_wpsfn.REGEXP(E939,"\d+(\.\d+)?"))</f>
        <v>21.8</v>
      </c>
      <c r="G939">
        <v>0.218</v>
      </c>
    </row>
    <row r="940" ht="15.5" spans="1:7">
      <c r="A940" s="6" t="s">
        <v>2333</v>
      </c>
      <c r="B940" s="3" t="s">
        <v>2334</v>
      </c>
      <c r="C940" s="4" t="s">
        <v>575</v>
      </c>
      <c r="D940" s="7">
        <v>196.8</v>
      </c>
      <c r="E940" s="8" t="s">
        <v>7682</v>
      </c>
      <c r="F940" s="9">
        <f t="array" ref="F940">VALUE(_wpsfn.REGEXP(E940,"\d+(\.\d+)?"))</f>
        <v>19.49</v>
      </c>
    </row>
    <row r="941" ht="15.5" spans="1:7">
      <c r="A941" s="6" t="s">
        <v>2335</v>
      </c>
      <c r="B941" s="3" t="s">
        <v>2336</v>
      </c>
      <c r="C941" s="4" t="s">
        <v>575</v>
      </c>
      <c r="D941" s="7">
        <v>205.75</v>
      </c>
      <c r="E941" s="8" t="s">
        <v>7683</v>
      </c>
      <c r="F941" s="9">
        <f t="array" ref="F941">VALUE(_wpsfn.REGEXP(E941,"\d+(\.\d+)?"))</f>
        <v>17.71</v>
      </c>
    </row>
    <row r="942" ht="15.5" spans="1:7">
      <c r="A942" s="6" t="s">
        <v>2337</v>
      </c>
      <c r="B942" s="3" t="s">
        <v>2338</v>
      </c>
      <c r="C942" s="4" t="s">
        <v>575</v>
      </c>
      <c r="D942" s="7">
        <v>203.05</v>
      </c>
      <c r="E942" s="8" t="s">
        <v>7684</v>
      </c>
      <c r="F942" s="9">
        <f t="array" ref="F942">VALUE(_wpsfn.REGEXP(E942,"\d+(\.\d+)?"))</f>
        <v>20.09</v>
      </c>
    </row>
    <row r="943" ht="15.5" spans="1:7">
      <c r="A943" s="6" t="s">
        <v>2341</v>
      </c>
      <c r="B943" s="3" t="s">
        <v>2342</v>
      </c>
      <c r="C943" s="4" t="s">
        <v>156</v>
      </c>
      <c r="D943" s="7">
        <v>131.1</v>
      </c>
      <c r="E943" s="8" t="s">
        <v>7576</v>
      </c>
      <c r="F943" s="9">
        <f t="array" ref="F943">VALUE(_wpsfn.REGEXP(E943,"\d+(\.\d+)?"))</f>
        <v>10</v>
      </c>
    </row>
    <row r="944" ht="15.5" spans="1:7">
      <c r="A944" s="6" t="s">
        <v>2343</v>
      </c>
      <c r="B944" s="3" t="s">
        <v>2344</v>
      </c>
      <c r="C944" s="4" t="s">
        <v>156</v>
      </c>
      <c r="D944" s="7">
        <v>137.65</v>
      </c>
      <c r="E944" s="8" t="s">
        <v>7576</v>
      </c>
      <c r="F944" s="9">
        <f t="array" ref="F944">VALUE(_wpsfn.REGEXP(E944,"\d+(\.\d+)?"))</f>
        <v>10</v>
      </c>
    </row>
    <row r="945" ht="15.5" spans="1:6">
      <c r="A945" s="6" t="s">
        <v>2345</v>
      </c>
      <c r="B945" s="3" t="s">
        <v>2346</v>
      </c>
      <c r="C945" s="4" t="s">
        <v>156</v>
      </c>
      <c r="D945" s="7">
        <v>170.95</v>
      </c>
      <c r="E945" s="8" t="s">
        <v>7576</v>
      </c>
      <c r="F945" s="9">
        <f t="array" ref="F945">VALUE(_wpsfn.REGEXP(E945,"\d+(\.\d+)?"))</f>
        <v>10</v>
      </c>
    </row>
    <row r="946" ht="15.5" spans="1:6">
      <c r="A946" s="6" t="s">
        <v>2347</v>
      </c>
      <c r="B946" s="3" t="s">
        <v>2348</v>
      </c>
      <c r="C946" s="4" t="s">
        <v>156</v>
      </c>
      <c r="D946" s="7">
        <v>182.2</v>
      </c>
      <c r="E946" s="8" t="s">
        <v>7576</v>
      </c>
      <c r="F946" s="9">
        <f t="array" ref="F946">VALUE(_wpsfn.REGEXP(E946,"\d+(\.\d+)?"))</f>
        <v>10</v>
      </c>
    </row>
    <row r="947" ht="15.5" spans="1:6">
      <c r="A947" s="6" t="s">
        <v>2349</v>
      </c>
      <c r="B947" s="3" t="s">
        <v>2350</v>
      </c>
      <c r="C947" s="4" t="s">
        <v>156</v>
      </c>
      <c r="D947" s="7">
        <v>224.5</v>
      </c>
      <c r="E947" s="8" t="s">
        <v>7576</v>
      </c>
      <c r="F947" s="9">
        <f t="array" ref="F947">VALUE(_wpsfn.REGEXP(E947,"\d+(\.\d+)?"))</f>
        <v>10</v>
      </c>
    </row>
    <row r="948" ht="263.5" spans="1:6">
      <c r="A948" s="6" t="s">
        <v>2351</v>
      </c>
      <c r="B948" s="12" t="s">
        <v>2352</v>
      </c>
      <c r="C948" s="4" t="s">
        <v>575</v>
      </c>
      <c r="D948" s="7">
        <v>772.4</v>
      </c>
      <c r="E948" s="8" t="s">
        <v>7664</v>
      </c>
      <c r="F948" s="9">
        <f t="array" ref="F948">VALUE(_wpsfn.REGEXP(E948,"\d+(\.\d+)?"))</f>
        <v>2</v>
      </c>
    </row>
    <row r="949" ht="46.5" spans="1:6">
      <c r="A949" s="6" t="s">
        <v>2355</v>
      </c>
      <c r="B949" s="3" t="s">
        <v>2356</v>
      </c>
      <c r="C949" s="4" t="s">
        <v>12</v>
      </c>
      <c r="D949" s="7">
        <v>844.7</v>
      </c>
      <c r="E949" s="8" t="s">
        <v>7685</v>
      </c>
      <c r="F949" s="9">
        <f t="array" ref="F949">VALUE(_wpsfn.REGEXP(E949,"\d+(\.\d+)?"))</f>
        <v>15.4</v>
      </c>
    </row>
    <row r="950" ht="46.5" spans="1:6">
      <c r="A950" s="6" t="s">
        <v>2357</v>
      </c>
      <c r="B950" s="3" t="s">
        <v>2358</v>
      </c>
      <c r="C950" s="4" t="s">
        <v>12</v>
      </c>
      <c r="D950" s="7">
        <v>1133.55</v>
      </c>
      <c r="E950" s="8" t="s">
        <v>7685</v>
      </c>
      <c r="F950" s="9">
        <f t="array" ref="F950">VALUE(_wpsfn.REGEXP(E950,"\d+(\.\d+)?"))</f>
        <v>15.4</v>
      </c>
    </row>
    <row r="951" ht="15.5" spans="1:6">
      <c r="A951" s="6" t="s">
        <v>2361</v>
      </c>
      <c r="B951" s="3" t="s">
        <v>2362</v>
      </c>
      <c r="C951" s="4" t="s">
        <v>12</v>
      </c>
      <c r="D951" s="7">
        <v>1064.65</v>
      </c>
      <c r="E951" s="8" t="s">
        <v>7686</v>
      </c>
      <c r="F951" s="9">
        <f t="array" ref="F951">VALUE(_wpsfn.REGEXP(E951,"\d+(\.\d+)?"))</f>
        <v>1</v>
      </c>
    </row>
    <row r="952" ht="15.5" spans="1:6">
      <c r="A952" s="6" t="s">
        <v>2363</v>
      </c>
      <c r="B952" s="3" t="s">
        <v>2364</v>
      </c>
      <c r="C952" s="4" t="s">
        <v>12</v>
      </c>
      <c r="D952" s="7">
        <v>1390.15</v>
      </c>
      <c r="E952" s="8" t="s">
        <v>7686</v>
      </c>
      <c r="F952" s="9">
        <f t="array" ref="F952">VALUE(_wpsfn.REGEXP(E952,"\d+(\.\d+)?"))</f>
        <v>1</v>
      </c>
    </row>
    <row r="953" ht="170.5" spans="1:6">
      <c r="A953" s="6" t="s">
        <v>2365</v>
      </c>
      <c r="B953" s="12" t="s">
        <v>2366</v>
      </c>
      <c r="C953" s="4" t="s">
        <v>575</v>
      </c>
      <c r="D953" s="7">
        <v>130.5</v>
      </c>
      <c r="E953" s="8" t="s">
        <v>7672</v>
      </c>
      <c r="F953" s="9">
        <f t="array" ref="F953">VALUE(_wpsfn.REGEXP(E953,"\d+(\.\d+)?"))</f>
        <v>17.5</v>
      </c>
    </row>
    <row r="954" ht="15.5" spans="1:6">
      <c r="A954" s="6" t="s">
        <v>204</v>
      </c>
      <c r="B954" s="12" t="s">
        <v>2</v>
      </c>
      <c r="C954" s="4" t="s">
        <v>3</v>
      </c>
      <c r="D954" s="14" t="s">
        <v>4</v>
      </c>
    </row>
    <row r="955" ht="15.5" spans="1:6">
      <c r="A955" s="6" t="s">
        <v>2370</v>
      </c>
      <c r="B955" s="3" t="s">
        <v>2371</v>
      </c>
      <c r="C955" s="4" t="s">
        <v>12</v>
      </c>
      <c r="D955" s="7">
        <v>1006.95</v>
      </c>
      <c r="E955" s="8" t="s">
        <v>7397</v>
      </c>
      <c r="F955" s="9">
        <f t="array" ref="F955">VALUE(_wpsfn.REGEXP(E955,"\d+(\.\d+)?"))</f>
        <v>10</v>
      </c>
    </row>
    <row r="956" ht="15.5" spans="1:6">
      <c r="A956" s="6" t="s">
        <v>2372</v>
      </c>
      <c r="B956" s="3" t="s">
        <v>2373</v>
      </c>
      <c r="C956" s="4" t="s">
        <v>12</v>
      </c>
      <c r="D956" s="7">
        <v>965.55</v>
      </c>
      <c r="E956" s="8" t="s">
        <v>7397</v>
      </c>
      <c r="F956" s="9">
        <f t="array" ref="F956">VALUE(_wpsfn.REGEXP(E956,"\d+(\.\d+)?"))</f>
        <v>10</v>
      </c>
    </row>
    <row r="957" ht="93" spans="1:6">
      <c r="A957" s="6" t="s">
        <v>2374</v>
      </c>
      <c r="B957" s="12" t="s">
        <v>2375</v>
      </c>
      <c r="C957" s="4" t="s">
        <v>12</v>
      </c>
      <c r="D957" s="7">
        <v>792.05</v>
      </c>
      <c r="E957" s="8" t="s">
        <v>7397</v>
      </c>
      <c r="F957" s="9">
        <f t="array" ref="F957">VALUE(_wpsfn.REGEXP(E957,"\d+(\.\d+)?"))</f>
        <v>10</v>
      </c>
    </row>
    <row r="958" ht="31" spans="1:6">
      <c r="A958" s="6" t="s">
        <v>2378</v>
      </c>
      <c r="B958" s="3" t="s">
        <v>2379</v>
      </c>
      <c r="C958" s="4" t="s">
        <v>12</v>
      </c>
      <c r="D958" s="7">
        <v>614.2</v>
      </c>
      <c r="E958" s="8" t="s">
        <v>7397</v>
      </c>
      <c r="F958" s="9">
        <f t="array" ref="F958">VALUE(_wpsfn.REGEXP(E958,"\d+(\.\d+)?"))</f>
        <v>10</v>
      </c>
    </row>
    <row r="959" ht="217" spans="1:6">
      <c r="A959" s="6" t="s">
        <v>2380</v>
      </c>
      <c r="B959" s="12" t="s">
        <v>2381</v>
      </c>
      <c r="C959" s="4" t="s">
        <v>12</v>
      </c>
      <c r="D959" s="7">
        <v>978.45</v>
      </c>
      <c r="E959" s="8" t="s">
        <v>7397</v>
      </c>
      <c r="F959" s="9">
        <f t="array" ref="F959">VALUE(_wpsfn.REGEXP(E959,"\d+(\.\d+)?"))</f>
        <v>10</v>
      </c>
    </row>
    <row r="960" ht="217" spans="1:6">
      <c r="A960" s="6" t="s">
        <v>2382</v>
      </c>
      <c r="B960" s="12" t="s">
        <v>2383</v>
      </c>
      <c r="C960" s="4" t="s">
        <v>12</v>
      </c>
      <c r="D960" s="7">
        <v>1056.15</v>
      </c>
      <c r="E960" s="8" t="s">
        <v>7397</v>
      </c>
      <c r="F960" s="9">
        <f t="array" ref="F960">VALUE(_wpsfn.REGEXP(E960,"\d+(\.\d+)?"))</f>
        <v>10</v>
      </c>
    </row>
    <row r="961" ht="15.5" spans="1:6">
      <c r="A961" s="6" t="s">
        <v>2386</v>
      </c>
      <c r="B961" s="3" t="s">
        <v>1222</v>
      </c>
      <c r="C961" s="4" t="s">
        <v>12</v>
      </c>
      <c r="D961" s="7">
        <v>662.05</v>
      </c>
      <c r="E961" s="8" t="s">
        <v>7397</v>
      </c>
      <c r="F961" s="9">
        <f t="array" ref="F961">VALUE(_wpsfn.REGEXP(E961,"\d+(\.\d+)?"))</f>
        <v>10</v>
      </c>
    </row>
    <row r="962" ht="62" spans="1:6">
      <c r="A962" s="6" t="s">
        <v>2387</v>
      </c>
      <c r="B962" s="12" t="s">
        <v>2388</v>
      </c>
      <c r="C962" s="4" t="s">
        <v>16</v>
      </c>
      <c r="D962" s="7">
        <v>8595.15</v>
      </c>
      <c r="E962" s="8" t="s">
        <v>7394</v>
      </c>
      <c r="F962" s="9">
        <f t="array" ref="F962">VALUE(_wpsfn.REGEXP(E962,"\d+(\.\d+)?"))</f>
        <v>1</v>
      </c>
    </row>
    <row r="963" ht="46.5" spans="1:6">
      <c r="A963" s="6" t="s">
        <v>2389</v>
      </c>
      <c r="B963" s="12" t="s">
        <v>2390</v>
      </c>
      <c r="C963" s="4" t="s">
        <v>12</v>
      </c>
      <c r="D963" s="7">
        <v>83.85</v>
      </c>
      <c r="E963" s="8" t="s">
        <v>7397</v>
      </c>
      <c r="F963" s="9">
        <f t="array" ref="F963">VALUE(_wpsfn.REGEXP(E963,"\d+(\.\d+)?"))</f>
        <v>10</v>
      </c>
    </row>
    <row r="964" ht="15.5" spans="1:6">
      <c r="A964" s="6" t="s">
        <v>2394</v>
      </c>
      <c r="B964" s="3" t="s">
        <v>2395</v>
      </c>
      <c r="C964" s="4" t="s">
        <v>12</v>
      </c>
      <c r="D964" s="7">
        <v>1065.75</v>
      </c>
      <c r="E964" s="8" t="s">
        <v>7332</v>
      </c>
      <c r="F964" s="9">
        <f t="array" ref="F964">VALUE(_wpsfn.REGEXP(E964,"\d+(\.\d+)?"))</f>
        <v>100</v>
      </c>
    </row>
    <row r="965" ht="15.5" spans="1:6">
      <c r="A965" s="6" t="s">
        <v>2396</v>
      </c>
      <c r="B965" s="3" t="s">
        <v>2397</v>
      </c>
      <c r="C965" s="4" t="s">
        <v>12</v>
      </c>
      <c r="D965" s="7">
        <v>1092.5</v>
      </c>
      <c r="E965" s="8" t="s">
        <v>7332</v>
      </c>
      <c r="F965" s="9">
        <f t="array" ref="F965">VALUE(_wpsfn.REGEXP(E965,"\d+(\.\d+)?"))</f>
        <v>100</v>
      </c>
    </row>
    <row r="966" ht="31" spans="1:6">
      <c r="A966" s="6" t="s">
        <v>2398</v>
      </c>
      <c r="B966" s="3" t="s">
        <v>2399</v>
      </c>
      <c r="C966" s="4" t="s">
        <v>12</v>
      </c>
      <c r="D966" s="7">
        <v>1075.1</v>
      </c>
      <c r="E966" s="8" t="s">
        <v>7332</v>
      </c>
      <c r="F966" s="9">
        <f t="array" ref="F966">VALUE(_wpsfn.REGEXP(E966,"\d+(\.\d+)?"))</f>
        <v>100</v>
      </c>
    </row>
    <row r="967" ht="15.5" spans="1:6">
      <c r="A967" s="6" t="s">
        <v>2400</v>
      </c>
      <c r="B967" s="3" t="s">
        <v>2401</v>
      </c>
      <c r="C967" s="4" t="s">
        <v>12</v>
      </c>
      <c r="D967" s="7">
        <v>1067.5</v>
      </c>
      <c r="E967" s="8" t="s">
        <v>7332</v>
      </c>
      <c r="F967" s="9">
        <f t="array" ref="F967">VALUE(_wpsfn.REGEXP(E967,"\d+(\.\d+)?"))</f>
        <v>100</v>
      </c>
    </row>
    <row r="968" ht="15.5" spans="1:6">
      <c r="A968" s="6" t="s">
        <v>2402</v>
      </c>
      <c r="B968" s="3" t="s">
        <v>2403</v>
      </c>
      <c r="C968" s="4" t="s">
        <v>12</v>
      </c>
      <c r="D968" s="7">
        <v>1061.7</v>
      </c>
      <c r="E968" s="8" t="s">
        <v>7397</v>
      </c>
      <c r="F968" s="9">
        <f t="array" ref="F968">VALUE(_wpsfn.REGEXP(E968,"\d+(\.\d+)?"))</f>
        <v>10</v>
      </c>
    </row>
    <row r="969" ht="15.5" spans="1:6">
      <c r="A969" s="6" t="s">
        <v>2404</v>
      </c>
      <c r="B969" s="3" t="s">
        <v>2405</v>
      </c>
      <c r="C969" s="4" t="s">
        <v>12</v>
      </c>
      <c r="D969" s="7">
        <v>1034.25</v>
      </c>
      <c r="E969" s="8" t="s">
        <v>7397</v>
      </c>
      <c r="F969" s="9">
        <f t="array" ref="F969">VALUE(_wpsfn.REGEXP(E969,"\d+(\.\d+)?"))</f>
        <v>10</v>
      </c>
    </row>
    <row r="970" ht="31" spans="1:6">
      <c r="A970" s="6" t="s">
        <v>2408</v>
      </c>
      <c r="B970" s="12" t="s">
        <v>2409</v>
      </c>
      <c r="C970" s="4" t="s">
        <v>12</v>
      </c>
      <c r="D970" s="7">
        <v>1072.1</v>
      </c>
      <c r="E970" s="8" t="s">
        <v>7332</v>
      </c>
      <c r="F970" s="9">
        <f t="array" ref="F970">VALUE(_wpsfn.REGEXP(E970,"\d+(\.\d+)?"))</f>
        <v>100</v>
      </c>
    </row>
    <row r="971" ht="15.5" spans="1:6">
      <c r="A971" s="6" t="s">
        <v>2410</v>
      </c>
      <c r="B971" s="12" t="s">
        <v>2397</v>
      </c>
      <c r="C971" s="4" t="s">
        <v>12</v>
      </c>
      <c r="D971" s="7">
        <v>1110.3</v>
      </c>
      <c r="E971" s="8" t="s">
        <v>7332</v>
      </c>
      <c r="F971" s="9">
        <f t="array" ref="F971">VALUE(_wpsfn.REGEXP(E971,"\d+(\.\d+)?"))</f>
        <v>100</v>
      </c>
    </row>
    <row r="972" ht="31" spans="1:6">
      <c r="A972" s="6" t="s">
        <v>2411</v>
      </c>
      <c r="B972" s="12" t="s">
        <v>2399</v>
      </c>
      <c r="C972" s="4" t="s">
        <v>12</v>
      </c>
      <c r="D972" s="7">
        <v>1085.45</v>
      </c>
      <c r="E972" s="8" t="s">
        <v>7332</v>
      </c>
      <c r="F972" s="9">
        <f t="array" ref="F972">VALUE(_wpsfn.REGEXP(E972,"\d+(\.\d+)?"))</f>
        <v>100</v>
      </c>
    </row>
    <row r="973" ht="15.5" spans="1:6">
      <c r="A973" s="6" t="s">
        <v>2412</v>
      </c>
      <c r="B973" s="12" t="s">
        <v>2401</v>
      </c>
      <c r="C973" s="4" t="s">
        <v>12</v>
      </c>
      <c r="D973" s="7">
        <v>1071.05</v>
      </c>
      <c r="E973" s="8" t="s">
        <v>7332</v>
      </c>
      <c r="F973" s="9">
        <f t="array" ref="F973">VALUE(_wpsfn.REGEXP(E973,"\d+(\.\d+)?"))</f>
        <v>100</v>
      </c>
    </row>
    <row r="974" ht="15.5" spans="1:6">
      <c r="A974" s="6" t="s">
        <v>2413</v>
      </c>
      <c r="B974" s="12" t="s">
        <v>2403</v>
      </c>
      <c r="C974" s="4" t="s">
        <v>12</v>
      </c>
      <c r="D974" s="7">
        <v>1066.35</v>
      </c>
      <c r="E974" s="8" t="s">
        <v>7397</v>
      </c>
      <c r="F974" s="9">
        <f t="array" ref="F974">VALUE(_wpsfn.REGEXP(E974,"\d+(\.\d+)?"))</f>
        <v>10</v>
      </c>
    </row>
    <row r="975" ht="15.5" spans="1:6">
      <c r="A975" s="6" t="s">
        <v>2414</v>
      </c>
      <c r="B975" s="12" t="s">
        <v>2405</v>
      </c>
      <c r="C975" s="4" t="s">
        <v>12</v>
      </c>
      <c r="D975" s="7">
        <v>1027.1</v>
      </c>
      <c r="E975" s="8" t="s">
        <v>7332</v>
      </c>
      <c r="F975" s="9">
        <f t="array" ref="F975">VALUE(_wpsfn.REGEXP(E975,"\d+(\.\d+)?"))</f>
        <v>100</v>
      </c>
    </row>
    <row r="976" ht="15.5" spans="1:6">
      <c r="A976" s="6" t="s">
        <v>2417</v>
      </c>
      <c r="B976" s="12" t="s">
        <v>2395</v>
      </c>
      <c r="C976" s="4" t="s">
        <v>12</v>
      </c>
      <c r="D976" s="7">
        <v>1110.75</v>
      </c>
      <c r="E976" s="8" t="s">
        <v>7332</v>
      </c>
      <c r="F976" s="9">
        <f t="array" ref="F976">VALUE(_wpsfn.REGEXP(E976,"\d+(\.\d+)?"))</f>
        <v>100</v>
      </c>
    </row>
    <row r="977" ht="15.5" spans="1:6">
      <c r="A977" s="6" t="s">
        <v>2418</v>
      </c>
      <c r="B977" s="12" t="s">
        <v>2397</v>
      </c>
      <c r="C977" s="4" t="s">
        <v>12</v>
      </c>
      <c r="D977" s="7">
        <v>1164.25</v>
      </c>
      <c r="E977" s="8" t="s">
        <v>7397</v>
      </c>
      <c r="F977" s="9">
        <f t="array" ref="F977">VALUE(_wpsfn.REGEXP(E977,"\d+(\.\d+)?"))</f>
        <v>10</v>
      </c>
    </row>
    <row r="978" ht="31" spans="1:6">
      <c r="A978" s="6" t="s">
        <v>2419</v>
      </c>
      <c r="B978" s="12" t="s">
        <v>2399</v>
      </c>
      <c r="C978" s="4" t="s">
        <v>12</v>
      </c>
      <c r="D978" s="7">
        <v>1129.45</v>
      </c>
      <c r="E978" s="8" t="s">
        <v>7332</v>
      </c>
      <c r="F978" s="9">
        <f t="array" ref="F978">VALUE(_wpsfn.REGEXP(E978,"\d+(\.\d+)?"))</f>
        <v>100</v>
      </c>
    </row>
    <row r="979" ht="15.5" spans="1:6">
      <c r="A979" s="6" t="s">
        <v>2420</v>
      </c>
      <c r="B979" s="12" t="s">
        <v>2401</v>
      </c>
      <c r="C979" s="4" t="s">
        <v>12</v>
      </c>
      <c r="D979" s="7">
        <v>1109.85</v>
      </c>
      <c r="E979" s="8" t="s">
        <v>7332</v>
      </c>
      <c r="F979" s="9">
        <f t="array" ref="F979">VALUE(_wpsfn.REGEXP(E979,"\d+(\.\d+)?"))</f>
        <v>100</v>
      </c>
    </row>
    <row r="980" ht="15.5" spans="1:6">
      <c r="A980" s="6" t="s">
        <v>2421</v>
      </c>
      <c r="B980" s="12" t="s">
        <v>2403</v>
      </c>
      <c r="C980" s="4" t="s">
        <v>12</v>
      </c>
      <c r="D980" s="7">
        <v>1102.7</v>
      </c>
      <c r="E980" s="8" t="s">
        <v>7397</v>
      </c>
      <c r="F980" s="9">
        <f t="array" ref="F980">VALUE(_wpsfn.REGEXP(E980,"\d+(\.\d+)?"))</f>
        <v>10</v>
      </c>
    </row>
    <row r="981" ht="15.5" spans="1:6">
      <c r="A981" s="6" t="s">
        <v>2422</v>
      </c>
      <c r="B981" s="12" t="s">
        <v>2405</v>
      </c>
      <c r="C981" s="4" t="s">
        <v>12</v>
      </c>
      <c r="D981" s="7">
        <v>1048.25</v>
      </c>
      <c r="E981" s="8" t="s">
        <v>7332</v>
      </c>
      <c r="F981" s="9">
        <f t="array" ref="F981">VALUE(_wpsfn.REGEXP(E981,"\d+(\.\d+)?"))</f>
        <v>100</v>
      </c>
    </row>
    <row r="982" ht="15.5" spans="1:6">
      <c r="A982" s="6" t="s">
        <v>2427</v>
      </c>
      <c r="B982" s="3" t="s">
        <v>2395</v>
      </c>
      <c r="C982" s="4" t="s">
        <v>12</v>
      </c>
      <c r="D982" s="7">
        <v>1864.3</v>
      </c>
      <c r="E982" s="8" t="s">
        <v>7332</v>
      </c>
      <c r="F982" s="9">
        <f t="array" ref="F982">VALUE(_wpsfn.REGEXP(E982,"\d+(\.\d+)?"))</f>
        <v>100</v>
      </c>
    </row>
    <row r="983" ht="15.5" spans="1:6">
      <c r="A983" s="6" t="s">
        <v>2428</v>
      </c>
      <c r="B983" s="3" t="s">
        <v>2397</v>
      </c>
      <c r="C983" s="4" t="s">
        <v>12</v>
      </c>
      <c r="D983" s="7">
        <v>1891.05</v>
      </c>
      <c r="E983" s="8" t="s">
        <v>7332</v>
      </c>
      <c r="F983" s="9">
        <f t="array" ref="F983">VALUE(_wpsfn.REGEXP(E983,"\d+(\.\d+)?"))</f>
        <v>100</v>
      </c>
    </row>
    <row r="984" ht="31" spans="1:6">
      <c r="A984" s="6" t="s">
        <v>2429</v>
      </c>
      <c r="B984" s="3" t="s">
        <v>2399</v>
      </c>
      <c r="C984" s="4" t="s">
        <v>12</v>
      </c>
      <c r="D984" s="7">
        <v>1873.65</v>
      </c>
      <c r="E984" s="8" t="s">
        <v>7332</v>
      </c>
      <c r="F984" s="9">
        <f t="array" ref="F984">VALUE(_wpsfn.REGEXP(E984,"\d+(\.\d+)?"))</f>
        <v>100</v>
      </c>
    </row>
    <row r="985" ht="15.5" spans="1:6">
      <c r="A985" s="6" t="s">
        <v>2430</v>
      </c>
      <c r="B985" s="3" t="s">
        <v>2401</v>
      </c>
      <c r="C985" s="4" t="s">
        <v>12</v>
      </c>
      <c r="D985" s="7">
        <v>1863.6</v>
      </c>
      <c r="E985" s="8" t="s">
        <v>7332</v>
      </c>
      <c r="F985" s="9">
        <f t="array" ref="F985">VALUE(_wpsfn.REGEXP(E985,"\d+(\.\d+)?"))</f>
        <v>100</v>
      </c>
    </row>
    <row r="986" ht="15.5" spans="1:6">
      <c r="A986" s="6" t="s">
        <v>2431</v>
      </c>
      <c r="B986" s="3" t="s">
        <v>2403</v>
      </c>
      <c r="C986" s="4" t="s">
        <v>12</v>
      </c>
      <c r="D986" s="7">
        <v>1860.25</v>
      </c>
      <c r="E986" s="8" t="s">
        <v>7397</v>
      </c>
      <c r="F986" s="9">
        <f t="array" ref="F986">VALUE(_wpsfn.REGEXP(E986,"\d+(\.\d+)?"))</f>
        <v>10</v>
      </c>
    </row>
    <row r="987" ht="15.5" spans="1:6">
      <c r="A987" s="6" t="s">
        <v>2432</v>
      </c>
      <c r="B987" s="3" t="s">
        <v>2405</v>
      </c>
      <c r="C987" s="4" t="s">
        <v>12</v>
      </c>
      <c r="D987" s="7">
        <v>1832.8</v>
      </c>
      <c r="E987" s="8" t="s">
        <v>7397</v>
      </c>
      <c r="F987" s="9">
        <f t="array" ref="F987">VALUE(_wpsfn.REGEXP(E987,"\d+(\.\d+)?"))</f>
        <v>10</v>
      </c>
    </row>
    <row r="988" ht="15.5" spans="1:6">
      <c r="A988" s="6" t="s">
        <v>2435</v>
      </c>
      <c r="B988" s="3" t="s">
        <v>2436</v>
      </c>
      <c r="C988" s="4" t="s">
        <v>49</v>
      </c>
      <c r="D988" s="7">
        <v>91.75</v>
      </c>
      <c r="E988" s="8" t="s">
        <v>7552</v>
      </c>
      <c r="F988" s="9">
        <f t="array" ref="F988">VALUE(_wpsfn.REGEXP(E988,"\d+(\.\d+)?"))</f>
        <v>10</v>
      </c>
    </row>
    <row r="989" ht="62" spans="1:6">
      <c r="A989" s="6" t="s">
        <v>2437</v>
      </c>
      <c r="B989" s="12" t="s">
        <v>2438</v>
      </c>
      <c r="C989" s="4" t="s">
        <v>12</v>
      </c>
      <c r="D989" s="7">
        <v>97.65</v>
      </c>
      <c r="E989" s="8" t="s">
        <v>7397</v>
      </c>
      <c r="F989" s="9">
        <f t="array" ref="F989">VALUE(_wpsfn.REGEXP(E989,"\d+(\.\d+)?"))</f>
        <v>10</v>
      </c>
    </row>
    <row r="990" ht="31" spans="1:6">
      <c r="A990" s="6" t="s">
        <v>2441</v>
      </c>
      <c r="B990" s="3" t="s">
        <v>2442</v>
      </c>
      <c r="C990" s="4" t="s">
        <v>12</v>
      </c>
      <c r="D990" s="7">
        <v>1714.8</v>
      </c>
      <c r="E990" s="8" t="s">
        <v>7332</v>
      </c>
      <c r="F990" s="9">
        <f t="array" ref="F990">VALUE(_wpsfn.REGEXP(E990,"\d+(\.\d+)?"))</f>
        <v>100</v>
      </c>
    </row>
    <row r="991" ht="15.5" spans="1:6">
      <c r="A991" s="6" t="s">
        <v>2446</v>
      </c>
      <c r="B991" s="3" t="s">
        <v>2447</v>
      </c>
      <c r="C991" s="4" t="s">
        <v>12</v>
      </c>
      <c r="D991" s="7">
        <v>1549.45</v>
      </c>
      <c r="E991" s="8" t="s">
        <v>7397</v>
      </c>
      <c r="F991" s="9">
        <f t="array" ref="F991">VALUE(_wpsfn.REGEXP(E991,"\d+(\.\d+)?"))</f>
        <v>10</v>
      </c>
    </row>
    <row r="992" ht="31" spans="1:6">
      <c r="A992" s="6" t="s">
        <v>2448</v>
      </c>
      <c r="B992" s="3" t="s">
        <v>2449</v>
      </c>
      <c r="C992" s="4" t="s">
        <v>12</v>
      </c>
      <c r="D992" s="7">
        <v>1507.1</v>
      </c>
      <c r="E992" s="8" t="s">
        <v>7397</v>
      </c>
      <c r="F992" s="9">
        <f t="array" ref="F992">VALUE(_wpsfn.REGEXP(E992,"\d+(\.\d+)?"))</f>
        <v>10</v>
      </c>
    </row>
    <row r="993" ht="31" spans="1:6">
      <c r="A993" s="6" t="s">
        <v>2450</v>
      </c>
      <c r="B993" s="3" t="s">
        <v>2451</v>
      </c>
      <c r="C993" s="4" t="s">
        <v>12</v>
      </c>
      <c r="D993" s="7">
        <v>1450</v>
      </c>
      <c r="E993" s="8" t="s">
        <v>7397</v>
      </c>
      <c r="F993" s="9">
        <f t="array" ref="F993">VALUE(_wpsfn.REGEXP(E993,"\d+(\.\d+)?"))</f>
        <v>10</v>
      </c>
    </row>
    <row r="994" ht="15.5" spans="1:6">
      <c r="A994" s="6" t="s">
        <v>2452</v>
      </c>
      <c r="B994" s="3" t="s">
        <v>2405</v>
      </c>
      <c r="C994" s="4" t="s">
        <v>12</v>
      </c>
      <c r="D994" s="7">
        <v>1386.8</v>
      </c>
      <c r="E994" s="8" t="s">
        <v>7397</v>
      </c>
      <c r="F994" s="9">
        <f t="array" ref="F994">VALUE(_wpsfn.REGEXP(E994,"\d+(\.\d+)?"))</f>
        <v>10</v>
      </c>
    </row>
    <row r="995" ht="31" spans="1:6">
      <c r="A995" s="6" t="s">
        <v>2453</v>
      </c>
      <c r="B995" s="12" t="s">
        <v>2454</v>
      </c>
      <c r="C995" s="4" t="s">
        <v>12</v>
      </c>
      <c r="D995" s="7">
        <v>124.05</v>
      </c>
      <c r="E995" s="8" t="s">
        <v>7397</v>
      </c>
      <c r="F995" s="9">
        <f t="array" ref="F995">VALUE(_wpsfn.REGEXP(E995,"\d+(\.\d+)?"))</f>
        <v>10</v>
      </c>
    </row>
    <row r="996" ht="15.5" spans="1:6">
      <c r="A996" s="6" t="s">
        <v>2457</v>
      </c>
      <c r="B996" s="3" t="s">
        <v>2447</v>
      </c>
      <c r="C996" s="4" t="s">
        <v>12</v>
      </c>
      <c r="D996" s="7">
        <v>2422.8</v>
      </c>
      <c r="E996" s="8" t="s">
        <v>7397</v>
      </c>
      <c r="F996" s="9">
        <f t="array" ref="F996">VALUE(_wpsfn.REGEXP(E996,"\d+(\.\d+)?"))</f>
        <v>10</v>
      </c>
    </row>
    <row r="997" ht="31" spans="1:6">
      <c r="A997" s="6" t="s">
        <v>2458</v>
      </c>
      <c r="B997" s="3" t="s">
        <v>2459</v>
      </c>
      <c r="C997" s="4" t="s">
        <v>12</v>
      </c>
      <c r="D997" s="7">
        <v>2370.95</v>
      </c>
      <c r="E997" s="8" t="s">
        <v>7397</v>
      </c>
      <c r="F997" s="9">
        <f t="array" ref="F997">VALUE(_wpsfn.REGEXP(E997,"\d+(\.\d+)?"))</f>
        <v>10</v>
      </c>
    </row>
    <row r="998" ht="31" spans="1:6">
      <c r="A998" s="6" t="s">
        <v>2460</v>
      </c>
      <c r="B998" s="3" t="s">
        <v>2451</v>
      </c>
      <c r="C998" s="4" t="s">
        <v>12</v>
      </c>
      <c r="D998" s="7">
        <v>2308.75</v>
      </c>
      <c r="E998" s="8" t="s">
        <v>7397</v>
      </c>
      <c r="F998" s="9">
        <f t="array" ref="F998">VALUE(_wpsfn.REGEXP(E998,"\d+(\.\d+)?"))</f>
        <v>10</v>
      </c>
    </row>
    <row r="999" ht="15.5" spans="1:6">
      <c r="A999" s="6" t="s">
        <v>2461</v>
      </c>
      <c r="B999" s="3" t="s">
        <v>2405</v>
      </c>
      <c r="C999" s="4" t="s">
        <v>12</v>
      </c>
      <c r="D999" s="7">
        <v>2229.15</v>
      </c>
      <c r="E999" s="8" t="s">
        <v>7397</v>
      </c>
      <c r="F999" s="9">
        <f t="array" ref="F999">VALUE(_wpsfn.REGEXP(E999,"\d+(\.\d+)?"))</f>
        <v>10</v>
      </c>
    </row>
    <row r="1000" ht="15.5" spans="1:6">
      <c r="A1000" s="6" t="s">
        <v>2464</v>
      </c>
      <c r="B1000" s="3" t="s">
        <v>2447</v>
      </c>
      <c r="C1000" s="4" t="s">
        <v>12</v>
      </c>
      <c r="D1000" s="7">
        <v>1533.8</v>
      </c>
      <c r="E1000" s="8" t="s">
        <v>7397</v>
      </c>
      <c r="F1000" s="9">
        <f t="array" ref="F1000">VALUE(_wpsfn.REGEXP(E1000,"\d+(\.\d+)?"))</f>
        <v>10</v>
      </c>
    </row>
    <row r="1001" ht="31" spans="1:6">
      <c r="A1001" s="6" t="s">
        <v>2465</v>
      </c>
      <c r="B1001" s="3" t="s">
        <v>2466</v>
      </c>
      <c r="C1001" s="4" t="s">
        <v>12</v>
      </c>
      <c r="D1001" s="7">
        <v>1483.6</v>
      </c>
      <c r="E1001" s="8" t="s">
        <v>7397</v>
      </c>
      <c r="F1001" s="9">
        <f t="array" ref="F1001">VALUE(_wpsfn.REGEXP(E1001,"\d+(\.\d+)?"))</f>
        <v>10</v>
      </c>
    </row>
    <row r="1002" ht="31" spans="1:6">
      <c r="A1002" s="6" t="s">
        <v>2467</v>
      </c>
      <c r="B1002" s="3" t="s">
        <v>2451</v>
      </c>
      <c r="C1002" s="4" t="s">
        <v>12</v>
      </c>
      <c r="D1002" s="7">
        <v>1442.15</v>
      </c>
      <c r="E1002" s="8" t="s">
        <v>7397</v>
      </c>
      <c r="F1002" s="9">
        <f t="array" ref="F1002">VALUE(_wpsfn.REGEXP(E1002,"\d+(\.\d+)?"))</f>
        <v>10</v>
      </c>
    </row>
    <row r="1003" ht="15.5" spans="1:6">
      <c r="A1003" s="6" t="s">
        <v>2468</v>
      </c>
      <c r="B1003" s="3" t="s">
        <v>2405</v>
      </c>
      <c r="C1003" s="4" t="s">
        <v>12</v>
      </c>
      <c r="D1003" s="7">
        <v>1379</v>
      </c>
      <c r="E1003" s="8" t="s">
        <v>7397</v>
      </c>
      <c r="F1003" s="9">
        <f t="array" ref="F1003">VALUE(_wpsfn.REGEXP(E1003,"\d+(\.\d+)?"))</f>
        <v>10</v>
      </c>
    </row>
    <row r="1004" ht="15.5" spans="1:6">
      <c r="A1004" s="6" t="s">
        <v>2471</v>
      </c>
      <c r="B1004" s="3" t="s">
        <v>2447</v>
      </c>
      <c r="C1004" s="4" t="s">
        <v>12</v>
      </c>
      <c r="D1004" s="7">
        <v>1402</v>
      </c>
      <c r="E1004" s="8" t="s">
        <v>7397</v>
      </c>
      <c r="F1004" s="9">
        <f t="array" ref="F1004">VALUE(_wpsfn.REGEXP(E1004,"\d+(\.\d+)?"))</f>
        <v>10</v>
      </c>
    </row>
    <row r="1005" ht="31" spans="1:6">
      <c r="A1005" s="6" t="s">
        <v>2472</v>
      </c>
      <c r="B1005" s="3" t="s">
        <v>2473</v>
      </c>
      <c r="C1005" s="4" t="s">
        <v>12</v>
      </c>
      <c r="D1005" s="7">
        <v>1328.35</v>
      </c>
      <c r="E1005" s="8" t="s">
        <v>7397</v>
      </c>
      <c r="F1005" s="9">
        <f t="array" ref="F1005">VALUE(_wpsfn.REGEXP(E1005,"\d+(\.\d+)?"))</f>
        <v>10</v>
      </c>
    </row>
    <row r="1006" ht="31" spans="1:6">
      <c r="A1006" s="6" t="s">
        <v>2474</v>
      </c>
      <c r="B1006" s="3" t="s">
        <v>2451</v>
      </c>
      <c r="C1006" s="4" t="s">
        <v>12</v>
      </c>
      <c r="D1006" s="7">
        <v>1119.5</v>
      </c>
      <c r="E1006" s="8" t="s">
        <v>7397</v>
      </c>
      <c r="F1006" s="9">
        <f t="array" ref="F1006">VALUE(_wpsfn.REGEXP(E1006,"\d+(\.\d+)?"))</f>
        <v>10</v>
      </c>
    </row>
    <row r="1007" ht="15.5" spans="1:6">
      <c r="A1007" s="6" t="s">
        <v>2475</v>
      </c>
      <c r="B1007" s="3" t="s">
        <v>2405</v>
      </c>
      <c r="C1007" s="4" t="s">
        <v>12</v>
      </c>
      <c r="D1007" s="7">
        <v>1056.35</v>
      </c>
      <c r="E1007" s="8" t="s">
        <v>7397</v>
      </c>
      <c r="F1007" s="9">
        <f t="array" ref="F1007">VALUE(_wpsfn.REGEXP(E1007,"\d+(\.\d+)?"))</f>
        <v>10</v>
      </c>
    </row>
    <row r="1008" ht="15.5" spans="1:6">
      <c r="A1008" s="6" t="s">
        <v>2480</v>
      </c>
      <c r="B1008" s="3" t="s">
        <v>2481</v>
      </c>
      <c r="C1008" s="4" t="s">
        <v>12</v>
      </c>
      <c r="D1008" s="7">
        <v>1739.9</v>
      </c>
      <c r="E1008" s="8" t="s">
        <v>7554</v>
      </c>
      <c r="F1008" s="9">
        <f t="array" ref="F1008">VALUE(_wpsfn.REGEXP(E1008,"\d+(\.\d+)?"))</f>
        <v>1</v>
      </c>
    </row>
    <row r="1009" ht="15.5" spans="1:6">
      <c r="A1009" s="6" t="s">
        <v>2484</v>
      </c>
      <c r="B1009" s="3" t="s">
        <v>2481</v>
      </c>
      <c r="C1009" s="4" t="s">
        <v>12</v>
      </c>
      <c r="D1009" s="7">
        <v>1886.65</v>
      </c>
      <c r="E1009" s="8" t="s">
        <v>7554</v>
      </c>
      <c r="F1009" s="9">
        <f t="array" ref="F1009">VALUE(_wpsfn.REGEXP(E1009,"\d+(\.\d+)?"))</f>
        <v>1</v>
      </c>
    </row>
    <row r="1010" ht="15.5" spans="1:6">
      <c r="A1010" s="6" t="s">
        <v>2489</v>
      </c>
      <c r="B1010" s="3" t="s">
        <v>2490</v>
      </c>
      <c r="C1010" s="4" t="s">
        <v>12</v>
      </c>
      <c r="D1010" s="7">
        <v>1475.35</v>
      </c>
      <c r="E1010" s="8" t="s">
        <v>7397</v>
      </c>
      <c r="F1010" s="9">
        <f t="array" ref="F1010">VALUE(_wpsfn.REGEXP(E1010,"\d+(\.\d+)?"))</f>
        <v>10</v>
      </c>
    </row>
    <row r="1011" ht="15.5" spans="1:6">
      <c r="A1011" s="6" t="s">
        <v>2494</v>
      </c>
      <c r="B1011" s="3" t="s">
        <v>2495</v>
      </c>
      <c r="C1011" s="4" t="s">
        <v>12</v>
      </c>
      <c r="D1011" s="7">
        <v>3737.45</v>
      </c>
      <c r="E1011" s="8" t="s">
        <v>7397</v>
      </c>
      <c r="F1011" s="9">
        <f t="array" ref="F1011">VALUE(_wpsfn.REGEXP(E1011,"\d+(\.\d+)?"))</f>
        <v>10</v>
      </c>
    </row>
    <row r="1012" ht="15.5" spans="1:6">
      <c r="A1012" s="6" t="s">
        <v>2496</v>
      </c>
      <c r="B1012" s="3" t="s">
        <v>2497</v>
      </c>
      <c r="C1012" s="4" t="s">
        <v>12</v>
      </c>
      <c r="D1012" s="7">
        <v>2346.8</v>
      </c>
      <c r="E1012" s="8" t="s">
        <v>7397</v>
      </c>
      <c r="F1012" s="9">
        <f t="array" ref="F1012">VALUE(_wpsfn.REGEXP(E1012,"\d+(\.\d+)?"))</f>
        <v>10</v>
      </c>
    </row>
    <row r="1013" ht="15.5" spans="1:6">
      <c r="A1013" s="6" t="s">
        <v>2498</v>
      </c>
      <c r="B1013" s="3" t="s">
        <v>2499</v>
      </c>
      <c r="C1013" s="4" t="s">
        <v>12</v>
      </c>
      <c r="D1013" s="7">
        <v>3164.8</v>
      </c>
      <c r="E1013" s="8" t="s">
        <v>7397</v>
      </c>
      <c r="F1013" s="9">
        <f t="array" ref="F1013">VALUE(_wpsfn.REGEXP(E1013,"\d+(\.\d+)?"))</f>
        <v>10</v>
      </c>
    </row>
    <row r="1014" ht="15.5" spans="1:6">
      <c r="A1014" s="6" t="s">
        <v>2500</v>
      </c>
      <c r="B1014" s="3" t="s">
        <v>2501</v>
      </c>
      <c r="C1014" s="4" t="s">
        <v>12</v>
      </c>
      <c r="D1014" s="7">
        <v>3001.2</v>
      </c>
      <c r="E1014" s="8" t="s">
        <v>7397</v>
      </c>
      <c r="F1014" s="9">
        <f t="array" ref="F1014">VALUE(_wpsfn.REGEXP(E1014,"\d+(\.\d+)?"))</f>
        <v>10</v>
      </c>
    </row>
    <row r="1015" ht="15.5" spans="1:6">
      <c r="A1015" s="6" t="s">
        <v>2502</v>
      </c>
      <c r="B1015" s="3" t="s">
        <v>2503</v>
      </c>
      <c r="C1015" s="4" t="s">
        <v>12</v>
      </c>
      <c r="D1015" s="7">
        <v>2428.6</v>
      </c>
      <c r="E1015" s="8" t="s">
        <v>7397</v>
      </c>
      <c r="F1015" s="9">
        <f t="array" ref="F1015">VALUE(_wpsfn.REGEXP(E1015,"\d+(\.\d+)?"))</f>
        <v>10</v>
      </c>
    </row>
    <row r="1016" ht="15.5" spans="1:6">
      <c r="A1016" s="6" t="s">
        <v>2504</v>
      </c>
      <c r="B1016" s="3" t="s">
        <v>2505</v>
      </c>
      <c r="C1016" s="4" t="s">
        <v>12</v>
      </c>
      <c r="D1016" s="7">
        <v>2510.4</v>
      </c>
      <c r="E1016" s="8" t="s">
        <v>7397</v>
      </c>
      <c r="F1016" s="9">
        <f t="array" ref="F1016">VALUE(_wpsfn.REGEXP(E1016,"\d+(\.\d+)?"))</f>
        <v>10</v>
      </c>
    </row>
    <row r="1017" ht="31" spans="1:6">
      <c r="A1017" s="6" t="s">
        <v>2506</v>
      </c>
      <c r="B1017" s="12" t="s">
        <v>2507</v>
      </c>
      <c r="C1017" s="4" t="s">
        <v>49</v>
      </c>
      <c r="D1017" s="7">
        <v>719.9</v>
      </c>
      <c r="E1017" s="8" t="s">
        <v>7552</v>
      </c>
      <c r="F1017" s="9">
        <f t="array" ref="F1017">VALUE(_wpsfn.REGEXP(E1017,"\d+(\.\d+)?"))</f>
        <v>10</v>
      </c>
    </row>
    <row r="1018" ht="46.5" spans="1:6">
      <c r="A1018" s="6" t="s">
        <v>2508</v>
      </c>
      <c r="B1018" s="12" t="s">
        <v>2509</v>
      </c>
      <c r="C1018" s="4" t="s">
        <v>12</v>
      </c>
      <c r="D1018" s="7">
        <v>851.8</v>
      </c>
      <c r="E1018" s="8" t="s">
        <v>7397</v>
      </c>
      <c r="F1018" s="9">
        <f t="array" ref="F1018">VALUE(_wpsfn.REGEXP(E1018,"\d+(\.\d+)?"))</f>
        <v>10</v>
      </c>
    </row>
    <row r="1019" ht="15.5" spans="1:6">
      <c r="A1019" s="6" t="s">
        <v>2513</v>
      </c>
      <c r="B1019" s="3" t="s">
        <v>558</v>
      </c>
      <c r="C1019" s="4" t="s">
        <v>12</v>
      </c>
      <c r="D1019" s="7">
        <v>1948.25</v>
      </c>
      <c r="E1019" s="8" t="s">
        <v>7397</v>
      </c>
      <c r="F1019" s="9">
        <f t="array" ref="F1019">VALUE(_wpsfn.REGEXP(E1019,"\d+(\.\d+)?"))</f>
        <v>10</v>
      </c>
    </row>
    <row r="1020" ht="108.5" spans="1:6">
      <c r="A1020" s="6" t="s">
        <v>2514</v>
      </c>
      <c r="B1020" s="12" t="s">
        <v>2515</v>
      </c>
      <c r="C1020" s="4" t="s">
        <v>12</v>
      </c>
      <c r="D1020" s="7">
        <v>2354.7</v>
      </c>
      <c r="E1020" s="8" t="s">
        <v>7397</v>
      </c>
      <c r="F1020" s="9">
        <f t="array" ref="F1020">VALUE(_wpsfn.REGEXP(E1020,"\d+(\.\d+)?"))</f>
        <v>10</v>
      </c>
    </row>
    <row r="1021" ht="15.5" spans="1:6">
      <c r="A1021" s="6" t="s">
        <v>2519</v>
      </c>
      <c r="B1021" s="3" t="s">
        <v>928</v>
      </c>
      <c r="C1021" s="4" t="s">
        <v>12</v>
      </c>
      <c r="D1021" s="7">
        <v>1280.1</v>
      </c>
      <c r="E1021" s="8" t="s">
        <v>7397</v>
      </c>
      <c r="F1021" s="9">
        <f t="array" ref="F1021">VALUE(_wpsfn.REGEXP(E1021,"\d+(\.\d+)?"))</f>
        <v>10</v>
      </c>
    </row>
    <row r="1022" ht="15.5" spans="1:6">
      <c r="A1022" s="6" t="s">
        <v>2520</v>
      </c>
      <c r="B1022" s="3" t="s">
        <v>930</v>
      </c>
      <c r="C1022" s="4" t="s">
        <v>12</v>
      </c>
      <c r="D1022" s="7">
        <v>1342.65</v>
      </c>
      <c r="E1022" s="8" t="s">
        <v>7397</v>
      </c>
      <c r="F1022" s="9">
        <f t="array" ref="F1022">VALUE(_wpsfn.REGEXP(E1022,"\d+(\.\d+)?"))</f>
        <v>10</v>
      </c>
    </row>
    <row r="1023" ht="15.5" spans="1:6">
      <c r="A1023" s="6" t="s">
        <v>2523</v>
      </c>
      <c r="B1023" s="3" t="s">
        <v>928</v>
      </c>
      <c r="C1023" s="4" t="s">
        <v>12</v>
      </c>
      <c r="D1023" s="7">
        <v>1526.05</v>
      </c>
      <c r="E1023" s="8" t="s">
        <v>7397</v>
      </c>
      <c r="F1023" s="9">
        <f t="array" ref="F1023">VALUE(_wpsfn.REGEXP(E1023,"\d+(\.\d+)?"))</f>
        <v>10</v>
      </c>
    </row>
    <row r="1024" ht="15.5" spans="1:6">
      <c r="A1024" s="6" t="s">
        <v>2524</v>
      </c>
      <c r="B1024" s="3" t="s">
        <v>930</v>
      </c>
      <c r="C1024" s="4" t="s">
        <v>12</v>
      </c>
      <c r="D1024" s="7">
        <v>1588.65</v>
      </c>
      <c r="E1024" s="8" t="s">
        <v>7397</v>
      </c>
      <c r="F1024" s="9">
        <f t="array" ref="F1024">VALUE(_wpsfn.REGEXP(E1024,"\d+(\.\d+)?"))</f>
        <v>10</v>
      </c>
    </row>
    <row r="1025" ht="15.5" spans="1:6">
      <c r="A1025" s="6" t="s">
        <v>2527</v>
      </c>
      <c r="B1025" s="3" t="s">
        <v>928</v>
      </c>
      <c r="C1025" s="4" t="s">
        <v>12</v>
      </c>
      <c r="D1025" s="7">
        <v>1647</v>
      </c>
      <c r="E1025" s="8" t="s">
        <v>7397</v>
      </c>
      <c r="F1025" s="9">
        <f t="array" ref="F1025">VALUE(_wpsfn.REGEXP(E1025,"\d+(\.\d+)?"))</f>
        <v>10</v>
      </c>
    </row>
    <row r="1026" ht="15.5" spans="1:6">
      <c r="A1026" s="6" t="s">
        <v>2528</v>
      </c>
      <c r="B1026" s="3" t="s">
        <v>930</v>
      </c>
      <c r="C1026" s="4" t="s">
        <v>12</v>
      </c>
      <c r="D1026" s="7">
        <v>1709.6</v>
      </c>
      <c r="E1026" s="8" t="s">
        <v>7397</v>
      </c>
      <c r="F1026" s="9">
        <f t="array" ref="F1026">VALUE(_wpsfn.REGEXP(E1026,"\d+(\.\d+)?"))</f>
        <v>10</v>
      </c>
    </row>
    <row r="1027" ht="31" spans="1:6">
      <c r="A1027" s="6" t="s">
        <v>2529</v>
      </c>
      <c r="B1027" s="12" t="s">
        <v>2530</v>
      </c>
      <c r="C1027" s="4" t="s">
        <v>49</v>
      </c>
      <c r="D1027" s="7">
        <v>191.4</v>
      </c>
      <c r="E1027" s="8" t="s">
        <v>7552</v>
      </c>
      <c r="F1027" s="9">
        <f t="array" ref="F1027">VALUE(_wpsfn.REGEXP(E1027,"\d+(\.\d+)?"))</f>
        <v>10</v>
      </c>
    </row>
    <row r="1028" ht="46.5" spans="1:6">
      <c r="A1028" s="6" t="s">
        <v>2531</v>
      </c>
      <c r="B1028" s="12" t="s">
        <v>2532</v>
      </c>
      <c r="C1028" s="4" t="s">
        <v>12</v>
      </c>
      <c r="D1028" s="7">
        <v>44.15</v>
      </c>
      <c r="E1028" s="8" t="s">
        <v>7397</v>
      </c>
      <c r="F1028" s="9">
        <f t="array" ref="F1028">VALUE(_wpsfn.REGEXP(E1028,"\d+(\.\d+)?"))</f>
        <v>10</v>
      </c>
    </row>
    <row r="1029" ht="15.5" spans="1:6">
      <c r="A1029" s="6" t="s">
        <v>2536</v>
      </c>
      <c r="B1029" s="3" t="s">
        <v>1256</v>
      </c>
      <c r="C1029" s="4" t="s">
        <v>12</v>
      </c>
      <c r="D1029" s="7">
        <v>4508.95</v>
      </c>
      <c r="E1029" s="8" t="s">
        <v>7397</v>
      </c>
      <c r="F1029" s="9">
        <f t="array" ref="F1029">VALUE(_wpsfn.REGEXP(E1029,"\d+(\.\d+)?"))</f>
        <v>10</v>
      </c>
    </row>
    <row r="1030" ht="15.5" spans="1:6">
      <c r="A1030" s="6" t="s">
        <v>2537</v>
      </c>
      <c r="B1030" s="3" t="s">
        <v>2538</v>
      </c>
      <c r="C1030" s="4" t="s">
        <v>12</v>
      </c>
      <c r="D1030" s="7">
        <v>3029.75</v>
      </c>
      <c r="E1030" s="8" t="s">
        <v>7397</v>
      </c>
      <c r="F1030" s="9">
        <f t="array" ref="F1030">VALUE(_wpsfn.REGEXP(E1030,"\d+(\.\d+)?"))</f>
        <v>10</v>
      </c>
    </row>
    <row r="1031" ht="170.5" spans="1:6">
      <c r="A1031" s="6" t="s">
        <v>2539</v>
      </c>
      <c r="B1031" s="12" t="s">
        <v>2540</v>
      </c>
      <c r="C1031" s="4" t="s">
        <v>12</v>
      </c>
      <c r="D1031" s="7">
        <v>12020.45</v>
      </c>
      <c r="E1031" s="8" t="s">
        <v>7397</v>
      </c>
      <c r="F1031" s="9">
        <f t="array" ref="F1031">VALUE(_wpsfn.REGEXP(E1031,"\d+(\.\d+)?"))</f>
        <v>10</v>
      </c>
    </row>
    <row r="1032" ht="108.5" spans="1:6">
      <c r="A1032" s="6" t="s">
        <v>2541</v>
      </c>
      <c r="B1032" s="12" t="s">
        <v>2542</v>
      </c>
      <c r="C1032" s="4" t="s">
        <v>575</v>
      </c>
      <c r="D1032" s="7">
        <v>177.8</v>
      </c>
      <c r="E1032" s="8" t="s">
        <v>7687</v>
      </c>
      <c r="F1032" s="9">
        <f t="array" ref="F1032">VALUE(_wpsfn.REGEXP(E1032,"\d+(\.\d+)?"))</f>
        <v>116.4</v>
      </c>
    </row>
    <row r="1033" ht="170.5" spans="1:6">
      <c r="A1033" s="6" t="s">
        <v>2544</v>
      </c>
      <c r="B1033" s="12" t="s">
        <v>2545</v>
      </c>
      <c r="C1033" s="4" t="s">
        <v>12</v>
      </c>
      <c r="D1033" s="7">
        <v>1096.55</v>
      </c>
      <c r="E1033" s="8" t="s">
        <v>7397</v>
      </c>
      <c r="F1033" s="9">
        <f t="array" ref="F1033">VALUE(_wpsfn.REGEXP(E1033,"\d+(\.\d+)?"))</f>
        <v>10</v>
      </c>
    </row>
    <row r="1034" ht="201.5" spans="1:6">
      <c r="A1034" s="6" t="s">
        <v>2546</v>
      </c>
      <c r="B1034" s="12" t="s">
        <v>2547</v>
      </c>
      <c r="C1034" s="4" t="s">
        <v>12</v>
      </c>
      <c r="D1034" s="7">
        <v>1112.7</v>
      </c>
      <c r="E1034" s="8" t="s">
        <v>7397</v>
      </c>
      <c r="F1034" s="9">
        <f t="array" ref="F1034">VALUE(_wpsfn.REGEXP(E1034,"\d+(\.\d+)?"))</f>
        <v>10</v>
      </c>
    </row>
    <row r="1035" ht="186" spans="1:6">
      <c r="A1035" s="6" t="s">
        <v>2548</v>
      </c>
      <c r="B1035" s="12" t="s">
        <v>2549</v>
      </c>
      <c r="C1035" s="4" t="s">
        <v>12</v>
      </c>
      <c r="D1035" s="7">
        <v>1315.3</v>
      </c>
      <c r="E1035" s="8" t="s">
        <v>7397</v>
      </c>
      <c r="F1035" s="9">
        <f t="array" ref="F1035">VALUE(_wpsfn.REGEXP(E1035,"\d+(\.\d+)?"))</f>
        <v>10</v>
      </c>
    </row>
    <row r="1036" ht="186" spans="1:6">
      <c r="A1036" s="6" t="s">
        <v>2550</v>
      </c>
      <c r="B1036" s="12" t="s">
        <v>2551</v>
      </c>
      <c r="C1036" s="4" t="s">
        <v>12</v>
      </c>
      <c r="D1036" s="7">
        <v>1330</v>
      </c>
      <c r="E1036" s="8" t="s">
        <v>7397</v>
      </c>
      <c r="F1036" s="9">
        <f t="array" ref="F1036">VALUE(_wpsfn.REGEXP(E1036,"\d+(\.\d+)?"))</f>
        <v>10</v>
      </c>
    </row>
    <row r="1037" ht="186" spans="1:6">
      <c r="A1037" s="6" t="s">
        <v>2552</v>
      </c>
      <c r="B1037" s="12" t="s">
        <v>2553</v>
      </c>
      <c r="C1037" s="4" t="s">
        <v>12</v>
      </c>
      <c r="D1037" s="7">
        <v>1439.4</v>
      </c>
      <c r="E1037" s="8" t="s">
        <v>7397</v>
      </c>
      <c r="F1037" s="9">
        <f t="array" ref="F1037">VALUE(_wpsfn.REGEXP(E1037,"\d+(\.\d+)?"))</f>
        <v>10</v>
      </c>
    </row>
    <row r="1038" ht="15.5" spans="1:6">
      <c r="A1038" s="6" t="s">
        <v>2557</v>
      </c>
      <c r="B1038" s="3" t="s">
        <v>2558</v>
      </c>
      <c r="C1038" s="4" t="s">
        <v>12</v>
      </c>
      <c r="D1038" s="7">
        <v>1524.3</v>
      </c>
      <c r="E1038" s="8" t="s">
        <v>7397</v>
      </c>
      <c r="F1038" s="9">
        <f t="array" ref="F1038">VALUE(_wpsfn.REGEXP(E1038,"\d+(\.\d+)?"))</f>
        <v>10</v>
      </c>
    </row>
    <row r="1039" ht="15.5" spans="1:6">
      <c r="A1039" s="6" t="s">
        <v>2559</v>
      </c>
      <c r="B1039" s="3" t="s">
        <v>2560</v>
      </c>
      <c r="C1039" s="4" t="s">
        <v>12</v>
      </c>
      <c r="D1039" s="7">
        <v>1553.45</v>
      </c>
      <c r="E1039" s="8" t="s">
        <v>7397</v>
      </c>
      <c r="F1039" s="9">
        <f t="array" ref="F1039">VALUE(_wpsfn.REGEXP(E1039,"\d+(\.\d+)?"))</f>
        <v>10</v>
      </c>
    </row>
    <row r="1040" ht="15.5" spans="1:6">
      <c r="A1040" s="6" t="s">
        <v>2561</v>
      </c>
      <c r="B1040" s="3" t="s">
        <v>2562</v>
      </c>
      <c r="C1040" s="4" t="s">
        <v>12</v>
      </c>
      <c r="D1040" s="7">
        <v>1885.5</v>
      </c>
      <c r="E1040" s="8" t="s">
        <v>7397</v>
      </c>
      <c r="F1040" s="9">
        <f t="array" ref="F1040">VALUE(_wpsfn.REGEXP(E1040,"\d+(\.\d+)?"))</f>
        <v>10</v>
      </c>
    </row>
    <row r="1041" ht="15.5" spans="1:6">
      <c r="A1041" s="6" t="s">
        <v>2563</v>
      </c>
      <c r="B1041" s="3" t="s">
        <v>2564</v>
      </c>
      <c r="C1041" s="4" t="s">
        <v>12</v>
      </c>
      <c r="D1041" s="7">
        <v>2089.65</v>
      </c>
      <c r="E1041" s="8" t="s">
        <v>7397</v>
      </c>
      <c r="F1041" s="9">
        <f t="array" ref="F1041">VALUE(_wpsfn.REGEXP(E1041,"\d+(\.\d+)?"))</f>
        <v>10</v>
      </c>
    </row>
    <row r="1042" ht="15.5" spans="1:6">
      <c r="A1042" s="6" t="s">
        <v>2569</v>
      </c>
      <c r="B1042" s="3" t="s">
        <v>2570</v>
      </c>
      <c r="C1042" s="4" t="s">
        <v>12</v>
      </c>
      <c r="D1042" s="7">
        <v>1453.63</v>
      </c>
      <c r="E1042" s="8" t="s">
        <v>7397</v>
      </c>
      <c r="F1042" s="9">
        <f t="array" ref="F1042">VALUE(_wpsfn.REGEXP(E1042,"\d+(\.\d+)?"))</f>
        <v>10</v>
      </c>
    </row>
    <row r="1043" ht="15.5" spans="1:6">
      <c r="A1043" s="6" t="s">
        <v>2571</v>
      </c>
      <c r="B1043" s="3" t="s">
        <v>2572</v>
      </c>
      <c r="C1043" s="4" t="s">
        <v>12</v>
      </c>
      <c r="D1043" s="7">
        <v>1534.85</v>
      </c>
      <c r="E1043" s="8" t="s">
        <v>7397</v>
      </c>
      <c r="F1043" s="9">
        <f t="array" ref="F1043">VALUE(_wpsfn.REGEXP(E1043,"\d+(\.\d+)?"))</f>
        <v>10</v>
      </c>
    </row>
    <row r="1044" ht="15.5" spans="1:6">
      <c r="A1044" s="6" t="s">
        <v>2573</v>
      </c>
      <c r="B1044" s="3" t="s">
        <v>2574</v>
      </c>
      <c r="C1044" s="4" t="s">
        <v>12</v>
      </c>
      <c r="D1044" s="7">
        <v>1577.13</v>
      </c>
      <c r="E1044" s="8" t="s">
        <v>7397</v>
      </c>
      <c r="F1044" s="9">
        <f t="array" ref="F1044">VALUE(_wpsfn.REGEXP(E1044,"\d+(\.\d+)?"))</f>
        <v>10</v>
      </c>
    </row>
    <row r="1045" ht="15.5" spans="1:6">
      <c r="A1045" s="6" t="s">
        <v>2575</v>
      </c>
      <c r="B1045" s="3" t="s">
        <v>2576</v>
      </c>
      <c r="C1045" s="4" t="s">
        <v>12</v>
      </c>
      <c r="D1045" s="7">
        <v>1870.23</v>
      </c>
      <c r="E1045" s="8" t="s">
        <v>7397</v>
      </c>
      <c r="F1045" s="9">
        <f t="array" ref="F1045">VALUE(_wpsfn.REGEXP(E1045,"\d+(\.\d+)?"))</f>
        <v>10</v>
      </c>
    </row>
    <row r="1046" ht="15.5" spans="1:6">
      <c r="A1046" s="6" t="s">
        <v>2577</v>
      </c>
      <c r="B1046" s="3" t="s">
        <v>2578</v>
      </c>
      <c r="C1046" s="4" t="s">
        <v>12</v>
      </c>
      <c r="D1046" s="7">
        <v>1801.7</v>
      </c>
      <c r="E1046" s="8" t="s">
        <v>7397</v>
      </c>
      <c r="F1046" s="9">
        <f t="array" ref="F1046">VALUE(_wpsfn.REGEXP(E1046,"\d+(\.\d+)?"))</f>
        <v>10</v>
      </c>
    </row>
    <row r="1047" ht="15.5" spans="1:6">
      <c r="A1047" s="6" t="s">
        <v>2581</v>
      </c>
      <c r="B1047" s="3" t="s">
        <v>2582</v>
      </c>
      <c r="C1047" s="4" t="s">
        <v>12</v>
      </c>
      <c r="D1047" s="7">
        <v>1502.77</v>
      </c>
      <c r="E1047" s="8" t="s">
        <v>7397</v>
      </c>
      <c r="F1047" s="9">
        <f t="array" ref="F1047">VALUE(_wpsfn.REGEXP(E1047,"\d+(\.\d+)?"))</f>
        <v>10</v>
      </c>
    </row>
    <row r="1048" ht="15.5" spans="1:6">
      <c r="A1048" s="6" t="s">
        <v>2583</v>
      </c>
      <c r="B1048" s="3" t="s">
        <v>2574</v>
      </c>
      <c r="C1048" s="4" t="s">
        <v>12</v>
      </c>
      <c r="D1048" s="7">
        <v>1798.78</v>
      </c>
      <c r="E1048" s="8" t="s">
        <v>7397</v>
      </c>
      <c r="F1048" s="9">
        <f t="array" ref="F1048">VALUE(_wpsfn.REGEXP(E1048,"\d+(\.\d+)?"))</f>
        <v>10</v>
      </c>
    </row>
    <row r="1049" ht="15.5" spans="1:6">
      <c r="A1049" s="6" t="s">
        <v>2584</v>
      </c>
      <c r="B1049" s="3" t="s">
        <v>2572</v>
      </c>
      <c r="C1049" s="4" t="s">
        <v>12</v>
      </c>
      <c r="D1049" s="7">
        <v>1728.79</v>
      </c>
      <c r="E1049" s="8" t="s">
        <v>7397</v>
      </c>
      <c r="F1049" s="9">
        <f t="array" ref="F1049">VALUE(_wpsfn.REGEXP(E1049,"\d+(\.\d+)?"))</f>
        <v>10</v>
      </c>
    </row>
    <row r="1050" ht="15.5" spans="1:6">
      <c r="A1050" s="6" t="s">
        <v>2585</v>
      </c>
      <c r="B1050" s="3" t="s">
        <v>2586</v>
      </c>
      <c r="C1050" s="4" t="s">
        <v>12</v>
      </c>
      <c r="D1050" s="7">
        <v>2056.88</v>
      </c>
      <c r="E1050" s="8" t="s">
        <v>7397</v>
      </c>
      <c r="F1050" s="9">
        <f t="array" ref="F1050">VALUE(_wpsfn.REGEXP(E1050,"\d+(\.\d+)?"))</f>
        <v>10</v>
      </c>
    </row>
    <row r="1051" ht="15.5" spans="1:6">
      <c r="A1051" s="6" t="s">
        <v>2587</v>
      </c>
      <c r="B1051" s="3" t="s">
        <v>2588</v>
      </c>
      <c r="C1051" s="4" t="s">
        <v>12</v>
      </c>
      <c r="D1051" s="7">
        <v>2541.01</v>
      </c>
      <c r="E1051" s="8" t="s">
        <v>7397</v>
      </c>
      <c r="F1051" s="9">
        <f t="array" ref="F1051">VALUE(_wpsfn.REGEXP(E1051,"\d+(\.\d+)?"))</f>
        <v>10</v>
      </c>
    </row>
    <row r="1052" ht="15.5" spans="1:6">
      <c r="A1052" s="6" t="s">
        <v>2591</v>
      </c>
      <c r="B1052" s="3" t="s">
        <v>2582</v>
      </c>
      <c r="C1052" s="4" t="s">
        <v>12</v>
      </c>
      <c r="D1052" s="7">
        <v>1464.85</v>
      </c>
      <c r="E1052" s="8" t="s">
        <v>7397</v>
      </c>
      <c r="F1052" s="9">
        <f t="array" ref="F1052">VALUE(_wpsfn.REGEXP(E1052,"\d+(\.\d+)?"))</f>
        <v>10</v>
      </c>
    </row>
    <row r="1053" ht="15.5" spans="1:6">
      <c r="A1053" s="6" t="s">
        <v>2592</v>
      </c>
      <c r="B1053" s="3" t="s">
        <v>2574</v>
      </c>
      <c r="C1053" s="4" t="s">
        <v>12</v>
      </c>
      <c r="D1053" s="7">
        <v>1797.32</v>
      </c>
      <c r="E1053" s="8" t="s">
        <v>7397</v>
      </c>
      <c r="F1053" s="9">
        <f t="array" ref="F1053">VALUE(_wpsfn.REGEXP(E1053,"\d+(\.\d+)?"))</f>
        <v>10</v>
      </c>
    </row>
    <row r="1054" ht="15.5" spans="1:6">
      <c r="A1054" s="6" t="s">
        <v>2593</v>
      </c>
      <c r="B1054" s="3" t="s">
        <v>2572</v>
      </c>
      <c r="C1054" s="4" t="s">
        <v>12</v>
      </c>
      <c r="D1054" s="7">
        <v>1724.41</v>
      </c>
      <c r="E1054" s="8" t="s">
        <v>7397</v>
      </c>
      <c r="F1054" s="9">
        <f t="array" ref="F1054">VALUE(_wpsfn.REGEXP(E1054,"\d+(\.\d+)?"))</f>
        <v>10</v>
      </c>
    </row>
    <row r="1055" ht="15.5" spans="1:6">
      <c r="A1055" s="6" t="s">
        <v>2594</v>
      </c>
      <c r="B1055" s="3" t="s">
        <v>2586</v>
      </c>
      <c r="C1055" s="4" t="s">
        <v>12</v>
      </c>
      <c r="D1055" s="7">
        <v>2056.88</v>
      </c>
      <c r="E1055" s="8" t="s">
        <v>7397</v>
      </c>
      <c r="F1055" s="9">
        <f t="array" ref="F1055">VALUE(_wpsfn.REGEXP(E1055,"\d+(\.\d+)?"))</f>
        <v>10</v>
      </c>
    </row>
    <row r="1056" ht="15.5" spans="1:6">
      <c r="A1056" s="6" t="s">
        <v>2595</v>
      </c>
      <c r="B1056" s="3" t="s">
        <v>2588</v>
      </c>
      <c r="C1056" s="4" t="s">
        <v>12</v>
      </c>
      <c r="D1056" s="7">
        <v>2838.48</v>
      </c>
      <c r="E1056" s="8" t="s">
        <v>7397</v>
      </c>
      <c r="F1056" s="9">
        <f t="array" ref="F1056">VALUE(_wpsfn.REGEXP(E1056,"\d+(\.\d+)?"))</f>
        <v>10</v>
      </c>
    </row>
    <row r="1057" ht="62" spans="1:6">
      <c r="A1057" s="6" t="s">
        <v>2596</v>
      </c>
      <c r="B1057" s="12" t="s">
        <v>2597</v>
      </c>
      <c r="C1057" s="4" t="s">
        <v>12</v>
      </c>
      <c r="D1057" s="25">
        <v>850.11</v>
      </c>
      <c r="E1057" s="8" t="s">
        <v>7397</v>
      </c>
      <c r="F1057" s="9">
        <f t="array" ref="F1057">VALUE(_wpsfn.REGEXP(E1057,"\d+(\.\d+)?"))</f>
        <v>10</v>
      </c>
    </row>
    <row r="1058" ht="77.5" spans="1:6">
      <c r="A1058" s="6" t="s">
        <v>2598</v>
      </c>
      <c r="B1058" s="12" t="s">
        <v>2599</v>
      </c>
      <c r="C1058" s="4" t="s">
        <v>12</v>
      </c>
      <c r="D1058" s="25">
        <v>753.25</v>
      </c>
      <c r="E1058" s="8" t="s">
        <v>7554</v>
      </c>
      <c r="F1058" s="9">
        <f t="array" ref="F1058">VALUE(_wpsfn.REGEXP(E1058,"\d+(\.\d+)?"))</f>
        <v>1</v>
      </c>
    </row>
    <row r="1059" ht="232.5" spans="1:6">
      <c r="A1059" s="6" t="s">
        <v>2600</v>
      </c>
      <c r="B1059" s="12" t="s">
        <v>2601</v>
      </c>
      <c r="C1059" s="4" t="s">
        <v>12</v>
      </c>
      <c r="D1059" s="7">
        <v>954.15</v>
      </c>
      <c r="E1059" s="8" t="s">
        <v>7397</v>
      </c>
      <c r="F1059" s="9">
        <f t="array" ref="F1059">VALUE(_wpsfn.REGEXP(E1059,"\d+(\.\d+)?"))</f>
        <v>10</v>
      </c>
    </row>
    <row r="1060" ht="139.5" spans="1:6">
      <c r="A1060" s="6" t="s">
        <v>2602</v>
      </c>
      <c r="B1060" s="12" t="s">
        <v>2603</v>
      </c>
      <c r="C1060" s="4" t="s">
        <v>12</v>
      </c>
      <c r="D1060" s="7">
        <v>1708.1</v>
      </c>
      <c r="E1060" s="8" t="s">
        <v>7397</v>
      </c>
      <c r="F1060" s="9">
        <f t="array" ref="F1060">VALUE(_wpsfn.REGEXP(E1060,"\d+(\.\d+)?"))</f>
        <v>10</v>
      </c>
    </row>
    <row r="1061" ht="15.5" spans="1:6">
      <c r="A1061" s="6" t="s">
        <v>2606</v>
      </c>
      <c r="B1061" s="3" t="s">
        <v>2558</v>
      </c>
      <c r="C1061" s="4" t="s">
        <v>12</v>
      </c>
      <c r="D1061" s="7">
        <v>1593.89</v>
      </c>
      <c r="E1061" s="8" t="s">
        <v>7397</v>
      </c>
      <c r="F1061" s="9">
        <f t="array" ref="F1061">VALUE(_wpsfn.REGEXP(E1061,"\d+(\.\d+)?"))</f>
        <v>10</v>
      </c>
    </row>
    <row r="1062" ht="15.5" spans="1:6">
      <c r="A1062" s="6" t="s">
        <v>2607</v>
      </c>
      <c r="B1062" s="3" t="s">
        <v>2560</v>
      </c>
      <c r="C1062" s="4" t="s">
        <v>12</v>
      </c>
      <c r="D1062" s="7">
        <v>1623.05</v>
      </c>
      <c r="E1062" s="8" t="s">
        <v>7397</v>
      </c>
      <c r="F1062" s="9">
        <f t="array" ref="F1062">VALUE(_wpsfn.REGEXP(E1062,"\d+(\.\d+)?"))</f>
        <v>10</v>
      </c>
    </row>
    <row r="1063" ht="15.5" spans="1:6">
      <c r="A1063" s="6" t="s">
        <v>2608</v>
      </c>
      <c r="B1063" s="3" t="s">
        <v>2562</v>
      </c>
      <c r="C1063" s="4" t="s">
        <v>12</v>
      </c>
      <c r="D1063" s="7">
        <v>1958.44</v>
      </c>
      <c r="E1063" s="8" t="s">
        <v>7397</v>
      </c>
      <c r="F1063" s="9">
        <f t="array" ref="F1063">VALUE(_wpsfn.REGEXP(E1063,"\d+(\.\d+)?"))</f>
        <v>10</v>
      </c>
    </row>
    <row r="1064" ht="15.5" spans="1:6">
      <c r="A1064" s="6" t="s">
        <v>2609</v>
      </c>
      <c r="B1064" s="3" t="s">
        <v>2564</v>
      </c>
      <c r="C1064" s="4" t="s">
        <v>12</v>
      </c>
      <c r="D1064" s="7">
        <v>2162.59</v>
      </c>
      <c r="E1064" s="8" t="s">
        <v>7397</v>
      </c>
      <c r="F1064" s="9">
        <f t="array" ref="F1064">VALUE(_wpsfn.REGEXP(E1064,"\d+(\.\d+)?"))</f>
        <v>10</v>
      </c>
    </row>
    <row r="1065" ht="170.5" spans="1:6">
      <c r="A1065" s="6" t="s">
        <v>2610</v>
      </c>
      <c r="B1065" s="12" t="s">
        <v>2611</v>
      </c>
      <c r="C1065" s="4" t="s">
        <v>49</v>
      </c>
      <c r="D1065" s="7">
        <v>216.2</v>
      </c>
      <c r="E1065" s="8" t="s">
        <v>7688</v>
      </c>
      <c r="F1065" s="9">
        <f t="array" ref="F1065">VALUE(_wpsfn.REGEXP(E1065,"\d+(\.\d+)?"))</f>
        <v>133.33</v>
      </c>
    </row>
    <row r="1066" ht="15.5" spans="1:6">
      <c r="A1066" s="6" t="s">
        <v>2614</v>
      </c>
      <c r="B1066" s="3" t="s">
        <v>2558</v>
      </c>
      <c r="C1066" s="4" t="s">
        <v>12</v>
      </c>
      <c r="D1066" s="7">
        <v>1864.75</v>
      </c>
      <c r="E1066" s="8" t="s">
        <v>7554</v>
      </c>
      <c r="F1066" s="9">
        <f t="array" ref="F1066">VALUE(_wpsfn.REGEXP(E1066,"\d+(\.\d+)?"))</f>
        <v>1</v>
      </c>
    </row>
    <row r="1067" ht="15.5" spans="1:6">
      <c r="A1067" s="6" t="s">
        <v>2615</v>
      </c>
      <c r="B1067" s="3" t="s">
        <v>2560</v>
      </c>
      <c r="C1067" s="4" t="s">
        <v>12</v>
      </c>
      <c r="D1067" s="7">
        <v>1893.9</v>
      </c>
      <c r="E1067" s="8" t="s">
        <v>7554</v>
      </c>
      <c r="F1067" s="9">
        <f t="array" ref="F1067">VALUE(_wpsfn.REGEXP(E1067,"\d+(\.\d+)?"))</f>
        <v>1</v>
      </c>
    </row>
    <row r="1068" ht="15.5" spans="1:6">
      <c r="A1068" s="6" t="s">
        <v>2616</v>
      </c>
      <c r="B1068" s="3" t="s">
        <v>2562</v>
      </c>
      <c r="C1068" s="4" t="s">
        <v>12</v>
      </c>
      <c r="D1068" s="7">
        <v>2229.25</v>
      </c>
      <c r="E1068" s="8" t="s">
        <v>7554</v>
      </c>
      <c r="F1068" s="9">
        <f t="array" ref="F1068">VALUE(_wpsfn.REGEXP(E1068,"\d+(\.\d+)?"))</f>
        <v>1</v>
      </c>
    </row>
    <row r="1069" ht="15.5" spans="1:6">
      <c r="A1069" s="6" t="s">
        <v>2617</v>
      </c>
      <c r="B1069" s="3" t="s">
        <v>2564</v>
      </c>
      <c r="C1069" s="4" t="s">
        <v>12</v>
      </c>
      <c r="D1069" s="7">
        <v>2433.4</v>
      </c>
      <c r="E1069" s="8" t="s">
        <v>7554</v>
      </c>
      <c r="F1069" s="9">
        <f t="array" ref="F1069">VALUE(_wpsfn.REGEXP(E1069,"\d+(\.\d+)?"))</f>
        <v>1</v>
      </c>
    </row>
    <row r="1070" ht="15.5" spans="1:6">
      <c r="A1070" s="6" t="s">
        <v>2620</v>
      </c>
      <c r="B1070" s="3" t="s">
        <v>2558</v>
      </c>
      <c r="C1070" s="4" t="s">
        <v>12</v>
      </c>
      <c r="D1070" s="7">
        <v>373.35</v>
      </c>
      <c r="E1070" s="8" t="s">
        <v>7554</v>
      </c>
      <c r="F1070" s="9">
        <f t="array" ref="F1070">VALUE(_wpsfn.REGEXP(E1070,"\d+(\.\d+)?"))</f>
        <v>1</v>
      </c>
    </row>
    <row r="1071" ht="15.5" spans="1:6">
      <c r="A1071" s="6" t="s">
        <v>2621</v>
      </c>
      <c r="B1071" s="3" t="s">
        <v>2560</v>
      </c>
      <c r="C1071" s="4" t="s">
        <v>12</v>
      </c>
      <c r="D1071" s="7">
        <v>309.05</v>
      </c>
      <c r="E1071" s="8" t="s">
        <v>7554</v>
      </c>
      <c r="F1071" s="9">
        <f t="array" ref="F1071">VALUE(_wpsfn.REGEXP(E1071,"\d+(\.\d+)?"))</f>
        <v>1</v>
      </c>
    </row>
    <row r="1072" ht="15.5" spans="1:6">
      <c r="A1072" s="6" t="s">
        <v>2622</v>
      </c>
      <c r="B1072" s="3" t="s">
        <v>2562</v>
      </c>
      <c r="C1072" s="4" t="s">
        <v>12</v>
      </c>
      <c r="D1072" s="7">
        <v>244.75</v>
      </c>
      <c r="E1072" s="8" t="s">
        <v>7554</v>
      </c>
      <c r="F1072" s="9">
        <f t="array" ref="F1072">VALUE(_wpsfn.REGEXP(E1072,"\d+(\.\d+)?"))</f>
        <v>1</v>
      </c>
    </row>
    <row r="1073" ht="15.5" spans="1:6">
      <c r="A1073" s="6" t="s">
        <v>2623</v>
      </c>
      <c r="B1073" s="3" t="s">
        <v>2564</v>
      </c>
      <c r="C1073" s="4" t="s">
        <v>12</v>
      </c>
      <c r="D1073" s="7">
        <v>174.5</v>
      </c>
      <c r="E1073" s="8" t="s">
        <v>7554</v>
      </c>
      <c r="F1073" s="9">
        <f t="array" ref="F1073">VALUE(_wpsfn.REGEXP(E1073,"\d+(\.\d+)?"))</f>
        <v>1</v>
      </c>
    </row>
    <row r="1074" ht="15.5" spans="1:6">
      <c r="A1074" s="6" t="s">
        <v>2626</v>
      </c>
      <c r="B1074" s="3" t="s">
        <v>2558</v>
      </c>
      <c r="C1074" s="4" t="s">
        <v>12</v>
      </c>
      <c r="D1074" s="7">
        <v>1696.2</v>
      </c>
      <c r="E1074" s="8" t="s">
        <v>7554</v>
      </c>
      <c r="F1074" s="9">
        <f t="array" ref="F1074">VALUE(_wpsfn.REGEXP(E1074,"\d+(\.\d+)?"))</f>
        <v>1</v>
      </c>
    </row>
    <row r="1075" ht="15.5" spans="1:6">
      <c r="A1075" s="6" t="s">
        <v>2627</v>
      </c>
      <c r="B1075" s="3" t="s">
        <v>2560</v>
      </c>
      <c r="C1075" s="4" t="s">
        <v>12</v>
      </c>
      <c r="D1075" s="7">
        <v>1725.35</v>
      </c>
      <c r="E1075" s="8" t="s">
        <v>7554</v>
      </c>
      <c r="F1075" s="9">
        <f t="array" ref="F1075">VALUE(_wpsfn.REGEXP(E1075,"\d+(\.\d+)?"))</f>
        <v>1</v>
      </c>
    </row>
    <row r="1076" ht="15.5" spans="1:6">
      <c r="A1076" s="6" t="s">
        <v>2628</v>
      </c>
      <c r="B1076" s="3" t="s">
        <v>2562</v>
      </c>
      <c r="C1076" s="4" t="s">
        <v>12</v>
      </c>
      <c r="D1076" s="7">
        <v>2060.75</v>
      </c>
      <c r="E1076" s="8" t="s">
        <v>7554</v>
      </c>
      <c r="F1076" s="9">
        <f t="array" ref="F1076">VALUE(_wpsfn.REGEXP(E1076,"\d+(\.\d+)?"))</f>
        <v>1</v>
      </c>
    </row>
    <row r="1077" ht="15.5" spans="1:6">
      <c r="A1077" s="6" t="s">
        <v>2629</v>
      </c>
      <c r="B1077" s="3" t="s">
        <v>2564</v>
      </c>
      <c r="C1077" s="4" t="s">
        <v>12</v>
      </c>
      <c r="D1077" s="7">
        <v>2264.9</v>
      </c>
      <c r="E1077" s="8" t="s">
        <v>7554</v>
      </c>
      <c r="F1077" s="9">
        <f t="array" ref="F1077">VALUE(_wpsfn.REGEXP(E1077,"\d+(\.\d+)?"))</f>
        <v>1</v>
      </c>
    </row>
    <row r="1078" ht="279" spans="1:6">
      <c r="A1078" s="6" t="s">
        <v>2630</v>
      </c>
      <c r="B1078" s="12" t="s">
        <v>7689</v>
      </c>
      <c r="C1078" s="4" t="s">
        <v>12</v>
      </c>
      <c r="D1078" s="7">
        <v>3623.95</v>
      </c>
      <c r="E1078" s="8" t="s">
        <v>7397</v>
      </c>
      <c r="F1078" s="9">
        <f t="array" ref="F1078">VALUE(_wpsfn.REGEXP(E1078,"\d+(\.\d+)?"))</f>
        <v>10</v>
      </c>
    </row>
    <row r="1079" ht="46.5" spans="1:6">
      <c r="A1079" s="6" t="s">
        <v>2632</v>
      </c>
      <c r="B1079" s="12" t="s">
        <v>2633</v>
      </c>
      <c r="C1079" s="4" t="s">
        <v>12</v>
      </c>
      <c r="D1079" s="7">
        <v>13.3</v>
      </c>
      <c r="E1079" s="8" t="s">
        <v>7554</v>
      </c>
      <c r="F1079" s="9">
        <f t="array" ref="F1079">VALUE(_wpsfn.REGEXP(E1079,"\d+(\.\d+)?"))</f>
        <v>1</v>
      </c>
    </row>
    <row r="1080" ht="46.5" spans="1:6">
      <c r="A1080" s="6" t="s">
        <v>2636</v>
      </c>
      <c r="B1080" s="3" t="s">
        <v>2637</v>
      </c>
      <c r="C1080" s="4" t="s">
        <v>12</v>
      </c>
      <c r="D1080" s="7">
        <v>6603.35</v>
      </c>
      <c r="E1080" s="8" t="s">
        <v>7397</v>
      </c>
      <c r="F1080" s="9">
        <f t="array" ref="F1080">VALUE(_wpsfn.REGEXP(E1080,"\d+(\.\d+)?"))</f>
        <v>10</v>
      </c>
    </row>
    <row r="1081" ht="46.5" spans="1:6">
      <c r="A1081" s="6" t="s">
        <v>2640</v>
      </c>
      <c r="B1081" s="3" t="s">
        <v>2637</v>
      </c>
      <c r="C1081" s="4" t="s">
        <v>12</v>
      </c>
      <c r="D1081" s="7">
        <v>6927.35</v>
      </c>
      <c r="E1081" s="8" t="s">
        <v>7397</v>
      </c>
      <c r="F1081" s="9">
        <f t="array" ref="F1081">VALUE(_wpsfn.REGEXP(E1081,"\d+(\.\d+)?"))</f>
        <v>10</v>
      </c>
    </row>
    <row r="1082" ht="186" spans="1:6">
      <c r="A1082" s="6" t="s">
        <v>2641</v>
      </c>
      <c r="B1082" s="12" t="s">
        <v>2642</v>
      </c>
      <c r="C1082" s="4" t="s">
        <v>12</v>
      </c>
      <c r="D1082" s="7">
        <v>3891.15</v>
      </c>
      <c r="E1082" s="8" t="s">
        <v>7690</v>
      </c>
      <c r="F1082" s="9">
        <f t="array" ref="F1082">VALUE(_wpsfn.REGEXP(E1082,"\d+(\.\d+)?"))</f>
        <v>8</v>
      </c>
    </row>
    <row r="1083" ht="15.5" spans="1:6">
      <c r="A1083" s="6" t="s">
        <v>2648</v>
      </c>
      <c r="B1083" s="3" t="s">
        <v>2649</v>
      </c>
      <c r="C1083" s="4" t="s">
        <v>12</v>
      </c>
      <c r="D1083" s="7">
        <v>5623.95</v>
      </c>
      <c r="E1083" s="8" t="s">
        <v>7332</v>
      </c>
      <c r="F1083" s="9">
        <f t="array" ref="F1083">VALUE(_wpsfn.REGEXP(E1083,"\d+(\.\d+)?"))</f>
        <v>100</v>
      </c>
    </row>
    <row r="1084" ht="15.5" spans="1:6">
      <c r="A1084" s="6" t="s">
        <v>2650</v>
      </c>
      <c r="B1084" s="3" t="s">
        <v>2651</v>
      </c>
      <c r="C1084" s="4" t="s">
        <v>12</v>
      </c>
      <c r="D1084" s="7">
        <v>5977.35</v>
      </c>
      <c r="E1084" s="8" t="s">
        <v>7332</v>
      </c>
      <c r="F1084" s="9">
        <f t="array" ref="F1084">VALUE(_wpsfn.REGEXP(E1084,"\d+(\.\d+)?"))</f>
        <v>100</v>
      </c>
    </row>
    <row r="1085" ht="46.5" spans="1:6">
      <c r="A1085" s="6" t="s">
        <v>2654</v>
      </c>
      <c r="B1085" s="3" t="s">
        <v>2655</v>
      </c>
      <c r="C1085" s="4" t="s">
        <v>12</v>
      </c>
      <c r="D1085" s="7">
        <v>3186.7</v>
      </c>
      <c r="E1085" s="8" t="s">
        <v>7397</v>
      </c>
      <c r="F1085" s="9">
        <f t="array" ref="F1085">VALUE(_wpsfn.REGEXP(E1085,"\d+(\.\d+)?"))</f>
        <v>10</v>
      </c>
    </row>
    <row r="1086" ht="31" spans="1:6">
      <c r="A1086" s="6" t="s">
        <v>2659</v>
      </c>
      <c r="B1086" s="3" t="s">
        <v>2660</v>
      </c>
      <c r="C1086" s="4" t="s">
        <v>12</v>
      </c>
      <c r="D1086" s="7">
        <v>4481.3</v>
      </c>
      <c r="E1086" s="8" t="s">
        <v>7397</v>
      </c>
      <c r="F1086" s="9">
        <f t="array" ref="F1086">VALUE(_wpsfn.REGEXP(E1086,"\d+(\.\d+)?"))</f>
        <v>10</v>
      </c>
    </row>
    <row r="1087" ht="46.5" spans="1:6">
      <c r="A1087" s="6" t="s">
        <v>2662</v>
      </c>
      <c r="B1087" s="3" t="s">
        <v>7691</v>
      </c>
      <c r="C1087" s="4" t="s">
        <v>12</v>
      </c>
      <c r="D1087" s="7">
        <v>3071.05</v>
      </c>
      <c r="E1087" s="8" t="s">
        <v>7397</v>
      </c>
      <c r="F1087" s="9">
        <f t="array" ref="F1087">VALUE(_wpsfn.REGEXP(E1087,"\d+(\.\d+)?"))</f>
        <v>10</v>
      </c>
    </row>
    <row r="1088" ht="15.5" spans="1:6">
      <c r="A1088" s="6" t="s">
        <v>204</v>
      </c>
      <c r="B1088" s="12" t="s">
        <v>2</v>
      </c>
      <c r="C1088" s="4" t="s">
        <v>3</v>
      </c>
      <c r="D1088" s="14" t="s">
        <v>4</v>
      </c>
    </row>
    <row r="1089" ht="31" spans="1:6">
      <c r="A1089" s="6" t="s">
        <v>2668</v>
      </c>
      <c r="B1089" s="3" t="s">
        <v>2669</v>
      </c>
      <c r="C1089" s="4" t="s">
        <v>12</v>
      </c>
      <c r="D1089" s="7">
        <v>1457.15</v>
      </c>
      <c r="E1089" s="8" t="s">
        <v>7692</v>
      </c>
      <c r="F1089" s="9">
        <v>184.518</v>
      </c>
    </row>
    <row r="1090" ht="31" spans="1:6">
      <c r="A1090" s="6" t="s">
        <v>2670</v>
      </c>
      <c r="B1090" s="3" t="s">
        <v>2671</v>
      </c>
      <c r="C1090" s="4" t="s">
        <v>12</v>
      </c>
      <c r="D1090" s="7">
        <v>1257.55</v>
      </c>
      <c r="E1090" s="8" t="s">
        <v>7692</v>
      </c>
      <c r="F1090" s="9">
        <v>184.518</v>
      </c>
    </row>
    <row r="1091" ht="31" spans="1:6">
      <c r="A1091" s="6" t="s">
        <v>2672</v>
      </c>
      <c r="B1091" s="3" t="s">
        <v>2673</v>
      </c>
      <c r="C1091" s="4" t="s">
        <v>12</v>
      </c>
      <c r="D1091" s="7">
        <v>1087.65</v>
      </c>
      <c r="E1091" s="8" t="s">
        <v>7692</v>
      </c>
      <c r="F1091" s="9">
        <v>184.518</v>
      </c>
    </row>
    <row r="1092" ht="15.5" spans="1:6">
      <c r="A1092" s="6" t="s">
        <v>2676</v>
      </c>
      <c r="B1092" s="3" t="s">
        <v>2677</v>
      </c>
      <c r="C1092" s="4" t="s">
        <v>49</v>
      </c>
      <c r="D1092" s="7">
        <v>116.15</v>
      </c>
      <c r="E1092" s="8" t="s">
        <v>7693</v>
      </c>
      <c r="F1092" s="9">
        <v>3</v>
      </c>
    </row>
    <row r="1093" ht="15.5" spans="1:6">
      <c r="A1093" s="6" t="s">
        <v>2678</v>
      </c>
      <c r="B1093" s="3" t="s">
        <v>2679</v>
      </c>
      <c r="C1093" s="4" t="s">
        <v>49</v>
      </c>
      <c r="D1093" s="7">
        <v>92.95</v>
      </c>
      <c r="E1093" s="8" t="s">
        <v>7693</v>
      </c>
      <c r="F1093" s="9">
        <v>3</v>
      </c>
    </row>
    <row r="1094" ht="15.5" spans="1:6">
      <c r="A1094" s="6" t="s">
        <v>2680</v>
      </c>
      <c r="B1094" s="3" t="s">
        <v>2681</v>
      </c>
      <c r="C1094" s="4" t="s">
        <v>49</v>
      </c>
      <c r="D1094" s="7">
        <v>92.95</v>
      </c>
      <c r="E1094" s="8" t="s">
        <v>7693</v>
      </c>
      <c r="F1094" s="9">
        <v>3</v>
      </c>
    </row>
    <row r="1095" ht="15.5" spans="1:6">
      <c r="A1095" s="6" t="s">
        <v>2684</v>
      </c>
      <c r="B1095" s="3" t="s">
        <v>2677</v>
      </c>
      <c r="C1095" s="4" t="s">
        <v>49</v>
      </c>
      <c r="D1095" s="7">
        <v>671.45</v>
      </c>
      <c r="E1095" s="8" t="s">
        <v>7694</v>
      </c>
      <c r="F1095" s="9">
        <v>15.71</v>
      </c>
    </row>
    <row r="1096" ht="15.5" spans="1:6">
      <c r="A1096" s="6" t="s">
        <v>2685</v>
      </c>
      <c r="B1096" s="3" t="s">
        <v>2679</v>
      </c>
      <c r="C1096" s="4" t="s">
        <v>49</v>
      </c>
      <c r="D1096" s="7">
        <v>536.3</v>
      </c>
      <c r="E1096" s="8" t="s">
        <v>7694</v>
      </c>
      <c r="F1096" s="9">
        <v>15.71</v>
      </c>
    </row>
    <row r="1097" ht="15.5" spans="1:6">
      <c r="A1097" s="6" t="s">
        <v>2686</v>
      </c>
      <c r="B1097" s="3" t="s">
        <v>2681</v>
      </c>
      <c r="C1097" s="4" t="s">
        <v>49</v>
      </c>
      <c r="D1097" s="7">
        <v>536.3</v>
      </c>
      <c r="E1097" s="8" t="s">
        <v>7694</v>
      </c>
      <c r="F1097" s="9">
        <v>15.71</v>
      </c>
    </row>
    <row r="1098" ht="31" spans="1:6">
      <c r="A1098" s="6" t="s">
        <v>2689</v>
      </c>
      <c r="B1098" s="3" t="s">
        <v>2671</v>
      </c>
      <c r="C1098" s="4" t="s">
        <v>49</v>
      </c>
      <c r="D1098" s="7">
        <v>1083.3</v>
      </c>
      <c r="E1098" s="8" t="s">
        <v>7695</v>
      </c>
      <c r="F1098" s="9">
        <v>10.35</v>
      </c>
    </row>
    <row r="1099" ht="31" spans="1:6">
      <c r="A1099" s="6" t="s">
        <v>2690</v>
      </c>
      <c r="B1099" s="3" t="s">
        <v>2691</v>
      </c>
      <c r="C1099" s="4" t="s">
        <v>49</v>
      </c>
      <c r="D1099" s="7">
        <v>980.5</v>
      </c>
      <c r="E1099" s="8" t="s">
        <v>7695</v>
      </c>
      <c r="F1099" s="9">
        <v>10.35</v>
      </c>
    </row>
    <row r="1100" ht="31" spans="1:6">
      <c r="A1100" s="6" t="s">
        <v>2694</v>
      </c>
      <c r="B1100" s="3" t="s">
        <v>2695</v>
      </c>
      <c r="C1100" s="4" t="s">
        <v>49</v>
      </c>
      <c r="D1100" s="7">
        <v>1863.9</v>
      </c>
      <c r="E1100" s="8" t="s">
        <v>7696</v>
      </c>
      <c r="F1100" s="9">
        <v>9.325</v>
      </c>
    </row>
    <row r="1101" ht="31" spans="1:6">
      <c r="A1101" s="6" t="s">
        <v>2698</v>
      </c>
      <c r="B1101" s="3" t="s">
        <v>2669</v>
      </c>
      <c r="C1101" s="4" t="s">
        <v>49</v>
      </c>
      <c r="D1101" s="7">
        <v>857.55</v>
      </c>
      <c r="E1101" s="8" t="s">
        <v>7697</v>
      </c>
      <c r="F1101" s="9">
        <v>13.39</v>
      </c>
    </row>
    <row r="1102" ht="31" spans="1:6">
      <c r="A1102" s="6" t="s">
        <v>2701</v>
      </c>
      <c r="B1102" s="3" t="s">
        <v>2671</v>
      </c>
      <c r="C1102" s="4" t="s">
        <v>49</v>
      </c>
      <c r="D1102" s="7">
        <v>1029.65</v>
      </c>
      <c r="E1102" s="8" t="s">
        <v>7698</v>
      </c>
      <c r="F1102" s="9">
        <v>90.4</v>
      </c>
    </row>
    <row r="1103" ht="31" spans="1:6">
      <c r="A1103" s="6" t="s">
        <v>2702</v>
      </c>
      <c r="B1103" s="3" t="s">
        <v>2691</v>
      </c>
      <c r="C1103" s="4" t="s">
        <v>49</v>
      </c>
      <c r="D1103" s="7">
        <v>944.05</v>
      </c>
      <c r="E1103" s="8" t="s">
        <v>7699</v>
      </c>
      <c r="F1103" s="9">
        <v>90.4</v>
      </c>
    </row>
    <row r="1104" ht="186" spans="1:6">
      <c r="A1104" s="6" t="s">
        <v>2703</v>
      </c>
      <c r="B1104" s="12" t="s">
        <v>2704</v>
      </c>
      <c r="C1104" s="4" t="s">
        <v>12</v>
      </c>
      <c r="D1104" s="7">
        <v>536.4</v>
      </c>
      <c r="E1104" s="8" t="s">
        <v>7700</v>
      </c>
      <c r="F1104" s="9">
        <v>216.14</v>
      </c>
    </row>
    <row r="1105" ht="108.5" spans="1:6">
      <c r="A1105" s="6" t="s">
        <v>2705</v>
      </c>
      <c r="B1105" s="12" t="s">
        <v>7701</v>
      </c>
      <c r="C1105" s="4" t="s">
        <v>49</v>
      </c>
      <c r="D1105" s="7">
        <v>92.95</v>
      </c>
      <c r="E1105" s="8" t="s">
        <v>7702</v>
      </c>
      <c r="F1105" s="9">
        <v>3</v>
      </c>
    </row>
    <row r="1106" ht="93" spans="1:6">
      <c r="A1106" s="6" t="s">
        <v>2707</v>
      </c>
      <c r="B1106" s="12" t="s">
        <v>2708</v>
      </c>
      <c r="C1106" s="4" t="s">
        <v>49</v>
      </c>
      <c r="D1106" s="7">
        <v>256.7</v>
      </c>
      <c r="E1106" s="8" t="s">
        <v>7703</v>
      </c>
      <c r="F1106" s="9">
        <v>9.05</v>
      </c>
    </row>
    <row r="1107" ht="31" spans="1:6">
      <c r="A1107" s="6" t="s">
        <v>2709</v>
      </c>
      <c r="B1107" s="12" t="s">
        <v>2710</v>
      </c>
      <c r="C1107" s="4" t="s">
        <v>49</v>
      </c>
      <c r="D1107" s="7">
        <v>195.6</v>
      </c>
      <c r="E1107" s="8" t="s">
        <v>7704</v>
      </c>
      <c r="F1107" s="9">
        <v>300</v>
      </c>
    </row>
    <row r="1108" ht="15.5" spans="1:6">
      <c r="A1108" s="6" t="s">
        <v>2713</v>
      </c>
      <c r="B1108" s="3" t="s">
        <v>2714</v>
      </c>
      <c r="C1108" s="26" t="s">
        <v>49</v>
      </c>
      <c r="D1108" s="7">
        <v>522.95</v>
      </c>
      <c r="E1108" s="8" t="s">
        <v>7705</v>
      </c>
      <c r="F1108" s="9">
        <v>20.2</v>
      </c>
    </row>
    <row r="1109" ht="15.5" spans="1:6">
      <c r="A1109" s="6" t="s">
        <v>2715</v>
      </c>
      <c r="B1109" s="3" t="s">
        <v>2716</v>
      </c>
      <c r="C1109" s="4" t="s">
        <v>49</v>
      </c>
      <c r="D1109" s="7">
        <v>522.95</v>
      </c>
      <c r="E1109" s="8" t="s">
        <v>7705</v>
      </c>
      <c r="F1109" s="9">
        <v>20.2</v>
      </c>
    </row>
    <row r="1110" ht="15.5" spans="1:6">
      <c r="A1110" s="6" t="s">
        <v>2717</v>
      </c>
      <c r="B1110" s="3" t="s">
        <v>2718</v>
      </c>
      <c r="C1110" s="4" t="s">
        <v>49</v>
      </c>
      <c r="D1110" s="7">
        <v>585.7</v>
      </c>
      <c r="E1110" s="8" t="s">
        <v>7705</v>
      </c>
      <c r="F1110" s="9">
        <v>20.2</v>
      </c>
    </row>
    <row r="1111" ht="15.5" spans="1:6">
      <c r="A1111" s="6" t="s">
        <v>2719</v>
      </c>
      <c r="B1111" s="3" t="s">
        <v>2720</v>
      </c>
      <c r="C1111" s="18" t="s">
        <v>49</v>
      </c>
      <c r="D1111" s="27">
        <v>521.85</v>
      </c>
      <c r="E1111" s="8" t="s">
        <v>7705</v>
      </c>
      <c r="F1111" s="9">
        <v>20.2</v>
      </c>
    </row>
    <row r="1112" ht="15.5" spans="1:6">
      <c r="A1112" s="6" t="s">
        <v>2723</v>
      </c>
      <c r="B1112" s="3" t="s">
        <v>2724</v>
      </c>
      <c r="C1112" s="4" t="s">
        <v>49</v>
      </c>
      <c r="D1112" s="7">
        <v>428.5</v>
      </c>
      <c r="E1112" s="8" t="s">
        <v>7705</v>
      </c>
      <c r="F1112" s="9">
        <v>20.2</v>
      </c>
    </row>
    <row r="1113" ht="15.5" spans="1:6">
      <c r="A1113" s="6" t="s">
        <v>2725</v>
      </c>
      <c r="B1113" s="3" t="s">
        <v>2726</v>
      </c>
      <c r="C1113" s="4" t="s">
        <v>49</v>
      </c>
      <c r="D1113" s="7">
        <v>345.05</v>
      </c>
      <c r="E1113" s="8" t="s">
        <v>7705</v>
      </c>
      <c r="F1113" s="9">
        <v>20.2</v>
      </c>
    </row>
    <row r="1114" ht="15.5" spans="1:6">
      <c r="A1114" s="6" t="s">
        <v>2727</v>
      </c>
      <c r="B1114" s="3" t="s">
        <v>2728</v>
      </c>
      <c r="C1114" s="4" t="s">
        <v>49</v>
      </c>
      <c r="D1114" s="7">
        <v>567.2</v>
      </c>
      <c r="E1114" s="8" t="s">
        <v>7705</v>
      </c>
      <c r="F1114" s="9">
        <v>20.2</v>
      </c>
    </row>
    <row r="1115" ht="15.5" spans="1:6">
      <c r="A1115" s="6" t="s">
        <v>2729</v>
      </c>
      <c r="B1115" s="3" t="s">
        <v>2730</v>
      </c>
      <c r="C1115" s="4" t="s">
        <v>49</v>
      </c>
      <c r="D1115" s="7">
        <v>627.3</v>
      </c>
      <c r="E1115" s="8" t="s">
        <v>7705</v>
      </c>
      <c r="F1115" s="9">
        <v>20.2</v>
      </c>
    </row>
    <row r="1116" ht="15.5" spans="1:6">
      <c r="A1116" s="6" t="s">
        <v>2731</v>
      </c>
      <c r="B1116" s="3" t="s">
        <v>2732</v>
      </c>
      <c r="C1116" s="4" t="s">
        <v>49</v>
      </c>
      <c r="D1116" s="7">
        <v>724.65</v>
      </c>
      <c r="E1116" s="8" t="s">
        <v>7706</v>
      </c>
      <c r="F1116" s="9">
        <v>9.7</v>
      </c>
    </row>
    <row r="1117" ht="15.5" spans="1:6">
      <c r="A1117" s="6" t="s">
        <v>2733</v>
      </c>
      <c r="B1117" s="3" t="s">
        <v>2734</v>
      </c>
      <c r="C1117" s="4" t="s">
        <v>2735</v>
      </c>
      <c r="D1117" s="7">
        <v>303.7</v>
      </c>
      <c r="E1117" s="8" t="s">
        <v>7707</v>
      </c>
      <c r="F1117" s="9">
        <v>1</v>
      </c>
    </row>
    <row r="1118" ht="15.5" spans="1:6">
      <c r="A1118" s="6" t="s">
        <v>2736</v>
      </c>
      <c r="B1118" s="3" t="s">
        <v>2737</v>
      </c>
      <c r="C1118" s="4" t="s">
        <v>156</v>
      </c>
      <c r="D1118" s="7">
        <v>1013.85</v>
      </c>
      <c r="E1118" s="8" t="s">
        <v>7708</v>
      </c>
      <c r="F1118" s="9">
        <v>20</v>
      </c>
    </row>
    <row r="1119" ht="15.5" spans="1:6">
      <c r="A1119" s="6" t="s">
        <v>2738</v>
      </c>
      <c r="B1119" s="3" t="s">
        <v>2739</v>
      </c>
      <c r="C1119" s="4" t="s">
        <v>49</v>
      </c>
      <c r="D1119" s="7">
        <v>560.05</v>
      </c>
      <c r="E1119" s="8" t="s">
        <v>7709</v>
      </c>
      <c r="F1119" s="9">
        <v>8.74</v>
      </c>
    </row>
    <row r="1120" ht="62" spans="1:6">
      <c r="A1120" s="6" t="s">
        <v>2740</v>
      </c>
      <c r="B1120" s="12" t="s">
        <v>2741</v>
      </c>
      <c r="C1120" s="4" t="s">
        <v>49</v>
      </c>
      <c r="D1120" s="7">
        <v>92.4</v>
      </c>
      <c r="E1120" s="8" t="s">
        <v>7710</v>
      </c>
      <c r="F1120" s="9">
        <v>200</v>
      </c>
    </row>
    <row r="1121" ht="31" spans="1:6">
      <c r="A1121" s="6" t="s">
        <v>2744</v>
      </c>
      <c r="B1121" s="3" t="s">
        <v>2745</v>
      </c>
      <c r="C1121" s="4" t="s">
        <v>12</v>
      </c>
      <c r="D1121" s="7">
        <v>166.2</v>
      </c>
      <c r="E1121" s="8" t="s">
        <v>7397</v>
      </c>
      <c r="F1121" s="9">
        <v>10</v>
      </c>
    </row>
    <row r="1122" ht="31" spans="1:6">
      <c r="A1122" s="6" t="s">
        <v>2748</v>
      </c>
      <c r="B1122" s="3" t="s">
        <v>2749</v>
      </c>
      <c r="C1122" s="4" t="s">
        <v>12</v>
      </c>
      <c r="D1122" s="7">
        <v>1050.2</v>
      </c>
      <c r="E1122" s="8" t="s">
        <v>7397</v>
      </c>
      <c r="F1122" s="9">
        <v>10</v>
      </c>
    </row>
    <row r="1123" ht="62" spans="1:6">
      <c r="A1123" s="6" t="s">
        <v>2752</v>
      </c>
      <c r="B1123" s="3" t="s">
        <v>2753</v>
      </c>
      <c r="C1123" s="4" t="s">
        <v>12</v>
      </c>
      <c r="D1123" s="7">
        <v>1074.5</v>
      </c>
      <c r="E1123" s="8" t="s">
        <v>7397</v>
      </c>
      <c r="F1123" s="9">
        <v>10</v>
      </c>
    </row>
    <row r="1124" ht="31" spans="1:6">
      <c r="A1124" s="6" t="s">
        <v>2754</v>
      </c>
      <c r="B1124" s="12" t="s">
        <v>2755</v>
      </c>
      <c r="C1124" s="4" t="s">
        <v>12</v>
      </c>
      <c r="D1124" s="7">
        <v>24.2</v>
      </c>
      <c r="E1124" s="8" t="s">
        <v>7397</v>
      </c>
      <c r="F1124" s="9">
        <v>10</v>
      </c>
    </row>
    <row r="1125" ht="46.5" spans="1:6">
      <c r="A1125" s="6" t="s">
        <v>2758</v>
      </c>
      <c r="B1125" s="3" t="s">
        <v>2759</v>
      </c>
      <c r="C1125" s="4" t="s">
        <v>12</v>
      </c>
      <c r="D1125" s="7">
        <v>607.4</v>
      </c>
      <c r="E1125" s="8" t="s">
        <v>7397</v>
      </c>
      <c r="F1125" s="9">
        <v>10</v>
      </c>
    </row>
    <row r="1126" ht="139.5" spans="1:6">
      <c r="A1126" s="6" t="s">
        <v>2760</v>
      </c>
      <c r="B1126" s="12" t="s">
        <v>2761</v>
      </c>
      <c r="C1126" s="4" t="s">
        <v>12</v>
      </c>
      <c r="D1126" s="7">
        <v>709.75</v>
      </c>
      <c r="E1126" s="8" t="s">
        <v>7397</v>
      </c>
      <c r="F1126" s="9">
        <v>10</v>
      </c>
    </row>
    <row r="1127" ht="15.5" spans="1:6">
      <c r="A1127" s="6" t="s">
        <v>2764</v>
      </c>
      <c r="B1127" s="3" t="s">
        <v>2765</v>
      </c>
      <c r="C1127" s="4" t="s">
        <v>49</v>
      </c>
      <c r="D1127" s="7">
        <v>305.15</v>
      </c>
      <c r="E1127" s="8" t="s">
        <v>7556</v>
      </c>
      <c r="F1127" s="9">
        <v>100</v>
      </c>
    </row>
    <row r="1128" ht="155" spans="1:6">
      <c r="A1128" s="6" t="s">
        <v>2766</v>
      </c>
      <c r="B1128" s="12" t="s">
        <v>2767</v>
      </c>
      <c r="C1128" s="4" t="s">
        <v>156</v>
      </c>
      <c r="D1128" s="7">
        <v>298.24</v>
      </c>
      <c r="E1128" s="8" t="s">
        <v>7576</v>
      </c>
      <c r="F1128" s="9">
        <v>10</v>
      </c>
    </row>
    <row r="1129" ht="15.5" spans="1:6">
      <c r="A1129" s="6" t="s">
        <v>2772</v>
      </c>
      <c r="B1129" s="3" t="s">
        <v>2773</v>
      </c>
      <c r="C1129" s="4" t="s">
        <v>12</v>
      </c>
      <c r="D1129" s="7">
        <v>1138.2</v>
      </c>
      <c r="E1129" s="8" t="s">
        <v>7332</v>
      </c>
      <c r="F1129" s="9">
        <v>100</v>
      </c>
    </row>
    <row r="1130" ht="15.5" spans="1:6">
      <c r="A1130" s="6" t="s">
        <v>2776</v>
      </c>
      <c r="B1130" s="3" t="s">
        <v>2773</v>
      </c>
      <c r="C1130" s="4" t="s">
        <v>12</v>
      </c>
      <c r="D1130" s="7">
        <v>1106.9</v>
      </c>
      <c r="E1130" s="8" t="s">
        <v>7332</v>
      </c>
      <c r="F1130" s="9">
        <v>100</v>
      </c>
    </row>
    <row r="1131" ht="15.5" spans="1:6">
      <c r="A1131" s="6" t="s">
        <v>2782</v>
      </c>
      <c r="B1131" s="3" t="s">
        <v>1215</v>
      </c>
      <c r="C1131" s="4" t="s">
        <v>12</v>
      </c>
      <c r="D1131" s="7">
        <v>924.35</v>
      </c>
      <c r="E1131" s="8" t="s">
        <v>7397</v>
      </c>
      <c r="F1131" s="9">
        <v>10</v>
      </c>
    </row>
    <row r="1132" ht="15.5" spans="1:6">
      <c r="A1132" s="6" t="s">
        <v>2785</v>
      </c>
      <c r="B1132" s="3" t="s">
        <v>1215</v>
      </c>
      <c r="C1132" s="4" t="s">
        <v>12</v>
      </c>
      <c r="D1132" s="7">
        <v>966.6</v>
      </c>
      <c r="E1132" s="8" t="s">
        <v>7397</v>
      </c>
      <c r="F1132" s="9">
        <v>10</v>
      </c>
    </row>
    <row r="1133" ht="15.5" spans="1:6">
      <c r="A1133" s="6" t="s">
        <v>2788</v>
      </c>
      <c r="B1133" s="3" t="s">
        <v>1215</v>
      </c>
      <c r="C1133" s="4" t="s">
        <v>12</v>
      </c>
      <c r="D1133" s="7">
        <v>1121.55</v>
      </c>
      <c r="E1133" s="8" t="s">
        <v>7397</v>
      </c>
      <c r="F1133" s="9">
        <v>10</v>
      </c>
    </row>
    <row r="1134" ht="15.5" spans="1:6">
      <c r="A1134" s="6" t="s">
        <v>2791</v>
      </c>
      <c r="B1134" s="3" t="s">
        <v>1215</v>
      </c>
      <c r="C1134" s="4" t="s">
        <v>12</v>
      </c>
      <c r="D1134" s="7">
        <v>1070.6</v>
      </c>
      <c r="E1134" s="8" t="s">
        <v>7397</v>
      </c>
      <c r="F1134" s="9">
        <v>10</v>
      </c>
    </row>
    <row r="1135" ht="31" spans="1:6">
      <c r="A1135" s="6" t="s">
        <v>2794</v>
      </c>
      <c r="B1135" s="3" t="s">
        <v>2795</v>
      </c>
      <c r="C1135" s="4" t="s">
        <v>12</v>
      </c>
      <c r="D1135" s="7">
        <v>921.95</v>
      </c>
      <c r="E1135" s="8" t="s">
        <v>7397</v>
      </c>
      <c r="F1135" s="9">
        <v>10</v>
      </c>
    </row>
    <row r="1136" ht="31" spans="1:6">
      <c r="A1136" s="6" t="s">
        <v>2796</v>
      </c>
      <c r="B1136" s="3" t="s">
        <v>2797</v>
      </c>
      <c r="C1136" s="4" t="s">
        <v>12</v>
      </c>
      <c r="D1136" s="7">
        <v>890.65</v>
      </c>
      <c r="E1136" s="8" t="s">
        <v>7397</v>
      </c>
      <c r="F1136" s="9">
        <v>10</v>
      </c>
    </row>
    <row r="1137" ht="15.5" spans="1:6">
      <c r="A1137" s="6" t="s">
        <v>2800</v>
      </c>
      <c r="B1137" s="3" t="s">
        <v>2801</v>
      </c>
      <c r="C1137" s="4" t="s">
        <v>49</v>
      </c>
      <c r="D1137" s="7">
        <v>726.3</v>
      </c>
      <c r="E1137" s="8" t="s">
        <v>7711</v>
      </c>
      <c r="F1137" s="9">
        <v>15.71</v>
      </c>
    </row>
    <row r="1138" ht="15.5" spans="1:6">
      <c r="A1138" s="6" t="s">
        <v>2803</v>
      </c>
      <c r="B1138" s="3" t="s">
        <v>1215</v>
      </c>
      <c r="C1138" s="4" t="s">
        <v>49</v>
      </c>
      <c r="D1138" s="7">
        <v>487</v>
      </c>
      <c r="E1138" s="8" t="s">
        <v>7711</v>
      </c>
      <c r="F1138" s="9">
        <v>15.71</v>
      </c>
    </row>
    <row r="1139" ht="15.5" spans="1:6">
      <c r="A1139" s="6" t="s">
        <v>2806</v>
      </c>
      <c r="B1139" s="3" t="s">
        <v>1215</v>
      </c>
      <c r="C1139" s="4" t="s">
        <v>49</v>
      </c>
      <c r="D1139" s="7">
        <v>492.25</v>
      </c>
      <c r="E1139" s="8" t="s">
        <v>7711</v>
      </c>
      <c r="F1139" s="9">
        <v>15.71</v>
      </c>
    </row>
    <row r="1140" ht="15.5" spans="1:6">
      <c r="A1140" s="6" t="s">
        <v>2809</v>
      </c>
      <c r="B1140" s="3" t="s">
        <v>1215</v>
      </c>
      <c r="C1140" s="4" t="s">
        <v>49</v>
      </c>
      <c r="D1140" s="7">
        <v>511.5</v>
      </c>
      <c r="E1140" s="8" t="s">
        <v>7711</v>
      </c>
      <c r="F1140" s="9">
        <v>15.71</v>
      </c>
    </row>
    <row r="1141" ht="15.5" spans="1:6">
      <c r="A1141" s="6" t="s">
        <v>2812</v>
      </c>
      <c r="B1141" s="3" t="s">
        <v>2813</v>
      </c>
      <c r="C1141" s="4" t="s">
        <v>49</v>
      </c>
      <c r="D1141" s="7">
        <v>470.1</v>
      </c>
      <c r="E1141" s="8" t="s">
        <v>7711</v>
      </c>
      <c r="F1141" s="9">
        <v>15.71</v>
      </c>
    </row>
    <row r="1142" ht="15.5" spans="1:6">
      <c r="A1142" s="6" t="s">
        <v>2814</v>
      </c>
      <c r="B1142" s="3" t="s">
        <v>2815</v>
      </c>
      <c r="C1142" s="4" t="s">
        <v>49</v>
      </c>
      <c r="D1142" s="7">
        <v>485.7</v>
      </c>
      <c r="E1142" s="8" t="s">
        <v>7711</v>
      </c>
      <c r="F1142" s="9">
        <v>15.71</v>
      </c>
    </row>
    <row r="1143" ht="31" spans="1:6">
      <c r="A1143" s="6" t="s">
        <v>2816</v>
      </c>
      <c r="B1143" s="12" t="s">
        <v>2817</v>
      </c>
      <c r="C1143" s="4" t="s">
        <v>12</v>
      </c>
      <c r="D1143" s="7">
        <v>453.1</v>
      </c>
      <c r="E1143" s="8" t="s">
        <v>7397</v>
      </c>
      <c r="F1143" s="9">
        <v>10</v>
      </c>
    </row>
    <row r="1144" ht="15.5" spans="1:6">
      <c r="A1144" s="6" t="s">
        <v>2820</v>
      </c>
      <c r="B1144" s="3" t="s">
        <v>2821</v>
      </c>
      <c r="C1144" s="4" t="s">
        <v>12</v>
      </c>
      <c r="D1144" s="7">
        <v>1718.95</v>
      </c>
      <c r="E1144" s="8" t="s">
        <v>7332</v>
      </c>
      <c r="F1144" s="9">
        <v>100</v>
      </c>
    </row>
    <row r="1145" ht="15.5" spans="1:6">
      <c r="A1145" s="6" t="s">
        <v>2822</v>
      </c>
      <c r="B1145" s="3" t="s">
        <v>2823</v>
      </c>
      <c r="C1145" s="4" t="s">
        <v>12</v>
      </c>
      <c r="D1145" s="7">
        <v>2067.45</v>
      </c>
      <c r="E1145" s="8" t="s">
        <v>7332</v>
      </c>
      <c r="F1145" s="9">
        <v>100</v>
      </c>
    </row>
    <row r="1146" ht="46.5" spans="1:6">
      <c r="A1146" s="6" t="s">
        <v>2824</v>
      </c>
      <c r="B1146" s="12" t="s">
        <v>2825</v>
      </c>
      <c r="C1146" s="4" t="s">
        <v>12</v>
      </c>
      <c r="D1146" s="7">
        <v>607.45</v>
      </c>
      <c r="E1146" s="8" t="s">
        <v>7397</v>
      </c>
      <c r="F1146" s="9">
        <v>10</v>
      </c>
    </row>
    <row r="1147" ht="62" spans="1:6">
      <c r="A1147" s="6" t="s">
        <v>2826</v>
      </c>
      <c r="B1147" s="12" t="s">
        <v>2827</v>
      </c>
      <c r="C1147" s="4" t="s">
        <v>2828</v>
      </c>
      <c r="D1147" s="7">
        <v>265.7</v>
      </c>
      <c r="E1147" s="8" t="s">
        <v>7712</v>
      </c>
      <c r="F1147" s="9">
        <v>10</v>
      </c>
    </row>
    <row r="1148" ht="139.5" spans="1:6">
      <c r="A1148" s="6" t="s">
        <v>2829</v>
      </c>
      <c r="B1148" s="12" t="s">
        <v>2830</v>
      </c>
      <c r="C1148" s="4" t="s">
        <v>12</v>
      </c>
      <c r="D1148" s="7">
        <v>703.05</v>
      </c>
      <c r="E1148" s="8" t="s">
        <v>7397</v>
      </c>
      <c r="F1148" s="9">
        <v>10</v>
      </c>
    </row>
    <row r="1149" ht="108.5" spans="1:6">
      <c r="A1149" s="6" t="s">
        <v>2831</v>
      </c>
      <c r="B1149" s="12" t="s">
        <v>2832</v>
      </c>
      <c r="C1149" s="4" t="s">
        <v>12</v>
      </c>
      <c r="D1149" s="7">
        <v>297.25</v>
      </c>
      <c r="E1149" s="8" t="s">
        <v>7397</v>
      </c>
      <c r="F1149" s="9">
        <v>10</v>
      </c>
    </row>
    <row r="1150" ht="15.5" spans="1:6">
      <c r="A1150" s="6" t="s">
        <v>2835</v>
      </c>
      <c r="B1150" s="3" t="s">
        <v>2836</v>
      </c>
      <c r="C1150" s="4" t="s">
        <v>12</v>
      </c>
      <c r="D1150" s="7">
        <v>321.75</v>
      </c>
      <c r="E1150" s="8" t="s">
        <v>7397</v>
      </c>
      <c r="F1150" s="9">
        <v>10</v>
      </c>
    </row>
    <row r="1151" ht="31" spans="1:6">
      <c r="A1151" s="6" t="s">
        <v>2837</v>
      </c>
      <c r="B1151" s="3" t="s">
        <v>2838</v>
      </c>
      <c r="C1151" s="4" t="s">
        <v>12</v>
      </c>
      <c r="D1151" s="7">
        <v>353.05</v>
      </c>
      <c r="E1151" s="8" t="s">
        <v>7397</v>
      </c>
      <c r="F1151" s="9">
        <v>10</v>
      </c>
    </row>
    <row r="1152" ht="15.5" spans="1:6">
      <c r="A1152" s="6" t="s">
        <v>2842</v>
      </c>
      <c r="B1152" s="3" t="s">
        <v>2843</v>
      </c>
      <c r="C1152" s="4" t="s">
        <v>156</v>
      </c>
      <c r="D1152" s="7">
        <v>164.2</v>
      </c>
      <c r="E1152" s="8" t="s">
        <v>7713</v>
      </c>
      <c r="F1152" s="9">
        <v>10</v>
      </c>
    </row>
    <row r="1153" ht="15.5" spans="1:6">
      <c r="A1153" s="6" t="s">
        <v>2846</v>
      </c>
      <c r="B1153" s="3" t="s">
        <v>2847</v>
      </c>
      <c r="C1153" s="4" t="s">
        <v>156</v>
      </c>
      <c r="D1153" s="7">
        <v>362.85</v>
      </c>
      <c r="E1153" s="8" t="s">
        <v>7714</v>
      </c>
      <c r="F1153" s="9">
        <v>50</v>
      </c>
    </row>
    <row r="1154" ht="15.5" spans="1:6">
      <c r="A1154" s="6" t="s">
        <v>2848</v>
      </c>
      <c r="B1154" s="3" t="s">
        <v>2849</v>
      </c>
      <c r="C1154" s="4" t="s">
        <v>156</v>
      </c>
      <c r="D1154" s="7">
        <v>395.6</v>
      </c>
      <c r="E1154" s="8" t="s">
        <v>7714</v>
      </c>
      <c r="F1154" s="9">
        <v>50</v>
      </c>
    </row>
    <row r="1155" ht="15.5" spans="1:6">
      <c r="A1155" s="6" t="s">
        <v>2852</v>
      </c>
      <c r="B1155" s="3" t="s">
        <v>2853</v>
      </c>
      <c r="C1155" s="4" t="s">
        <v>156</v>
      </c>
      <c r="D1155" s="7">
        <v>580.5</v>
      </c>
      <c r="E1155" s="8" t="s">
        <v>7715</v>
      </c>
      <c r="F1155" s="9">
        <v>1</v>
      </c>
    </row>
    <row r="1156" ht="15.5" spans="1:6">
      <c r="A1156" s="6" t="s">
        <v>2854</v>
      </c>
      <c r="B1156" s="3" t="s">
        <v>2855</v>
      </c>
      <c r="C1156" s="4" t="s">
        <v>156</v>
      </c>
      <c r="D1156" s="7">
        <v>798</v>
      </c>
      <c r="E1156" s="8" t="s">
        <v>7715</v>
      </c>
      <c r="F1156" s="9">
        <v>1</v>
      </c>
    </row>
    <row r="1157" ht="15.5" spans="1:6">
      <c r="A1157" s="6" t="s">
        <v>2860</v>
      </c>
      <c r="B1157" s="3" t="s">
        <v>2849</v>
      </c>
      <c r="C1157" s="4" t="s">
        <v>156</v>
      </c>
      <c r="D1157" s="7">
        <v>511.9</v>
      </c>
      <c r="E1157" s="8" t="s">
        <v>7716</v>
      </c>
      <c r="F1157" s="9">
        <v>1</v>
      </c>
    </row>
    <row r="1158" ht="15.5" spans="1:6">
      <c r="A1158" s="6" t="s">
        <v>2863</v>
      </c>
      <c r="B1158" s="3" t="s">
        <v>2864</v>
      </c>
      <c r="C1158" s="4" t="s">
        <v>49</v>
      </c>
      <c r="D1158" s="7">
        <v>248.8</v>
      </c>
      <c r="E1158" s="8" t="s">
        <v>7717</v>
      </c>
      <c r="F1158" s="9">
        <v>6</v>
      </c>
    </row>
    <row r="1159" ht="15.5" spans="1:6">
      <c r="A1159" s="6" t="s">
        <v>2865</v>
      </c>
      <c r="B1159" s="3" t="s">
        <v>2866</v>
      </c>
      <c r="C1159" s="4" t="s">
        <v>49</v>
      </c>
      <c r="D1159" s="7">
        <v>377.4</v>
      </c>
      <c r="E1159" s="8" t="s">
        <v>7717</v>
      </c>
      <c r="F1159" s="9">
        <v>6</v>
      </c>
    </row>
    <row r="1160" ht="15.5" spans="1:6">
      <c r="A1160" s="6" t="s">
        <v>2871</v>
      </c>
      <c r="B1160" s="3" t="s">
        <v>1597</v>
      </c>
      <c r="C1160" s="4" t="s">
        <v>156</v>
      </c>
      <c r="D1160" s="7">
        <v>91.7</v>
      </c>
      <c r="E1160" s="8" t="s">
        <v>7718</v>
      </c>
      <c r="F1160" s="9">
        <v>1</v>
      </c>
    </row>
    <row r="1161" ht="15.5" spans="1:6">
      <c r="A1161" s="6" t="s">
        <v>2872</v>
      </c>
      <c r="B1161" s="3" t="s">
        <v>2873</v>
      </c>
      <c r="C1161" s="4" t="s">
        <v>156</v>
      </c>
      <c r="D1161" s="7">
        <v>136.15</v>
      </c>
      <c r="E1161" s="8" t="s">
        <v>7718</v>
      </c>
      <c r="F1161" s="9">
        <v>1</v>
      </c>
    </row>
    <row r="1162" ht="15.5" spans="1:6">
      <c r="A1162" s="6" t="s">
        <v>2876</v>
      </c>
      <c r="B1162" s="3" t="s">
        <v>1597</v>
      </c>
      <c r="C1162" s="4" t="s">
        <v>156</v>
      </c>
      <c r="D1162" s="7">
        <v>93.1</v>
      </c>
      <c r="E1162" s="8" t="s">
        <v>7718</v>
      </c>
      <c r="F1162" s="9">
        <v>1</v>
      </c>
    </row>
    <row r="1163" ht="15.5" spans="1:6">
      <c r="A1163" s="6" t="s">
        <v>2877</v>
      </c>
      <c r="B1163" s="3" t="s">
        <v>2873</v>
      </c>
      <c r="C1163" s="4" t="s">
        <v>156</v>
      </c>
      <c r="D1163" s="7">
        <v>127.6</v>
      </c>
      <c r="E1163" s="8" t="s">
        <v>7718</v>
      </c>
      <c r="F1163" s="9">
        <v>1</v>
      </c>
    </row>
    <row r="1164" ht="15.5" spans="1:6">
      <c r="A1164" s="6" t="s">
        <v>2880</v>
      </c>
      <c r="B1164" s="3" t="s">
        <v>2881</v>
      </c>
      <c r="C1164" s="4" t="s">
        <v>156</v>
      </c>
      <c r="D1164" s="7">
        <v>164.2</v>
      </c>
      <c r="E1164" s="8" t="s">
        <v>7719</v>
      </c>
      <c r="F1164" s="9">
        <v>1</v>
      </c>
    </row>
    <row r="1165" ht="15.5" spans="1:6">
      <c r="A1165" s="6" t="s">
        <v>2882</v>
      </c>
      <c r="B1165" s="3" t="s">
        <v>2883</v>
      </c>
      <c r="C1165" s="4" t="s">
        <v>156</v>
      </c>
      <c r="D1165" s="7">
        <v>234.15</v>
      </c>
      <c r="E1165" s="8" t="s">
        <v>7719</v>
      </c>
      <c r="F1165" s="9">
        <v>1</v>
      </c>
    </row>
    <row r="1166" ht="15.5" spans="1:6">
      <c r="A1166" s="6" t="s">
        <v>2886</v>
      </c>
      <c r="B1166" s="3" t="s">
        <v>2881</v>
      </c>
      <c r="C1166" s="4" t="s">
        <v>156</v>
      </c>
      <c r="D1166" s="7">
        <v>144.3</v>
      </c>
      <c r="E1166" s="8" t="s">
        <v>7719</v>
      </c>
      <c r="F1166" s="9">
        <v>1</v>
      </c>
    </row>
    <row r="1167" ht="15.5" spans="1:6">
      <c r="A1167" s="6" t="s">
        <v>2887</v>
      </c>
      <c r="B1167" s="3" t="s">
        <v>2883</v>
      </c>
      <c r="C1167" s="4" t="s">
        <v>156</v>
      </c>
      <c r="D1167" s="7">
        <v>221.35</v>
      </c>
      <c r="E1167" s="8" t="s">
        <v>7719</v>
      </c>
      <c r="F1167" s="9">
        <v>1</v>
      </c>
    </row>
    <row r="1168" ht="15.5" spans="1:6">
      <c r="A1168" s="6" t="s">
        <v>2890</v>
      </c>
      <c r="B1168" s="3" t="s">
        <v>2891</v>
      </c>
      <c r="C1168" s="4" t="s">
        <v>156</v>
      </c>
      <c r="D1168" s="7">
        <v>105.9</v>
      </c>
      <c r="E1168" s="8" t="s">
        <v>7720</v>
      </c>
      <c r="F1168" s="9">
        <v>1</v>
      </c>
    </row>
    <row r="1169" ht="15.5" spans="1:6">
      <c r="A1169" s="6" t="s">
        <v>2892</v>
      </c>
      <c r="B1169" s="3" t="s">
        <v>2893</v>
      </c>
      <c r="C1169" s="4" t="s">
        <v>156</v>
      </c>
      <c r="D1169" s="7">
        <v>150.35</v>
      </c>
      <c r="E1169" s="8" t="s">
        <v>7720</v>
      </c>
      <c r="F1169" s="9">
        <v>1</v>
      </c>
    </row>
    <row r="1170" ht="15.5" spans="1:6">
      <c r="A1170" s="6" t="s">
        <v>2896</v>
      </c>
      <c r="B1170" s="3" t="s">
        <v>2897</v>
      </c>
      <c r="C1170" s="4" t="s">
        <v>156</v>
      </c>
      <c r="D1170" s="7">
        <v>93.1</v>
      </c>
      <c r="E1170" s="8" t="s">
        <v>7716</v>
      </c>
      <c r="F1170" s="9">
        <v>1</v>
      </c>
    </row>
    <row r="1171" ht="15.5" spans="1:6">
      <c r="A1171" s="6" t="s">
        <v>2898</v>
      </c>
      <c r="B1171" s="3" t="s">
        <v>2899</v>
      </c>
      <c r="C1171" s="4" t="s">
        <v>156</v>
      </c>
      <c r="D1171" s="7">
        <v>131.85</v>
      </c>
      <c r="E1171" s="8" t="s">
        <v>7716</v>
      </c>
      <c r="F1171" s="9">
        <v>1</v>
      </c>
    </row>
    <row r="1172" ht="15.5" spans="1:6">
      <c r="A1172" s="6" t="s">
        <v>2902</v>
      </c>
      <c r="B1172" s="3" t="s">
        <v>1597</v>
      </c>
      <c r="C1172" s="4" t="s">
        <v>156</v>
      </c>
      <c r="D1172" s="7">
        <v>369.85</v>
      </c>
      <c r="E1172" s="8" t="s">
        <v>7721</v>
      </c>
      <c r="F1172" s="9">
        <v>5</v>
      </c>
    </row>
    <row r="1173" ht="15.5" spans="1:6">
      <c r="A1173" s="6" t="s">
        <v>2903</v>
      </c>
      <c r="B1173" s="3" t="s">
        <v>2873</v>
      </c>
      <c r="C1173" s="4" t="s">
        <v>156</v>
      </c>
      <c r="D1173" s="7">
        <v>371.3</v>
      </c>
      <c r="E1173" s="8" t="s">
        <v>7721</v>
      </c>
      <c r="F1173" s="9">
        <v>5</v>
      </c>
    </row>
    <row r="1174" ht="62" spans="1:6">
      <c r="A1174" s="6" t="s">
        <v>2904</v>
      </c>
      <c r="B1174" s="12" t="s">
        <v>2905</v>
      </c>
      <c r="C1174" s="4" t="s">
        <v>156</v>
      </c>
      <c r="D1174" s="7">
        <v>54.7</v>
      </c>
      <c r="E1174" s="8" t="s">
        <v>7722</v>
      </c>
      <c r="F1174" s="9">
        <v>1</v>
      </c>
    </row>
    <row r="1175" ht="46.5" spans="1:6">
      <c r="A1175" s="6" t="s">
        <v>2908</v>
      </c>
      <c r="B1175" s="3" t="s">
        <v>2909</v>
      </c>
      <c r="C1175" s="4" t="s">
        <v>12</v>
      </c>
      <c r="D1175" s="7">
        <v>1355.8</v>
      </c>
      <c r="E1175" s="8" t="s">
        <v>7723</v>
      </c>
      <c r="F1175" s="9">
        <v>103.68</v>
      </c>
    </row>
    <row r="1176" ht="62" spans="1:6">
      <c r="A1176" s="6" t="s">
        <v>2910</v>
      </c>
      <c r="B1176" s="3" t="s">
        <v>2911</v>
      </c>
      <c r="C1176" s="4" t="s">
        <v>12</v>
      </c>
      <c r="D1176" s="7">
        <v>1520.1</v>
      </c>
      <c r="E1176" s="8" t="s">
        <v>7723</v>
      </c>
      <c r="F1176" s="9">
        <v>103.68</v>
      </c>
    </row>
    <row r="1177" ht="31" spans="1:6">
      <c r="A1177" s="6" t="s">
        <v>2912</v>
      </c>
      <c r="B1177" s="3" t="s">
        <v>2913</v>
      </c>
      <c r="C1177" s="4" t="s">
        <v>12</v>
      </c>
      <c r="D1177" s="7">
        <v>1529.1</v>
      </c>
      <c r="E1177" s="8" t="s">
        <v>7723</v>
      </c>
      <c r="F1177" s="9">
        <v>103.68</v>
      </c>
    </row>
    <row r="1178" ht="124" spans="1:6">
      <c r="A1178" s="6" t="s">
        <v>2914</v>
      </c>
      <c r="B1178" s="3" t="s">
        <v>2915</v>
      </c>
      <c r="C1178" s="4" t="s">
        <v>12</v>
      </c>
      <c r="D1178" s="7">
        <v>1744.15</v>
      </c>
      <c r="E1178" s="8" t="s">
        <v>7723</v>
      </c>
      <c r="F1178" s="9">
        <v>103.68</v>
      </c>
    </row>
    <row r="1179" ht="77.5" spans="1:6">
      <c r="A1179" s="6" t="s">
        <v>2916</v>
      </c>
      <c r="B1179" s="12" t="s">
        <v>2917</v>
      </c>
      <c r="C1179" s="4" t="s">
        <v>156</v>
      </c>
      <c r="D1179" s="7">
        <v>84.55</v>
      </c>
      <c r="E1179" s="8" t="s">
        <v>7722</v>
      </c>
      <c r="F1179" s="9">
        <v>1</v>
      </c>
    </row>
    <row r="1180" ht="31" spans="1:6">
      <c r="A1180" s="6" t="s">
        <v>2920</v>
      </c>
      <c r="B1180" s="3" t="s">
        <v>2921</v>
      </c>
      <c r="C1180" s="4" t="s">
        <v>12</v>
      </c>
      <c r="D1180" s="7">
        <v>1401.35</v>
      </c>
      <c r="E1180" s="8" t="s">
        <v>7692</v>
      </c>
      <c r="F1180" s="9">
        <v>184.518</v>
      </c>
    </row>
    <row r="1181" ht="15.5" spans="1:6">
      <c r="A1181" s="6" t="s">
        <v>2922</v>
      </c>
      <c r="B1181" s="3" t="s">
        <v>2923</v>
      </c>
      <c r="C1181" s="4" t="s">
        <v>12</v>
      </c>
      <c r="D1181" s="7">
        <v>1245.65</v>
      </c>
      <c r="E1181" s="8" t="s">
        <v>7692</v>
      </c>
      <c r="F1181" s="9">
        <v>184.518</v>
      </c>
    </row>
    <row r="1182" ht="93" spans="1:6">
      <c r="A1182" s="6" t="s">
        <v>2924</v>
      </c>
      <c r="B1182" s="12" t="s">
        <v>2925</v>
      </c>
      <c r="C1182" s="4" t="s">
        <v>12</v>
      </c>
      <c r="D1182" s="7">
        <v>433.45</v>
      </c>
      <c r="E1182" s="8" t="s">
        <v>7397</v>
      </c>
      <c r="F1182" s="9">
        <v>10</v>
      </c>
    </row>
    <row r="1183" ht="77.5" spans="1:6">
      <c r="A1183" s="6" t="s">
        <v>2926</v>
      </c>
      <c r="B1183" s="12" t="s">
        <v>2927</v>
      </c>
      <c r="C1183" s="4" t="s">
        <v>12</v>
      </c>
      <c r="D1183" s="7">
        <v>96.9</v>
      </c>
      <c r="E1183" s="8" t="s">
        <v>7724</v>
      </c>
      <c r="F1183" s="9">
        <v>3.6</v>
      </c>
    </row>
    <row r="1184" ht="356.5" spans="1:6">
      <c r="A1184" s="6" t="s">
        <v>2928</v>
      </c>
      <c r="B1184" s="12" t="s">
        <v>2929</v>
      </c>
      <c r="C1184" s="4" t="s">
        <v>12</v>
      </c>
      <c r="D1184" s="7">
        <v>738.65</v>
      </c>
      <c r="E1184" s="8" t="s">
        <v>7700</v>
      </c>
      <c r="F1184" s="9">
        <v>216.14</v>
      </c>
    </row>
    <row r="1185" ht="15.5" spans="1:6">
      <c r="A1185" s="6" t="s">
        <v>2932</v>
      </c>
      <c r="B1185" s="3" t="s">
        <v>2933</v>
      </c>
      <c r="C1185" s="4" t="s">
        <v>49</v>
      </c>
      <c r="D1185" s="7">
        <v>532.35</v>
      </c>
      <c r="E1185" s="8" t="s">
        <v>7705</v>
      </c>
      <c r="F1185" s="9">
        <v>20.2</v>
      </c>
    </row>
    <row r="1186" ht="15.5" spans="1:6">
      <c r="A1186" s="6" t="s">
        <v>2934</v>
      </c>
      <c r="B1186" s="3" t="s">
        <v>2935</v>
      </c>
      <c r="C1186" s="4" t="s">
        <v>49</v>
      </c>
      <c r="D1186" s="7">
        <v>485.6</v>
      </c>
      <c r="E1186" s="8" t="s">
        <v>7705</v>
      </c>
      <c r="F1186" s="9">
        <v>20.2</v>
      </c>
    </row>
    <row r="1187" ht="15.5" spans="1:6">
      <c r="A1187" s="6" t="s">
        <v>2936</v>
      </c>
      <c r="B1187" s="3" t="s">
        <v>2728</v>
      </c>
      <c r="C1187" s="4" t="s">
        <v>49</v>
      </c>
      <c r="D1187" s="7">
        <v>546.1</v>
      </c>
      <c r="E1187" s="8" t="s">
        <v>7705</v>
      </c>
      <c r="F1187" s="9">
        <v>20.2</v>
      </c>
    </row>
    <row r="1188" ht="15.5" spans="1:6">
      <c r="A1188" s="6" t="s">
        <v>2937</v>
      </c>
      <c r="B1188" s="3" t="s">
        <v>2938</v>
      </c>
      <c r="C1188" s="4" t="s">
        <v>49</v>
      </c>
      <c r="D1188" s="7">
        <v>451.5</v>
      </c>
      <c r="E1188" s="8" t="s">
        <v>7725</v>
      </c>
      <c r="F1188" s="9">
        <v>8.23</v>
      </c>
    </row>
    <row r="1189" ht="15.5" spans="1:6">
      <c r="A1189" s="6" t="s">
        <v>2939</v>
      </c>
      <c r="B1189" s="3" t="s">
        <v>2940</v>
      </c>
      <c r="C1189" s="4" t="s">
        <v>12</v>
      </c>
      <c r="D1189" s="7">
        <v>496.75</v>
      </c>
      <c r="E1189" s="8" t="s">
        <v>7726</v>
      </c>
      <c r="F1189" s="9">
        <v>21.412</v>
      </c>
    </row>
    <row r="1190" ht="15.5" spans="1:6">
      <c r="A1190" s="6" t="s">
        <v>2941</v>
      </c>
      <c r="B1190" s="3" t="s">
        <v>2942</v>
      </c>
      <c r="C1190" s="4" t="s">
        <v>49</v>
      </c>
      <c r="D1190" s="7">
        <v>1313.65</v>
      </c>
      <c r="E1190" s="8" t="s">
        <v>7388</v>
      </c>
      <c r="F1190" s="9">
        <v>10</v>
      </c>
    </row>
    <row r="1191" ht="139.5" spans="1:6">
      <c r="A1191" s="6" t="s">
        <v>2945</v>
      </c>
      <c r="B1191" s="3" t="s">
        <v>2946</v>
      </c>
      <c r="C1191" s="4" t="s">
        <v>12</v>
      </c>
      <c r="D1191" s="7">
        <v>1902.95</v>
      </c>
      <c r="E1191" s="8" t="s">
        <v>7332</v>
      </c>
      <c r="F1191" s="9">
        <v>100</v>
      </c>
    </row>
    <row r="1192" ht="201.5" spans="1:6">
      <c r="A1192" s="6" t="s">
        <v>2947</v>
      </c>
      <c r="B1192" s="3" t="s">
        <v>2948</v>
      </c>
      <c r="C1192" s="4" t="s">
        <v>12</v>
      </c>
      <c r="D1192" s="7">
        <v>2068.75</v>
      </c>
      <c r="E1192" s="8" t="s">
        <v>7332</v>
      </c>
      <c r="F1192" s="9">
        <v>100</v>
      </c>
    </row>
    <row r="1193" ht="201.5" spans="1:6">
      <c r="A1193" s="6" t="s">
        <v>2949</v>
      </c>
      <c r="B1193" s="3" t="s">
        <v>2950</v>
      </c>
      <c r="C1193" s="4" t="s">
        <v>12</v>
      </c>
      <c r="D1193" s="7">
        <v>2215.15</v>
      </c>
      <c r="E1193" s="8" t="s">
        <v>7332</v>
      </c>
      <c r="F1193" s="9">
        <v>100</v>
      </c>
    </row>
    <row r="1194" ht="155" spans="1:6">
      <c r="A1194" s="6" t="s">
        <v>2951</v>
      </c>
      <c r="B1194" s="3" t="s">
        <v>2952</v>
      </c>
      <c r="C1194" s="4" t="s">
        <v>12</v>
      </c>
      <c r="D1194" s="7">
        <v>1528</v>
      </c>
      <c r="E1194" s="8" t="s">
        <v>7332</v>
      </c>
      <c r="F1194" s="9">
        <v>100</v>
      </c>
    </row>
    <row r="1195" ht="409.5" spans="1:6">
      <c r="A1195" s="6" t="s">
        <v>2953</v>
      </c>
      <c r="B1195" s="12" t="s">
        <v>2954</v>
      </c>
      <c r="C1195" s="4" t="s">
        <v>12</v>
      </c>
      <c r="D1195" s="7">
        <v>2158.15</v>
      </c>
      <c r="E1195" s="8" t="s">
        <v>7332</v>
      </c>
      <c r="F1195" s="9">
        <v>100</v>
      </c>
    </row>
    <row r="1196" ht="139.5" spans="1:6">
      <c r="A1196" s="6" t="s">
        <v>2958</v>
      </c>
      <c r="B1196" s="3" t="s">
        <v>2959</v>
      </c>
      <c r="C1196" s="4" t="s">
        <v>12</v>
      </c>
      <c r="D1196" s="7">
        <v>2221.7</v>
      </c>
      <c r="E1196" s="8" t="s">
        <v>7332</v>
      </c>
      <c r="F1196" s="9">
        <v>100</v>
      </c>
    </row>
    <row r="1197" ht="170.5" spans="1:6">
      <c r="A1197" s="6" t="s">
        <v>2960</v>
      </c>
      <c r="B1197" s="3" t="s">
        <v>2961</v>
      </c>
      <c r="C1197" s="4" t="s">
        <v>12</v>
      </c>
      <c r="D1197" s="7">
        <v>2354.65</v>
      </c>
      <c r="E1197" s="8" t="s">
        <v>7332</v>
      </c>
      <c r="F1197" s="9">
        <v>100</v>
      </c>
    </row>
    <row r="1198" ht="217" spans="1:6">
      <c r="A1198" s="6" t="s">
        <v>2962</v>
      </c>
      <c r="B1198" s="12" t="s">
        <v>2963</v>
      </c>
      <c r="C1198" s="4" t="s">
        <v>12</v>
      </c>
      <c r="D1198" s="7">
        <v>1703.95</v>
      </c>
      <c r="E1198" s="8" t="s">
        <v>7397</v>
      </c>
      <c r="F1198" s="9">
        <v>10</v>
      </c>
    </row>
    <row r="1199" ht="248" spans="1:6">
      <c r="A1199" s="6" t="s">
        <v>2964</v>
      </c>
      <c r="B1199" s="12" t="s">
        <v>2965</v>
      </c>
      <c r="C1199" s="4" t="s">
        <v>12</v>
      </c>
      <c r="D1199" s="7">
        <v>1570</v>
      </c>
      <c r="E1199" s="8" t="s">
        <v>7554</v>
      </c>
      <c r="F1199" s="9">
        <v>1</v>
      </c>
    </row>
    <row r="1200" ht="139.5" spans="1:6">
      <c r="A1200" s="6" t="s">
        <v>2966</v>
      </c>
      <c r="B1200" s="12" t="s">
        <v>2967</v>
      </c>
      <c r="C1200" s="4" t="s">
        <v>12</v>
      </c>
      <c r="D1200" s="7">
        <v>358.5</v>
      </c>
      <c r="E1200" s="8" t="s">
        <v>7397</v>
      </c>
      <c r="F1200" s="9">
        <v>10</v>
      </c>
    </row>
    <row r="1201" ht="217" spans="1:6">
      <c r="A1201" s="6" t="s">
        <v>2970</v>
      </c>
      <c r="B1201" s="3" t="s">
        <v>2971</v>
      </c>
      <c r="C1201" s="4" t="s">
        <v>12</v>
      </c>
      <c r="D1201" s="7">
        <v>1789.45</v>
      </c>
      <c r="E1201" s="8" t="s">
        <v>7332</v>
      </c>
      <c r="F1201" s="9">
        <v>100</v>
      </c>
    </row>
    <row r="1202" ht="77.5" spans="1:6">
      <c r="A1202" s="6" t="s">
        <v>2974</v>
      </c>
      <c r="B1202" s="3" t="s">
        <v>2975</v>
      </c>
      <c r="C1202" s="4" t="s">
        <v>12</v>
      </c>
      <c r="D1202" s="7">
        <v>1572.3</v>
      </c>
      <c r="E1202" s="8" t="s">
        <v>7723</v>
      </c>
      <c r="F1202" s="9">
        <v>103.68</v>
      </c>
    </row>
    <row r="1203" ht="139.5" spans="1:6">
      <c r="A1203" s="6" t="s">
        <v>2976</v>
      </c>
      <c r="B1203" s="12" t="s">
        <v>2977</v>
      </c>
      <c r="C1203" s="4" t="s">
        <v>12</v>
      </c>
      <c r="D1203" s="7">
        <v>667.05</v>
      </c>
      <c r="E1203" s="8" t="s">
        <v>7397</v>
      </c>
      <c r="F1203" s="9">
        <v>10</v>
      </c>
    </row>
    <row r="1204" ht="93" spans="1:6">
      <c r="A1204" s="6" t="s">
        <v>2978</v>
      </c>
      <c r="B1204" s="12" t="s">
        <v>2979</v>
      </c>
      <c r="C1204" s="4" t="s">
        <v>12</v>
      </c>
      <c r="D1204" s="7">
        <v>316.05</v>
      </c>
      <c r="E1204" s="8" t="s">
        <v>7397</v>
      </c>
      <c r="F1204" s="9">
        <v>10</v>
      </c>
    </row>
    <row r="1205" ht="139.5" spans="1:6">
      <c r="A1205" s="6" t="s">
        <v>2980</v>
      </c>
      <c r="B1205" s="12" t="s">
        <v>2981</v>
      </c>
      <c r="C1205" s="4" t="s">
        <v>12</v>
      </c>
      <c r="D1205" s="7">
        <v>322.5</v>
      </c>
      <c r="E1205" s="8" t="s">
        <v>7397</v>
      </c>
      <c r="F1205" s="9">
        <v>10</v>
      </c>
    </row>
    <row r="1206" ht="263.5" spans="1:6">
      <c r="A1206" s="6" t="s">
        <v>2982</v>
      </c>
      <c r="B1206" s="12" t="s">
        <v>2983</v>
      </c>
      <c r="C1206" s="4" t="s">
        <v>12</v>
      </c>
      <c r="D1206" s="7">
        <v>357.6</v>
      </c>
      <c r="E1206" s="8" t="s">
        <v>7397</v>
      </c>
      <c r="F1206" s="9">
        <v>10</v>
      </c>
    </row>
    <row r="1207" ht="62" spans="1:6">
      <c r="A1207" s="6" t="s">
        <v>2986</v>
      </c>
      <c r="B1207" s="3" t="s">
        <v>2987</v>
      </c>
      <c r="C1207" s="4" t="s">
        <v>12</v>
      </c>
      <c r="D1207" s="7">
        <v>1034.1</v>
      </c>
      <c r="E1207" s="8" t="s">
        <v>7700</v>
      </c>
      <c r="F1207" s="9">
        <v>216.14</v>
      </c>
    </row>
    <row r="1208" ht="62" spans="1:6">
      <c r="A1208" s="6" t="s">
        <v>2988</v>
      </c>
      <c r="B1208" s="3" t="s">
        <v>2989</v>
      </c>
      <c r="C1208" s="4" t="s">
        <v>12</v>
      </c>
      <c r="D1208" s="7">
        <v>1252.75</v>
      </c>
      <c r="E1208" s="8" t="s">
        <v>7700</v>
      </c>
      <c r="F1208" s="9">
        <v>216.14</v>
      </c>
    </row>
    <row r="1209" ht="62" spans="1:6">
      <c r="A1209" s="6" t="s">
        <v>2990</v>
      </c>
      <c r="B1209" s="3" t="s">
        <v>2991</v>
      </c>
      <c r="C1209" s="4" t="s">
        <v>12</v>
      </c>
      <c r="D1209" s="7">
        <v>1572.8</v>
      </c>
      <c r="E1209" s="8" t="s">
        <v>7700</v>
      </c>
      <c r="F1209" s="9">
        <v>216.14</v>
      </c>
    </row>
    <row r="1210" ht="77.5" spans="1:6">
      <c r="A1210" s="6" t="s">
        <v>2992</v>
      </c>
      <c r="B1210" s="3" t="s">
        <v>2993</v>
      </c>
      <c r="C1210" s="4" t="s">
        <v>12</v>
      </c>
      <c r="D1210" s="7">
        <v>1313.7</v>
      </c>
      <c r="E1210" s="8" t="s">
        <v>7700</v>
      </c>
      <c r="F1210" s="9">
        <v>216.14</v>
      </c>
    </row>
    <row r="1211" ht="77.5" spans="1:6">
      <c r="A1211" s="6" t="s">
        <v>2994</v>
      </c>
      <c r="B1211" s="3" t="s">
        <v>2995</v>
      </c>
      <c r="C1211" s="4" t="s">
        <v>12</v>
      </c>
      <c r="D1211" s="7">
        <v>1616.45</v>
      </c>
      <c r="E1211" s="8" t="s">
        <v>7700</v>
      </c>
      <c r="F1211" s="9">
        <v>216.14</v>
      </c>
    </row>
    <row r="1212" ht="77.5" spans="1:6">
      <c r="A1212" s="6" t="s">
        <v>2996</v>
      </c>
      <c r="B1212" s="3" t="s">
        <v>2997</v>
      </c>
      <c r="C1212" s="4" t="s">
        <v>12</v>
      </c>
      <c r="D1212" s="7">
        <v>2026.4</v>
      </c>
      <c r="E1212" s="8" t="s">
        <v>7700</v>
      </c>
      <c r="F1212" s="9">
        <v>216.14</v>
      </c>
    </row>
    <row r="1213" ht="62" spans="1:6">
      <c r="A1213" s="6" t="s">
        <v>2998</v>
      </c>
      <c r="B1213" s="3" t="s">
        <v>2999</v>
      </c>
      <c r="C1213" s="4" t="s">
        <v>12</v>
      </c>
      <c r="D1213" s="7">
        <v>1012.15</v>
      </c>
      <c r="E1213" s="8" t="s">
        <v>7700</v>
      </c>
      <c r="F1213" s="9">
        <v>216.14</v>
      </c>
    </row>
    <row r="1214" ht="62" spans="1:6">
      <c r="A1214" s="6" t="s">
        <v>3000</v>
      </c>
      <c r="B1214" s="3" t="s">
        <v>3001</v>
      </c>
      <c r="C1214" s="4" t="s">
        <v>12</v>
      </c>
      <c r="D1214" s="7">
        <v>1256.95</v>
      </c>
      <c r="E1214" s="8" t="s">
        <v>7700</v>
      </c>
      <c r="F1214" s="9">
        <v>216.14</v>
      </c>
    </row>
    <row r="1215" ht="62" spans="1:6">
      <c r="A1215" s="6" t="s">
        <v>3002</v>
      </c>
      <c r="B1215" s="3" t="s">
        <v>3003</v>
      </c>
      <c r="C1215" s="4" t="s">
        <v>12</v>
      </c>
      <c r="D1215" s="7">
        <v>1596.45</v>
      </c>
      <c r="E1215" s="8" t="s">
        <v>7700</v>
      </c>
      <c r="F1215" s="9">
        <v>216.14</v>
      </c>
    </row>
    <row r="1216" ht="77.5" spans="1:6">
      <c r="A1216" s="6" t="s">
        <v>3006</v>
      </c>
      <c r="B1216" s="3" t="s">
        <v>3007</v>
      </c>
      <c r="C1216" s="4" t="s">
        <v>12</v>
      </c>
      <c r="D1216" s="7">
        <v>1176.7</v>
      </c>
      <c r="E1216" s="8" t="s">
        <v>7700</v>
      </c>
      <c r="F1216" s="9">
        <v>216.14</v>
      </c>
    </row>
    <row r="1217" ht="77.5" spans="1:6">
      <c r="A1217" s="6" t="s">
        <v>3008</v>
      </c>
      <c r="B1217" s="3" t="s">
        <v>3009</v>
      </c>
      <c r="C1217" s="4" t="s">
        <v>12</v>
      </c>
      <c r="D1217" s="7">
        <v>1430.2</v>
      </c>
      <c r="E1217" s="8" t="s">
        <v>7700</v>
      </c>
      <c r="F1217" s="9">
        <v>216.14</v>
      </c>
    </row>
    <row r="1218" ht="77.5" spans="1:6">
      <c r="A1218" s="6" t="s">
        <v>3010</v>
      </c>
      <c r="B1218" s="3" t="s">
        <v>3011</v>
      </c>
      <c r="C1218" s="4" t="s">
        <v>12</v>
      </c>
      <c r="D1218" s="7">
        <v>1797.75</v>
      </c>
      <c r="E1218" s="8" t="s">
        <v>7700</v>
      </c>
      <c r="F1218" s="9">
        <v>216.14</v>
      </c>
    </row>
    <row r="1219" ht="77.5" spans="1:6">
      <c r="A1219" s="6" t="s">
        <v>3012</v>
      </c>
      <c r="B1219" s="3" t="s">
        <v>3013</v>
      </c>
      <c r="C1219" s="4" t="s">
        <v>12</v>
      </c>
      <c r="D1219" s="7">
        <v>1484</v>
      </c>
      <c r="E1219" s="8" t="s">
        <v>7700</v>
      </c>
      <c r="F1219" s="9">
        <v>216.14</v>
      </c>
    </row>
    <row r="1220" ht="93" spans="1:6">
      <c r="A1220" s="6" t="s">
        <v>3014</v>
      </c>
      <c r="B1220" s="3" t="s">
        <v>3015</v>
      </c>
      <c r="C1220" s="4" t="s">
        <v>12</v>
      </c>
      <c r="D1220" s="7">
        <v>1865.6</v>
      </c>
      <c r="E1220" s="8" t="s">
        <v>7700</v>
      </c>
      <c r="F1220" s="9">
        <v>216.14</v>
      </c>
    </row>
    <row r="1221" ht="93" spans="1:6">
      <c r="A1221" s="6" t="s">
        <v>3016</v>
      </c>
      <c r="B1221" s="3" t="s">
        <v>3017</v>
      </c>
      <c r="C1221" s="4" t="s">
        <v>12</v>
      </c>
      <c r="D1221" s="7">
        <v>2335.45</v>
      </c>
      <c r="E1221" s="8" t="s">
        <v>7700</v>
      </c>
      <c r="F1221" s="9">
        <v>216.14</v>
      </c>
    </row>
    <row r="1222" ht="62" spans="1:6">
      <c r="A1222" s="6" t="s">
        <v>3018</v>
      </c>
      <c r="B1222" s="3" t="s">
        <v>3019</v>
      </c>
      <c r="C1222" s="4" t="s">
        <v>12</v>
      </c>
      <c r="D1222" s="7">
        <v>1221.15</v>
      </c>
      <c r="E1222" s="8" t="s">
        <v>7700</v>
      </c>
      <c r="F1222" s="9">
        <v>216.14</v>
      </c>
    </row>
    <row r="1223" ht="62" spans="1:6">
      <c r="A1223" s="6" t="s">
        <v>3020</v>
      </c>
      <c r="B1223" s="3" t="s">
        <v>3021</v>
      </c>
      <c r="C1223" s="4" t="s">
        <v>12</v>
      </c>
      <c r="D1223" s="7">
        <v>1533</v>
      </c>
      <c r="E1223" s="8" t="s">
        <v>7700</v>
      </c>
      <c r="F1223" s="9">
        <v>216.14</v>
      </c>
    </row>
    <row r="1224" ht="31" spans="1:6">
      <c r="A1224" s="6" t="s">
        <v>3024</v>
      </c>
      <c r="B1224" s="3" t="s">
        <v>3025</v>
      </c>
      <c r="C1224" s="4" t="s">
        <v>49</v>
      </c>
      <c r="D1224" s="7">
        <v>1066.2</v>
      </c>
      <c r="E1224" s="8" t="s">
        <v>7705</v>
      </c>
      <c r="F1224" s="9">
        <v>20.2</v>
      </c>
    </row>
    <row r="1225" ht="31" spans="1:6">
      <c r="A1225" s="6" t="s">
        <v>3026</v>
      </c>
      <c r="B1225" s="3" t="s">
        <v>3027</v>
      </c>
      <c r="C1225" s="4" t="s">
        <v>49</v>
      </c>
      <c r="D1225" s="7">
        <v>977.15</v>
      </c>
      <c r="E1225" s="8" t="s">
        <v>7705</v>
      </c>
      <c r="F1225" s="9">
        <v>20.2</v>
      </c>
    </row>
    <row r="1226" ht="31" spans="1:6">
      <c r="A1226" s="6" t="s">
        <v>3028</v>
      </c>
      <c r="B1226" s="3" t="s">
        <v>3029</v>
      </c>
      <c r="C1226" s="4" t="s">
        <v>49</v>
      </c>
      <c r="D1226" s="7">
        <v>1055.9</v>
      </c>
      <c r="E1226" s="8" t="s">
        <v>7705</v>
      </c>
      <c r="F1226" s="9">
        <v>20.2</v>
      </c>
    </row>
    <row r="1227" ht="31" spans="1:6">
      <c r="A1227" s="6" t="s">
        <v>3030</v>
      </c>
      <c r="B1227" s="3" t="s">
        <v>3031</v>
      </c>
      <c r="C1227" s="4" t="s">
        <v>49</v>
      </c>
      <c r="D1227" s="7">
        <v>813.25</v>
      </c>
      <c r="E1227" s="8" t="s">
        <v>7725</v>
      </c>
      <c r="F1227" s="9">
        <v>8.23</v>
      </c>
    </row>
    <row r="1228" ht="31" spans="1:6">
      <c r="A1228" s="6" t="s">
        <v>3032</v>
      </c>
      <c r="B1228" s="3" t="s">
        <v>3033</v>
      </c>
      <c r="C1228" s="4" t="s">
        <v>49</v>
      </c>
      <c r="D1228" s="7">
        <v>914.7</v>
      </c>
      <c r="E1228" s="8" t="s">
        <v>7727</v>
      </c>
      <c r="F1228" s="9">
        <v>21.412</v>
      </c>
    </row>
    <row r="1229" ht="31" spans="1:6">
      <c r="A1229" s="6" t="s">
        <v>3034</v>
      </c>
      <c r="B1229" s="3" t="s">
        <v>3035</v>
      </c>
      <c r="C1229" s="4" t="s">
        <v>49</v>
      </c>
      <c r="D1229" s="7">
        <v>1808.65</v>
      </c>
      <c r="E1229" s="8" t="s">
        <v>7556</v>
      </c>
      <c r="F1229" s="9">
        <v>100</v>
      </c>
    </row>
    <row r="1230" ht="15.5" spans="1:6">
      <c r="A1230" s="6" t="s">
        <v>204</v>
      </c>
      <c r="B1230" s="12" t="s">
        <v>2</v>
      </c>
      <c r="C1230" s="4" t="s">
        <v>3</v>
      </c>
      <c r="D1230" s="14" t="s">
        <v>4</v>
      </c>
    </row>
    <row r="1231" ht="15.5" spans="1:6">
      <c r="A1231" s="6" t="s">
        <v>3041</v>
      </c>
      <c r="B1231" s="3" t="s">
        <v>3042</v>
      </c>
      <c r="C1231" s="4" t="s">
        <v>12</v>
      </c>
      <c r="D1231" s="7">
        <v>347.05</v>
      </c>
      <c r="E1231" s="8" t="s">
        <v>7397</v>
      </c>
      <c r="F1231" s="9">
        <v>10</v>
      </c>
    </row>
    <row r="1232" ht="15.5" spans="1:6">
      <c r="A1232" s="6" t="s">
        <v>3043</v>
      </c>
      <c r="B1232" s="3" t="s">
        <v>3044</v>
      </c>
      <c r="C1232" s="4" t="s">
        <v>12</v>
      </c>
      <c r="D1232" s="7">
        <v>333.35</v>
      </c>
      <c r="E1232" s="8" t="s">
        <v>7397</v>
      </c>
      <c r="F1232" s="9">
        <v>10</v>
      </c>
    </row>
    <row r="1233" ht="15.5" spans="1:6">
      <c r="A1233" s="6" t="s">
        <v>3047</v>
      </c>
      <c r="B1233" s="3" t="s">
        <v>3042</v>
      </c>
      <c r="C1233" s="4" t="s">
        <v>12</v>
      </c>
      <c r="D1233" s="7">
        <v>399.45</v>
      </c>
      <c r="E1233" s="8" t="s">
        <v>7397</v>
      </c>
      <c r="F1233" s="9">
        <v>10</v>
      </c>
    </row>
    <row r="1234" ht="15.5" spans="1:6">
      <c r="A1234" s="6" t="s">
        <v>3048</v>
      </c>
      <c r="B1234" s="3" t="s">
        <v>3044</v>
      </c>
      <c r="C1234" s="4" t="s">
        <v>12</v>
      </c>
      <c r="D1234" s="7">
        <v>383</v>
      </c>
      <c r="E1234" s="8" t="s">
        <v>7397</v>
      </c>
      <c r="F1234" s="9">
        <v>10</v>
      </c>
    </row>
    <row r="1235" ht="15.5" spans="1:6">
      <c r="A1235" s="6" t="s">
        <v>3051</v>
      </c>
      <c r="B1235" s="3" t="s">
        <v>3042</v>
      </c>
      <c r="C1235" s="4" t="s">
        <v>12</v>
      </c>
      <c r="D1235" s="7">
        <v>471.35</v>
      </c>
      <c r="E1235" s="8" t="s">
        <v>7397</v>
      </c>
      <c r="F1235" s="9">
        <v>10</v>
      </c>
    </row>
    <row r="1236" ht="15.5" spans="1:6">
      <c r="A1236" s="6" t="s">
        <v>3052</v>
      </c>
      <c r="B1236" s="3" t="s">
        <v>3044</v>
      </c>
      <c r="C1236" s="4" t="s">
        <v>12</v>
      </c>
      <c r="D1236" s="7">
        <v>450</v>
      </c>
      <c r="E1236" s="8" t="s">
        <v>7397</v>
      </c>
      <c r="F1236" s="9">
        <v>10</v>
      </c>
    </row>
    <row r="1237" ht="15.5" spans="1:6">
      <c r="A1237" s="6" t="s">
        <v>3055</v>
      </c>
      <c r="B1237" s="3" t="s">
        <v>3056</v>
      </c>
      <c r="C1237" s="4" t="s">
        <v>12</v>
      </c>
      <c r="D1237" s="7">
        <v>357.35</v>
      </c>
      <c r="E1237" s="8" t="s">
        <v>7397</v>
      </c>
      <c r="F1237" s="9">
        <v>10</v>
      </c>
    </row>
    <row r="1238" ht="15.5" spans="1:6">
      <c r="A1238" s="6" t="s">
        <v>3057</v>
      </c>
      <c r="B1238" s="3" t="s">
        <v>3058</v>
      </c>
      <c r="C1238" s="4" t="s">
        <v>12</v>
      </c>
      <c r="D1238" s="7">
        <v>343.65</v>
      </c>
      <c r="E1238" s="8" t="s">
        <v>7397</v>
      </c>
      <c r="F1238" s="9">
        <v>10</v>
      </c>
    </row>
    <row r="1239" ht="15.5" spans="1:6">
      <c r="A1239" s="6" t="s">
        <v>3061</v>
      </c>
      <c r="B1239" s="3" t="s">
        <v>3056</v>
      </c>
      <c r="C1239" s="4" t="s">
        <v>12</v>
      </c>
      <c r="D1239" s="7">
        <v>411.75</v>
      </c>
      <c r="E1239" s="8" t="s">
        <v>7397</v>
      </c>
      <c r="F1239" s="9">
        <v>10</v>
      </c>
    </row>
    <row r="1240" ht="15.5" spans="1:6">
      <c r="A1240" s="6" t="s">
        <v>3062</v>
      </c>
      <c r="B1240" s="3" t="s">
        <v>3058</v>
      </c>
      <c r="C1240" s="4" t="s">
        <v>12</v>
      </c>
      <c r="D1240" s="7">
        <v>395.35</v>
      </c>
      <c r="E1240" s="8" t="s">
        <v>7397</v>
      </c>
      <c r="F1240" s="9">
        <v>10</v>
      </c>
    </row>
    <row r="1241" ht="15.5" spans="1:6">
      <c r="A1241" s="6" t="s">
        <v>3064</v>
      </c>
      <c r="B1241" s="3" t="s">
        <v>3056</v>
      </c>
      <c r="C1241" s="4" t="s">
        <v>12</v>
      </c>
      <c r="D1241" s="7">
        <v>487.4</v>
      </c>
      <c r="E1241" s="8" t="s">
        <v>7397</v>
      </c>
      <c r="F1241" s="9">
        <v>10</v>
      </c>
    </row>
    <row r="1242" ht="15.5" spans="1:6">
      <c r="A1242" s="6" t="s">
        <v>3065</v>
      </c>
      <c r="B1242" s="3" t="s">
        <v>3058</v>
      </c>
      <c r="C1242" s="4" t="s">
        <v>12</v>
      </c>
      <c r="D1242" s="7">
        <v>466.05</v>
      </c>
      <c r="E1242" s="8" t="s">
        <v>7397</v>
      </c>
      <c r="F1242" s="9">
        <v>10</v>
      </c>
    </row>
    <row r="1243" ht="15.5" spans="1:6">
      <c r="A1243" s="6" t="s">
        <v>3069</v>
      </c>
      <c r="B1243" s="3" t="s">
        <v>3070</v>
      </c>
      <c r="C1243" s="4" t="s">
        <v>12</v>
      </c>
      <c r="D1243" s="7">
        <v>439.25</v>
      </c>
      <c r="E1243" s="8" t="s">
        <v>7397</v>
      </c>
      <c r="F1243" s="9">
        <v>10</v>
      </c>
    </row>
    <row r="1244" ht="15.5" spans="1:6">
      <c r="A1244" s="6" t="s">
        <v>3071</v>
      </c>
      <c r="B1244" s="3" t="s">
        <v>3042</v>
      </c>
      <c r="C1244" s="4" t="s">
        <v>12</v>
      </c>
      <c r="D1244" s="7">
        <v>425.55</v>
      </c>
      <c r="E1244" s="8" t="s">
        <v>7397</v>
      </c>
      <c r="F1244" s="9">
        <v>10</v>
      </c>
    </row>
    <row r="1245" ht="15.5" spans="1:6">
      <c r="A1245" s="6" t="s">
        <v>3074</v>
      </c>
      <c r="B1245" s="3" t="s">
        <v>3070</v>
      </c>
      <c r="C1245" s="4" t="s">
        <v>12</v>
      </c>
      <c r="D1245" s="7">
        <v>494.3</v>
      </c>
      <c r="E1245" s="8" t="s">
        <v>7397</v>
      </c>
      <c r="F1245" s="9">
        <v>10</v>
      </c>
    </row>
    <row r="1246" ht="15.5" spans="1:6">
      <c r="A1246" s="6" t="s">
        <v>3075</v>
      </c>
      <c r="B1246" s="3" t="s">
        <v>3042</v>
      </c>
      <c r="C1246" s="4" t="s">
        <v>12</v>
      </c>
      <c r="D1246" s="7">
        <v>477.9</v>
      </c>
      <c r="E1246" s="8" t="s">
        <v>7397</v>
      </c>
      <c r="F1246" s="9">
        <v>10</v>
      </c>
    </row>
    <row r="1247" ht="15.5" spans="1:6">
      <c r="A1247" s="6" t="s">
        <v>3078</v>
      </c>
      <c r="B1247" s="3" t="s">
        <v>3079</v>
      </c>
      <c r="C1247" s="4" t="s">
        <v>12</v>
      </c>
      <c r="D1247" s="7">
        <v>449.55</v>
      </c>
      <c r="E1247" s="8" t="s">
        <v>7397</v>
      </c>
      <c r="F1247" s="9">
        <v>10</v>
      </c>
    </row>
    <row r="1248" ht="15.5" spans="1:6">
      <c r="A1248" s="6" t="s">
        <v>3080</v>
      </c>
      <c r="B1248" s="3" t="s">
        <v>3081</v>
      </c>
      <c r="C1248" s="4" t="s">
        <v>12</v>
      </c>
      <c r="D1248" s="7">
        <v>587.2</v>
      </c>
      <c r="E1248" s="8" t="s">
        <v>7397</v>
      </c>
      <c r="F1248" s="9">
        <v>10</v>
      </c>
    </row>
    <row r="1249" ht="62" spans="1:6">
      <c r="A1249" s="6" t="s">
        <v>3082</v>
      </c>
      <c r="B1249" s="12" t="s">
        <v>3083</v>
      </c>
      <c r="C1249" s="4" t="s">
        <v>12</v>
      </c>
      <c r="D1249" s="7">
        <v>506.6</v>
      </c>
      <c r="E1249" s="8" t="s">
        <v>7397</v>
      </c>
      <c r="F1249" s="9">
        <v>10</v>
      </c>
    </row>
    <row r="1250" ht="77.5" spans="1:6">
      <c r="A1250" s="6" t="s">
        <v>3085</v>
      </c>
      <c r="B1250" s="12" t="s">
        <v>3086</v>
      </c>
      <c r="C1250" s="4" t="s">
        <v>12</v>
      </c>
      <c r="D1250" s="7">
        <v>518.55</v>
      </c>
      <c r="E1250" s="8" t="s">
        <v>7397</v>
      </c>
      <c r="F1250" s="9">
        <v>10</v>
      </c>
    </row>
    <row r="1251" ht="77.5" spans="1:6">
      <c r="A1251" s="6" t="s">
        <v>3087</v>
      </c>
      <c r="B1251" s="12" t="s">
        <v>3088</v>
      </c>
      <c r="C1251" s="4" t="s">
        <v>12</v>
      </c>
      <c r="D1251" s="7">
        <v>537.45</v>
      </c>
      <c r="E1251" s="8" t="s">
        <v>7397</v>
      </c>
      <c r="F1251" s="9">
        <v>10</v>
      </c>
    </row>
    <row r="1252" ht="31" spans="1:6">
      <c r="A1252" s="6" t="s">
        <v>3089</v>
      </c>
      <c r="B1252" s="12" t="s">
        <v>3090</v>
      </c>
      <c r="C1252" s="4" t="s">
        <v>12</v>
      </c>
      <c r="D1252" s="7">
        <v>378.7</v>
      </c>
      <c r="E1252" s="8" t="s">
        <v>7397</v>
      </c>
      <c r="F1252" s="9">
        <v>10</v>
      </c>
    </row>
    <row r="1253" ht="46.5" spans="1:6">
      <c r="A1253" s="6" t="s">
        <v>3091</v>
      </c>
      <c r="B1253" s="12" t="s">
        <v>3092</v>
      </c>
      <c r="C1253" s="4" t="s">
        <v>12</v>
      </c>
      <c r="D1253" s="7">
        <v>437.2</v>
      </c>
      <c r="E1253" s="8" t="s">
        <v>7397</v>
      </c>
      <c r="F1253" s="9">
        <v>10</v>
      </c>
    </row>
    <row r="1254" ht="31" spans="1:6">
      <c r="A1254" s="6" t="s">
        <v>3093</v>
      </c>
      <c r="B1254" s="12" t="s">
        <v>3094</v>
      </c>
      <c r="C1254" s="4" t="s">
        <v>12</v>
      </c>
      <c r="D1254" s="7">
        <v>520.55</v>
      </c>
      <c r="E1254" s="8" t="s">
        <v>7397</v>
      </c>
      <c r="F1254" s="9">
        <v>10</v>
      </c>
    </row>
    <row r="1255" ht="15.5" spans="1:6">
      <c r="A1255" s="6" t="s">
        <v>3098</v>
      </c>
      <c r="B1255" s="3" t="s">
        <v>3099</v>
      </c>
      <c r="C1255" s="4" t="s">
        <v>12</v>
      </c>
      <c r="D1255" s="7">
        <v>300.45</v>
      </c>
      <c r="E1255" s="8" t="s">
        <v>7397</v>
      </c>
      <c r="F1255" s="9">
        <v>10</v>
      </c>
    </row>
    <row r="1256" ht="77.5" spans="1:6">
      <c r="A1256" s="6" t="s">
        <v>3100</v>
      </c>
      <c r="B1256" s="12" t="s">
        <v>3101</v>
      </c>
      <c r="C1256" s="4" t="s">
        <v>12</v>
      </c>
      <c r="D1256" s="7">
        <v>396.65</v>
      </c>
      <c r="E1256" s="8" t="s">
        <v>7397</v>
      </c>
      <c r="F1256" s="9">
        <v>10</v>
      </c>
    </row>
    <row r="1257" ht="15.5" spans="1:6">
      <c r="A1257" s="6" t="s">
        <v>3102</v>
      </c>
      <c r="B1257" s="12" t="s">
        <v>3103</v>
      </c>
      <c r="C1257" s="4" t="s">
        <v>12</v>
      </c>
      <c r="D1257" s="7">
        <v>79.95</v>
      </c>
      <c r="E1257" s="8" t="s">
        <v>7397</v>
      </c>
      <c r="F1257" s="9">
        <v>10</v>
      </c>
    </row>
    <row r="1258" ht="31" spans="1:6">
      <c r="A1258" s="6" t="s">
        <v>3107</v>
      </c>
      <c r="B1258" s="3" t="s">
        <v>3108</v>
      </c>
      <c r="C1258" s="4" t="s">
        <v>12</v>
      </c>
      <c r="D1258" s="7">
        <v>886.6</v>
      </c>
      <c r="E1258" s="8" t="s">
        <v>7397</v>
      </c>
      <c r="F1258" s="9">
        <v>10</v>
      </c>
    </row>
    <row r="1259" ht="170.5" spans="1:6">
      <c r="A1259" s="6" t="s">
        <v>3110</v>
      </c>
      <c r="B1259" s="12" t="s">
        <v>3111</v>
      </c>
      <c r="C1259" s="4" t="s">
        <v>12</v>
      </c>
      <c r="D1259" s="7">
        <v>829.95</v>
      </c>
      <c r="E1259" s="8" t="s">
        <v>7397</v>
      </c>
      <c r="F1259" s="9">
        <v>10</v>
      </c>
    </row>
    <row r="1260" ht="77.5" spans="1:6">
      <c r="A1260" s="6" t="s">
        <v>3112</v>
      </c>
      <c r="B1260" s="12" t="s">
        <v>3113</v>
      </c>
      <c r="C1260" s="4" t="s">
        <v>3114</v>
      </c>
      <c r="D1260" s="7">
        <v>22.1</v>
      </c>
      <c r="E1260" s="8" t="s">
        <v>7728</v>
      </c>
      <c r="F1260" s="9">
        <v>1.47</v>
      </c>
    </row>
    <row r="1261" ht="62" spans="1:6">
      <c r="A1261" s="6" t="s">
        <v>3115</v>
      </c>
      <c r="B1261" s="12" t="s">
        <v>3116</v>
      </c>
      <c r="C1261" s="4" t="s">
        <v>12</v>
      </c>
      <c r="D1261" s="26">
        <v>87.1</v>
      </c>
      <c r="E1261" s="8" t="s">
        <v>7397</v>
      </c>
      <c r="F1261" s="9">
        <v>10</v>
      </c>
    </row>
    <row r="1262" ht="15.5" spans="1:6">
      <c r="A1262" s="6" t="s">
        <v>3119</v>
      </c>
      <c r="B1262" s="3" t="s">
        <v>3120</v>
      </c>
      <c r="C1262" s="4" t="s">
        <v>12</v>
      </c>
      <c r="D1262" s="7">
        <v>47.65</v>
      </c>
      <c r="E1262" s="8" t="s">
        <v>7397</v>
      </c>
      <c r="F1262" s="9">
        <v>10</v>
      </c>
    </row>
    <row r="1263" ht="15.5" spans="1:6">
      <c r="A1263" s="6" t="s">
        <v>3121</v>
      </c>
      <c r="B1263" s="3" t="s">
        <v>3122</v>
      </c>
      <c r="C1263" s="4" t="s">
        <v>12</v>
      </c>
      <c r="D1263" s="7">
        <v>72.3</v>
      </c>
      <c r="E1263" s="8" t="s">
        <v>7397</v>
      </c>
      <c r="F1263" s="9">
        <v>10</v>
      </c>
    </row>
    <row r="1264" ht="15.5" spans="1:6">
      <c r="A1264" s="6" t="s">
        <v>3125</v>
      </c>
      <c r="B1264" s="3" t="s">
        <v>3120</v>
      </c>
      <c r="C1264" s="4" t="s">
        <v>12</v>
      </c>
      <c r="D1264" s="7">
        <v>713.2</v>
      </c>
      <c r="E1264" s="8" t="s">
        <v>7397</v>
      </c>
      <c r="F1264" s="9">
        <v>10</v>
      </c>
    </row>
    <row r="1265" ht="15.5" spans="1:6">
      <c r="A1265" s="6" t="s">
        <v>3126</v>
      </c>
      <c r="B1265" s="3" t="s">
        <v>3122</v>
      </c>
      <c r="C1265" s="4" t="s">
        <v>12</v>
      </c>
      <c r="D1265" s="7">
        <v>1175.75</v>
      </c>
      <c r="E1265" s="8" t="s">
        <v>7397</v>
      </c>
      <c r="F1265" s="9">
        <v>10</v>
      </c>
    </row>
    <row r="1266" ht="15.5" spans="1:6">
      <c r="A1266" s="6" t="s">
        <v>3129</v>
      </c>
      <c r="B1266" s="3" t="s">
        <v>3130</v>
      </c>
      <c r="C1266" s="4" t="s">
        <v>12</v>
      </c>
      <c r="D1266" s="7">
        <v>177.6</v>
      </c>
      <c r="E1266" s="8" t="s">
        <v>7397</v>
      </c>
      <c r="F1266" s="9">
        <v>10</v>
      </c>
    </row>
    <row r="1267" ht="15.5" spans="1:6">
      <c r="A1267" s="6" t="s">
        <v>3131</v>
      </c>
      <c r="B1267" s="3" t="s">
        <v>3132</v>
      </c>
      <c r="C1267" s="4" t="s">
        <v>12</v>
      </c>
      <c r="D1267" s="7">
        <v>192.3</v>
      </c>
      <c r="E1267" s="8" t="s">
        <v>7397</v>
      </c>
      <c r="F1267" s="9">
        <v>10</v>
      </c>
    </row>
    <row r="1268" ht="15.5" spans="1:6">
      <c r="A1268" s="6" t="s">
        <v>3133</v>
      </c>
      <c r="B1268" s="3" t="s">
        <v>3134</v>
      </c>
      <c r="C1268" s="4" t="s">
        <v>12</v>
      </c>
      <c r="D1268" s="7">
        <v>117.65</v>
      </c>
      <c r="E1268" s="8" t="s">
        <v>7397</v>
      </c>
      <c r="F1268" s="9">
        <v>10</v>
      </c>
    </row>
    <row r="1269" ht="62" spans="1:6">
      <c r="A1269" s="6" t="s">
        <v>3135</v>
      </c>
      <c r="B1269" s="12" t="s">
        <v>3136</v>
      </c>
      <c r="C1269" s="4" t="s">
        <v>12</v>
      </c>
      <c r="D1269" s="7">
        <v>262.7</v>
      </c>
      <c r="E1269" s="8" t="s">
        <v>7397</v>
      </c>
      <c r="F1269" s="9">
        <v>10</v>
      </c>
    </row>
    <row r="1270" ht="31" spans="1:6">
      <c r="A1270" s="6" t="s">
        <v>3138</v>
      </c>
      <c r="B1270" s="12" t="s">
        <v>3139</v>
      </c>
      <c r="C1270" s="4" t="s">
        <v>12</v>
      </c>
      <c r="D1270" s="7">
        <v>113.9</v>
      </c>
      <c r="E1270" s="8" t="s">
        <v>7397</v>
      </c>
      <c r="F1270" s="9">
        <v>10</v>
      </c>
    </row>
    <row r="1271" ht="31" spans="1:6">
      <c r="A1271" s="6" t="s">
        <v>3143</v>
      </c>
      <c r="B1271" s="3" t="s">
        <v>3144</v>
      </c>
      <c r="C1271" s="4" t="s">
        <v>3145</v>
      </c>
      <c r="D1271" s="7">
        <v>7.5</v>
      </c>
      <c r="E1271" s="8" t="s">
        <v>7729</v>
      </c>
      <c r="F1271" s="9">
        <v>100</v>
      </c>
    </row>
    <row r="1272" ht="31" spans="1:6">
      <c r="A1272" s="6" t="s">
        <v>3146</v>
      </c>
      <c r="B1272" s="3" t="s">
        <v>3147</v>
      </c>
      <c r="C1272" s="4" t="s">
        <v>3145</v>
      </c>
      <c r="D1272" s="7">
        <v>8.2</v>
      </c>
      <c r="E1272" s="8" t="s">
        <v>7729</v>
      </c>
      <c r="F1272" s="9">
        <v>100</v>
      </c>
    </row>
    <row r="1273" ht="31" spans="1:6">
      <c r="A1273" s="6" t="s">
        <v>3148</v>
      </c>
      <c r="B1273" s="3" t="s">
        <v>3149</v>
      </c>
      <c r="C1273" s="4" t="s">
        <v>3145</v>
      </c>
      <c r="D1273" s="7">
        <v>9.35</v>
      </c>
      <c r="E1273" s="8" t="s">
        <v>7729</v>
      </c>
      <c r="F1273" s="9">
        <v>100</v>
      </c>
    </row>
    <row r="1274" ht="31" spans="1:6">
      <c r="A1274" s="6" t="s">
        <v>3150</v>
      </c>
      <c r="B1274" s="3" t="s">
        <v>3151</v>
      </c>
      <c r="C1274" s="4" t="s">
        <v>3145</v>
      </c>
      <c r="D1274" s="7">
        <v>16.1</v>
      </c>
      <c r="E1274" s="8" t="s">
        <v>7729</v>
      </c>
      <c r="F1274" s="9">
        <v>100</v>
      </c>
    </row>
    <row r="1275" ht="31" spans="1:6">
      <c r="A1275" s="6" t="s">
        <v>3154</v>
      </c>
      <c r="B1275" s="3" t="s">
        <v>3144</v>
      </c>
      <c r="C1275" s="4" t="s">
        <v>3145</v>
      </c>
      <c r="D1275" s="7">
        <v>9.05</v>
      </c>
      <c r="E1275" s="8" t="s">
        <v>7729</v>
      </c>
      <c r="F1275" s="9">
        <v>100</v>
      </c>
    </row>
    <row r="1276" ht="31" spans="1:6">
      <c r="A1276" s="6" t="s">
        <v>3155</v>
      </c>
      <c r="B1276" s="3" t="s">
        <v>3147</v>
      </c>
      <c r="C1276" s="4" t="s">
        <v>3145</v>
      </c>
      <c r="D1276" s="7">
        <v>10</v>
      </c>
      <c r="E1276" s="8" t="s">
        <v>7729</v>
      </c>
      <c r="F1276" s="9">
        <v>100</v>
      </c>
    </row>
    <row r="1277" ht="31" spans="1:6">
      <c r="A1277" s="6" t="s">
        <v>3156</v>
      </c>
      <c r="B1277" s="3" t="s">
        <v>3149</v>
      </c>
      <c r="C1277" s="4" t="s">
        <v>3145</v>
      </c>
      <c r="D1277" s="7">
        <v>11.4</v>
      </c>
      <c r="E1277" s="8" t="s">
        <v>7729</v>
      </c>
      <c r="F1277" s="9">
        <v>100</v>
      </c>
    </row>
    <row r="1278" ht="31" spans="1:6">
      <c r="A1278" s="6" t="s">
        <v>3157</v>
      </c>
      <c r="B1278" s="3" t="s">
        <v>3151</v>
      </c>
      <c r="C1278" s="4" t="s">
        <v>3145</v>
      </c>
      <c r="D1278" s="7">
        <v>21.4</v>
      </c>
      <c r="E1278" s="8" t="s">
        <v>7729</v>
      </c>
      <c r="F1278" s="9">
        <v>100</v>
      </c>
    </row>
    <row r="1279" ht="93" spans="1:6">
      <c r="A1279" s="6" t="s">
        <v>3158</v>
      </c>
      <c r="B1279" s="12" t="s">
        <v>3159</v>
      </c>
      <c r="C1279" s="4" t="s">
        <v>3145</v>
      </c>
      <c r="D1279" s="7">
        <v>21.45</v>
      </c>
      <c r="E1279" s="8" t="s">
        <v>7729</v>
      </c>
      <c r="F1279" s="9">
        <v>100</v>
      </c>
    </row>
    <row r="1280" ht="31" spans="1:6">
      <c r="A1280" s="6" t="s">
        <v>3163</v>
      </c>
      <c r="B1280" s="3" t="s">
        <v>3164</v>
      </c>
      <c r="C1280" s="4" t="s">
        <v>12</v>
      </c>
      <c r="D1280" s="7">
        <v>257.35</v>
      </c>
      <c r="E1280" s="8" t="s">
        <v>7397</v>
      </c>
      <c r="F1280" s="9">
        <v>10</v>
      </c>
    </row>
    <row r="1281" ht="15.5" spans="1:6">
      <c r="A1281" s="6" t="s">
        <v>3165</v>
      </c>
      <c r="B1281" s="3" t="s">
        <v>3166</v>
      </c>
      <c r="C1281" s="4" t="s">
        <v>12</v>
      </c>
      <c r="D1281" s="7">
        <v>419.9</v>
      </c>
      <c r="E1281" s="8" t="s">
        <v>7397</v>
      </c>
      <c r="F1281" s="9">
        <v>10</v>
      </c>
    </row>
    <row r="1282" ht="31" spans="1:6">
      <c r="A1282" s="6" t="s">
        <v>3170</v>
      </c>
      <c r="B1282" s="3" t="s">
        <v>3171</v>
      </c>
      <c r="C1282" s="4" t="s">
        <v>12</v>
      </c>
      <c r="D1282" s="7">
        <v>350.2</v>
      </c>
      <c r="E1282" s="8" t="s">
        <v>7397</v>
      </c>
      <c r="F1282" s="9">
        <v>10</v>
      </c>
    </row>
    <row r="1283" ht="15.5" spans="1:6">
      <c r="A1283" s="6" t="s">
        <v>3175</v>
      </c>
      <c r="B1283" s="3" t="s">
        <v>3176</v>
      </c>
      <c r="C1283" s="4" t="s">
        <v>12</v>
      </c>
      <c r="D1283" s="7">
        <v>385.4</v>
      </c>
      <c r="E1283" s="8" t="s">
        <v>7397</v>
      </c>
      <c r="F1283" s="9">
        <v>10</v>
      </c>
    </row>
    <row r="1284" ht="15.5" spans="1:6">
      <c r="A1284" s="6" t="s">
        <v>3177</v>
      </c>
      <c r="B1284" s="3" t="s">
        <v>3166</v>
      </c>
      <c r="C1284" s="4" t="s">
        <v>12</v>
      </c>
      <c r="D1284" s="7">
        <v>701.05</v>
      </c>
      <c r="E1284" s="8" t="s">
        <v>7397</v>
      </c>
      <c r="F1284" s="9">
        <v>10</v>
      </c>
    </row>
    <row r="1285" ht="46.5" spans="1:6">
      <c r="A1285" s="6" t="s">
        <v>3178</v>
      </c>
      <c r="B1285" s="12" t="s">
        <v>3179</v>
      </c>
      <c r="C1285" s="4" t="s">
        <v>12</v>
      </c>
      <c r="D1285" s="7">
        <v>716.95</v>
      </c>
      <c r="E1285" s="8" t="s">
        <v>7397</v>
      </c>
      <c r="F1285" s="9">
        <v>10</v>
      </c>
    </row>
    <row r="1286" ht="15.5" spans="1:6">
      <c r="A1286" s="6" t="s">
        <v>3182</v>
      </c>
      <c r="B1286" s="3" t="s">
        <v>3176</v>
      </c>
      <c r="C1286" s="4" t="s">
        <v>12</v>
      </c>
      <c r="D1286" s="7">
        <v>214.2</v>
      </c>
      <c r="E1286" s="8" t="s">
        <v>7397</v>
      </c>
      <c r="F1286" s="9">
        <v>10</v>
      </c>
    </row>
    <row r="1287" ht="62" spans="1:6">
      <c r="A1287" s="6" t="s">
        <v>3183</v>
      </c>
      <c r="B1287" s="12" t="s">
        <v>3184</v>
      </c>
      <c r="C1287" s="4" t="s">
        <v>12</v>
      </c>
      <c r="D1287" s="7">
        <v>8.65</v>
      </c>
      <c r="E1287" s="8" t="s">
        <v>7397</v>
      </c>
      <c r="F1287" s="9">
        <v>10</v>
      </c>
    </row>
    <row r="1288" ht="15.5" spans="1:6">
      <c r="A1288" s="6" t="s">
        <v>3188</v>
      </c>
      <c r="B1288" s="3" t="s">
        <v>3189</v>
      </c>
      <c r="C1288" s="4" t="s">
        <v>12</v>
      </c>
      <c r="D1288" s="7">
        <v>39.05</v>
      </c>
      <c r="E1288" s="8" t="s">
        <v>7397</v>
      </c>
      <c r="F1288" s="9">
        <v>10</v>
      </c>
    </row>
    <row r="1289" ht="15.5" spans="1:6">
      <c r="A1289" s="6" t="s">
        <v>3191</v>
      </c>
      <c r="B1289" s="12" t="s">
        <v>3192</v>
      </c>
      <c r="C1289" s="4" t="s">
        <v>12</v>
      </c>
      <c r="D1289" s="7">
        <v>15.75</v>
      </c>
      <c r="E1289" s="8" t="s">
        <v>7397</v>
      </c>
      <c r="F1289" s="9">
        <v>10</v>
      </c>
    </row>
    <row r="1290" ht="31" spans="1:6">
      <c r="A1290" s="6" t="s">
        <v>3195</v>
      </c>
      <c r="B1290" s="3" t="s">
        <v>3196</v>
      </c>
      <c r="C1290" s="4" t="s">
        <v>12</v>
      </c>
      <c r="D1290" s="7">
        <v>53.3</v>
      </c>
      <c r="E1290" s="8" t="s">
        <v>7397</v>
      </c>
      <c r="F1290" s="9">
        <v>10</v>
      </c>
    </row>
    <row r="1291" ht="31" spans="1:6">
      <c r="A1291" s="6" t="s">
        <v>3197</v>
      </c>
      <c r="B1291" s="3" t="s">
        <v>3198</v>
      </c>
      <c r="C1291" s="4" t="s">
        <v>12</v>
      </c>
      <c r="D1291" s="7">
        <v>52.75</v>
      </c>
      <c r="E1291" s="8" t="s">
        <v>7397</v>
      </c>
      <c r="F1291" s="9">
        <v>10</v>
      </c>
    </row>
    <row r="1292" ht="62" spans="1:6">
      <c r="A1292" s="6" t="s">
        <v>3201</v>
      </c>
      <c r="B1292" s="3" t="s">
        <v>3202</v>
      </c>
      <c r="C1292" s="4" t="s">
        <v>12</v>
      </c>
      <c r="D1292" s="7">
        <v>185.65</v>
      </c>
      <c r="E1292" s="8" t="s">
        <v>7397</v>
      </c>
      <c r="F1292" s="9">
        <v>10</v>
      </c>
    </row>
    <row r="1293" ht="31" spans="1:6">
      <c r="A1293" s="6" t="s">
        <v>3208</v>
      </c>
      <c r="B1293" s="3" t="s">
        <v>3209</v>
      </c>
      <c r="C1293" s="4" t="s">
        <v>12</v>
      </c>
      <c r="D1293" s="7">
        <v>116.9</v>
      </c>
      <c r="E1293" s="8" t="s">
        <v>7397</v>
      </c>
      <c r="F1293" s="9">
        <v>10</v>
      </c>
    </row>
    <row r="1294" ht="62" spans="1:6">
      <c r="A1294" s="6" t="s">
        <v>3212</v>
      </c>
      <c r="B1294" s="3" t="s">
        <v>3213</v>
      </c>
      <c r="C1294" s="4" t="s">
        <v>12</v>
      </c>
      <c r="D1294" s="7">
        <v>223.6</v>
      </c>
      <c r="E1294" s="8" t="s">
        <v>7397</v>
      </c>
      <c r="F1294" s="9">
        <v>10</v>
      </c>
    </row>
    <row r="1295" ht="62" spans="1:6">
      <c r="A1295" s="6" t="s">
        <v>3216</v>
      </c>
      <c r="B1295" s="3" t="s">
        <v>3217</v>
      </c>
      <c r="C1295" s="4" t="s">
        <v>12</v>
      </c>
      <c r="D1295" s="7">
        <v>160.6</v>
      </c>
      <c r="E1295" s="8" t="s">
        <v>7397</v>
      </c>
      <c r="F1295" s="9">
        <v>10</v>
      </c>
    </row>
    <row r="1296" ht="62" spans="1:6">
      <c r="A1296" s="6" t="s">
        <v>3220</v>
      </c>
      <c r="B1296" s="3" t="s">
        <v>3221</v>
      </c>
      <c r="C1296" s="4" t="s">
        <v>12</v>
      </c>
      <c r="D1296" s="7">
        <v>171.1</v>
      </c>
      <c r="E1296" s="8" t="s">
        <v>7397</v>
      </c>
      <c r="F1296" s="9">
        <v>10</v>
      </c>
    </row>
    <row r="1297" ht="62" spans="1:6">
      <c r="A1297" s="6" t="s">
        <v>3224</v>
      </c>
      <c r="B1297" s="3" t="s">
        <v>3225</v>
      </c>
      <c r="C1297" s="4" t="s">
        <v>12</v>
      </c>
      <c r="D1297" s="7">
        <v>193.7</v>
      </c>
      <c r="E1297" s="8" t="s">
        <v>7397</v>
      </c>
      <c r="F1297" s="9">
        <v>10</v>
      </c>
    </row>
    <row r="1298" ht="93" spans="1:6">
      <c r="A1298" s="6" t="s">
        <v>3226</v>
      </c>
      <c r="B1298" s="3" t="s">
        <v>3227</v>
      </c>
      <c r="C1298" s="4" t="s">
        <v>12</v>
      </c>
      <c r="D1298" s="7">
        <v>176.25</v>
      </c>
      <c r="E1298" s="8" t="s">
        <v>7397</v>
      </c>
      <c r="F1298" s="9">
        <v>10</v>
      </c>
    </row>
    <row r="1299" ht="93" spans="1:6">
      <c r="A1299" s="6" t="s">
        <v>3228</v>
      </c>
      <c r="B1299" s="3" t="s">
        <v>3229</v>
      </c>
      <c r="C1299" s="4" t="s">
        <v>12</v>
      </c>
      <c r="D1299" s="7">
        <v>170.7</v>
      </c>
      <c r="E1299" s="8" t="s">
        <v>7397</v>
      </c>
      <c r="F1299" s="9">
        <v>10</v>
      </c>
    </row>
    <row r="1300" ht="62" spans="1:6">
      <c r="A1300" s="6" t="s">
        <v>3232</v>
      </c>
      <c r="B1300" s="3" t="s">
        <v>3233</v>
      </c>
      <c r="C1300" s="4" t="s">
        <v>12</v>
      </c>
      <c r="D1300" s="7">
        <v>181.25</v>
      </c>
      <c r="E1300" s="8" t="s">
        <v>7397</v>
      </c>
      <c r="F1300" s="9">
        <v>10</v>
      </c>
    </row>
    <row r="1301" ht="46.5" spans="1:6">
      <c r="A1301" s="6" t="s">
        <v>3237</v>
      </c>
      <c r="B1301" s="3" t="s">
        <v>3238</v>
      </c>
      <c r="C1301" s="4" t="s">
        <v>12</v>
      </c>
      <c r="D1301" s="7">
        <v>74.65</v>
      </c>
      <c r="E1301" s="8" t="s">
        <v>7397</v>
      </c>
      <c r="F1301" s="9">
        <v>10</v>
      </c>
    </row>
    <row r="1302" ht="62" spans="1:6">
      <c r="A1302" s="6" t="s">
        <v>3239</v>
      </c>
      <c r="B1302" s="3" t="s">
        <v>3240</v>
      </c>
      <c r="C1302" s="4" t="s">
        <v>12</v>
      </c>
      <c r="D1302" s="7">
        <v>67.4</v>
      </c>
      <c r="E1302" s="8" t="s">
        <v>7397</v>
      </c>
      <c r="F1302" s="9">
        <v>10</v>
      </c>
    </row>
    <row r="1303" ht="46.5" spans="1:6">
      <c r="A1303" s="6" t="s">
        <v>3241</v>
      </c>
      <c r="B1303" s="3" t="s">
        <v>3242</v>
      </c>
      <c r="C1303" s="4" t="s">
        <v>12</v>
      </c>
      <c r="D1303" s="7">
        <v>36.1</v>
      </c>
      <c r="E1303" s="8" t="s">
        <v>7397</v>
      </c>
      <c r="F1303" s="9">
        <v>10</v>
      </c>
    </row>
    <row r="1304" ht="15.5" spans="1:6">
      <c r="A1304" s="6" t="s">
        <v>3245</v>
      </c>
      <c r="B1304" s="3" t="s">
        <v>3246</v>
      </c>
      <c r="C1304" s="4" t="s">
        <v>12</v>
      </c>
      <c r="D1304" s="7">
        <v>101.7</v>
      </c>
      <c r="E1304" s="8" t="s">
        <v>7397</v>
      </c>
      <c r="F1304" s="9">
        <v>10</v>
      </c>
    </row>
    <row r="1305" ht="15.5" spans="1:6">
      <c r="A1305" s="6" t="s">
        <v>3247</v>
      </c>
      <c r="B1305" s="3" t="s">
        <v>3248</v>
      </c>
      <c r="C1305" s="4" t="s">
        <v>12</v>
      </c>
      <c r="D1305" s="7">
        <v>161.7</v>
      </c>
      <c r="E1305" s="8" t="s">
        <v>7397</v>
      </c>
      <c r="F1305" s="9">
        <v>10</v>
      </c>
    </row>
    <row r="1306" ht="15.5" spans="1:6">
      <c r="A1306" s="6" t="s">
        <v>3251</v>
      </c>
      <c r="B1306" s="3" t="s">
        <v>3252</v>
      </c>
      <c r="C1306" s="4" t="s">
        <v>12</v>
      </c>
      <c r="D1306" s="7">
        <v>241.75</v>
      </c>
      <c r="E1306" s="8" t="s">
        <v>7397</v>
      </c>
      <c r="F1306" s="9">
        <v>10</v>
      </c>
    </row>
    <row r="1307" ht="15.5" spans="1:6">
      <c r="A1307" s="6" t="s">
        <v>3253</v>
      </c>
      <c r="B1307" s="3" t="s">
        <v>3254</v>
      </c>
      <c r="C1307" s="4" t="s">
        <v>12</v>
      </c>
      <c r="D1307" s="7">
        <v>235.15</v>
      </c>
      <c r="E1307" s="8" t="s">
        <v>7397</v>
      </c>
      <c r="F1307" s="9">
        <v>10</v>
      </c>
    </row>
    <row r="1308" ht="46.5" spans="1:6">
      <c r="A1308" s="6" t="s">
        <v>3257</v>
      </c>
      <c r="B1308" s="3" t="s">
        <v>3258</v>
      </c>
      <c r="C1308" s="4" t="s">
        <v>12</v>
      </c>
      <c r="D1308" s="7">
        <v>180.85</v>
      </c>
      <c r="E1308" s="8" t="s">
        <v>7397</v>
      </c>
      <c r="F1308" s="9">
        <v>10</v>
      </c>
    </row>
    <row r="1309" ht="31" spans="1:6">
      <c r="A1309" s="6" t="s">
        <v>3261</v>
      </c>
      <c r="B1309" s="3" t="s">
        <v>3262</v>
      </c>
      <c r="C1309" s="4" t="s">
        <v>12</v>
      </c>
      <c r="D1309" s="7">
        <v>63.35</v>
      </c>
      <c r="E1309" s="8" t="s">
        <v>7730</v>
      </c>
      <c r="F1309" s="9">
        <v>25</v>
      </c>
    </row>
    <row r="1310" ht="77.5" spans="1:6">
      <c r="A1310" s="6" t="s">
        <v>3263</v>
      </c>
      <c r="B1310" s="3" t="s">
        <v>3264</v>
      </c>
      <c r="C1310" s="4" t="s">
        <v>12</v>
      </c>
      <c r="D1310" s="7">
        <v>63.05</v>
      </c>
      <c r="E1310" s="8" t="s">
        <v>7730</v>
      </c>
      <c r="F1310" s="9">
        <v>25</v>
      </c>
    </row>
    <row r="1311" ht="15.5" spans="1:6">
      <c r="A1311" s="6" t="s">
        <v>3267</v>
      </c>
      <c r="B1311" s="3" t="s">
        <v>3268</v>
      </c>
      <c r="C1311" s="4" t="s">
        <v>49</v>
      </c>
      <c r="D1311" s="7">
        <v>76.35</v>
      </c>
      <c r="E1311" s="8" t="s">
        <v>7731</v>
      </c>
      <c r="F1311" s="9">
        <v>30</v>
      </c>
    </row>
    <row r="1312" ht="15.5" spans="1:6">
      <c r="A1312" s="6" t="s">
        <v>3269</v>
      </c>
      <c r="B1312" s="3" t="s">
        <v>3270</v>
      </c>
      <c r="C1312" s="4" t="s">
        <v>49</v>
      </c>
      <c r="D1312" s="7">
        <v>113.8</v>
      </c>
      <c r="E1312" s="8" t="s">
        <v>7731</v>
      </c>
      <c r="F1312" s="9">
        <v>30</v>
      </c>
    </row>
    <row r="1313" ht="15.5" spans="1:6">
      <c r="A1313" s="6" t="s">
        <v>3273</v>
      </c>
      <c r="B1313" s="3" t="s">
        <v>3268</v>
      </c>
      <c r="C1313" s="4" t="s">
        <v>49</v>
      </c>
      <c r="D1313" s="7">
        <v>82</v>
      </c>
      <c r="E1313" s="8" t="s">
        <v>7731</v>
      </c>
      <c r="F1313" s="9">
        <v>30</v>
      </c>
    </row>
    <row r="1314" ht="15.5" spans="1:6">
      <c r="A1314" s="6" t="s">
        <v>3274</v>
      </c>
      <c r="B1314" s="3" t="s">
        <v>3270</v>
      </c>
      <c r="C1314" s="4" t="s">
        <v>49</v>
      </c>
      <c r="D1314" s="7">
        <v>122.15</v>
      </c>
      <c r="E1314" s="8" t="s">
        <v>7731</v>
      </c>
      <c r="F1314" s="9">
        <v>30</v>
      </c>
    </row>
    <row r="1315" ht="15.5" spans="1:6">
      <c r="A1315" s="6" t="s">
        <v>3277</v>
      </c>
      <c r="B1315" s="3" t="s">
        <v>3278</v>
      </c>
      <c r="C1315" s="4" t="s">
        <v>12</v>
      </c>
      <c r="D1315" s="7">
        <v>54.4</v>
      </c>
      <c r="E1315" s="8" t="s">
        <v>7397</v>
      </c>
      <c r="F1315" s="9">
        <v>10</v>
      </c>
    </row>
    <row r="1316" ht="93" spans="1:6">
      <c r="A1316" s="6" t="s">
        <v>3279</v>
      </c>
      <c r="B1316" s="12" t="s">
        <v>3280</v>
      </c>
      <c r="C1316" s="4" t="s">
        <v>12</v>
      </c>
      <c r="D1316" s="7">
        <v>334.5</v>
      </c>
      <c r="E1316" s="8" t="s">
        <v>7397</v>
      </c>
      <c r="F1316" s="9">
        <v>10</v>
      </c>
    </row>
    <row r="1317" ht="62" spans="1:6">
      <c r="A1317" s="6" t="s">
        <v>3281</v>
      </c>
      <c r="B1317" s="12" t="s">
        <v>3282</v>
      </c>
      <c r="C1317" s="4" t="s">
        <v>12</v>
      </c>
      <c r="D1317" s="7">
        <v>66.9</v>
      </c>
      <c r="E1317" s="8" t="s">
        <v>7397</v>
      </c>
      <c r="F1317" s="9">
        <v>10</v>
      </c>
    </row>
    <row r="1318" ht="15.5" spans="1:6">
      <c r="A1318" s="6" t="s">
        <v>3286</v>
      </c>
      <c r="B1318" s="3" t="s">
        <v>3287</v>
      </c>
      <c r="C1318" s="4" t="s">
        <v>12</v>
      </c>
      <c r="D1318" s="7">
        <v>155.9</v>
      </c>
      <c r="E1318" s="8" t="s">
        <v>7397</v>
      </c>
      <c r="F1318" s="9">
        <v>10</v>
      </c>
    </row>
    <row r="1319" ht="46.5" spans="1:6">
      <c r="A1319" s="6" t="s">
        <v>3290</v>
      </c>
      <c r="B1319" s="3" t="s">
        <v>3291</v>
      </c>
      <c r="C1319" s="4" t="s">
        <v>12</v>
      </c>
      <c r="D1319" s="7">
        <v>226.25</v>
      </c>
      <c r="E1319" s="8" t="s">
        <v>7397</v>
      </c>
      <c r="F1319" s="9">
        <v>10</v>
      </c>
    </row>
    <row r="1320" ht="15.5" spans="1:6">
      <c r="A1320" s="6" t="s">
        <v>3294</v>
      </c>
      <c r="B1320" s="3" t="s">
        <v>3287</v>
      </c>
      <c r="C1320" s="4" t="s">
        <v>12</v>
      </c>
      <c r="D1320" s="7">
        <v>146.8</v>
      </c>
      <c r="E1320" s="8" t="s">
        <v>7397</v>
      </c>
      <c r="F1320" s="9">
        <v>10</v>
      </c>
    </row>
    <row r="1321" ht="15.5" spans="1:6">
      <c r="A1321" s="6" t="s">
        <v>3297</v>
      </c>
      <c r="B1321" s="3" t="s">
        <v>3287</v>
      </c>
      <c r="C1321" s="4" t="s">
        <v>12</v>
      </c>
      <c r="D1321" s="7">
        <v>163.35</v>
      </c>
      <c r="E1321" s="8" t="s">
        <v>7397</v>
      </c>
      <c r="F1321" s="9">
        <v>10</v>
      </c>
    </row>
    <row r="1322" ht="15.5" spans="1:6">
      <c r="A1322" s="6" t="s">
        <v>3300</v>
      </c>
      <c r="B1322" s="3" t="s">
        <v>3287</v>
      </c>
      <c r="C1322" s="4" t="s">
        <v>12</v>
      </c>
      <c r="D1322" s="7">
        <v>140.25</v>
      </c>
      <c r="E1322" s="8" t="s">
        <v>7397</v>
      </c>
      <c r="F1322" s="9">
        <v>10</v>
      </c>
    </row>
    <row r="1323" ht="46.5" spans="1:6">
      <c r="A1323" s="6" t="s">
        <v>3303</v>
      </c>
      <c r="B1323" s="3" t="s">
        <v>3304</v>
      </c>
      <c r="C1323" s="4" t="s">
        <v>12</v>
      </c>
      <c r="D1323" s="7">
        <v>236.1</v>
      </c>
      <c r="E1323" s="8" t="s">
        <v>7397</v>
      </c>
      <c r="F1323" s="9">
        <v>10</v>
      </c>
    </row>
    <row r="1324" ht="31" spans="1:6">
      <c r="A1324" s="6" t="s">
        <v>3305</v>
      </c>
      <c r="B1324" s="3" t="s">
        <v>3306</v>
      </c>
      <c r="C1324" s="4" t="s">
        <v>12</v>
      </c>
      <c r="D1324" s="7">
        <v>236.9</v>
      </c>
      <c r="E1324" s="8" t="s">
        <v>7397</v>
      </c>
      <c r="F1324" s="9">
        <v>10</v>
      </c>
    </row>
    <row r="1325" ht="31" spans="1:6">
      <c r="A1325" s="6" t="s">
        <v>3309</v>
      </c>
      <c r="B1325" s="3" t="s">
        <v>3310</v>
      </c>
      <c r="C1325" s="4" t="s">
        <v>12</v>
      </c>
      <c r="D1325" s="7">
        <v>446.25</v>
      </c>
      <c r="E1325" s="8" t="s">
        <v>7397</v>
      </c>
      <c r="F1325" s="9">
        <v>10</v>
      </c>
    </row>
    <row r="1326" ht="15.5" spans="1:6">
      <c r="A1326" s="6" t="s">
        <v>3313</v>
      </c>
      <c r="B1326" s="3" t="s">
        <v>3314</v>
      </c>
      <c r="C1326" s="4" t="s">
        <v>12</v>
      </c>
      <c r="D1326" s="7">
        <v>197.65</v>
      </c>
      <c r="E1326" s="8" t="s">
        <v>7397</v>
      </c>
      <c r="F1326" s="9">
        <v>10</v>
      </c>
    </row>
    <row r="1327" ht="46.5" spans="1:6">
      <c r="A1327" s="6" t="s">
        <v>3315</v>
      </c>
      <c r="B1327" s="12" t="s">
        <v>3316</v>
      </c>
      <c r="C1327" s="4" t="s">
        <v>12</v>
      </c>
      <c r="D1327" s="7">
        <v>96.1</v>
      </c>
      <c r="E1327" s="8" t="s">
        <v>7397</v>
      </c>
      <c r="F1327" s="9">
        <v>10</v>
      </c>
    </row>
    <row r="1328" ht="62" spans="1:6">
      <c r="A1328" s="6" t="s">
        <v>3317</v>
      </c>
      <c r="B1328" s="12" t="s">
        <v>3318</v>
      </c>
      <c r="C1328" s="4" t="s">
        <v>3319</v>
      </c>
      <c r="D1328" s="7">
        <v>6.15</v>
      </c>
      <c r="E1328" s="8" t="s">
        <v>7732</v>
      </c>
      <c r="F1328" s="9">
        <v>1500</v>
      </c>
    </row>
    <row r="1329" ht="279" spans="1:6">
      <c r="A1329" s="6" t="s">
        <v>3320</v>
      </c>
      <c r="B1329" s="12" t="s">
        <v>3321</v>
      </c>
      <c r="C1329" s="4" t="s">
        <v>12</v>
      </c>
      <c r="D1329" s="7">
        <v>1162.25</v>
      </c>
      <c r="E1329" s="8" t="s">
        <v>7397</v>
      </c>
      <c r="F1329" s="9">
        <v>10</v>
      </c>
    </row>
    <row r="1330" ht="15.5" spans="1:6">
      <c r="A1330" s="6" t="s">
        <v>3324</v>
      </c>
      <c r="B1330" s="3" t="s">
        <v>3325</v>
      </c>
      <c r="C1330" s="4" t="s">
        <v>49</v>
      </c>
      <c r="D1330" s="7">
        <v>75.15</v>
      </c>
      <c r="E1330" s="8" t="s">
        <v>7731</v>
      </c>
      <c r="F1330" s="9">
        <v>30</v>
      </c>
    </row>
    <row r="1331" ht="15.5" spans="1:6">
      <c r="A1331" s="6" t="s">
        <v>3326</v>
      </c>
      <c r="B1331" s="3" t="s">
        <v>3327</v>
      </c>
      <c r="C1331" s="4" t="s">
        <v>49</v>
      </c>
      <c r="D1331" s="7">
        <v>75.8</v>
      </c>
      <c r="E1331" s="8" t="s">
        <v>7731</v>
      </c>
      <c r="F1331" s="9">
        <v>30</v>
      </c>
    </row>
    <row r="1332" ht="62" spans="1:6">
      <c r="A1332" s="6" t="s">
        <v>3328</v>
      </c>
      <c r="B1332" s="12" t="s">
        <v>3329</v>
      </c>
      <c r="C1332" s="4" t="s">
        <v>12</v>
      </c>
      <c r="D1332" s="7">
        <v>165.85</v>
      </c>
      <c r="E1332" s="8" t="s">
        <v>7397</v>
      </c>
      <c r="F1332" s="9">
        <v>10</v>
      </c>
    </row>
    <row r="1333" ht="46.5" spans="1:6">
      <c r="A1333" s="6" t="s">
        <v>3330</v>
      </c>
      <c r="B1333" s="12" t="s">
        <v>3331</v>
      </c>
      <c r="C1333" s="4" t="s">
        <v>12</v>
      </c>
      <c r="D1333" s="7">
        <v>133.55</v>
      </c>
      <c r="E1333" s="8" t="s">
        <v>7397</v>
      </c>
      <c r="F1333" s="9">
        <v>10</v>
      </c>
    </row>
    <row r="1334" ht="170.5" spans="1:6">
      <c r="A1334" s="6" t="s">
        <v>3332</v>
      </c>
      <c r="B1334" s="12" t="s">
        <v>3333</v>
      </c>
      <c r="C1334" s="4" t="s">
        <v>49</v>
      </c>
      <c r="D1334" s="7">
        <v>100.6</v>
      </c>
      <c r="E1334" s="8" t="s">
        <v>7731</v>
      </c>
      <c r="F1334" s="9">
        <v>30</v>
      </c>
    </row>
    <row r="1335" ht="46.5" spans="1:6">
      <c r="A1335" s="6" t="s">
        <v>3334</v>
      </c>
      <c r="B1335" s="12" t="s">
        <v>3335</v>
      </c>
      <c r="C1335" s="4" t="s">
        <v>12</v>
      </c>
      <c r="D1335" s="7">
        <v>76.05</v>
      </c>
      <c r="E1335" s="8" t="s">
        <v>7397</v>
      </c>
      <c r="F1335" s="9">
        <v>10</v>
      </c>
    </row>
    <row r="1336" ht="170.5" spans="1:6">
      <c r="A1336" s="6" t="s">
        <v>3336</v>
      </c>
      <c r="B1336" s="12" t="s">
        <v>3337</v>
      </c>
      <c r="C1336" s="4" t="s">
        <v>12</v>
      </c>
      <c r="D1336" s="7">
        <v>468.9</v>
      </c>
      <c r="E1336" s="8" t="s">
        <v>7397</v>
      </c>
      <c r="F1336" s="9">
        <v>10</v>
      </c>
    </row>
    <row r="1337" ht="124" spans="1:6">
      <c r="A1337" s="6" t="s">
        <v>3338</v>
      </c>
      <c r="B1337" s="12" t="s">
        <v>3339</v>
      </c>
      <c r="C1337" s="4" t="s">
        <v>362</v>
      </c>
      <c r="D1337" s="7">
        <v>78.35</v>
      </c>
      <c r="E1337" s="8" t="s">
        <v>7415</v>
      </c>
      <c r="F1337" s="9">
        <v>1</v>
      </c>
    </row>
    <row r="1338" ht="77.5" spans="1:6">
      <c r="A1338" s="6" t="s">
        <v>3340</v>
      </c>
      <c r="B1338" s="12" t="s">
        <v>3341</v>
      </c>
      <c r="C1338" s="4" t="s">
        <v>12</v>
      </c>
      <c r="D1338" s="7">
        <v>156.05</v>
      </c>
      <c r="E1338" s="8" t="s">
        <v>7397</v>
      </c>
      <c r="F1338" s="9">
        <v>10</v>
      </c>
    </row>
    <row r="1339" ht="15.5" spans="1:6">
      <c r="A1339" s="6" t="s">
        <v>3344</v>
      </c>
      <c r="B1339" s="3" t="s">
        <v>3345</v>
      </c>
      <c r="C1339" s="4" t="s">
        <v>12</v>
      </c>
      <c r="D1339" s="7">
        <v>62.7</v>
      </c>
      <c r="E1339" s="8" t="s">
        <v>7397</v>
      </c>
      <c r="F1339" s="9">
        <v>10</v>
      </c>
    </row>
    <row r="1340" ht="15.5" spans="1:6">
      <c r="A1340" s="6" t="s">
        <v>3349</v>
      </c>
      <c r="B1340" s="3" t="s">
        <v>3246</v>
      </c>
      <c r="C1340" s="4" t="s">
        <v>12</v>
      </c>
      <c r="D1340" s="7">
        <v>92</v>
      </c>
      <c r="E1340" s="8" t="s">
        <v>7397</v>
      </c>
      <c r="F1340" s="9">
        <v>10</v>
      </c>
    </row>
    <row r="1341" ht="15.5" spans="1:6">
      <c r="A1341" s="6" t="s">
        <v>3350</v>
      </c>
      <c r="B1341" s="3" t="s">
        <v>3248</v>
      </c>
      <c r="C1341" s="4" t="s">
        <v>12</v>
      </c>
      <c r="D1341" s="7">
        <v>137.45</v>
      </c>
      <c r="E1341" s="8" t="s">
        <v>7397</v>
      </c>
      <c r="F1341" s="9">
        <v>10</v>
      </c>
    </row>
    <row r="1342" ht="15.5" spans="1:6">
      <c r="A1342" s="6" t="s">
        <v>3353</v>
      </c>
      <c r="B1342" s="3" t="s">
        <v>3246</v>
      </c>
      <c r="C1342" s="4" t="s">
        <v>12</v>
      </c>
      <c r="D1342" s="7">
        <v>95.45</v>
      </c>
      <c r="E1342" s="8" t="s">
        <v>7397</v>
      </c>
      <c r="F1342" s="9">
        <v>10</v>
      </c>
    </row>
    <row r="1343" ht="15.5" spans="1:6">
      <c r="A1343" s="6" t="s">
        <v>3354</v>
      </c>
      <c r="B1343" s="3" t="s">
        <v>3248</v>
      </c>
      <c r="C1343" s="4" t="s">
        <v>12</v>
      </c>
      <c r="D1343" s="7">
        <v>142.8</v>
      </c>
      <c r="E1343" s="8" t="s">
        <v>7397</v>
      </c>
      <c r="F1343" s="9">
        <v>10</v>
      </c>
    </row>
    <row r="1344" ht="46.5" spans="1:6">
      <c r="A1344" s="6" t="s">
        <v>3357</v>
      </c>
      <c r="B1344" s="3" t="s">
        <v>3358</v>
      </c>
      <c r="C1344" s="4" t="s">
        <v>12</v>
      </c>
      <c r="D1344" s="7">
        <v>70.35</v>
      </c>
      <c r="E1344" s="8" t="s">
        <v>7397</v>
      </c>
      <c r="F1344" s="9">
        <v>10</v>
      </c>
    </row>
    <row r="1345" ht="46.5" spans="1:6">
      <c r="A1345" s="6" t="s">
        <v>3359</v>
      </c>
      <c r="B1345" s="3" t="s">
        <v>3360</v>
      </c>
      <c r="C1345" s="4" t="s">
        <v>12</v>
      </c>
      <c r="D1345" s="7">
        <v>73.95</v>
      </c>
      <c r="E1345" s="8" t="s">
        <v>7397</v>
      </c>
      <c r="F1345" s="9">
        <v>10</v>
      </c>
    </row>
    <row r="1346" ht="77.5" spans="1:6">
      <c r="A1346" s="6" t="s">
        <v>3361</v>
      </c>
      <c r="B1346" s="12" t="s">
        <v>3362</v>
      </c>
      <c r="C1346" s="4" t="s">
        <v>12</v>
      </c>
      <c r="D1346" s="7">
        <v>269.15</v>
      </c>
      <c r="E1346" s="8" t="s">
        <v>7397</v>
      </c>
      <c r="F1346" s="9">
        <v>10</v>
      </c>
    </row>
    <row r="1347" ht="15.5" spans="1:6">
      <c r="A1347" s="6" t="s">
        <v>3364</v>
      </c>
      <c r="B1347" s="3" t="s">
        <v>3365</v>
      </c>
      <c r="C1347" s="4" t="s">
        <v>12</v>
      </c>
      <c r="D1347" s="7">
        <v>22.85</v>
      </c>
      <c r="E1347" s="8" t="s">
        <v>7397</v>
      </c>
      <c r="F1347" s="9">
        <v>10</v>
      </c>
    </row>
    <row r="1348" ht="15.5" spans="1:6">
      <c r="A1348" s="6" t="s">
        <v>3366</v>
      </c>
      <c r="B1348" s="3" t="s">
        <v>3345</v>
      </c>
      <c r="C1348" s="4" t="s">
        <v>12</v>
      </c>
      <c r="D1348" s="7">
        <v>13.9</v>
      </c>
      <c r="E1348" s="8" t="s">
        <v>7397</v>
      </c>
      <c r="F1348" s="9">
        <v>10</v>
      </c>
    </row>
    <row r="1349" ht="77.5" spans="1:6">
      <c r="A1349" s="6" t="s">
        <v>3367</v>
      </c>
      <c r="B1349" s="12" t="s">
        <v>3368</v>
      </c>
      <c r="C1349" s="4" t="s">
        <v>12</v>
      </c>
      <c r="D1349" s="7">
        <v>19.75</v>
      </c>
      <c r="E1349" s="8" t="s">
        <v>7397</v>
      </c>
      <c r="F1349" s="9">
        <v>10</v>
      </c>
    </row>
    <row r="1350" ht="93" spans="1:6">
      <c r="A1350" s="6" t="s">
        <v>3371</v>
      </c>
      <c r="B1350" s="12" t="s">
        <v>3372</v>
      </c>
      <c r="C1350" s="4" t="s">
        <v>12</v>
      </c>
      <c r="D1350" s="7">
        <v>25.15</v>
      </c>
      <c r="E1350" s="8" t="s">
        <v>7397</v>
      </c>
      <c r="F1350" s="9">
        <v>10</v>
      </c>
    </row>
    <row r="1351" ht="15.5" spans="1:6">
      <c r="A1351" s="6" t="s">
        <v>3374</v>
      </c>
      <c r="B1351" s="3" t="s">
        <v>3345</v>
      </c>
      <c r="C1351" s="4" t="s">
        <v>12</v>
      </c>
      <c r="D1351" s="7">
        <v>93.3</v>
      </c>
      <c r="E1351" s="8" t="s">
        <v>7397</v>
      </c>
      <c r="F1351" s="9">
        <v>10</v>
      </c>
    </row>
    <row r="1352" ht="15.5" spans="1:6">
      <c r="A1352" s="6" t="s">
        <v>3377</v>
      </c>
      <c r="B1352" s="3" t="s">
        <v>3378</v>
      </c>
      <c r="C1352" s="4" t="s">
        <v>49</v>
      </c>
      <c r="D1352" s="7">
        <v>57.25</v>
      </c>
      <c r="E1352" s="8" t="s">
        <v>7733</v>
      </c>
      <c r="F1352" s="9">
        <v>30</v>
      </c>
    </row>
    <row r="1353" ht="15.5" spans="1:6">
      <c r="A1353" s="6" t="s">
        <v>3381</v>
      </c>
      <c r="B1353" s="3" t="s">
        <v>3378</v>
      </c>
      <c r="C1353" s="4" t="s">
        <v>49</v>
      </c>
      <c r="D1353" s="7">
        <v>26.85</v>
      </c>
      <c r="E1353" s="8" t="s">
        <v>7733</v>
      </c>
      <c r="F1353" s="9">
        <v>30</v>
      </c>
    </row>
    <row r="1354" ht="15.5" spans="1:6">
      <c r="A1354" s="6" t="s">
        <v>3382</v>
      </c>
      <c r="B1354" s="3" t="s">
        <v>3268</v>
      </c>
      <c r="C1354" s="4" t="s">
        <v>49</v>
      </c>
      <c r="D1354" s="7">
        <v>35.5</v>
      </c>
      <c r="E1354" s="8" t="s">
        <v>7733</v>
      </c>
      <c r="F1354" s="9">
        <v>30</v>
      </c>
    </row>
    <row r="1355" ht="15.5" spans="1:6">
      <c r="A1355" s="6" t="s">
        <v>3383</v>
      </c>
      <c r="B1355" s="3" t="s">
        <v>3270</v>
      </c>
      <c r="C1355" s="4" t="s">
        <v>49</v>
      </c>
      <c r="D1355" s="7">
        <v>51.2</v>
      </c>
      <c r="E1355" s="8" t="s">
        <v>7733</v>
      </c>
      <c r="F1355" s="9">
        <v>30</v>
      </c>
    </row>
    <row r="1356" ht="15.5" spans="1:6">
      <c r="A1356" s="6" t="s">
        <v>3386</v>
      </c>
      <c r="B1356" s="3" t="s">
        <v>3378</v>
      </c>
      <c r="C1356" s="4" t="s">
        <v>49</v>
      </c>
      <c r="D1356" s="7">
        <v>58.9</v>
      </c>
      <c r="E1356" s="8" t="s">
        <v>7733</v>
      </c>
      <c r="F1356" s="9">
        <v>30</v>
      </c>
    </row>
    <row r="1357" ht="15.5" spans="1:6">
      <c r="A1357" s="6" t="s">
        <v>3387</v>
      </c>
      <c r="B1357" s="3" t="s">
        <v>3268</v>
      </c>
      <c r="C1357" s="4" t="s">
        <v>49</v>
      </c>
      <c r="D1357" s="7">
        <v>81.45</v>
      </c>
      <c r="E1357" s="8" t="s">
        <v>7733</v>
      </c>
      <c r="F1357" s="9">
        <v>30</v>
      </c>
    </row>
    <row r="1358" ht="15.5" spans="1:6">
      <c r="A1358" s="6" t="s">
        <v>3388</v>
      </c>
      <c r="B1358" s="3" t="s">
        <v>3270</v>
      </c>
      <c r="C1358" s="4" t="s">
        <v>49</v>
      </c>
      <c r="D1358" s="7">
        <v>121.35</v>
      </c>
      <c r="E1358" s="8" t="s">
        <v>7733</v>
      </c>
      <c r="F1358" s="9">
        <v>30</v>
      </c>
    </row>
    <row r="1359" ht="15.5" spans="1:6">
      <c r="A1359" s="6" t="s">
        <v>3391</v>
      </c>
      <c r="B1359" s="3" t="s">
        <v>3378</v>
      </c>
      <c r="C1359" s="4" t="s">
        <v>49</v>
      </c>
      <c r="D1359" s="7">
        <v>28.2</v>
      </c>
      <c r="E1359" s="8" t="s">
        <v>7733</v>
      </c>
      <c r="F1359" s="9">
        <v>30</v>
      </c>
    </row>
    <row r="1360" ht="15.5" spans="1:6">
      <c r="A1360" s="6" t="s">
        <v>3392</v>
      </c>
      <c r="B1360" s="3" t="s">
        <v>3268</v>
      </c>
      <c r="C1360" s="4" t="s">
        <v>49</v>
      </c>
      <c r="D1360" s="7">
        <v>36.25</v>
      </c>
      <c r="E1360" s="8" t="s">
        <v>7733</v>
      </c>
      <c r="F1360" s="9">
        <v>30</v>
      </c>
    </row>
    <row r="1361" ht="15.5" spans="1:6">
      <c r="A1361" s="6" t="s">
        <v>3393</v>
      </c>
      <c r="B1361" s="3" t="s">
        <v>3270</v>
      </c>
      <c r="C1361" s="4" t="s">
        <v>49</v>
      </c>
      <c r="D1361" s="7">
        <v>52.25</v>
      </c>
      <c r="E1361" s="8" t="s">
        <v>7733</v>
      </c>
      <c r="F1361" s="9">
        <v>30</v>
      </c>
    </row>
    <row r="1362" ht="15.5" spans="1:6">
      <c r="A1362" s="6" t="s">
        <v>3396</v>
      </c>
      <c r="B1362" s="3" t="s">
        <v>3345</v>
      </c>
      <c r="C1362" s="4" t="s">
        <v>12</v>
      </c>
      <c r="D1362" s="7">
        <v>41.2</v>
      </c>
      <c r="E1362" s="8" t="s">
        <v>7397</v>
      </c>
      <c r="F1362" s="9">
        <v>10</v>
      </c>
    </row>
    <row r="1363" ht="15.5" spans="1:6">
      <c r="A1363" s="6" t="s">
        <v>3400</v>
      </c>
      <c r="B1363" s="3" t="s">
        <v>3401</v>
      </c>
      <c r="C1363" s="4" t="s">
        <v>12</v>
      </c>
      <c r="D1363" s="7">
        <v>102.8</v>
      </c>
      <c r="E1363" s="8" t="s">
        <v>7397</v>
      </c>
      <c r="F1363" s="9">
        <v>10</v>
      </c>
    </row>
    <row r="1364" ht="15.5" spans="1:6">
      <c r="A1364" s="6" t="s">
        <v>3404</v>
      </c>
      <c r="B1364" s="3" t="s">
        <v>3401</v>
      </c>
      <c r="C1364" s="4" t="s">
        <v>12</v>
      </c>
      <c r="D1364" s="7">
        <v>96</v>
      </c>
      <c r="E1364" s="8" t="s">
        <v>7397</v>
      </c>
      <c r="F1364" s="9">
        <v>10</v>
      </c>
    </row>
    <row r="1365" ht="15.5" spans="1:6">
      <c r="A1365" s="6" t="s">
        <v>3406</v>
      </c>
      <c r="B1365" s="3" t="s">
        <v>3401</v>
      </c>
      <c r="C1365" s="4" t="s">
        <v>12</v>
      </c>
      <c r="D1365" s="7">
        <v>107.25</v>
      </c>
      <c r="E1365" s="8" t="s">
        <v>7397</v>
      </c>
      <c r="F1365" s="9">
        <v>10</v>
      </c>
    </row>
    <row r="1366" ht="15.5" spans="1:6">
      <c r="A1366" s="6" t="s">
        <v>3408</v>
      </c>
      <c r="B1366" s="3" t="s">
        <v>3401</v>
      </c>
      <c r="C1366" s="4" t="s">
        <v>12</v>
      </c>
      <c r="D1366" s="7">
        <v>93.7</v>
      </c>
      <c r="E1366" s="8" t="s">
        <v>7397</v>
      </c>
      <c r="F1366" s="9">
        <v>10</v>
      </c>
    </row>
    <row r="1367" ht="15.5" spans="1:6">
      <c r="A1367" s="6" t="s">
        <v>3410</v>
      </c>
      <c r="B1367" s="3" t="s">
        <v>3401</v>
      </c>
      <c r="C1367" s="4" t="s">
        <v>12</v>
      </c>
      <c r="D1367" s="7">
        <v>224.8</v>
      </c>
      <c r="E1367" s="8" t="s">
        <v>7397</v>
      </c>
      <c r="F1367" s="9">
        <v>10</v>
      </c>
    </row>
    <row r="1368" ht="15.5" spans="1:6">
      <c r="A1368" s="6" t="s">
        <v>3413</v>
      </c>
      <c r="B1368" s="3" t="s">
        <v>3414</v>
      </c>
      <c r="C1368" s="4" t="s">
        <v>12</v>
      </c>
      <c r="D1368" s="7">
        <v>99.8</v>
      </c>
      <c r="E1368" s="8" t="s">
        <v>7397</v>
      </c>
      <c r="F1368" s="9">
        <v>10</v>
      </c>
    </row>
    <row r="1369" ht="62" spans="1:6">
      <c r="A1369" s="6" t="s">
        <v>3415</v>
      </c>
      <c r="B1369" s="12" t="s">
        <v>3416</v>
      </c>
      <c r="C1369" s="4" t="s">
        <v>3319</v>
      </c>
      <c r="D1369" s="7">
        <v>3.85</v>
      </c>
      <c r="E1369" s="8" t="s">
        <v>7732</v>
      </c>
      <c r="F1369" s="9">
        <v>1500</v>
      </c>
    </row>
    <row r="1370" ht="46.5" spans="1:6">
      <c r="A1370" s="6" t="s">
        <v>3417</v>
      </c>
      <c r="B1370" s="12" t="s">
        <v>3418</v>
      </c>
      <c r="C1370" s="4" t="s">
        <v>12</v>
      </c>
      <c r="D1370" s="7">
        <v>95.8</v>
      </c>
      <c r="E1370" s="8" t="s">
        <v>7397</v>
      </c>
      <c r="F1370" s="9">
        <v>10</v>
      </c>
    </row>
    <row r="1371" ht="15.5" spans="1:6">
      <c r="A1371" s="6" t="s">
        <v>3421</v>
      </c>
      <c r="B1371" s="3" t="s">
        <v>3422</v>
      </c>
      <c r="C1371" s="4" t="s">
        <v>156</v>
      </c>
      <c r="D1371" s="7">
        <v>80.1</v>
      </c>
      <c r="E1371" s="8" t="s">
        <v>7544</v>
      </c>
      <c r="F1371" s="9">
        <v>1</v>
      </c>
    </row>
    <row r="1372" ht="15.5" spans="1:6">
      <c r="A1372" s="6" t="s">
        <v>3423</v>
      </c>
      <c r="B1372" s="3" t="s">
        <v>3424</v>
      </c>
      <c r="C1372" s="4" t="s">
        <v>156</v>
      </c>
      <c r="D1372" s="7">
        <v>78.65</v>
      </c>
      <c r="E1372" s="8" t="s">
        <v>7544</v>
      </c>
      <c r="F1372" s="9">
        <v>1</v>
      </c>
    </row>
    <row r="1373" ht="62" spans="1:6">
      <c r="A1373" s="6" t="s">
        <v>3428</v>
      </c>
      <c r="B1373" s="3" t="s">
        <v>3429</v>
      </c>
      <c r="C1373" s="4" t="s">
        <v>12</v>
      </c>
      <c r="D1373" s="7">
        <v>112.9</v>
      </c>
      <c r="E1373" s="8" t="s">
        <v>7397</v>
      </c>
      <c r="F1373" s="9">
        <v>10</v>
      </c>
    </row>
    <row r="1374" ht="31" spans="1:6">
      <c r="A1374" s="6" t="s">
        <v>3430</v>
      </c>
      <c r="B1374" s="3" t="s">
        <v>3431</v>
      </c>
      <c r="C1374" s="4" t="s">
        <v>12</v>
      </c>
      <c r="D1374" s="7">
        <v>75.8</v>
      </c>
      <c r="E1374" s="8" t="s">
        <v>7397</v>
      </c>
      <c r="F1374" s="9">
        <v>10</v>
      </c>
    </row>
    <row r="1375" ht="46.5" spans="1:6">
      <c r="A1375" s="6" t="s">
        <v>3433</v>
      </c>
      <c r="B1375" s="3" t="s">
        <v>3434</v>
      </c>
      <c r="C1375" s="4" t="s">
        <v>12</v>
      </c>
      <c r="D1375" s="7">
        <v>169.2</v>
      </c>
      <c r="E1375" s="8" t="s">
        <v>7397</v>
      </c>
      <c r="F1375" s="9">
        <v>10</v>
      </c>
    </row>
    <row r="1376" ht="31" spans="1:6">
      <c r="A1376" s="6" t="s">
        <v>3435</v>
      </c>
      <c r="B1376" s="3" t="s">
        <v>3436</v>
      </c>
      <c r="C1376" s="4" t="s">
        <v>12</v>
      </c>
      <c r="D1376" s="7">
        <v>109.1</v>
      </c>
      <c r="E1376" s="8" t="s">
        <v>7397</v>
      </c>
      <c r="F1376" s="9">
        <v>10</v>
      </c>
    </row>
    <row r="1377" ht="46.5" spans="1:6">
      <c r="A1377" s="6" t="s">
        <v>3438</v>
      </c>
      <c r="B1377" s="3" t="s">
        <v>3439</v>
      </c>
      <c r="C1377" s="4" t="s">
        <v>12</v>
      </c>
      <c r="D1377" s="7">
        <v>120.75</v>
      </c>
      <c r="E1377" s="8" t="s">
        <v>7397</v>
      </c>
      <c r="F1377" s="9">
        <v>10</v>
      </c>
    </row>
    <row r="1378" ht="31" spans="1:6">
      <c r="A1378" s="6" t="s">
        <v>3440</v>
      </c>
      <c r="B1378" s="3" t="s">
        <v>3441</v>
      </c>
      <c r="C1378" s="4" t="s">
        <v>12</v>
      </c>
      <c r="D1378" s="7">
        <v>80.65</v>
      </c>
      <c r="E1378" s="8" t="s">
        <v>7397</v>
      </c>
      <c r="F1378" s="9">
        <v>10</v>
      </c>
    </row>
    <row r="1379" ht="46.5" spans="1:6">
      <c r="A1379" s="6" t="s">
        <v>3444</v>
      </c>
      <c r="B1379" s="3" t="s">
        <v>3445</v>
      </c>
      <c r="C1379" s="4" t="s">
        <v>12</v>
      </c>
      <c r="D1379" s="7">
        <v>131.3</v>
      </c>
      <c r="E1379" s="8" t="s">
        <v>7397</v>
      </c>
      <c r="F1379" s="9">
        <v>10</v>
      </c>
    </row>
    <row r="1380" ht="31" spans="1:6">
      <c r="A1380" s="6" t="s">
        <v>3446</v>
      </c>
      <c r="B1380" s="3" t="s">
        <v>3447</v>
      </c>
      <c r="C1380" s="4" t="s">
        <v>12</v>
      </c>
      <c r="D1380" s="7">
        <v>88.55</v>
      </c>
      <c r="E1380" s="8" t="s">
        <v>7397</v>
      </c>
      <c r="F1380" s="9">
        <v>10</v>
      </c>
    </row>
    <row r="1381" ht="15.5" spans="1:6">
      <c r="A1381" s="6" t="s">
        <v>3450</v>
      </c>
      <c r="B1381" s="3" t="s">
        <v>3451</v>
      </c>
      <c r="C1381" s="4" t="s">
        <v>12</v>
      </c>
      <c r="D1381" s="7">
        <v>94.6</v>
      </c>
      <c r="E1381" s="8" t="s">
        <v>7397</v>
      </c>
      <c r="F1381" s="9">
        <v>10</v>
      </c>
    </row>
    <row r="1382" ht="15.5" spans="1:6">
      <c r="A1382" s="6" t="s">
        <v>3452</v>
      </c>
      <c r="B1382" s="3" t="s">
        <v>3453</v>
      </c>
      <c r="C1382" s="4" t="s">
        <v>12</v>
      </c>
      <c r="D1382" s="7">
        <v>95.05</v>
      </c>
      <c r="E1382" s="8" t="s">
        <v>7397</v>
      </c>
      <c r="F1382" s="9">
        <v>10</v>
      </c>
    </row>
    <row r="1383" ht="31" spans="1:6">
      <c r="A1383" s="6" t="s">
        <v>3454</v>
      </c>
      <c r="B1383" s="12" t="s">
        <v>3455</v>
      </c>
      <c r="C1383" s="4" t="s">
        <v>12</v>
      </c>
      <c r="D1383" s="7">
        <v>138.1</v>
      </c>
      <c r="E1383" s="8" t="s">
        <v>7397</v>
      </c>
      <c r="F1383" s="9">
        <v>10</v>
      </c>
    </row>
    <row r="1384" ht="46.5" spans="1:6">
      <c r="A1384" s="6" t="s">
        <v>3456</v>
      </c>
      <c r="B1384" s="12" t="s">
        <v>3457</v>
      </c>
      <c r="C1384" s="4" t="s">
        <v>12</v>
      </c>
      <c r="D1384" s="7">
        <v>99.7</v>
      </c>
      <c r="E1384" s="8" t="s">
        <v>7397</v>
      </c>
      <c r="F1384" s="9">
        <v>10</v>
      </c>
    </row>
    <row r="1385" ht="409.5" spans="1:6">
      <c r="A1385" s="6" t="s">
        <v>3458</v>
      </c>
      <c r="B1385" s="12" t="s">
        <v>7734</v>
      </c>
      <c r="C1385" s="4" t="s">
        <v>12</v>
      </c>
      <c r="D1385" s="7">
        <v>1360.45</v>
      </c>
      <c r="E1385" s="8" t="s">
        <v>7397</v>
      </c>
      <c r="F1385" s="9">
        <v>10</v>
      </c>
    </row>
    <row r="1386" ht="15.5" spans="1:6">
      <c r="A1386" s="6" t="s">
        <v>204</v>
      </c>
      <c r="B1386" s="12" t="s">
        <v>2</v>
      </c>
      <c r="C1386" s="4" t="s">
        <v>3</v>
      </c>
      <c r="D1386" s="14" t="s">
        <v>4</v>
      </c>
    </row>
    <row r="1387" ht="31" spans="1:6">
      <c r="A1387" s="6" t="s">
        <v>3463</v>
      </c>
      <c r="B1387" s="3" t="s">
        <v>3464</v>
      </c>
      <c r="C1387" s="4" t="s">
        <v>12</v>
      </c>
      <c r="D1387" s="7">
        <v>547.4</v>
      </c>
      <c r="E1387" s="8" t="s">
        <v>7397</v>
      </c>
      <c r="F1387" s="9">
        <v>10</v>
      </c>
    </row>
    <row r="1388" ht="31" spans="1:6">
      <c r="A1388" s="6" t="s">
        <v>3465</v>
      </c>
      <c r="B1388" s="3" t="s">
        <v>3466</v>
      </c>
      <c r="C1388" s="4" t="s">
        <v>12</v>
      </c>
      <c r="D1388" s="7">
        <v>560.5</v>
      </c>
      <c r="E1388" s="8" t="s">
        <v>7397</v>
      </c>
      <c r="F1388" s="9">
        <v>10</v>
      </c>
    </row>
    <row r="1389" ht="15.5" spans="1:6">
      <c r="A1389" s="6" t="s">
        <v>3469</v>
      </c>
      <c r="B1389" s="3" t="s">
        <v>3470</v>
      </c>
      <c r="C1389" s="4" t="s">
        <v>156</v>
      </c>
      <c r="D1389" s="7">
        <v>1782.55</v>
      </c>
      <c r="E1389" s="8" t="s">
        <v>7576</v>
      </c>
      <c r="F1389" s="9">
        <v>10</v>
      </c>
    </row>
    <row r="1390" ht="15.5" spans="1:6">
      <c r="A1390" s="6" t="s">
        <v>3471</v>
      </c>
      <c r="B1390" s="3" t="s">
        <v>3472</v>
      </c>
      <c r="C1390" s="4" t="s">
        <v>156</v>
      </c>
      <c r="D1390" s="7">
        <v>1125.15</v>
      </c>
      <c r="E1390" s="8" t="s">
        <v>7576</v>
      </c>
      <c r="F1390" s="9">
        <v>10</v>
      </c>
    </row>
    <row r="1391" ht="15.5" spans="1:6">
      <c r="A1391" s="6" t="s">
        <v>3473</v>
      </c>
      <c r="B1391" s="3" t="s">
        <v>3474</v>
      </c>
      <c r="C1391" s="4" t="s">
        <v>156</v>
      </c>
      <c r="D1391" s="7">
        <v>851</v>
      </c>
      <c r="E1391" s="8" t="s">
        <v>7576</v>
      </c>
      <c r="F1391" s="9">
        <v>10</v>
      </c>
    </row>
    <row r="1392" ht="124" spans="1:6">
      <c r="A1392" s="6" t="s">
        <v>3475</v>
      </c>
      <c r="B1392" s="12" t="s">
        <v>3476</v>
      </c>
      <c r="C1392" s="4" t="s">
        <v>156</v>
      </c>
      <c r="D1392" s="7">
        <v>217.1</v>
      </c>
      <c r="E1392" s="8" t="s">
        <v>7576</v>
      </c>
      <c r="F1392" s="9">
        <v>10</v>
      </c>
    </row>
    <row r="1393" ht="15.5" spans="1:6">
      <c r="A1393" s="6" t="s">
        <v>3479</v>
      </c>
      <c r="B1393" s="3" t="s">
        <v>3480</v>
      </c>
      <c r="C1393" s="4" t="s">
        <v>12</v>
      </c>
      <c r="D1393" s="7">
        <v>1264.35</v>
      </c>
      <c r="E1393" s="8" t="s">
        <v>7653</v>
      </c>
      <c r="F1393" s="9">
        <v>1.89</v>
      </c>
    </row>
    <row r="1394" ht="31" spans="1:6">
      <c r="A1394" s="6" t="s">
        <v>3483</v>
      </c>
      <c r="B1394" s="3" t="s">
        <v>3484</v>
      </c>
      <c r="C1394" s="4" t="s">
        <v>12</v>
      </c>
      <c r="D1394" s="7">
        <v>1090.65</v>
      </c>
      <c r="E1394" s="8" t="s">
        <v>7554</v>
      </c>
      <c r="F1394" s="9">
        <v>1</v>
      </c>
    </row>
    <row r="1395" ht="31" spans="1:6">
      <c r="A1395" s="6" t="s">
        <v>3485</v>
      </c>
      <c r="B1395" s="3" t="s">
        <v>3486</v>
      </c>
      <c r="C1395" s="4" t="s">
        <v>12</v>
      </c>
      <c r="D1395" s="7">
        <v>1416.15</v>
      </c>
      <c r="E1395" s="8" t="s">
        <v>7554</v>
      </c>
      <c r="F1395" s="9">
        <v>1</v>
      </c>
    </row>
    <row r="1396" ht="31" spans="1:6">
      <c r="A1396" s="6" t="s">
        <v>3489</v>
      </c>
      <c r="B1396" s="3" t="s">
        <v>3484</v>
      </c>
      <c r="C1396" s="4" t="s">
        <v>12</v>
      </c>
      <c r="D1396" s="7">
        <v>1580.9</v>
      </c>
      <c r="E1396" s="8" t="s">
        <v>7554</v>
      </c>
      <c r="F1396" s="9">
        <v>1</v>
      </c>
    </row>
    <row r="1397" ht="31" spans="1:6">
      <c r="A1397" s="6" t="s">
        <v>3490</v>
      </c>
      <c r="B1397" s="3" t="s">
        <v>3486</v>
      </c>
      <c r="C1397" s="4" t="s">
        <v>12</v>
      </c>
      <c r="D1397" s="7">
        <v>1906.4</v>
      </c>
      <c r="E1397" s="8" t="s">
        <v>7554</v>
      </c>
      <c r="F1397" s="9">
        <v>1</v>
      </c>
    </row>
    <row r="1398" ht="31" spans="1:6">
      <c r="A1398" s="6" t="s">
        <v>3493</v>
      </c>
      <c r="B1398" s="3" t="s">
        <v>3484</v>
      </c>
      <c r="C1398" s="4" t="s">
        <v>12</v>
      </c>
      <c r="D1398" s="7">
        <v>1227.3</v>
      </c>
      <c r="E1398" s="8" t="s">
        <v>7554</v>
      </c>
      <c r="F1398" s="9">
        <v>1</v>
      </c>
    </row>
    <row r="1399" ht="31" spans="1:6">
      <c r="A1399" s="6" t="s">
        <v>3494</v>
      </c>
      <c r="B1399" s="3" t="s">
        <v>3486</v>
      </c>
      <c r="C1399" s="4" t="s">
        <v>12</v>
      </c>
      <c r="D1399" s="7">
        <v>1552.75</v>
      </c>
      <c r="E1399" s="8" t="s">
        <v>7554</v>
      </c>
      <c r="F1399" s="9">
        <v>1</v>
      </c>
    </row>
    <row r="1400" ht="15.5" spans="1:6">
      <c r="A1400" s="6" t="s">
        <v>3497</v>
      </c>
      <c r="B1400" s="3" t="s">
        <v>3498</v>
      </c>
      <c r="C1400" s="4" t="s">
        <v>49</v>
      </c>
      <c r="D1400" s="7">
        <v>77.7</v>
      </c>
      <c r="E1400" s="8" t="s">
        <v>7552</v>
      </c>
      <c r="F1400" s="9">
        <v>10</v>
      </c>
    </row>
    <row r="1401" ht="15.5" spans="1:6">
      <c r="A1401" s="6" t="s">
        <v>3499</v>
      </c>
      <c r="B1401" s="3" t="s">
        <v>3500</v>
      </c>
      <c r="C1401" s="4" t="s">
        <v>49</v>
      </c>
      <c r="D1401" s="7">
        <v>70.75</v>
      </c>
      <c r="E1401" s="8" t="s">
        <v>7552</v>
      </c>
      <c r="F1401" s="9">
        <v>10</v>
      </c>
    </row>
    <row r="1402" ht="31" spans="1:6">
      <c r="A1402" s="6" t="s">
        <v>3501</v>
      </c>
      <c r="B1402" s="12" t="s">
        <v>3502</v>
      </c>
      <c r="C1402" s="4" t="s">
        <v>49</v>
      </c>
      <c r="D1402" s="7">
        <v>56.15</v>
      </c>
      <c r="E1402" s="8" t="s">
        <v>7735</v>
      </c>
      <c r="F1402" s="9">
        <v>13</v>
      </c>
    </row>
    <row r="1403" ht="31" spans="1:6">
      <c r="A1403" s="6" t="s">
        <v>3503</v>
      </c>
      <c r="B1403" s="12" t="s">
        <v>3504</v>
      </c>
      <c r="C1403" s="4" t="s">
        <v>12</v>
      </c>
      <c r="D1403" s="7">
        <v>729.85</v>
      </c>
      <c r="E1403" s="8" t="s">
        <v>7554</v>
      </c>
      <c r="F1403" s="9">
        <v>1</v>
      </c>
    </row>
    <row r="1404" ht="31" spans="1:6">
      <c r="A1404" s="6" t="s">
        <v>3505</v>
      </c>
      <c r="B1404" s="12" t="s">
        <v>3506</v>
      </c>
      <c r="C1404" s="4" t="s">
        <v>12</v>
      </c>
      <c r="D1404" s="7">
        <v>679.6</v>
      </c>
      <c r="E1404" s="8" t="s">
        <v>7554</v>
      </c>
      <c r="F1404" s="9">
        <v>1</v>
      </c>
    </row>
    <row r="1405" ht="124" spans="1:6">
      <c r="A1405" s="6" t="s">
        <v>3507</v>
      </c>
      <c r="B1405" s="12" t="s">
        <v>3508</v>
      </c>
      <c r="C1405" s="4" t="s">
        <v>156</v>
      </c>
      <c r="D1405" s="7">
        <v>563.9</v>
      </c>
      <c r="E1405" s="8" t="s">
        <v>7577</v>
      </c>
      <c r="F1405" s="9">
        <v>100</v>
      </c>
    </row>
    <row r="1406" ht="217" spans="1:6">
      <c r="A1406" s="6" t="s">
        <v>3509</v>
      </c>
      <c r="B1406" s="12" t="s">
        <v>3510</v>
      </c>
      <c r="C1406" s="4" t="s">
        <v>12</v>
      </c>
      <c r="D1406" s="7">
        <v>696.05</v>
      </c>
      <c r="E1406" s="8" t="s">
        <v>7397</v>
      </c>
      <c r="F1406" s="9">
        <v>10</v>
      </c>
    </row>
    <row r="1407" ht="31" spans="1:6">
      <c r="A1407" s="6" t="s">
        <v>3513</v>
      </c>
      <c r="B1407" s="3" t="s">
        <v>3514</v>
      </c>
      <c r="C1407" s="4" t="s">
        <v>12</v>
      </c>
      <c r="D1407" s="7">
        <v>1365.85</v>
      </c>
      <c r="E1407" s="8" t="s">
        <v>7332</v>
      </c>
      <c r="F1407" s="9">
        <v>100</v>
      </c>
    </row>
    <row r="1408" ht="15.5" spans="1:6">
      <c r="A1408" s="6" t="s">
        <v>3517</v>
      </c>
      <c r="B1408" s="3" t="s">
        <v>3518</v>
      </c>
      <c r="C1408" s="4" t="s">
        <v>16</v>
      </c>
      <c r="D1408" s="7">
        <v>99120.65</v>
      </c>
      <c r="E1408" s="8" t="s">
        <v>7736</v>
      </c>
      <c r="F1408" s="9">
        <v>0.3</v>
      </c>
    </row>
    <row r="1409" ht="15.5" spans="1:6">
      <c r="A1409" s="6" t="s">
        <v>3523</v>
      </c>
      <c r="B1409" s="3" t="s">
        <v>3524</v>
      </c>
      <c r="C1409" s="4" t="s">
        <v>16</v>
      </c>
      <c r="D1409" s="7">
        <v>104573.95</v>
      </c>
      <c r="E1409" s="8" t="s">
        <v>7737</v>
      </c>
      <c r="F1409" s="9">
        <v>3</v>
      </c>
    </row>
    <row r="1410" ht="15.5" spans="1:6">
      <c r="A1410" s="6" t="s">
        <v>3525</v>
      </c>
      <c r="B1410" s="3" t="s">
        <v>3526</v>
      </c>
      <c r="C1410" s="4" t="s">
        <v>16</v>
      </c>
      <c r="D1410" s="7">
        <v>70271.7</v>
      </c>
      <c r="E1410" s="8" t="s">
        <v>7737</v>
      </c>
      <c r="F1410" s="9">
        <v>3</v>
      </c>
    </row>
    <row r="1411" ht="15.5" spans="1:6">
      <c r="A1411" s="6" t="s">
        <v>3529</v>
      </c>
      <c r="B1411" s="3" t="s">
        <v>3524</v>
      </c>
      <c r="C1411" s="4" t="s">
        <v>16</v>
      </c>
      <c r="D1411" s="7">
        <v>107320</v>
      </c>
      <c r="E1411" s="8" t="s">
        <v>7738</v>
      </c>
      <c r="F1411" s="9">
        <v>3.75</v>
      </c>
    </row>
    <row r="1412" ht="15.5" spans="1:6">
      <c r="A1412" s="6" t="s">
        <v>3530</v>
      </c>
      <c r="B1412" s="3" t="s">
        <v>3526</v>
      </c>
      <c r="C1412" s="4" t="s">
        <v>16</v>
      </c>
      <c r="D1412" s="7">
        <v>72987.25</v>
      </c>
      <c r="E1412" s="8" t="s">
        <v>7739</v>
      </c>
      <c r="F1412" s="9">
        <v>3.75</v>
      </c>
    </row>
    <row r="1413" ht="93" spans="1:6">
      <c r="A1413" s="6" t="s">
        <v>3531</v>
      </c>
      <c r="B1413" s="12" t="s">
        <v>3532</v>
      </c>
      <c r="C1413" s="4" t="s">
        <v>12</v>
      </c>
      <c r="D1413" s="7">
        <v>72.45</v>
      </c>
      <c r="E1413" s="8" t="s">
        <v>7397</v>
      </c>
      <c r="F1413" s="9">
        <v>10</v>
      </c>
    </row>
    <row r="1414" ht="15.5" spans="1:6">
      <c r="A1414" s="6" t="s">
        <v>3535</v>
      </c>
      <c r="B1414" s="3" t="s">
        <v>3536</v>
      </c>
      <c r="C1414" s="4" t="s">
        <v>12</v>
      </c>
      <c r="D1414" s="7">
        <v>137.7</v>
      </c>
      <c r="E1414" s="8" t="s">
        <v>7397</v>
      </c>
      <c r="F1414" s="9">
        <v>10</v>
      </c>
    </row>
    <row r="1415" ht="15.5" spans="1:6">
      <c r="A1415" s="6" t="s">
        <v>3537</v>
      </c>
      <c r="B1415" s="3" t="s">
        <v>3538</v>
      </c>
      <c r="C1415" s="4" t="s">
        <v>12</v>
      </c>
      <c r="D1415" s="7">
        <v>139.05</v>
      </c>
      <c r="E1415" s="8" t="s">
        <v>7397</v>
      </c>
      <c r="F1415" s="9">
        <v>10</v>
      </c>
    </row>
    <row r="1416" ht="62" spans="1:6">
      <c r="A1416" s="6" t="s">
        <v>3539</v>
      </c>
      <c r="B1416" s="12" t="s">
        <v>3540</v>
      </c>
      <c r="C1416" s="4" t="s">
        <v>575</v>
      </c>
      <c r="D1416" s="7">
        <v>5.4</v>
      </c>
      <c r="E1416" s="8" t="s">
        <v>7740</v>
      </c>
      <c r="F1416" s="9">
        <v>63</v>
      </c>
    </row>
    <row r="1417" ht="108.5" spans="1:6">
      <c r="A1417" s="6" t="s">
        <v>3541</v>
      </c>
      <c r="B1417" s="12" t="s">
        <v>3542</v>
      </c>
      <c r="C1417" s="4" t="s">
        <v>49</v>
      </c>
      <c r="D1417" s="7">
        <v>126</v>
      </c>
      <c r="E1417" s="8" t="s">
        <v>7705</v>
      </c>
      <c r="F1417" s="9">
        <v>20.2</v>
      </c>
    </row>
    <row r="1418" ht="77.5" spans="1:6">
      <c r="A1418" s="6" t="s">
        <v>3543</v>
      </c>
      <c r="B1418" s="12" t="s">
        <v>3544</v>
      </c>
      <c r="C1418" s="4" t="s">
        <v>575</v>
      </c>
      <c r="D1418" s="7">
        <v>298.85</v>
      </c>
      <c r="E1418" s="8" t="s">
        <v>7741</v>
      </c>
      <c r="F1418" s="9">
        <v>11.55</v>
      </c>
    </row>
    <row r="1419" ht="31" spans="1:6">
      <c r="A1419" s="6" t="s">
        <v>3547</v>
      </c>
      <c r="B1419" s="3" t="s">
        <v>3548</v>
      </c>
      <c r="C1419" s="4" t="s">
        <v>3549</v>
      </c>
      <c r="D1419" s="7">
        <v>123.7</v>
      </c>
      <c r="E1419" s="8" t="s">
        <v>7742</v>
      </c>
      <c r="F1419" s="9">
        <v>10</v>
      </c>
    </row>
    <row r="1420" ht="31" spans="1:6">
      <c r="A1420" s="6" t="s">
        <v>3550</v>
      </c>
      <c r="B1420" s="3" t="s">
        <v>3551</v>
      </c>
      <c r="C1420" s="4" t="s">
        <v>3549</v>
      </c>
      <c r="D1420" s="7">
        <v>304.55</v>
      </c>
      <c r="E1420" s="8" t="s">
        <v>7742</v>
      </c>
      <c r="F1420" s="9">
        <v>10</v>
      </c>
    </row>
    <row r="1421" ht="46.5" spans="1:6">
      <c r="A1421" s="6" t="s">
        <v>3553</v>
      </c>
      <c r="B1421" s="12" t="s">
        <v>3554</v>
      </c>
      <c r="C1421" s="4" t="s">
        <v>3555</v>
      </c>
      <c r="D1421" s="7">
        <v>231.05</v>
      </c>
      <c r="E1421" s="8" t="s">
        <v>7743</v>
      </c>
      <c r="F1421" s="9">
        <v>10.91</v>
      </c>
    </row>
    <row r="1422" ht="31" spans="1:6">
      <c r="A1422" s="6" t="s">
        <v>3559</v>
      </c>
      <c r="B1422" s="12" t="s">
        <v>3560</v>
      </c>
      <c r="C1422" s="4" t="s">
        <v>16</v>
      </c>
      <c r="D1422" s="7">
        <v>6207.25</v>
      </c>
      <c r="E1422" s="8" t="s">
        <v>7394</v>
      </c>
      <c r="F1422" s="9">
        <v>1</v>
      </c>
    </row>
    <row r="1423" ht="46.5" spans="1:6">
      <c r="A1423" s="6" t="s">
        <v>3564</v>
      </c>
      <c r="B1423" s="3" t="s">
        <v>3565</v>
      </c>
      <c r="C1423" s="4" t="s">
        <v>12</v>
      </c>
      <c r="D1423" s="7">
        <v>5127</v>
      </c>
      <c r="E1423" s="8" t="s">
        <v>7587</v>
      </c>
      <c r="F1423" s="9">
        <v>2.16</v>
      </c>
    </row>
    <row r="1424" ht="46.5" spans="1:6">
      <c r="A1424" s="6" t="s">
        <v>3566</v>
      </c>
      <c r="B1424" s="3" t="s">
        <v>3567</v>
      </c>
      <c r="C1424" s="4" t="s">
        <v>12</v>
      </c>
      <c r="D1424" s="7">
        <v>4484.85</v>
      </c>
      <c r="E1424" s="8" t="s">
        <v>7587</v>
      </c>
      <c r="F1424" s="9">
        <v>2.16</v>
      </c>
    </row>
    <row r="1425" ht="46.5" spans="1:6">
      <c r="A1425" s="6" t="s">
        <v>3569</v>
      </c>
      <c r="B1425" s="3" t="s">
        <v>3565</v>
      </c>
      <c r="C1425" s="4" t="s">
        <v>12</v>
      </c>
      <c r="D1425" s="7">
        <v>5054.05</v>
      </c>
      <c r="E1425" s="8" t="s">
        <v>7587</v>
      </c>
      <c r="F1425" s="9">
        <v>2.16</v>
      </c>
    </row>
    <row r="1426" ht="46.5" spans="1:6">
      <c r="A1426" s="6" t="s">
        <v>3570</v>
      </c>
      <c r="B1426" s="3" t="s">
        <v>3567</v>
      </c>
      <c r="C1426" s="4" t="s">
        <v>12</v>
      </c>
      <c r="D1426" s="7">
        <v>4362.45</v>
      </c>
      <c r="E1426" s="8" t="s">
        <v>7587</v>
      </c>
      <c r="F1426" s="9">
        <v>2.16</v>
      </c>
    </row>
    <row r="1427" ht="15.5" spans="1:6">
      <c r="A1427" s="6" t="s">
        <v>3573</v>
      </c>
      <c r="B1427" s="3" t="s">
        <v>1256</v>
      </c>
      <c r="C1427" s="4" t="s">
        <v>12</v>
      </c>
      <c r="D1427" s="7">
        <v>4602.65</v>
      </c>
      <c r="E1427" s="8" t="s">
        <v>7744</v>
      </c>
      <c r="F1427" s="9">
        <v>1.51</v>
      </c>
    </row>
    <row r="1428" ht="15.5" spans="1:6">
      <c r="A1428" s="6" t="s">
        <v>3576</v>
      </c>
      <c r="B1428" s="3" t="s">
        <v>3577</v>
      </c>
      <c r="C1428" s="4" t="s">
        <v>49</v>
      </c>
      <c r="D1428" s="7">
        <v>343.5</v>
      </c>
      <c r="E1428" s="8" t="s">
        <v>7745</v>
      </c>
      <c r="F1428" s="9">
        <v>2</v>
      </c>
    </row>
    <row r="1429" ht="15.5" spans="1:6">
      <c r="A1429" s="6" t="s">
        <v>3578</v>
      </c>
      <c r="B1429" s="3" t="s">
        <v>3579</v>
      </c>
      <c r="C1429" s="4" t="s">
        <v>49</v>
      </c>
      <c r="D1429" s="7">
        <v>421.75</v>
      </c>
      <c r="E1429" s="8" t="s">
        <v>7745</v>
      </c>
      <c r="F1429" s="9">
        <v>2</v>
      </c>
    </row>
    <row r="1430" ht="62" spans="1:6">
      <c r="A1430" s="6" t="s">
        <v>3580</v>
      </c>
      <c r="B1430" s="12" t="s">
        <v>3581</v>
      </c>
      <c r="C1430" s="4" t="s">
        <v>575</v>
      </c>
      <c r="D1430" s="7">
        <v>120.75</v>
      </c>
      <c r="E1430" s="8" t="s">
        <v>7746</v>
      </c>
      <c r="F1430" s="9">
        <v>33.67</v>
      </c>
    </row>
    <row r="1431" ht="15.5" spans="1:6">
      <c r="A1431" s="6" t="s">
        <v>3584</v>
      </c>
      <c r="B1431" s="3" t="s">
        <v>1258</v>
      </c>
      <c r="C1431" s="4" t="s">
        <v>16</v>
      </c>
      <c r="D1431" s="7">
        <v>97978.3</v>
      </c>
      <c r="E1431" s="8" t="s">
        <v>7736</v>
      </c>
      <c r="F1431" s="9">
        <v>0.3</v>
      </c>
    </row>
    <row r="1432" ht="15.5" spans="1:6">
      <c r="A1432" s="6" t="s">
        <v>3585</v>
      </c>
      <c r="B1432" s="3" t="s">
        <v>1507</v>
      </c>
      <c r="C1432" s="4" t="s">
        <v>16</v>
      </c>
      <c r="D1432" s="7">
        <v>64022.85</v>
      </c>
      <c r="E1432" s="8" t="s">
        <v>7736</v>
      </c>
      <c r="F1432" s="9">
        <v>0.3</v>
      </c>
    </row>
    <row r="1433" ht="15.5" spans="1:6">
      <c r="A1433" s="6" t="s">
        <v>3588</v>
      </c>
      <c r="B1433" s="3" t="s">
        <v>1550</v>
      </c>
      <c r="C1433" s="4" t="s">
        <v>156</v>
      </c>
      <c r="D1433" s="7">
        <v>765.05</v>
      </c>
      <c r="E1433" s="8" t="s">
        <v>7747</v>
      </c>
      <c r="F1433" s="9">
        <v>10</v>
      </c>
    </row>
    <row r="1434" ht="15.5" spans="1:6">
      <c r="A1434" s="6" t="s">
        <v>3589</v>
      </c>
      <c r="B1434" s="3" t="s">
        <v>1552</v>
      </c>
      <c r="C1434" s="4" t="s">
        <v>156</v>
      </c>
      <c r="D1434" s="7">
        <v>546</v>
      </c>
      <c r="E1434" s="8" t="s">
        <v>7747</v>
      </c>
      <c r="F1434" s="9">
        <v>10</v>
      </c>
    </row>
    <row r="1435" ht="15.5" spans="1:6">
      <c r="A1435" s="6" t="s">
        <v>3590</v>
      </c>
      <c r="B1435" s="3" t="s">
        <v>1554</v>
      </c>
      <c r="C1435" s="4" t="s">
        <v>156</v>
      </c>
      <c r="D1435" s="7">
        <v>485.65</v>
      </c>
      <c r="E1435" s="8" t="s">
        <v>7747</v>
      </c>
      <c r="F1435" s="9">
        <v>10</v>
      </c>
    </row>
    <row r="1436" ht="15.5" spans="1:6">
      <c r="A1436" s="6" t="s">
        <v>3593</v>
      </c>
      <c r="B1436" s="3" t="s">
        <v>1550</v>
      </c>
      <c r="C1436" s="4" t="s">
        <v>156</v>
      </c>
      <c r="D1436" s="7">
        <v>851.85</v>
      </c>
      <c r="E1436" s="8" t="s">
        <v>7747</v>
      </c>
      <c r="F1436" s="9">
        <v>10</v>
      </c>
    </row>
    <row r="1437" ht="15.5" spans="1:6">
      <c r="A1437" s="6" t="s">
        <v>3594</v>
      </c>
      <c r="B1437" s="3" t="s">
        <v>1552</v>
      </c>
      <c r="C1437" s="4" t="s">
        <v>156</v>
      </c>
      <c r="D1437" s="7">
        <v>726.65</v>
      </c>
      <c r="E1437" s="8" t="s">
        <v>7747</v>
      </c>
      <c r="F1437" s="9">
        <v>10</v>
      </c>
    </row>
    <row r="1438" ht="15.5" spans="1:6">
      <c r="A1438" s="6" t="s">
        <v>3595</v>
      </c>
      <c r="B1438" s="3" t="s">
        <v>1554</v>
      </c>
      <c r="C1438" s="4" t="s">
        <v>156</v>
      </c>
      <c r="D1438" s="7">
        <v>704.75</v>
      </c>
      <c r="E1438" s="8" t="s">
        <v>7747</v>
      </c>
      <c r="F1438" s="9">
        <v>10</v>
      </c>
    </row>
    <row r="1439" ht="15.5" spans="1:6">
      <c r="A1439" s="6" t="s">
        <v>3598</v>
      </c>
      <c r="B1439" s="3" t="s">
        <v>3599</v>
      </c>
      <c r="C1439" s="4" t="s">
        <v>156</v>
      </c>
      <c r="D1439" s="7">
        <v>285.05</v>
      </c>
      <c r="E1439" s="8" t="s">
        <v>7747</v>
      </c>
      <c r="F1439" s="9">
        <v>10</v>
      </c>
    </row>
    <row r="1440" ht="15.5" spans="1:6">
      <c r="A1440" s="6" t="s">
        <v>3600</v>
      </c>
      <c r="B1440" s="3" t="s">
        <v>1550</v>
      </c>
      <c r="C1440" s="4" t="s">
        <v>156</v>
      </c>
      <c r="D1440" s="7">
        <v>245.35</v>
      </c>
      <c r="E1440" s="8" t="s">
        <v>7747</v>
      </c>
      <c r="F1440" s="9">
        <v>10</v>
      </c>
    </row>
    <row r="1441" ht="15.5" spans="1:6">
      <c r="A1441" s="6" t="s">
        <v>3601</v>
      </c>
      <c r="B1441" s="3" t="s">
        <v>1554</v>
      </c>
      <c r="C1441" s="4" t="s">
        <v>156</v>
      </c>
      <c r="D1441" s="7">
        <v>188.45</v>
      </c>
      <c r="E1441" s="8" t="s">
        <v>7747</v>
      </c>
      <c r="F1441" s="9">
        <v>10</v>
      </c>
    </row>
    <row r="1442" ht="62" spans="1:6">
      <c r="A1442" s="6" t="s">
        <v>3602</v>
      </c>
      <c r="B1442" s="12" t="s">
        <v>3603</v>
      </c>
      <c r="C1442" s="4" t="s">
        <v>156</v>
      </c>
      <c r="D1442" s="7">
        <v>271.45</v>
      </c>
      <c r="E1442" s="8" t="s">
        <v>7576</v>
      </c>
      <c r="F1442" s="9">
        <v>10</v>
      </c>
    </row>
    <row r="1443" ht="15.5" spans="1:6">
      <c r="A1443" s="6" t="s">
        <v>3606</v>
      </c>
      <c r="B1443" s="3" t="s">
        <v>3607</v>
      </c>
      <c r="C1443" s="4" t="s">
        <v>156</v>
      </c>
      <c r="D1443" s="7">
        <v>101.85</v>
      </c>
      <c r="E1443" s="8" t="s">
        <v>7576</v>
      </c>
      <c r="F1443" s="9">
        <v>10</v>
      </c>
    </row>
    <row r="1444" ht="15.5" spans="1:6">
      <c r="A1444" s="6" t="s">
        <v>3608</v>
      </c>
      <c r="B1444" s="3" t="s">
        <v>3599</v>
      </c>
      <c r="C1444" s="4" t="s">
        <v>156</v>
      </c>
      <c r="D1444" s="7">
        <v>97.7</v>
      </c>
      <c r="E1444" s="8" t="s">
        <v>7748</v>
      </c>
      <c r="F1444" s="9">
        <v>10</v>
      </c>
    </row>
    <row r="1445" ht="15.5" spans="1:6">
      <c r="A1445" s="6" t="s">
        <v>3609</v>
      </c>
      <c r="B1445" s="3" t="s">
        <v>2226</v>
      </c>
      <c r="C1445" s="4" t="s">
        <v>156</v>
      </c>
      <c r="D1445" s="7">
        <v>87.75</v>
      </c>
      <c r="E1445" s="8" t="s">
        <v>7576</v>
      </c>
      <c r="F1445" s="9">
        <v>10</v>
      </c>
    </row>
    <row r="1446" ht="15.5" spans="1:6">
      <c r="A1446" s="6" t="s">
        <v>3610</v>
      </c>
      <c r="B1446" s="3" t="s">
        <v>1550</v>
      </c>
      <c r="C1446" s="4" t="s">
        <v>156</v>
      </c>
      <c r="D1446" s="7">
        <v>70.55</v>
      </c>
      <c r="E1446" s="8" t="s">
        <v>7576</v>
      </c>
      <c r="F1446" s="9">
        <v>10</v>
      </c>
    </row>
    <row r="1447" ht="15.5" spans="1:6">
      <c r="A1447" s="6" t="s">
        <v>3611</v>
      </c>
      <c r="B1447" s="3" t="s">
        <v>1554</v>
      </c>
      <c r="C1447" s="4" t="s">
        <v>156</v>
      </c>
      <c r="D1447" s="7">
        <v>61.85</v>
      </c>
      <c r="E1447" s="8" t="s">
        <v>7576</v>
      </c>
      <c r="F1447" s="9">
        <v>10</v>
      </c>
    </row>
    <row r="1448" ht="46.5" spans="1:6">
      <c r="A1448" s="6" t="s">
        <v>3612</v>
      </c>
      <c r="B1448" s="12" t="s">
        <v>3613</v>
      </c>
      <c r="C1448" s="4" t="s">
        <v>156</v>
      </c>
      <c r="D1448" s="7">
        <v>47.3</v>
      </c>
      <c r="E1448" s="8" t="s">
        <v>7576</v>
      </c>
      <c r="F1448" s="9">
        <v>10</v>
      </c>
    </row>
    <row r="1449" ht="62" spans="1:6">
      <c r="A1449" s="6" t="s">
        <v>3614</v>
      </c>
      <c r="B1449" s="12" t="s">
        <v>3615</v>
      </c>
      <c r="C1449" s="4" t="s">
        <v>156</v>
      </c>
      <c r="D1449" s="7">
        <v>74.8</v>
      </c>
      <c r="E1449" s="8" t="s">
        <v>7576</v>
      </c>
      <c r="F1449" s="9">
        <v>10</v>
      </c>
    </row>
    <row r="1450" ht="46.5" spans="1:6">
      <c r="A1450" s="6" t="s">
        <v>3616</v>
      </c>
      <c r="B1450" s="12" t="s">
        <v>3617</v>
      </c>
      <c r="C1450" s="4" t="s">
        <v>156</v>
      </c>
      <c r="D1450" s="7">
        <v>191.45</v>
      </c>
      <c r="E1450" s="8" t="s">
        <v>7749</v>
      </c>
      <c r="F1450" s="9">
        <v>10</v>
      </c>
    </row>
    <row r="1451" ht="31" spans="1:6">
      <c r="A1451" s="6" t="s">
        <v>3618</v>
      </c>
      <c r="B1451" s="12" t="s">
        <v>3619</v>
      </c>
      <c r="C1451" s="4" t="s">
        <v>156</v>
      </c>
      <c r="D1451" s="7">
        <v>543.95</v>
      </c>
      <c r="E1451" s="8" t="s">
        <v>7576</v>
      </c>
      <c r="F1451" s="9">
        <v>10</v>
      </c>
    </row>
    <row r="1452" ht="15.5" spans="1:6">
      <c r="A1452" s="6" t="s">
        <v>3622</v>
      </c>
      <c r="B1452" s="3" t="s">
        <v>1639</v>
      </c>
      <c r="C1452" s="4" t="s">
        <v>156</v>
      </c>
      <c r="D1452" s="7">
        <v>171.05</v>
      </c>
      <c r="E1452" s="8" t="s">
        <v>7576</v>
      </c>
      <c r="F1452" s="9">
        <v>10</v>
      </c>
    </row>
    <row r="1453" ht="15.5" spans="1:6">
      <c r="A1453" s="6" t="s">
        <v>3623</v>
      </c>
      <c r="B1453" s="3" t="s">
        <v>1643</v>
      </c>
      <c r="C1453" s="4" t="s">
        <v>156</v>
      </c>
      <c r="D1453" s="7">
        <v>148.75</v>
      </c>
      <c r="E1453" s="8" t="s">
        <v>7576</v>
      </c>
      <c r="F1453" s="9">
        <v>10</v>
      </c>
    </row>
    <row r="1454" ht="15.5" spans="1:6">
      <c r="A1454" s="6" t="s">
        <v>3624</v>
      </c>
      <c r="B1454" s="3" t="s">
        <v>1645</v>
      </c>
      <c r="C1454" s="4" t="s">
        <v>156</v>
      </c>
      <c r="D1454" s="7">
        <v>181</v>
      </c>
      <c r="E1454" s="8" t="s">
        <v>7576</v>
      </c>
      <c r="F1454" s="9">
        <v>10</v>
      </c>
    </row>
    <row r="1455" ht="15.5" spans="1:6">
      <c r="A1455" s="6" t="s">
        <v>3625</v>
      </c>
      <c r="B1455" s="3" t="s">
        <v>1647</v>
      </c>
      <c r="C1455" s="4" t="s">
        <v>156</v>
      </c>
      <c r="D1455" s="7">
        <v>102.6</v>
      </c>
      <c r="E1455" s="8" t="s">
        <v>7576</v>
      </c>
      <c r="F1455" s="9">
        <v>10</v>
      </c>
    </row>
    <row r="1456" ht="15.5" spans="1:6">
      <c r="A1456" s="6" t="s">
        <v>3626</v>
      </c>
      <c r="B1456" s="3" t="s">
        <v>1649</v>
      </c>
      <c r="C1456" s="4" t="s">
        <v>156</v>
      </c>
      <c r="D1456" s="7">
        <v>47.6</v>
      </c>
      <c r="E1456" s="8" t="s">
        <v>7576</v>
      </c>
      <c r="F1456" s="9">
        <v>10</v>
      </c>
    </row>
    <row r="1457" ht="62" spans="1:6">
      <c r="A1457" s="6" t="s">
        <v>3627</v>
      </c>
      <c r="B1457" s="12" t="s">
        <v>3628</v>
      </c>
      <c r="C1457" s="4" t="s">
        <v>156</v>
      </c>
      <c r="D1457" s="7">
        <v>278.6</v>
      </c>
      <c r="E1457" s="8" t="s">
        <v>7576</v>
      </c>
      <c r="F1457" s="9">
        <v>10</v>
      </c>
    </row>
    <row r="1458" ht="356.5" spans="1:6">
      <c r="A1458" s="6" t="s">
        <v>3630</v>
      </c>
      <c r="B1458" s="12" t="s">
        <v>7750</v>
      </c>
      <c r="C1458" s="4" t="s">
        <v>12</v>
      </c>
      <c r="D1458" s="7">
        <v>338.25</v>
      </c>
      <c r="E1458" s="8" t="s">
        <v>7751</v>
      </c>
      <c r="F1458" s="9">
        <v>202.5</v>
      </c>
    </row>
    <row r="1459" ht="77.5" spans="1:6">
      <c r="A1459" s="6" t="s">
        <v>3633</v>
      </c>
      <c r="B1459" s="12" t="s">
        <v>3634</v>
      </c>
      <c r="C1459" s="4" t="s">
        <v>575</v>
      </c>
      <c r="D1459" s="7">
        <v>557.2</v>
      </c>
      <c r="E1459" s="8" t="s">
        <v>7752</v>
      </c>
      <c r="F1459" s="9">
        <v>2</v>
      </c>
    </row>
    <row r="1460" ht="62" spans="1:6">
      <c r="A1460" s="6" t="s">
        <v>3635</v>
      </c>
      <c r="B1460" s="12" t="s">
        <v>3636</v>
      </c>
      <c r="C1460" s="4" t="s">
        <v>156</v>
      </c>
      <c r="D1460" s="7">
        <v>68.35</v>
      </c>
      <c r="E1460" s="8" t="s">
        <v>7753</v>
      </c>
      <c r="F1460" s="9">
        <v>10</v>
      </c>
    </row>
    <row r="1461" ht="139.5" spans="1:6">
      <c r="A1461" s="6" t="s">
        <v>3637</v>
      </c>
      <c r="B1461" s="12" t="s">
        <v>3638</v>
      </c>
      <c r="C1461" s="4" t="s">
        <v>12</v>
      </c>
      <c r="D1461" s="7">
        <v>670.95</v>
      </c>
      <c r="E1461" s="8" t="s">
        <v>7397</v>
      </c>
      <c r="F1461" s="9">
        <v>10</v>
      </c>
    </row>
    <row r="1462" ht="325.5" spans="1:6">
      <c r="A1462" s="6" t="s">
        <v>3640</v>
      </c>
      <c r="B1462" s="12" t="s">
        <v>3641</v>
      </c>
      <c r="C1462" s="4" t="s">
        <v>178</v>
      </c>
      <c r="D1462" s="7">
        <v>0.5</v>
      </c>
      <c r="E1462" s="8" t="s">
        <v>7754</v>
      </c>
      <c r="F1462" s="9">
        <v>5000</v>
      </c>
    </row>
    <row r="1463" ht="77.5" spans="1:6">
      <c r="A1463" s="6" t="s">
        <v>3642</v>
      </c>
      <c r="B1463" s="12" t="s">
        <v>3643</v>
      </c>
      <c r="C1463" s="4" t="s">
        <v>156</v>
      </c>
      <c r="D1463" s="7">
        <v>108.3</v>
      </c>
      <c r="E1463" s="8" t="s">
        <v>7576</v>
      </c>
      <c r="F1463" s="9">
        <v>10</v>
      </c>
    </row>
    <row r="1464" ht="217" spans="1:6">
      <c r="A1464" s="6" t="s">
        <v>3644</v>
      </c>
      <c r="B1464" s="12" t="s">
        <v>7755</v>
      </c>
      <c r="C1464" s="4" t="s">
        <v>49</v>
      </c>
      <c r="D1464" s="7">
        <v>340.75</v>
      </c>
      <c r="E1464" s="8" t="s">
        <v>7756</v>
      </c>
      <c r="F1464" s="9">
        <v>208</v>
      </c>
    </row>
    <row r="1465" ht="93" spans="1:6">
      <c r="A1465" s="6" t="s">
        <v>3646</v>
      </c>
      <c r="B1465" s="12" t="s">
        <v>3647</v>
      </c>
      <c r="C1465" s="4" t="s">
        <v>12</v>
      </c>
      <c r="D1465" s="7">
        <v>84.85</v>
      </c>
      <c r="E1465" s="8" t="s">
        <v>7757</v>
      </c>
      <c r="F1465" s="9">
        <v>570</v>
      </c>
    </row>
    <row r="1466" ht="77.5" spans="1:6">
      <c r="A1466" s="6" t="s">
        <v>3653</v>
      </c>
      <c r="B1466" s="12" t="s">
        <v>3654</v>
      </c>
      <c r="C1466" s="4" t="s">
        <v>156</v>
      </c>
      <c r="D1466" s="7">
        <v>433.75</v>
      </c>
      <c r="E1466" s="8" t="s">
        <v>7544</v>
      </c>
      <c r="F1466" s="9">
        <v>1</v>
      </c>
    </row>
    <row r="1467" ht="31" spans="1:6">
      <c r="A1467" s="6" t="s">
        <v>3657</v>
      </c>
      <c r="B1467" s="3" t="s">
        <v>3658</v>
      </c>
      <c r="C1467" s="4" t="s">
        <v>156</v>
      </c>
      <c r="D1467" s="7">
        <v>3501.7</v>
      </c>
      <c r="E1467" s="8" t="s">
        <v>7544</v>
      </c>
      <c r="F1467" s="9">
        <v>1</v>
      </c>
    </row>
    <row r="1468" ht="31" spans="1:6">
      <c r="A1468" s="6" t="s">
        <v>3659</v>
      </c>
      <c r="B1468" s="3" t="s">
        <v>3660</v>
      </c>
      <c r="C1468" s="4" t="s">
        <v>156</v>
      </c>
      <c r="D1468" s="7">
        <v>4478.75</v>
      </c>
      <c r="E1468" s="8" t="s">
        <v>7544</v>
      </c>
      <c r="F1468" s="9">
        <v>1</v>
      </c>
    </row>
    <row r="1469" ht="93" spans="1:6">
      <c r="A1469" s="6" t="s">
        <v>3661</v>
      </c>
      <c r="B1469" s="12" t="s">
        <v>3662</v>
      </c>
      <c r="C1469" s="4" t="s">
        <v>156</v>
      </c>
      <c r="D1469" s="7">
        <v>288.1</v>
      </c>
      <c r="E1469" s="8" t="s">
        <v>7576</v>
      </c>
      <c r="F1469" s="9">
        <v>10</v>
      </c>
    </row>
    <row r="1470" ht="62" spans="1:6">
      <c r="A1470" s="6" t="s">
        <v>3663</v>
      </c>
      <c r="B1470" s="12" t="s">
        <v>3664</v>
      </c>
      <c r="C1470" s="4" t="s">
        <v>156</v>
      </c>
      <c r="D1470" s="7">
        <v>134.1</v>
      </c>
      <c r="E1470" s="8" t="s">
        <v>7544</v>
      </c>
      <c r="F1470" s="9">
        <v>1</v>
      </c>
    </row>
    <row r="1471" ht="46.5" spans="1:6">
      <c r="A1471" s="6" t="s">
        <v>3665</v>
      </c>
      <c r="B1471" s="12" t="s">
        <v>3666</v>
      </c>
      <c r="C1471" s="4" t="s">
        <v>12</v>
      </c>
      <c r="D1471" s="7">
        <v>3.45</v>
      </c>
      <c r="E1471" s="8" t="s">
        <v>7397</v>
      </c>
      <c r="F1471" s="9">
        <v>10</v>
      </c>
    </row>
    <row r="1472" ht="77.5" spans="1:6">
      <c r="A1472" s="6" t="s">
        <v>3667</v>
      </c>
      <c r="B1472" s="12" t="s">
        <v>3668</v>
      </c>
      <c r="C1472" s="4" t="s">
        <v>49</v>
      </c>
      <c r="D1472" s="7">
        <v>3.25</v>
      </c>
      <c r="E1472" s="8" t="s">
        <v>7388</v>
      </c>
      <c r="F1472" s="9">
        <v>10</v>
      </c>
    </row>
    <row r="1473" ht="108.5" spans="1:6">
      <c r="A1473" s="6" t="s">
        <v>3669</v>
      </c>
      <c r="B1473" s="12" t="s">
        <v>3670</v>
      </c>
      <c r="C1473" s="4" t="s">
        <v>156</v>
      </c>
      <c r="D1473" s="7">
        <v>429.1</v>
      </c>
      <c r="E1473" s="8" t="s">
        <v>7758</v>
      </c>
      <c r="F1473" s="9">
        <v>1</v>
      </c>
    </row>
    <row r="1474" ht="403" spans="1:6">
      <c r="A1474" s="6" t="s">
        <v>3671</v>
      </c>
      <c r="B1474" s="12" t="s">
        <v>3672</v>
      </c>
      <c r="C1474" s="4" t="s">
        <v>12</v>
      </c>
      <c r="D1474" s="7">
        <v>730.55</v>
      </c>
      <c r="E1474" s="8" t="s">
        <v>7759</v>
      </c>
      <c r="F1474" s="9">
        <v>30</v>
      </c>
    </row>
    <row r="1475" ht="403" spans="1:6">
      <c r="A1475" s="6" t="s">
        <v>3673</v>
      </c>
      <c r="B1475" s="12" t="s">
        <v>3674</v>
      </c>
      <c r="C1475" s="4" t="s">
        <v>12</v>
      </c>
      <c r="D1475" s="7">
        <v>532.05</v>
      </c>
      <c r="E1475" s="8" t="s">
        <v>7759</v>
      </c>
      <c r="F1475" s="9">
        <v>30</v>
      </c>
    </row>
    <row r="1476" ht="403" spans="1:6">
      <c r="A1476" s="6" t="s">
        <v>3675</v>
      </c>
      <c r="B1476" s="12" t="s">
        <v>3676</v>
      </c>
      <c r="C1476" s="4" t="s">
        <v>12</v>
      </c>
      <c r="D1476" s="7">
        <v>855.7</v>
      </c>
      <c r="E1476" s="8" t="s">
        <v>7759</v>
      </c>
      <c r="F1476" s="9">
        <v>30</v>
      </c>
    </row>
    <row r="1477" ht="15.5" spans="1:6">
      <c r="A1477" s="6" t="s">
        <v>3679</v>
      </c>
      <c r="B1477" s="3" t="s">
        <v>3680</v>
      </c>
      <c r="C1477" s="4" t="s">
        <v>12</v>
      </c>
      <c r="D1477" s="7">
        <v>498.35</v>
      </c>
      <c r="E1477" s="8" t="s">
        <v>7759</v>
      </c>
      <c r="F1477" s="9">
        <v>30</v>
      </c>
    </row>
    <row r="1478" ht="15.5" spans="1:6">
      <c r="A1478" s="6" t="s">
        <v>3683</v>
      </c>
      <c r="B1478" s="3" t="s">
        <v>2813</v>
      </c>
      <c r="C1478" s="4" t="s">
        <v>12</v>
      </c>
      <c r="D1478" s="7">
        <v>537.45</v>
      </c>
      <c r="E1478" s="8" t="s">
        <v>7759</v>
      </c>
      <c r="F1478" s="9">
        <v>30</v>
      </c>
    </row>
    <row r="1479" ht="15.5" spans="1:6">
      <c r="A1479" s="6" t="s">
        <v>3686</v>
      </c>
      <c r="B1479" s="3" t="s">
        <v>2813</v>
      </c>
      <c r="C1479" s="4" t="s">
        <v>12</v>
      </c>
      <c r="D1479" s="7">
        <v>560.95</v>
      </c>
      <c r="E1479" s="8" t="s">
        <v>7759</v>
      </c>
      <c r="F1479" s="9">
        <v>30</v>
      </c>
    </row>
    <row r="1480" ht="108.5" spans="1:6">
      <c r="A1480" s="6" t="s">
        <v>3687</v>
      </c>
      <c r="B1480" s="12" t="s">
        <v>3688</v>
      </c>
      <c r="C1480" s="4" t="s">
        <v>12</v>
      </c>
      <c r="D1480" s="7">
        <v>88.9</v>
      </c>
      <c r="E1480" s="8" t="s">
        <v>7759</v>
      </c>
      <c r="F1480" s="9">
        <v>30</v>
      </c>
    </row>
    <row r="1481" ht="139.5" spans="1:6">
      <c r="A1481" s="6" t="s">
        <v>3689</v>
      </c>
      <c r="B1481" s="12" t="s">
        <v>3690</v>
      </c>
      <c r="C1481" s="4" t="s">
        <v>3691</v>
      </c>
      <c r="D1481" s="7">
        <v>1308.4</v>
      </c>
      <c r="E1481" s="8" t="s">
        <v>7760</v>
      </c>
      <c r="F1481" s="9">
        <v>1</v>
      </c>
    </row>
    <row r="1482" ht="124" spans="1:6">
      <c r="A1482" s="6" t="s">
        <v>3692</v>
      </c>
      <c r="B1482" s="12" t="s">
        <v>3693</v>
      </c>
      <c r="C1482" s="4" t="s">
        <v>3691</v>
      </c>
      <c r="D1482" s="7">
        <v>1416.5</v>
      </c>
      <c r="E1482" s="8" t="s">
        <v>7760</v>
      </c>
      <c r="F1482" s="9">
        <v>1</v>
      </c>
    </row>
    <row r="1483" ht="15.5" spans="1:6">
      <c r="A1483" s="6" t="s">
        <v>204</v>
      </c>
      <c r="B1483" s="12" t="s">
        <v>2</v>
      </c>
      <c r="C1483" s="4" t="s">
        <v>3</v>
      </c>
      <c r="D1483" s="14" t="s">
        <v>4</v>
      </c>
      <c r="E1483" s="8"/>
      <c r="F1483" s="9"/>
    </row>
    <row r="1484" ht="62" spans="1:6">
      <c r="A1484" s="6" t="s">
        <v>3695</v>
      </c>
      <c r="B1484" s="12" t="s">
        <v>3696</v>
      </c>
      <c r="C1484" s="4" t="s">
        <v>16</v>
      </c>
      <c r="D1484" s="7">
        <v>851.5</v>
      </c>
      <c r="E1484" s="8" t="s">
        <v>7394</v>
      </c>
      <c r="F1484" s="9">
        <v>1</v>
      </c>
    </row>
    <row r="1485" ht="31" spans="1:6">
      <c r="A1485" s="6" t="s">
        <v>3699</v>
      </c>
      <c r="B1485" s="3" t="s">
        <v>3700</v>
      </c>
      <c r="C1485" s="4" t="s">
        <v>16</v>
      </c>
      <c r="D1485" s="7">
        <v>2434.25</v>
      </c>
      <c r="E1485" s="8" t="s">
        <v>7394</v>
      </c>
      <c r="F1485" s="9">
        <v>1</v>
      </c>
    </row>
    <row r="1486" ht="31" spans="1:6">
      <c r="A1486" s="6" t="s">
        <v>3701</v>
      </c>
      <c r="B1486" s="3" t="s">
        <v>3702</v>
      </c>
      <c r="C1486" s="4" t="s">
        <v>16</v>
      </c>
      <c r="D1486" s="7">
        <v>1503.6</v>
      </c>
      <c r="E1486" s="8" t="s">
        <v>7394</v>
      </c>
      <c r="F1486" s="9">
        <v>1</v>
      </c>
    </row>
    <row r="1487" ht="77.5" spans="1:6">
      <c r="A1487" s="6" t="s">
        <v>3703</v>
      </c>
      <c r="B1487" s="12" t="s">
        <v>3704</v>
      </c>
      <c r="C1487" s="4" t="s">
        <v>16</v>
      </c>
      <c r="D1487" s="7">
        <v>3551.25</v>
      </c>
      <c r="E1487" s="8" t="s">
        <v>7394</v>
      </c>
      <c r="F1487" s="9">
        <v>1</v>
      </c>
    </row>
    <row r="1488" ht="77.5" spans="1:6">
      <c r="A1488" s="6" t="s">
        <v>3705</v>
      </c>
      <c r="B1488" s="12" t="s">
        <v>3706</v>
      </c>
      <c r="C1488" s="4" t="s">
        <v>16</v>
      </c>
      <c r="D1488" s="7">
        <v>3177.25</v>
      </c>
      <c r="E1488" s="8" t="s">
        <v>7394</v>
      </c>
      <c r="F1488" s="9">
        <v>1</v>
      </c>
    </row>
    <row r="1489" ht="93" spans="1:6">
      <c r="A1489" s="6" t="s">
        <v>3707</v>
      </c>
      <c r="B1489" s="12" t="s">
        <v>3708</v>
      </c>
      <c r="C1489" s="4" t="s">
        <v>12</v>
      </c>
      <c r="D1489" s="7">
        <v>1147.2</v>
      </c>
      <c r="E1489" s="8" t="s">
        <v>7554</v>
      </c>
      <c r="F1489" s="9">
        <v>1</v>
      </c>
    </row>
    <row r="1490" ht="46.5" spans="1:6">
      <c r="A1490" s="6" t="s">
        <v>3709</v>
      </c>
      <c r="B1490" s="12" t="s">
        <v>3710</v>
      </c>
      <c r="C1490" s="4" t="s">
        <v>575</v>
      </c>
      <c r="D1490" s="7">
        <v>9.05</v>
      </c>
      <c r="E1490" s="8" t="s">
        <v>7761</v>
      </c>
      <c r="F1490" s="9">
        <v>94.8</v>
      </c>
    </row>
    <row r="1491" ht="15.5" spans="1:6">
      <c r="A1491" s="6" t="s">
        <v>3713</v>
      </c>
      <c r="B1491" s="3" t="s">
        <v>3714</v>
      </c>
      <c r="C1491" s="4" t="s">
        <v>16</v>
      </c>
      <c r="D1491" s="7">
        <v>704.9</v>
      </c>
      <c r="E1491" s="8" t="s">
        <v>7394</v>
      </c>
      <c r="F1491" s="9">
        <v>1</v>
      </c>
    </row>
    <row r="1492" ht="15.5" spans="1:6">
      <c r="A1492" s="6" t="s">
        <v>3715</v>
      </c>
      <c r="B1492" s="3" t="s">
        <v>3716</v>
      </c>
      <c r="C1492" s="4" t="s">
        <v>16</v>
      </c>
      <c r="D1492" s="7">
        <v>1783.35</v>
      </c>
      <c r="E1492" s="8" t="s">
        <v>7394</v>
      </c>
      <c r="F1492" s="9">
        <v>1</v>
      </c>
    </row>
    <row r="1493" ht="15.5" spans="1:6">
      <c r="A1493" s="6" t="s">
        <v>3717</v>
      </c>
      <c r="B1493" s="3" t="s">
        <v>3718</v>
      </c>
      <c r="C1493" s="4" t="s">
        <v>16</v>
      </c>
      <c r="D1493" s="7">
        <v>851.5</v>
      </c>
      <c r="E1493" s="8" t="s">
        <v>7394</v>
      </c>
      <c r="F1493" s="9">
        <v>1</v>
      </c>
    </row>
    <row r="1494" ht="15.5" spans="1:6">
      <c r="A1494" s="6" t="s">
        <v>3719</v>
      </c>
      <c r="B1494" s="3" t="s">
        <v>3720</v>
      </c>
      <c r="C1494" s="4" t="s">
        <v>16</v>
      </c>
      <c r="D1494" s="7">
        <v>2060.2</v>
      </c>
      <c r="E1494" s="8" t="s">
        <v>7394</v>
      </c>
      <c r="F1494" s="9">
        <v>1</v>
      </c>
    </row>
    <row r="1495" ht="31" spans="1:6">
      <c r="A1495" s="6" t="s">
        <v>3723</v>
      </c>
      <c r="B1495" s="3" t="s">
        <v>3724</v>
      </c>
      <c r="C1495" s="4" t="s">
        <v>3725</v>
      </c>
      <c r="D1495" s="7">
        <v>4658.45</v>
      </c>
      <c r="E1495" s="8" t="s">
        <v>7762</v>
      </c>
      <c r="F1495" s="9">
        <v>1</v>
      </c>
    </row>
    <row r="1496" ht="31" spans="1:6">
      <c r="A1496" s="6" t="s">
        <v>3726</v>
      </c>
      <c r="B1496" s="3" t="s">
        <v>3727</v>
      </c>
      <c r="C1496" s="4" t="s">
        <v>3725</v>
      </c>
      <c r="D1496" s="7">
        <v>5355.3</v>
      </c>
      <c r="E1496" s="8" t="s">
        <v>7762</v>
      </c>
      <c r="F1496" s="9">
        <v>1</v>
      </c>
    </row>
    <row r="1497" ht="31" spans="1:6">
      <c r="A1497" s="6" t="s">
        <v>3728</v>
      </c>
      <c r="B1497" s="3" t="s">
        <v>3729</v>
      </c>
      <c r="C1497" s="4" t="s">
        <v>3725</v>
      </c>
      <c r="D1497" s="7">
        <v>6700.8</v>
      </c>
      <c r="E1497" s="8" t="s">
        <v>7762</v>
      </c>
      <c r="F1497" s="9">
        <v>1</v>
      </c>
    </row>
    <row r="1498" ht="15.5" spans="1:6">
      <c r="A1498" s="6" t="s">
        <v>3732</v>
      </c>
      <c r="B1498" s="3" t="s">
        <v>3718</v>
      </c>
      <c r="C1498" s="4" t="s">
        <v>16</v>
      </c>
      <c r="D1498" s="7">
        <v>1158.1</v>
      </c>
      <c r="E1498" s="8" t="s">
        <v>7394</v>
      </c>
      <c r="F1498" s="9">
        <v>1</v>
      </c>
    </row>
    <row r="1499" ht="15.5" spans="1:6">
      <c r="A1499" s="6" t="s">
        <v>3733</v>
      </c>
      <c r="B1499" s="3" t="s">
        <v>3720</v>
      </c>
      <c r="C1499" s="4" t="s">
        <v>16</v>
      </c>
      <c r="D1499" s="7">
        <v>2458.95</v>
      </c>
      <c r="E1499" s="8" t="s">
        <v>7394</v>
      </c>
      <c r="F1499" s="9">
        <v>1</v>
      </c>
    </row>
    <row r="1500" ht="15.5" spans="1:6">
      <c r="A1500" s="6" t="s">
        <v>3736</v>
      </c>
      <c r="B1500" s="3" t="s">
        <v>3718</v>
      </c>
      <c r="C1500" s="4" t="s">
        <v>16</v>
      </c>
      <c r="D1500" s="7">
        <v>1464.25</v>
      </c>
      <c r="E1500" s="8" t="s">
        <v>7394</v>
      </c>
      <c r="F1500" s="9">
        <v>1</v>
      </c>
    </row>
    <row r="1501" ht="15.5" spans="1:6">
      <c r="A1501" s="6" t="s">
        <v>3737</v>
      </c>
      <c r="B1501" s="3" t="s">
        <v>3720</v>
      </c>
      <c r="C1501" s="4" t="s">
        <v>16</v>
      </c>
      <c r="D1501" s="7">
        <v>2877.75</v>
      </c>
      <c r="E1501" s="8" t="s">
        <v>7394</v>
      </c>
      <c r="F1501" s="9">
        <v>1</v>
      </c>
    </row>
    <row r="1502" ht="15.5" spans="1:6">
      <c r="A1502" s="6" t="s">
        <v>3740</v>
      </c>
      <c r="B1502" s="3" t="s">
        <v>3718</v>
      </c>
      <c r="C1502" s="4" t="s">
        <v>16</v>
      </c>
      <c r="D1502" s="7">
        <v>478.55</v>
      </c>
      <c r="E1502" s="8" t="s">
        <v>7394</v>
      </c>
      <c r="F1502" s="9">
        <v>1</v>
      </c>
    </row>
    <row r="1503" ht="15.5" spans="1:6">
      <c r="A1503" s="6" t="s">
        <v>3741</v>
      </c>
      <c r="B1503" s="3" t="s">
        <v>3720</v>
      </c>
      <c r="C1503" s="4" t="s">
        <v>16</v>
      </c>
      <c r="D1503" s="7">
        <v>689.2</v>
      </c>
      <c r="E1503" s="8" t="s">
        <v>7394</v>
      </c>
      <c r="F1503" s="9">
        <v>1</v>
      </c>
    </row>
    <row r="1504" ht="15.5" spans="1:6">
      <c r="A1504" s="6" t="s">
        <v>3744</v>
      </c>
      <c r="B1504" s="3" t="s">
        <v>3745</v>
      </c>
      <c r="C1504" s="4" t="s">
        <v>156</v>
      </c>
      <c r="D1504" s="7">
        <v>367.2</v>
      </c>
      <c r="E1504" s="8" t="s">
        <v>7544</v>
      </c>
      <c r="F1504" s="9">
        <v>1</v>
      </c>
    </row>
    <row r="1505" ht="15.5" spans="1:6">
      <c r="A1505" s="6" t="s">
        <v>3746</v>
      </c>
      <c r="B1505" s="3" t="s">
        <v>3747</v>
      </c>
      <c r="C1505" s="4" t="s">
        <v>156</v>
      </c>
      <c r="D1505" s="7">
        <v>502.75</v>
      </c>
      <c r="E1505" s="8" t="s">
        <v>7544</v>
      </c>
      <c r="F1505" s="9">
        <v>1</v>
      </c>
    </row>
    <row r="1506" ht="15.5" spans="1:6">
      <c r="A1506" s="6" t="s">
        <v>3750</v>
      </c>
      <c r="B1506" s="3" t="s">
        <v>3745</v>
      </c>
      <c r="C1506" s="4" t="s">
        <v>156</v>
      </c>
      <c r="D1506" s="7">
        <v>143.5</v>
      </c>
      <c r="E1506" s="8" t="s">
        <v>7544</v>
      </c>
      <c r="F1506" s="9">
        <v>1</v>
      </c>
    </row>
    <row r="1507" ht="15.5" spans="1:6">
      <c r="A1507" s="6" t="s">
        <v>3751</v>
      </c>
      <c r="B1507" s="3" t="s">
        <v>3747</v>
      </c>
      <c r="C1507" s="4" t="s">
        <v>156</v>
      </c>
      <c r="D1507" s="7">
        <v>188.9</v>
      </c>
      <c r="E1507" s="8" t="s">
        <v>7544</v>
      </c>
      <c r="F1507" s="9">
        <v>1</v>
      </c>
    </row>
    <row r="1508" ht="31" spans="1:6">
      <c r="A1508" s="6" t="s">
        <v>3754</v>
      </c>
      <c r="B1508" s="3" t="s">
        <v>3755</v>
      </c>
      <c r="C1508" s="4" t="s">
        <v>16</v>
      </c>
      <c r="D1508" s="7">
        <v>4459.1</v>
      </c>
      <c r="E1508" s="8" t="s">
        <v>7394</v>
      </c>
      <c r="F1508" s="9">
        <v>1</v>
      </c>
    </row>
    <row r="1509" ht="31" spans="1:6">
      <c r="A1509" s="6" t="s">
        <v>3756</v>
      </c>
      <c r="B1509" s="3" t="s">
        <v>3757</v>
      </c>
      <c r="C1509" s="4" t="s">
        <v>49</v>
      </c>
      <c r="D1509" s="7">
        <v>17.85</v>
      </c>
      <c r="E1509" s="8" t="s">
        <v>7552</v>
      </c>
      <c r="F1509" s="9">
        <v>10</v>
      </c>
    </row>
    <row r="1510" ht="62" spans="1:6">
      <c r="A1510" s="6" t="s">
        <v>3760</v>
      </c>
      <c r="B1510" s="3" t="s">
        <v>3755</v>
      </c>
      <c r="C1510" s="4" t="s">
        <v>3761</v>
      </c>
      <c r="D1510" s="7">
        <v>589.55</v>
      </c>
      <c r="E1510" s="8" t="s">
        <v>7763</v>
      </c>
      <c r="F1510" s="9">
        <v>1</v>
      </c>
    </row>
    <row r="1511" ht="62" spans="1:6">
      <c r="A1511" s="6" t="s">
        <v>3762</v>
      </c>
      <c r="B1511" s="3" t="s">
        <v>3757</v>
      </c>
      <c r="C1511" s="4" t="s">
        <v>3763</v>
      </c>
      <c r="D1511" s="7">
        <v>1.65</v>
      </c>
      <c r="E1511" s="8" t="s">
        <v>7764</v>
      </c>
      <c r="F1511" s="9">
        <v>10</v>
      </c>
    </row>
    <row r="1512" ht="62" spans="1:6">
      <c r="A1512" s="6" t="s">
        <v>3766</v>
      </c>
      <c r="B1512" s="3" t="s">
        <v>3755</v>
      </c>
      <c r="C1512" s="4" t="s">
        <v>3761</v>
      </c>
      <c r="D1512" s="7">
        <v>857</v>
      </c>
      <c r="E1512" s="8" t="s">
        <v>7765</v>
      </c>
      <c r="F1512" s="9">
        <v>1</v>
      </c>
    </row>
    <row r="1513" ht="62" spans="1:6">
      <c r="A1513" s="6" t="s">
        <v>3767</v>
      </c>
      <c r="B1513" s="3" t="s">
        <v>3757</v>
      </c>
      <c r="C1513" s="4" t="s">
        <v>3763</v>
      </c>
      <c r="D1513" s="7">
        <v>3.4</v>
      </c>
      <c r="E1513" s="8" t="s">
        <v>7766</v>
      </c>
      <c r="F1513" s="9">
        <v>10</v>
      </c>
    </row>
    <row r="1514" ht="15.5" spans="1:6">
      <c r="A1514" s="6" t="s">
        <v>3770</v>
      </c>
      <c r="B1514" s="3" t="s">
        <v>3771</v>
      </c>
      <c r="C1514" s="4" t="s">
        <v>575</v>
      </c>
      <c r="D1514" s="7">
        <v>3.4</v>
      </c>
      <c r="E1514" s="8" t="s">
        <v>7518</v>
      </c>
      <c r="F1514" s="9">
        <v>100</v>
      </c>
    </row>
    <row r="1515" ht="15.5" spans="1:6">
      <c r="A1515" s="6" t="s">
        <v>3772</v>
      </c>
      <c r="B1515" s="3" t="s">
        <v>3773</v>
      </c>
      <c r="C1515" s="4" t="s">
        <v>575</v>
      </c>
      <c r="D1515" s="7">
        <v>2.3</v>
      </c>
      <c r="E1515" s="8" t="s">
        <v>7518</v>
      </c>
      <c r="F1515" s="9">
        <v>100</v>
      </c>
    </row>
    <row r="1516" ht="93" spans="1:6">
      <c r="A1516" s="6" t="s">
        <v>3774</v>
      </c>
      <c r="B1516" s="12" t="s">
        <v>3775</v>
      </c>
      <c r="C1516" s="4" t="s">
        <v>575</v>
      </c>
      <c r="D1516" s="7">
        <v>5.65</v>
      </c>
      <c r="E1516" s="8" t="s">
        <v>7518</v>
      </c>
      <c r="F1516" s="9">
        <v>100</v>
      </c>
    </row>
    <row r="1517" ht="77.5" spans="1:6">
      <c r="A1517" s="6" t="s">
        <v>3776</v>
      </c>
      <c r="B1517" s="12" t="s">
        <v>3777</v>
      </c>
      <c r="C1517" s="4" t="s">
        <v>575</v>
      </c>
      <c r="D1517" s="7">
        <v>3.85</v>
      </c>
      <c r="E1517" s="8" t="s">
        <v>7518</v>
      </c>
      <c r="F1517" s="9">
        <v>100</v>
      </c>
    </row>
    <row r="1518" ht="62" spans="1:6">
      <c r="A1518" s="6" t="s">
        <v>3778</v>
      </c>
      <c r="B1518" s="12" t="s">
        <v>3779</v>
      </c>
      <c r="C1518" s="4" t="s">
        <v>3780</v>
      </c>
      <c r="D1518" s="7">
        <v>0.85</v>
      </c>
      <c r="E1518" s="8" t="s">
        <v>7767</v>
      </c>
      <c r="F1518" s="9">
        <v>100</v>
      </c>
    </row>
    <row r="1519" ht="62" spans="1:6">
      <c r="A1519" s="6" t="s">
        <v>3781</v>
      </c>
      <c r="B1519" s="12" t="s">
        <v>3782</v>
      </c>
      <c r="C1519" s="4" t="s">
        <v>3783</v>
      </c>
      <c r="D1519" s="7">
        <v>0.85</v>
      </c>
      <c r="E1519" s="8" t="s">
        <v>7768</v>
      </c>
      <c r="F1519" s="9">
        <v>100</v>
      </c>
    </row>
    <row r="1520" ht="31" spans="1:6">
      <c r="A1520" s="6" t="s">
        <v>3784</v>
      </c>
      <c r="B1520" s="12" t="s">
        <v>3785</v>
      </c>
      <c r="C1520" s="4" t="s">
        <v>575</v>
      </c>
      <c r="D1520" s="7">
        <v>4.65</v>
      </c>
      <c r="E1520" s="8" t="s">
        <v>7518</v>
      </c>
      <c r="F1520" s="9">
        <v>100</v>
      </c>
    </row>
    <row r="1521" ht="15.5" spans="1:6">
      <c r="A1521" s="6" t="s">
        <v>3788</v>
      </c>
      <c r="B1521" s="3" t="s">
        <v>3789</v>
      </c>
      <c r="C1521" s="4" t="s">
        <v>12</v>
      </c>
      <c r="D1521" s="7">
        <v>73.4</v>
      </c>
      <c r="E1521" s="8" t="s">
        <v>7397</v>
      </c>
      <c r="F1521" s="9">
        <v>10</v>
      </c>
    </row>
    <row r="1522" ht="31" spans="1:6">
      <c r="A1522" s="6" t="s">
        <v>3790</v>
      </c>
      <c r="B1522" s="3" t="s">
        <v>3791</v>
      </c>
      <c r="C1522" s="4" t="s">
        <v>12</v>
      </c>
      <c r="D1522" s="7">
        <v>113.35</v>
      </c>
      <c r="E1522" s="8" t="s">
        <v>7397</v>
      </c>
      <c r="F1522" s="9">
        <v>10</v>
      </c>
    </row>
    <row r="1523" ht="77.5" spans="1:6">
      <c r="A1523" s="6" t="s">
        <v>3792</v>
      </c>
      <c r="B1523" s="12" t="s">
        <v>3793</v>
      </c>
      <c r="C1523" s="4" t="s">
        <v>16</v>
      </c>
      <c r="D1523" s="7">
        <v>1317.65</v>
      </c>
      <c r="E1523" s="8" t="s">
        <v>7394</v>
      </c>
      <c r="F1523" s="9">
        <v>1</v>
      </c>
    </row>
    <row r="1524" ht="77.5" spans="1:6">
      <c r="A1524" s="6" t="s">
        <v>3794</v>
      </c>
      <c r="B1524" s="12" t="s">
        <v>3795</v>
      </c>
      <c r="C1524" s="4" t="s">
        <v>12</v>
      </c>
      <c r="D1524" s="7">
        <v>266.45</v>
      </c>
      <c r="E1524" s="8" t="s">
        <v>7397</v>
      </c>
      <c r="F1524" s="9">
        <v>10</v>
      </c>
    </row>
    <row r="1525" ht="62" spans="1:6">
      <c r="A1525" s="6" t="s">
        <v>3796</v>
      </c>
      <c r="B1525" s="12" t="s">
        <v>3797</v>
      </c>
      <c r="C1525" s="4" t="s">
        <v>12</v>
      </c>
      <c r="D1525" s="7">
        <v>105.35</v>
      </c>
      <c r="E1525" s="8" t="s">
        <v>7397</v>
      </c>
      <c r="F1525" s="9">
        <v>10</v>
      </c>
    </row>
    <row r="1526" ht="31" spans="1:6">
      <c r="A1526" s="6" t="s">
        <v>3798</v>
      </c>
      <c r="B1526" s="12" t="s">
        <v>3799</v>
      </c>
      <c r="C1526" s="4" t="s">
        <v>16</v>
      </c>
      <c r="D1526" s="7">
        <v>914.3</v>
      </c>
      <c r="E1526" s="8" t="s">
        <v>7394</v>
      </c>
      <c r="F1526" s="9">
        <v>1</v>
      </c>
    </row>
    <row r="1527" ht="15.5" spans="1:6">
      <c r="A1527" s="6" t="s">
        <v>3802</v>
      </c>
      <c r="B1527" s="3" t="s">
        <v>3803</v>
      </c>
      <c r="C1527" s="4" t="s">
        <v>12</v>
      </c>
      <c r="D1527" s="7">
        <v>164.95</v>
      </c>
      <c r="E1527" s="8" t="s">
        <v>7397</v>
      </c>
      <c r="F1527" s="9">
        <v>10</v>
      </c>
    </row>
    <row r="1528" ht="15.5" spans="1:6">
      <c r="A1528" s="6" t="s">
        <v>3804</v>
      </c>
      <c r="B1528" s="3" t="s">
        <v>3805</v>
      </c>
      <c r="C1528" s="4" t="s">
        <v>12</v>
      </c>
      <c r="D1528" s="7">
        <v>77.3</v>
      </c>
      <c r="E1528" s="8" t="s">
        <v>7397</v>
      </c>
      <c r="F1528" s="9">
        <v>10</v>
      </c>
    </row>
    <row r="1529" ht="108.5" spans="1:6">
      <c r="A1529" s="6" t="s">
        <v>3806</v>
      </c>
      <c r="B1529" s="12" t="s">
        <v>3807</v>
      </c>
      <c r="C1529" s="4" t="s">
        <v>16</v>
      </c>
      <c r="D1529" s="7">
        <v>2664.65</v>
      </c>
      <c r="E1529" s="8" t="s">
        <v>7394</v>
      </c>
      <c r="F1529" s="9">
        <v>1</v>
      </c>
    </row>
    <row r="1530" ht="62" spans="1:6">
      <c r="A1530" s="6" t="s">
        <v>3808</v>
      </c>
      <c r="B1530" s="12" t="s">
        <v>3809</v>
      </c>
      <c r="C1530" s="4" t="s">
        <v>12</v>
      </c>
      <c r="D1530" s="7">
        <v>253.9</v>
      </c>
      <c r="E1530" s="8" t="s">
        <v>7397</v>
      </c>
      <c r="F1530" s="9">
        <v>10</v>
      </c>
    </row>
    <row r="1531" ht="77.5" spans="1:6">
      <c r="A1531" s="6" t="s">
        <v>3810</v>
      </c>
      <c r="B1531" s="12" t="s">
        <v>3811</v>
      </c>
      <c r="C1531" s="4" t="s">
        <v>12</v>
      </c>
      <c r="D1531" s="7">
        <v>209.9</v>
      </c>
      <c r="E1531" s="8" t="s">
        <v>7397</v>
      </c>
      <c r="F1531" s="9">
        <v>10</v>
      </c>
    </row>
    <row r="1532" ht="77.5" spans="1:6">
      <c r="A1532" s="6" t="s">
        <v>3812</v>
      </c>
      <c r="B1532" s="12" t="s">
        <v>3813</v>
      </c>
      <c r="C1532" s="4" t="s">
        <v>12</v>
      </c>
      <c r="D1532" s="7">
        <v>57.7</v>
      </c>
      <c r="E1532" s="8" t="s">
        <v>7397</v>
      </c>
      <c r="F1532" s="9">
        <v>10</v>
      </c>
    </row>
    <row r="1533" ht="46.5" spans="1:6">
      <c r="A1533" s="6" t="s">
        <v>3814</v>
      </c>
      <c r="B1533" s="12" t="s">
        <v>3815</v>
      </c>
      <c r="C1533" s="4" t="s">
        <v>49</v>
      </c>
      <c r="D1533" s="7">
        <v>20.95</v>
      </c>
      <c r="E1533" s="8" t="s">
        <v>7769</v>
      </c>
      <c r="F1533" s="9">
        <v>50</v>
      </c>
    </row>
    <row r="1534" ht="15.5" spans="1:6">
      <c r="A1534" s="6" t="s">
        <v>3818</v>
      </c>
      <c r="B1534" s="3" t="s">
        <v>3819</v>
      </c>
      <c r="C1534" s="4" t="s">
        <v>156</v>
      </c>
      <c r="D1534" s="7">
        <v>230.9</v>
      </c>
      <c r="E1534" s="8" t="s">
        <v>7544</v>
      </c>
      <c r="F1534" s="9">
        <v>1</v>
      </c>
    </row>
    <row r="1535" ht="15.5" spans="1:6">
      <c r="A1535" s="6" t="s">
        <v>3820</v>
      </c>
      <c r="B1535" s="3" t="s">
        <v>3821</v>
      </c>
      <c r="C1535" s="4" t="s">
        <v>156</v>
      </c>
      <c r="D1535" s="7">
        <v>243.3</v>
      </c>
      <c r="E1535" s="8" t="s">
        <v>7544</v>
      </c>
      <c r="F1535" s="9">
        <v>1</v>
      </c>
    </row>
    <row r="1536" ht="62" spans="1:6">
      <c r="A1536" s="6" t="s">
        <v>3822</v>
      </c>
      <c r="B1536" s="12" t="s">
        <v>3823</v>
      </c>
      <c r="C1536" s="4" t="s">
        <v>156</v>
      </c>
      <c r="D1536" s="7">
        <v>13.45</v>
      </c>
      <c r="E1536" s="8" t="s">
        <v>7544</v>
      </c>
      <c r="F1536" s="9">
        <v>1</v>
      </c>
    </row>
    <row r="1537" ht="46.5" spans="1:6">
      <c r="A1537" s="6" t="s">
        <v>3824</v>
      </c>
      <c r="B1537" s="12" t="s">
        <v>3825</v>
      </c>
      <c r="C1537" s="4" t="s">
        <v>575</v>
      </c>
      <c r="D1537" s="7">
        <v>36.8</v>
      </c>
      <c r="E1537" s="8" t="s">
        <v>7518</v>
      </c>
      <c r="F1537" s="9">
        <v>100</v>
      </c>
    </row>
    <row r="1538" ht="62" spans="1:6">
      <c r="A1538" s="6" t="s">
        <v>3826</v>
      </c>
      <c r="B1538" s="12" t="s">
        <v>3827</v>
      </c>
      <c r="C1538" s="4" t="s">
        <v>12</v>
      </c>
      <c r="D1538" s="7">
        <v>64.85</v>
      </c>
      <c r="E1538" s="8" t="s">
        <v>7397</v>
      </c>
      <c r="F1538" s="9">
        <v>10</v>
      </c>
    </row>
    <row r="1539" ht="77.5" spans="1:6">
      <c r="A1539" s="6" t="s">
        <v>3828</v>
      </c>
      <c r="B1539" s="12" t="s">
        <v>3829</v>
      </c>
      <c r="C1539" s="4" t="s">
        <v>12</v>
      </c>
      <c r="D1539" s="7">
        <v>75.8</v>
      </c>
      <c r="E1539" s="8" t="s">
        <v>7397</v>
      </c>
      <c r="F1539" s="9">
        <v>10</v>
      </c>
    </row>
    <row r="1540" ht="15.5" spans="1:6">
      <c r="A1540" s="6" t="s">
        <v>3832</v>
      </c>
      <c r="B1540" s="3" t="s">
        <v>3833</v>
      </c>
      <c r="C1540" s="4" t="s">
        <v>12</v>
      </c>
      <c r="D1540" s="7">
        <v>61</v>
      </c>
      <c r="E1540" s="8" t="s">
        <v>7397</v>
      </c>
      <c r="F1540" s="9">
        <v>10</v>
      </c>
    </row>
    <row r="1541" ht="15.5" spans="1:6">
      <c r="A1541" s="6" t="s">
        <v>3834</v>
      </c>
      <c r="B1541" s="3" t="s">
        <v>3835</v>
      </c>
      <c r="C1541" s="4" t="s">
        <v>12</v>
      </c>
      <c r="D1541" s="7">
        <v>77.75</v>
      </c>
      <c r="E1541" s="8" t="s">
        <v>7397</v>
      </c>
      <c r="F1541" s="9">
        <v>10</v>
      </c>
    </row>
    <row r="1542" ht="15.5" spans="1:6">
      <c r="A1542" s="6" t="s">
        <v>3836</v>
      </c>
      <c r="B1542" s="3" t="s">
        <v>3837</v>
      </c>
      <c r="C1542" s="4" t="s">
        <v>12</v>
      </c>
      <c r="D1542" s="7">
        <v>90.35</v>
      </c>
      <c r="E1542" s="8" t="s">
        <v>7397</v>
      </c>
      <c r="F1542" s="9">
        <v>10</v>
      </c>
    </row>
    <row r="1543" ht="15.5" spans="1:6">
      <c r="A1543" s="6" t="s">
        <v>3840</v>
      </c>
      <c r="B1543" s="3" t="s">
        <v>3841</v>
      </c>
      <c r="C1543" s="4" t="s">
        <v>12</v>
      </c>
      <c r="D1543" s="7">
        <v>289.3</v>
      </c>
      <c r="E1543" s="8" t="s">
        <v>7397</v>
      </c>
      <c r="F1543" s="9">
        <v>10</v>
      </c>
    </row>
    <row r="1544" ht="15.5" spans="1:6">
      <c r="A1544" s="6" t="s">
        <v>3842</v>
      </c>
      <c r="B1544" s="3" t="s">
        <v>3843</v>
      </c>
      <c r="C1544" s="4" t="s">
        <v>12</v>
      </c>
      <c r="D1544" s="7">
        <v>433.55</v>
      </c>
      <c r="E1544" s="8" t="s">
        <v>7397</v>
      </c>
      <c r="F1544" s="9">
        <v>10</v>
      </c>
    </row>
    <row r="1545" ht="77.5" spans="1:6">
      <c r="A1545" s="6" t="s">
        <v>3844</v>
      </c>
      <c r="B1545" s="12" t="s">
        <v>3845</v>
      </c>
      <c r="C1545" s="4" t="s">
        <v>12</v>
      </c>
      <c r="D1545" s="7">
        <v>56.35</v>
      </c>
      <c r="E1545" s="8" t="s">
        <v>7397</v>
      </c>
      <c r="F1545" s="9">
        <v>10</v>
      </c>
    </row>
    <row r="1546" ht="15.5" spans="1:6">
      <c r="A1546" s="6" t="s">
        <v>3848</v>
      </c>
      <c r="B1546" s="3" t="s">
        <v>3849</v>
      </c>
      <c r="C1546" s="4" t="s">
        <v>49</v>
      </c>
      <c r="D1546" s="7">
        <v>75.7</v>
      </c>
      <c r="E1546" s="8" t="s">
        <v>7552</v>
      </c>
      <c r="F1546" s="9">
        <v>10</v>
      </c>
    </row>
    <row r="1547" ht="15.5" spans="1:6">
      <c r="A1547" s="6" t="s">
        <v>3850</v>
      </c>
      <c r="B1547" s="3" t="s">
        <v>3851</v>
      </c>
      <c r="C1547" s="4" t="s">
        <v>49</v>
      </c>
      <c r="D1547" s="7">
        <v>78</v>
      </c>
      <c r="E1547" s="8" t="s">
        <v>7552</v>
      </c>
      <c r="F1547" s="9">
        <v>10</v>
      </c>
    </row>
    <row r="1548" ht="15.5" spans="1:6">
      <c r="A1548" s="6" t="s">
        <v>3852</v>
      </c>
      <c r="B1548" s="3" t="s">
        <v>3853</v>
      </c>
      <c r="C1548" s="4" t="s">
        <v>49</v>
      </c>
      <c r="D1548" s="7">
        <v>80.25</v>
      </c>
      <c r="E1548" s="8" t="s">
        <v>7552</v>
      </c>
      <c r="F1548" s="9">
        <v>10</v>
      </c>
    </row>
    <row r="1549" ht="15.5" spans="1:6">
      <c r="A1549" s="6" t="s">
        <v>3856</v>
      </c>
      <c r="B1549" s="3" t="s">
        <v>3857</v>
      </c>
      <c r="C1549" s="4" t="s">
        <v>12</v>
      </c>
      <c r="D1549" s="7">
        <v>217.45</v>
      </c>
      <c r="E1549" s="8" t="s">
        <v>7770</v>
      </c>
      <c r="F1549" s="9">
        <v>36</v>
      </c>
    </row>
    <row r="1550" ht="15.5" spans="1:6">
      <c r="A1550" s="6" t="s">
        <v>3858</v>
      </c>
      <c r="B1550" s="3" t="s">
        <v>3859</v>
      </c>
      <c r="C1550" s="4" t="s">
        <v>12</v>
      </c>
      <c r="D1550" s="7">
        <v>428.5</v>
      </c>
      <c r="E1550" s="8" t="s">
        <v>7770</v>
      </c>
      <c r="F1550" s="9">
        <v>36</v>
      </c>
    </row>
    <row r="1551" ht="15.5" spans="1:6">
      <c r="A1551" s="6" t="s">
        <v>3862</v>
      </c>
      <c r="B1551" s="3" t="s">
        <v>3863</v>
      </c>
      <c r="C1551" s="4" t="s">
        <v>49</v>
      </c>
      <c r="D1551" s="7">
        <v>149.8</v>
      </c>
      <c r="E1551" s="8" t="s">
        <v>7552</v>
      </c>
      <c r="F1551" s="9">
        <v>10</v>
      </c>
    </row>
    <row r="1552" ht="15.5" spans="1:6">
      <c r="A1552" s="6" t="s">
        <v>3864</v>
      </c>
      <c r="B1552" s="3" t="s">
        <v>3865</v>
      </c>
      <c r="C1552" s="4" t="s">
        <v>49</v>
      </c>
      <c r="D1552" s="7">
        <v>161.4</v>
      </c>
      <c r="E1552" s="8" t="s">
        <v>7552</v>
      </c>
      <c r="F1552" s="9">
        <v>10</v>
      </c>
    </row>
    <row r="1553" ht="15.5" spans="1:6">
      <c r="A1553" s="6" t="s">
        <v>3868</v>
      </c>
      <c r="B1553" s="3" t="s">
        <v>3869</v>
      </c>
      <c r="C1553" s="4" t="s">
        <v>49</v>
      </c>
      <c r="D1553" s="7">
        <v>332.4</v>
      </c>
      <c r="E1553" s="8" t="s">
        <v>7771</v>
      </c>
      <c r="F1553" s="9">
        <v>40.26</v>
      </c>
    </row>
    <row r="1554" ht="15.5" spans="1:6">
      <c r="A1554" s="6" t="s">
        <v>3870</v>
      </c>
      <c r="B1554" s="3" t="s">
        <v>3871</v>
      </c>
      <c r="C1554" s="4" t="s">
        <v>49</v>
      </c>
      <c r="D1554" s="7">
        <v>456.65</v>
      </c>
      <c r="E1554" s="8" t="s">
        <v>7771</v>
      </c>
      <c r="F1554" s="9">
        <v>40.26</v>
      </c>
    </row>
    <row r="1555" ht="15.5" spans="1:6">
      <c r="A1555" s="6" t="s">
        <v>3872</v>
      </c>
      <c r="B1555" s="3" t="s">
        <v>3873</v>
      </c>
      <c r="C1555" s="4" t="s">
        <v>49</v>
      </c>
      <c r="D1555" s="7">
        <v>614.3</v>
      </c>
      <c r="E1555" s="8" t="s">
        <v>7771</v>
      </c>
      <c r="F1555" s="9">
        <v>40.26</v>
      </c>
    </row>
    <row r="1556" ht="15.5" spans="1:6">
      <c r="A1556" s="6" t="s">
        <v>3876</v>
      </c>
      <c r="B1556" s="3" t="s">
        <v>3877</v>
      </c>
      <c r="C1556" s="4" t="s">
        <v>49</v>
      </c>
      <c r="D1556" s="7">
        <v>695.25</v>
      </c>
      <c r="E1556" s="8" t="s">
        <v>7771</v>
      </c>
      <c r="F1556" s="9">
        <v>40.26</v>
      </c>
    </row>
    <row r="1557" ht="15.5" spans="1:6">
      <c r="A1557" s="6" t="s">
        <v>3878</v>
      </c>
      <c r="B1557" s="3" t="s">
        <v>3879</v>
      </c>
      <c r="C1557" s="4" t="s">
        <v>49</v>
      </c>
      <c r="D1557" s="7">
        <v>1752.45</v>
      </c>
      <c r="E1557" s="8" t="s">
        <v>7771</v>
      </c>
      <c r="F1557" s="9">
        <v>40.26</v>
      </c>
    </row>
    <row r="1558" ht="15.5" spans="1:6">
      <c r="A1558" s="6" t="s">
        <v>3882</v>
      </c>
      <c r="B1558" s="3" t="s">
        <v>3869</v>
      </c>
      <c r="C1558" s="4" t="s">
        <v>49</v>
      </c>
      <c r="D1558" s="7">
        <v>332.15</v>
      </c>
      <c r="E1558" s="8" t="s">
        <v>7552</v>
      </c>
      <c r="F1558" s="9">
        <v>10</v>
      </c>
    </row>
    <row r="1559" ht="15.5" spans="1:6">
      <c r="A1559" s="6" t="s">
        <v>3883</v>
      </c>
      <c r="B1559" s="3" t="s">
        <v>3884</v>
      </c>
      <c r="C1559" s="4" t="s">
        <v>49</v>
      </c>
      <c r="D1559" s="7">
        <v>403.05</v>
      </c>
      <c r="E1559" s="8" t="s">
        <v>7552</v>
      </c>
      <c r="F1559" s="9">
        <v>10</v>
      </c>
    </row>
    <row r="1560" ht="124" spans="1:6">
      <c r="A1560" s="6" t="s">
        <v>3885</v>
      </c>
      <c r="B1560" s="12" t="s">
        <v>3886</v>
      </c>
      <c r="C1560" s="4" t="s">
        <v>156</v>
      </c>
      <c r="D1560" s="7">
        <v>697.4</v>
      </c>
      <c r="E1560" s="8" t="s">
        <v>7544</v>
      </c>
      <c r="F1560" s="9">
        <v>1</v>
      </c>
    </row>
    <row r="1561" ht="139.5" spans="1:6">
      <c r="A1561" s="6" t="s">
        <v>3887</v>
      </c>
      <c r="B1561" s="12" t="s">
        <v>3888</v>
      </c>
      <c r="C1561" s="4" t="s">
        <v>156</v>
      </c>
      <c r="D1561" s="7">
        <v>406.75</v>
      </c>
      <c r="E1561" s="8" t="s">
        <v>7544</v>
      </c>
      <c r="F1561" s="9">
        <v>1</v>
      </c>
    </row>
    <row r="1562" ht="108.5" spans="1:6">
      <c r="A1562" s="6" t="s">
        <v>3889</v>
      </c>
      <c r="B1562" s="12" t="s">
        <v>3890</v>
      </c>
      <c r="C1562" s="4" t="s">
        <v>156</v>
      </c>
      <c r="D1562" s="7">
        <v>4623.7</v>
      </c>
      <c r="E1562" s="8" t="s">
        <v>7544</v>
      </c>
      <c r="F1562" s="9">
        <v>1</v>
      </c>
    </row>
    <row r="1563" ht="93" spans="1:6">
      <c r="A1563" s="6" t="s">
        <v>3891</v>
      </c>
      <c r="B1563" s="12" t="s">
        <v>3892</v>
      </c>
      <c r="C1563" s="4" t="s">
        <v>156</v>
      </c>
      <c r="D1563" s="7">
        <v>958.75</v>
      </c>
      <c r="E1563" s="8" t="s">
        <v>7544</v>
      </c>
      <c r="F1563" s="9">
        <v>1</v>
      </c>
    </row>
    <row r="1564" ht="77.5" spans="1:6">
      <c r="A1564" s="6" t="s">
        <v>3893</v>
      </c>
      <c r="B1564" s="12" t="s">
        <v>3894</v>
      </c>
      <c r="C1564" s="4" t="s">
        <v>156</v>
      </c>
      <c r="D1564" s="7">
        <v>112.05</v>
      </c>
      <c r="E1564" s="8" t="s">
        <v>7544</v>
      </c>
      <c r="F1564" s="9">
        <v>1</v>
      </c>
    </row>
    <row r="1565" ht="15.5" spans="1:6">
      <c r="A1565" s="6" t="s">
        <v>3897</v>
      </c>
      <c r="B1565" s="3" t="s">
        <v>3869</v>
      </c>
      <c r="C1565" s="4" t="s">
        <v>156</v>
      </c>
      <c r="D1565" s="7">
        <v>319.5</v>
      </c>
      <c r="E1565" s="8" t="s">
        <v>7576</v>
      </c>
      <c r="F1565" s="9">
        <v>10</v>
      </c>
    </row>
    <row r="1566" ht="15.5" spans="1:6">
      <c r="A1566" s="6" t="s">
        <v>3898</v>
      </c>
      <c r="B1566" s="3" t="s">
        <v>3884</v>
      </c>
      <c r="C1566" s="4" t="s">
        <v>156</v>
      </c>
      <c r="D1566" s="7">
        <v>1184.15</v>
      </c>
      <c r="E1566" s="8" t="s">
        <v>7576</v>
      </c>
      <c r="F1566" s="9">
        <v>10</v>
      </c>
    </row>
    <row r="1567" ht="46.5" spans="1:6">
      <c r="A1567" s="6" t="s">
        <v>3899</v>
      </c>
      <c r="B1567" s="12" t="s">
        <v>3900</v>
      </c>
      <c r="C1567" s="4" t="s">
        <v>156</v>
      </c>
      <c r="D1567" s="7">
        <v>726.35</v>
      </c>
      <c r="E1567" s="8" t="s">
        <v>7576</v>
      </c>
      <c r="F1567" s="9">
        <v>10</v>
      </c>
    </row>
    <row r="1568" ht="15.5" spans="1:6">
      <c r="A1568" s="6" t="s">
        <v>3903</v>
      </c>
      <c r="B1568" s="3" t="s">
        <v>3904</v>
      </c>
      <c r="C1568" s="4" t="s">
        <v>156</v>
      </c>
      <c r="D1568" s="7">
        <v>1104.05</v>
      </c>
      <c r="E1568" s="8" t="s">
        <v>7544</v>
      </c>
      <c r="F1568" s="9">
        <v>1</v>
      </c>
    </row>
    <row r="1569" ht="15.5" spans="1:6">
      <c r="A1569" s="6" t="s">
        <v>3905</v>
      </c>
      <c r="B1569" s="3" t="s">
        <v>3906</v>
      </c>
      <c r="C1569" s="4" t="s">
        <v>156</v>
      </c>
      <c r="D1569" s="7">
        <v>1693.35</v>
      </c>
      <c r="E1569" s="8" t="s">
        <v>7544</v>
      </c>
      <c r="F1569" s="9">
        <v>1</v>
      </c>
    </row>
    <row r="1570" ht="15.5" spans="1:6">
      <c r="A1570" s="6" t="s">
        <v>3907</v>
      </c>
      <c r="B1570" s="3" t="s">
        <v>3908</v>
      </c>
      <c r="C1570" s="4" t="s">
        <v>156</v>
      </c>
      <c r="D1570" s="7">
        <v>2396.95</v>
      </c>
      <c r="E1570" s="8" t="s">
        <v>7544</v>
      </c>
      <c r="F1570" s="9">
        <v>1</v>
      </c>
    </row>
    <row r="1571" ht="77.5" spans="1:6">
      <c r="A1571" s="6" t="s">
        <v>3909</v>
      </c>
      <c r="B1571" s="12" t="s">
        <v>3910</v>
      </c>
      <c r="C1571" s="4" t="s">
        <v>12</v>
      </c>
      <c r="D1571" s="7">
        <v>54.65</v>
      </c>
      <c r="E1571" s="8" t="s">
        <v>7397</v>
      </c>
      <c r="F1571" s="9">
        <v>10</v>
      </c>
    </row>
    <row r="1572" ht="93" spans="1:6">
      <c r="A1572" s="6" t="s">
        <v>3911</v>
      </c>
      <c r="B1572" s="12" t="s">
        <v>3912</v>
      </c>
      <c r="C1572" s="4" t="s">
        <v>12</v>
      </c>
      <c r="D1572" s="7">
        <v>56.35</v>
      </c>
      <c r="E1572" s="8" t="s">
        <v>7397</v>
      </c>
      <c r="F1572" s="9">
        <v>10</v>
      </c>
    </row>
    <row r="1573" ht="108.5" spans="1:6">
      <c r="A1573" s="6" t="s">
        <v>3913</v>
      </c>
      <c r="B1573" s="12" t="s">
        <v>3914</v>
      </c>
      <c r="C1573" s="4" t="s">
        <v>16</v>
      </c>
      <c r="D1573" s="7">
        <v>2818.9</v>
      </c>
      <c r="E1573" s="8" t="s">
        <v>7394</v>
      </c>
      <c r="F1573" s="9">
        <v>1</v>
      </c>
    </row>
    <row r="1574" ht="77.5" spans="1:6">
      <c r="A1574" s="6" t="s">
        <v>3915</v>
      </c>
      <c r="B1574" s="12" t="s">
        <v>3916</v>
      </c>
      <c r="C1574" s="4" t="s">
        <v>16</v>
      </c>
      <c r="D1574" s="7">
        <v>420.8</v>
      </c>
      <c r="E1574" s="8" t="s">
        <v>7334</v>
      </c>
      <c r="F1574" s="9">
        <v>10</v>
      </c>
    </row>
    <row r="1575" ht="124" spans="1:6">
      <c r="A1575" s="6" t="s">
        <v>3917</v>
      </c>
      <c r="B1575" s="12" t="s">
        <v>3918</v>
      </c>
      <c r="C1575" s="4" t="s">
        <v>16</v>
      </c>
      <c r="D1575" s="7">
        <v>263.95</v>
      </c>
      <c r="E1575" s="8" t="s">
        <v>7394</v>
      </c>
      <c r="F1575" s="9">
        <v>1</v>
      </c>
    </row>
    <row r="1576" ht="15.5" spans="1:6">
      <c r="A1576" s="6" t="s">
        <v>204</v>
      </c>
      <c r="B1576" s="12" t="s">
        <v>2</v>
      </c>
      <c r="C1576" s="4" t="s">
        <v>3</v>
      </c>
      <c r="D1576" s="14" t="s">
        <v>4</v>
      </c>
    </row>
    <row r="1577" ht="139.5" spans="1:6">
      <c r="A1577" s="6" t="s">
        <v>3921</v>
      </c>
      <c r="B1577" s="12" t="s">
        <v>3922</v>
      </c>
      <c r="C1577" s="4" t="s">
        <v>12</v>
      </c>
      <c r="D1577" s="7">
        <v>218.9</v>
      </c>
      <c r="E1577" s="8" t="s">
        <v>7332</v>
      </c>
      <c r="F1577" s="9">
        <v>100</v>
      </c>
    </row>
    <row r="1578" ht="62" spans="1:6">
      <c r="A1578" s="6" t="s">
        <v>3923</v>
      </c>
      <c r="B1578" s="12" t="s">
        <v>3924</v>
      </c>
      <c r="C1578" s="4" t="s">
        <v>16</v>
      </c>
      <c r="D1578" s="7">
        <v>24.85</v>
      </c>
      <c r="E1578" s="8" t="s">
        <v>7334</v>
      </c>
      <c r="F1578" s="9">
        <v>10</v>
      </c>
    </row>
    <row r="1579" ht="15.5" spans="1:6">
      <c r="A1579" s="6" t="s">
        <v>3927</v>
      </c>
      <c r="B1579" s="3" t="s">
        <v>3928</v>
      </c>
      <c r="C1579" s="4" t="s">
        <v>16</v>
      </c>
      <c r="D1579" s="7">
        <v>2098.4</v>
      </c>
      <c r="E1579" s="8" t="s">
        <v>7394</v>
      </c>
      <c r="F1579" s="9">
        <v>1</v>
      </c>
    </row>
    <row r="1580" ht="15.5" spans="1:6">
      <c r="A1580" s="6" t="s">
        <v>3929</v>
      </c>
      <c r="B1580" s="3" t="s">
        <v>3930</v>
      </c>
      <c r="C1580" s="4" t="s">
        <v>16</v>
      </c>
      <c r="D1580" s="7">
        <v>1636.05</v>
      </c>
      <c r="E1580" s="8" t="s">
        <v>7394</v>
      </c>
      <c r="F1580" s="9">
        <v>1</v>
      </c>
    </row>
    <row r="1581" ht="15.5" spans="1:6">
      <c r="A1581" s="6" t="s">
        <v>3931</v>
      </c>
      <c r="B1581" s="3" t="s">
        <v>3932</v>
      </c>
      <c r="C1581" s="4" t="s">
        <v>16</v>
      </c>
      <c r="D1581" s="7">
        <v>1842.3</v>
      </c>
      <c r="E1581" s="8" t="s">
        <v>7394</v>
      </c>
      <c r="F1581" s="9">
        <v>1</v>
      </c>
    </row>
    <row r="1582" ht="31" spans="1:6">
      <c r="A1582" s="6" t="s">
        <v>3933</v>
      </c>
      <c r="B1582" s="3" t="s">
        <v>3934</v>
      </c>
      <c r="C1582" s="4" t="s">
        <v>16</v>
      </c>
      <c r="D1582" s="7">
        <v>798.1</v>
      </c>
      <c r="E1582" s="8" t="s">
        <v>7394</v>
      </c>
      <c r="F1582" s="9">
        <v>1</v>
      </c>
    </row>
    <row r="1583" ht="31" spans="1:6">
      <c r="A1583" s="6" t="s">
        <v>3935</v>
      </c>
      <c r="B1583" s="3" t="s">
        <v>3936</v>
      </c>
      <c r="C1583" s="4" t="s">
        <v>16</v>
      </c>
      <c r="D1583" s="7">
        <v>872.05</v>
      </c>
      <c r="E1583" s="8" t="s">
        <v>7394</v>
      </c>
      <c r="F1583" s="9">
        <v>1</v>
      </c>
    </row>
    <row r="1584" ht="31" spans="1:6">
      <c r="A1584" s="6" t="s">
        <v>3937</v>
      </c>
      <c r="B1584" s="3" t="s">
        <v>3938</v>
      </c>
      <c r="C1584" s="4" t="s">
        <v>16</v>
      </c>
      <c r="D1584" s="7">
        <v>2034.35</v>
      </c>
      <c r="E1584" s="8" t="s">
        <v>7392</v>
      </c>
      <c r="F1584" s="9">
        <v>1</v>
      </c>
    </row>
    <row r="1585" ht="31" spans="1:6">
      <c r="A1585" s="6" t="s">
        <v>3939</v>
      </c>
      <c r="B1585" s="3" t="s">
        <v>3940</v>
      </c>
      <c r="C1585" s="4" t="s">
        <v>16</v>
      </c>
      <c r="D1585" s="7">
        <v>2247.75</v>
      </c>
      <c r="E1585" s="8" t="s">
        <v>7392</v>
      </c>
      <c r="F1585" s="9">
        <v>1</v>
      </c>
    </row>
    <row r="1586" ht="15.5" spans="1:6">
      <c r="A1586" s="6" t="s">
        <v>3941</v>
      </c>
      <c r="B1586" s="3" t="s">
        <v>3942</v>
      </c>
      <c r="C1586" s="4" t="s">
        <v>16</v>
      </c>
      <c r="D1586" s="7">
        <v>1564.9</v>
      </c>
      <c r="E1586" s="8" t="s">
        <v>7392</v>
      </c>
      <c r="F1586" s="9">
        <v>1</v>
      </c>
    </row>
    <row r="1587" ht="15.5" spans="1:6">
      <c r="A1587" s="6" t="s">
        <v>3943</v>
      </c>
      <c r="B1587" s="3" t="s">
        <v>3944</v>
      </c>
      <c r="C1587" s="4" t="s">
        <v>16</v>
      </c>
      <c r="D1587" s="7">
        <v>775.5</v>
      </c>
      <c r="E1587" s="8" t="s">
        <v>7555</v>
      </c>
      <c r="F1587" s="9">
        <v>1</v>
      </c>
    </row>
    <row r="1588" ht="15.5" spans="1:6">
      <c r="A1588" s="6" t="s">
        <v>3945</v>
      </c>
      <c r="B1588" s="3" t="s">
        <v>3946</v>
      </c>
      <c r="C1588" s="4" t="s">
        <v>16</v>
      </c>
      <c r="D1588" s="7">
        <v>768.25</v>
      </c>
      <c r="E1588" s="8" t="s">
        <v>7392</v>
      </c>
      <c r="F1588" s="9">
        <v>1</v>
      </c>
    </row>
    <row r="1589" ht="155" spans="1:6">
      <c r="A1589" s="6" t="s">
        <v>3947</v>
      </c>
      <c r="B1589" s="12" t="s">
        <v>3948</v>
      </c>
      <c r="C1589" s="4" t="s">
        <v>16</v>
      </c>
      <c r="D1589" s="7">
        <v>1046.95</v>
      </c>
      <c r="E1589" s="8" t="s">
        <v>7394</v>
      </c>
      <c r="F1589" s="9">
        <v>1</v>
      </c>
    </row>
    <row r="1590" ht="31" spans="1:6">
      <c r="A1590" s="6" t="s">
        <v>3951</v>
      </c>
      <c r="B1590" s="3" t="s">
        <v>3934</v>
      </c>
      <c r="C1590" s="4" t="s">
        <v>16</v>
      </c>
      <c r="D1590" s="7">
        <v>879.7</v>
      </c>
      <c r="E1590" s="8" t="s">
        <v>7392</v>
      </c>
      <c r="F1590" s="9">
        <v>1</v>
      </c>
    </row>
    <row r="1591" ht="31" spans="1:6">
      <c r="A1591" s="6" t="s">
        <v>3952</v>
      </c>
      <c r="B1591" s="3" t="s">
        <v>3936</v>
      </c>
      <c r="C1591" s="4" t="s">
        <v>16</v>
      </c>
      <c r="D1591" s="7">
        <v>879.7</v>
      </c>
      <c r="E1591" s="8" t="s">
        <v>7392</v>
      </c>
      <c r="F1591" s="9">
        <v>1</v>
      </c>
    </row>
    <row r="1592" ht="15.5" spans="1:6">
      <c r="A1592" s="6" t="s">
        <v>3955</v>
      </c>
      <c r="B1592" s="3" t="s">
        <v>3956</v>
      </c>
      <c r="C1592" s="4" t="s">
        <v>12</v>
      </c>
      <c r="D1592" s="7">
        <v>24.45</v>
      </c>
      <c r="E1592" s="8" t="s">
        <v>7332</v>
      </c>
      <c r="F1592" s="9">
        <v>100</v>
      </c>
    </row>
    <row r="1593" ht="31" spans="1:6">
      <c r="A1593" s="6" t="s">
        <v>3959</v>
      </c>
      <c r="B1593" s="3" t="s">
        <v>3960</v>
      </c>
      <c r="C1593" s="4" t="s">
        <v>49</v>
      </c>
      <c r="D1593" s="7">
        <v>194.3</v>
      </c>
      <c r="E1593" s="8" t="s">
        <v>7388</v>
      </c>
      <c r="F1593" s="9">
        <v>10</v>
      </c>
    </row>
    <row r="1594" ht="31" spans="1:6">
      <c r="A1594" s="6" t="s">
        <v>3963</v>
      </c>
      <c r="B1594" s="3" t="s">
        <v>3960</v>
      </c>
      <c r="C1594" s="4" t="s">
        <v>49</v>
      </c>
      <c r="D1594" s="7">
        <v>53.45</v>
      </c>
      <c r="E1594" s="8" t="s">
        <v>7552</v>
      </c>
      <c r="F1594" s="9">
        <v>10</v>
      </c>
    </row>
    <row r="1595" ht="93" spans="1:6">
      <c r="A1595" s="6" t="s">
        <v>3964</v>
      </c>
      <c r="B1595" s="12" t="s">
        <v>3965</v>
      </c>
      <c r="C1595" s="4" t="s">
        <v>12</v>
      </c>
      <c r="D1595" s="7">
        <v>33.3</v>
      </c>
      <c r="E1595" s="8" t="s">
        <v>7332</v>
      </c>
      <c r="F1595" s="9">
        <v>100</v>
      </c>
    </row>
    <row r="1596" ht="93" spans="1:6">
      <c r="A1596" s="6" t="s">
        <v>3966</v>
      </c>
      <c r="B1596" s="12" t="s">
        <v>3967</v>
      </c>
      <c r="C1596" s="4" t="s">
        <v>12</v>
      </c>
      <c r="D1596" s="7">
        <v>191.25</v>
      </c>
      <c r="E1596" s="8" t="s">
        <v>7332</v>
      </c>
      <c r="F1596" s="9">
        <v>100</v>
      </c>
    </row>
    <row r="1597" ht="46.5" spans="1:6">
      <c r="A1597" s="6" t="s">
        <v>3968</v>
      </c>
      <c r="B1597" s="12" t="s">
        <v>3969</v>
      </c>
      <c r="C1597" s="4" t="s">
        <v>12</v>
      </c>
      <c r="D1597" s="7">
        <v>883.15</v>
      </c>
      <c r="E1597" s="8" t="s">
        <v>7397</v>
      </c>
      <c r="F1597" s="9">
        <v>10</v>
      </c>
    </row>
    <row r="1598" ht="31" spans="1:6">
      <c r="A1598" s="6" t="s">
        <v>3972</v>
      </c>
      <c r="B1598" s="3" t="s">
        <v>3960</v>
      </c>
      <c r="C1598" s="4" t="s">
        <v>12</v>
      </c>
      <c r="D1598" s="7">
        <v>644.05</v>
      </c>
      <c r="E1598" s="8" t="s">
        <v>7397</v>
      </c>
      <c r="F1598" s="9">
        <v>10</v>
      </c>
    </row>
    <row r="1599" ht="15.5" spans="1:6">
      <c r="A1599" s="6" t="s">
        <v>3975</v>
      </c>
      <c r="B1599" s="3" t="s">
        <v>3976</v>
      </c>
      <c r="C1599" s="4" t="s">
        <v>16</v>
      </c>
      <c r="D1599" s="7">
        <v>5032.25</v>
      </c>
      <c r="E1599" s="8" t="s">
        <v>7772</v>
      </c>
      <c r="F1599" s="9">
        <v>1.08</v>
      </c>
    </row>
    <row r="1600" ht="15.5" spans="1:6">
      <c r="A1600" s="6" t="s">
        <v>3977</v>
      </c>
      <c r="B1600" s="3" t="s">
        <v>3978</v>
      </c>
      <c r="C1600" s="4" t="s">
        <v>16</v>
      </c>
      <c r="D1600" s="7">
        <v>3078.05</v>
      </c>
      <c r="E1600" s="8" t="s">
        <v>7773</v>
      </c>
      <c r="F1600" s="9">
        <v>0.9</v>
      </c>
    </row>
    <row r="1601" ht="62" spans="1:6">
      <c r="A1601" s="6" t="s">
        <v>3979</v>
      </c>
      <c r="B1601" s="12" t="s">
        <v>3980</v>
      </c>
      <c r="C1601" s="4" t="s">
        <v>12</v>
      </c>
      <c r="D1601" s="7">
        <v>284.2</v>
      </c>
      <c r="E1601" s="8" t="s">
        <v>7397</v>
      </c>
      <c r="F1601" s="9">
        <v>10</v>
      </c>
    </row>
    <row r="1602" ht="124" spans="1:6">
      <c r="A1602" s="6" t="s">
        <v>3984</v>
      </c>
      <c r="B1602" s="3" t="s">
        <v>3985</v>
      </c>
      <c r="C1602" s="4" t="s">
        <v>16</v>
      </c>
      <c r="D1602" s="7">
        <v>32891.2</v>
      </c>
      <c r="E1602" s="8" t="s">
        <v>7774</v>
      </c>
      <c r="F1602" s="9">
        <v>0.336</v>
      </c>
    </row>
    <row r="1603" ht="93" spans="1:6">
      <c r="A1603" s="6" t="s">
        <v>3986</v>
      </c>
      <c r="B1603" s="3" t="s">
        <v>3987</v>
      </c>
      <c r="C1603" s="4" t="s">
        <v>575</v>
      </c>
      <c r="D1603" s="7">
        <v>78.95</v>
      </c>
      <c r="E1603" s="8" t="s">
        <v>7775</v>
      </c>
      <c r="F1603" s="9">
        <v>209.25</v>
      </c>
    </row>
    <row r="1604" ht="31" spans="1:6">
      <c r="A1604" s="6" t="s">
        <v>3988</v>
      </c>
      <c r="B1604" s="12" t="s">
        <v>3989</v>
      </c>
      <c r="C1604" s="4" t="s">
        <v>515</v>
      </c>
      <c r="D1604" s="7">
        <v>274.3</v>
      </c>
      <c r="E1604" s="8" t="s">
        <v>7776</v>
      </c>
      <c r="F1604" s="9">
        <v>1</v>
      </c>
    </row>
    <row r="1605" ht="15.5" spans="1:6">
      <c r="A1605" s="6" t="s">
        <v>3992</v>
      </c>
      <c r="B1605" s="3" t="s">
        <v>3993</v>
      </c>
      <c r="C1605" s="4" t="s">
        <v>49</v>
      </c>
      <c r="D1605" s="7">
        <v>14</v>
      </c>
      <c r="E1605" s="8" t="s">
        <v>7777</v>
      </c>
      <c r="F1605" s="9">
        <v>333</v>
      </c>
    </row>
    <row r="1606" ht="15.5" spans="1:6">
      <c r="A1606" s="6" t="s">
        <v>3996</v>
      </c>
      <c r="B1606" s="3" t="s">
        <v>3993</v>
      </c>
      <c r="C1606" s="4" t="s">
        <v>49</v>
      </c>
      <c r="D1606" s="7">
        <v>22.1</v>
      </c>
      <c r="E1606" s="8" t="s">
        <v>7778</v>
      </c>
      <c r="F1606" s="9">
        <v>333.24</v>
      </c>
    </row>
    <row r="1607" ht="77.5" spans="1:6">
      <c r="A1607" s="6" t="s">
        <v>3997</v>
      </c>
      <c r="B1607" s="12" t="s">
        <v>3998</v>
      </c>
      <c r="C1607" s="4" t="s">
        <v>575</v>
      </c>
      <c r="D1607" s="7">
        <v>125.75</v>
      </c>
      <c r="E1607" s="8" t="s">
        <v>7665</v>
      </c>
      <c r="F1607" s="9">
        <v>100</v>
      </c>
    </row>
    <row r="1608" ht="279" spans="1:6">
      <c r="A1608" s="6" t="s">
        <v>3999</v>
      </c>
      <c r="B1608" s="12" t="s">
        <v>4000</v>
      </c>
      <c r="C1608" s="4" t="s">
        <v>12</v>
      </c>
      <c r="D1608" s="7">
        <v>66.15</v>
      </c>
      <c r="E1608" s="8" t="s">
        <v>7779</v>
      </c>
      <c r="F1608" s="9">
        <v>36</v>
      </c>
    </row>
    <row r="1609" ht="62" spans="1:6">
      <c r="A1609" s="6" t="s">
        <v>4002</v>
      </c>
      <c r="B1609" s="12" t="s">
        <v>4003</v>
      </c>
      <c r="C1609" s="4" t="s">
        <v>4004</v>
      </c>
      <c r="D1609" s="7">
        <v>10.55</v>
      </c>
      <c r="E1609" s="8" t="s">
        <v>7780</v>
      </c>
      <c r="F1609" s="9">
        <v>48</v>
      </c>
    </row>
    <row r="1610" ht="93" spans="1:6">
      <c r="A1610" s="6" t="s">
        <v>4005</v>
      </c>
      <c r="B1610" s="12" t="s">
        <v>4006</v>
      </c>
      <c r="C1610" s="4" t="s">
        <v>156</v>
      </c>
      <c r="D1610" s="7">
        <v>252.9</v>
      </c>
      <c r="E1610" s="8" t="s">
        <v>7544</v>
      </c>
      <c r="F1610" s="9">
        <v>1</v>
      </c>
    </row>
    <row r="1611" ht="155" spans="1:6">
      <c r="A1611" s="6" t="s">
        <v>4007</v>
      </c>
      <c r="B1611" s="12" t="s">
        <v>4008</v>
      </c>
      <c r="C1611" s="4" t="s">
        <v>156</v>
      </c>
      <c r="D1611" s="7">
        <v>852.4</v>
      </c>
      <c r="E1611" s="8" t="s">
        <v>7781</v>
      </c>
      <c r="F1611" s="9">
        <v>10</v>
      </c>
    </row>
    <row r="1612" ht="15.5" spans="1:6">
      <c r="A1612" s="6" t="s">
        <v>4011</v>
      </c>
      <c r="B1612" s="3" t="s">
        <v>4012</v>
      </c>
      <c r="C1612" s="4" t="s">
        <v>156</v>
      </c>
      <c r="D1612" s="7">
        <v>2876.7</v>
      </c>
      <c r="E1612" s="8" t="s">
        <v>7781</v>
      </c>
      <c r="F1612" s="9">
        <v>10</v>
      </c>
    </row>
    <row r="1613" ht="15.5" spans="1:6">
      <c r="A1613" s="6" t="s">
        <v>4013</v>
      </c>
      <c r="B1613" s="3" t="s">
        <v>4014</v>
      </c>
      <c r="C1613" s="4" t="s">
        <v>156</v>
      </c>
      <c r="D1613" s="7">
        <v>5170.25</v>
      </c>
      <c r="E1613" s="8" t="s">
        <v>7782</v>
      </c>
      <c r="F1613" s="9">
        <v>1</v>
      </c>
    </row>
    <row r="1614" ht="15.5" spans="1:6">
      <c r="A1614" s="6" t="s">
        <v>4015</v>
      </c>
      <c r="B1614" s="3" t="s">
        <v>4016</v>
      </c>
      <c r="C1614" s="4" t="s">
        <v>156</v>
      </c>
      <c r="D1614" s="7">
        <v>1924.5</v>
      </c>
      <c r="E1614" s="8" t="s">
        <v>7781</v>
      </c>
      <c r="F1614" s="9">
        <v>10</v>
      </c>
    </row>
    <row r="1615" ht="124" spans="1:6">
      <c r="A1615" s="6" t="s">
        <v>4018</v>
      </c>
      <c r="B1615" s="12" t="s">
        <v>4019</v>
      </c>
      <c r="C1615" s="4" t="s">
        <v>12</v>
      </c>
      <c r="D1615" s="7">
        <v>225.35</v>
      </c>
      <c r="E1615" s="8" t="s">
        <v>7332</v>
      </c>
      <c r="F1615" s="9">
        <v>100</v>
      </c>
    </row>
    <row r="1616" ht="186" spans="1:6">
      <c r="A1616" s="6" t="s">
        <v>4020</v>
      </c>
      <c r="B1616" s="12" t="s">
        <v>4021</v>
      </c>
      <c r="C1616" s="4" t="s">
        <v>12</v>
      </c>
      <c r="D1616" s="7">
        <v>311.85</v>
      </c>
      <c r="E1616" s="8" t="s">
        <v>7783</v>
      </c>
      <c r="F1616" s="9">
        <v>100</v>
      </c>
    </row>
    <row r="1617" ht="124" spans="1:6">
      <c r="A1617" s="6" t="s">
        <v>4022</v>
      </c>
      <c r="B1617" s="12" t="s">
        <v>4023</v>
      </c>
      <c r="C1617" s="4" t="s">
        <v>12</v>
      </c>
      <c r="D1617" s="7">
        <v>175.1</v>
      </c>
      <c r="E1617" s="8" t="s">
        <v>7332</v>
      </c>
      <c r="F1617" s="9">
        <v>100</v>
      </c>
    </row>
    <row r="1618" ht="46.5" spans="1:6">
      <c r="A1618" s="6" t="s">
        <v>4026</v>
      </c>
      <c r="B1618" s="3" t="s">
        <v>4027</v>
      </c>
      <c r="C1618" s="4" t="s">
        <v>12</v>
      </c>
      <c r="D1618" s="7">
        <v>198.45</v>
      </c>
      <c r="E1618" s="8" t="s">
        <v>7332</v>
      </c>
      <c r="F1618" s="9">
        <v>100</v>
      </c>
    </row>
    <row r="1619" ht="46.5" spans="1:6">
      <c r="A1619" s="6" t="s">
        <v>4030</v>
      </c>
      <c r="B1619" s="3" t="s">
        <v>4027</v>
      </c>
      <c r="C1619" s="4" t="s">
        <v>12</v>
      </c>
      <c r="D1619" s="7">
        <v>125.3</v>
      </c>
      <c r="E1619" s="8" t="s">
        <v>7332</v>
      </c>
      <c r="F1619" s="9">
        <v>100</v>
      </c>
    </row>
    <row r="1620" ht="15.5" spans="1:6">
      <c r="A1620" s="6" t="s">
        <v>4034</v>
      </c>
      <c r="B1620" s="3" t="s">
        <v>4035</v>
      </c>
      <c r="C1620" s="4" t="s">
        <v>12</v>
      </c>
      <c r="D1620" s="7">
        <v>60.5</v>
      </c>
      <c r="E1620" s="8" t="s">
        <v>7332</v>
      </c>
      <c r="F1620" s="9">
        <v>100</v>
      </c>
    </row>
    <row r="1621" ht="15.5" spans="1:6">
      <c r="A1621" s="6" t="s">
        <v>4036</v>
      </c>
      <c r="B1621" s="3" t="s">
        <v>4037</v>
      </c>
      <c r="C1621" s="4" t="s">
        <v>12</v>
      </c>
      <c r="D1621" s="7">
        <v>48.2</v>
      </c>
      <c r="E1621" s="8" t="s">
        <v>7332</v>
      </c>
      <c r="F1621" s="9">
        <v>100</v>
      </c>
    </row>
    <row r="1622" ht="15.5" spans="1:6">
      <c r="A1622" s="6" t="s">
        <v>4042</v>
      </c>
      <c r="B1622" s="3" t="s">
        <v>4043</v>
      </c>
      <c r="C1622" s="4" t="s">
        <v>12</v>
      </c>
      <c r="D1622" s="7">
        <v>13.45</v>
      </c>
      <c r="E1622" s="8" t="s">
        <v>7784</v>
      </c>
      <c r="F1622" s="9">
        <v>3500</v>
      </c>
    </row>
    <row r="1623" ht="15.5" spans="1:6">
      <c r="A1623" s="6" t="s">
        <v>4044</v>
      </c>
      <c r="B1623" s="3" t="s">
        <v>4045</v>
      </c>
      <c r="C1623" s="4" t="s">
        <v>12</v>
      </c>
      <c r="D1623" s="7">
        <v>9.2</v>
      </c>
      <c r="E1623" s="8" t="s">
        <v>7784</v>
      </c>
      <c r="F1623" s="9">
        <v>3500</v>
      </c>
    </row>
    <row r="1624" ht="15.5" spans="1:6">
      <c r="A1624" s="6" t="s">
        <v>4048</v>
      </c>
      <c r="B1624" s="3" t="s">
        <v>4043</v>
      </c>
      <c r="C1624" s="4" t="s">
        <v>12</v>
      </c>
      <c r="D1624" s="7">
        <v>21.2</v>
      </c>
      <c r="E1624" s="8" t="s">
        <v>7784</v>
      </c>
      <c r="F1624" s="9">
        <v>3500</v>
      </c>
    </row>
    <row r="1625" ht="15.5" spans="1:6">
      <c r="A1625" s="6" t="s">
        <v>4049</v>
      </c>
      <c r="B1625" s="3" t="s">
        <v>4045</v>
      </c>
      <c r="C1625" s="4" t="s">
        <v>12</v>
      </c>
      <c r="D1625" s="7">
        <v>14.05</v>
      </c>
      <c r="E1625" s="8" t="s">
        <v>7784</v>
      </c>
      <c r="F1625" s="9">
        <v>3500</v>
      </c>
    </row>
    <row r="1626" ht="46.5" spans="1:6">
      <c r="A1626" s="6" t="s">
        <v>4052</v>
      </c>
      <c r="B1626" s="3" t="s">
        <v>4053</v>
      </c>
      <c r="C1626" s="4" t="s">
        <v>12</v>
      </c>
      <c r="D1626" s="7">
        <v>234.05</v>
      </c>
      <c r="E1626" s="8" t="s">
        <v>7332</v>
      </c>
      <c r="F1626" s="9">
        <v>100</v>
      </c>
    </row>
    <row r="1627" ht="31" spans="1:6">
      <c r="A1627" s="6" t="s">
        <v>4054</v>
      </c>
      <c r="B1627" s="3" t="s">
        <v>4055</v>
      </c>
      <c r="C1627" s="4" t="s">
        <v>12</v>
      </c>
      <c r="D1627" s="7">
        <v>245.15</v>
      </c>
      <c r="E1627" s="8" t="s">
        <v>7332</v>
      </c>
      <c r="F1627" s="9">
        <v>100</v>
      </c>
    </row>
    <row r="1628" ht="31" spans="1:6">
      <c r="A1628" s="6" t="s">
        <v>4056</v>
      </c>
      <c r="B1628" s="3" t="s">
        <v>4057</v>
      </c>
      <c r="C1628" s="4" t="s">
        <v>12</v>
      </c>
      <c r="D1628" s="7">
        <v>233.15</v>
      </c>
      <c r="E1628" s="8" t="s">
        <v>7332</v>
      </c>
      <c r="F1628" s="9">
        <v>100</v>
      </c>
    </row>
    <row r="1629" ht="46.5" spans="1:6">
      <c r="A1629" s="6" t="s">
        <v>4060</v>
      </c>
      <c r="B1629" s="3" t="s">
        <v>4053</v>
      </c>
      <c r="C1629" s="4" t="s">
        <v>12</v>
      </c>
      <c r="D1629" s="7">
        <v>281</v>
      </c>
      <c r="E1629" s="8" t="s">
        <v>7332</v>
      </c>
      <c r="F1629" s="9">
        <v>100</v>
      </c>
    </row>
    <row r="1630" ht="31" spans="1:6">
      <c r="A1630" s="6" t="s">
        <v>4061</v>
      </c>
      <c r="B1630" s="3" t="s">
        <v>4055</v>
      </c>
      <c r="C1630" s="4" t="s">
        <v>12</v>
      </c>
      <c r="D1630" s="7">
        <v>294.95</v>
      </c>
      <c r="E1630" s="8" t="s">
        <v>7332</v>
      </c>
      <c r="F1630" s="9">
        <v>100</v>
      </c>
    </row>
    <row r="1631" ht="31" spans="1:6">
      <c r="A1631" s="6" t="s">
        <v>4062</v>
      </c>
      <c r="B1631" s="3" t="s">
        <v>4057</v>
      </c>
      <c r="C1631" s="4" t="s">
        <v>12</v>
      </c>
      <c r="D1631" s="7">
        <v>279.9</v>
      </c>
      <c r="E1631" s="8" t="s">
        <v>7332</v>
      </c>
      <c r="F1631" s="9">
        <v>100</v>
      </c>
    </row>
    <row r="1632" ht="124" spans="1:6">
      <c r="A1632" s="6" t="s">
        <v>4063</v>
      </c>
      <c r="B1632" s="12" t="s">
        <v>4064</v>
      </c>
      <c r="C1632" s="4" t="s">
        <v>12</v>
      </c>
      <c r="D1632" s="7">
        <v>208.9</v>
      </c>
      <c r="E1632" s="8" t="s">
        <v>7332</v>
      </c>
      <c r="F1632" s="9">
        <v>100</v>
      </c>
    </row>
    <row r="1633" ht="124" spans="1:6">
      <c r="A1633" s="6" t="s">
        <v>4065</v>
      </c>
      <c r="B1633" s="12" t="s">
        <v>4066</v>
      </c>
      <c r="C1633" s="4" t="s">
        <v>12</v>
      </c>
      <c r="D1633" s="7">
        <v>252.15</v>
      </c>
      <c r="E1633" s="8" t="s">
        <v>7332</v>
      </c>
      <c r="F1633" s="9">
        <v>100</v>
      </c>
    </row>
    <row r="1634" ht="93" spans="1:6">
      <c r="A1634" s="6" t="s">
        <v>4069</v>
      </c>
      <c r="B1634" s="3" t="s">
        <v>4070</v>
      </c>
      <c r="C1634" s="4" t="s">
        <v>12</v>
      </c>
      <c r="D1634" s="7">
        <v>505.65</v>
      </c>
      <c r="E1634" s="8" t="s">
        <v>7785</v>
      </c>
      <c r="F1634" s="9">
        <v>370</v>
      </c>
    </row>
    <row r="1635" ht="93" spans="1:6">
      <c r="A1635" s="6" t="s">
        <v>4071</v>
      </c>
      <c r="B1635" s="3" t="s">
        <v>4072</v>
      </c>
      <c r="C1635" s="4" t="s">
        <v>12</v>
      </c>
      <c r="D1635" s="7">
        <v>744.15</v>
      </c>
      <c r="E1635" s="8" t="s">
        <v>7786</v>
      </c>
      <c r="F1635" s="9">
        <v>300</v>
      </c>
    </row>
    <row r="1636" ht="15.5" spans="1:6">
      <c r="A1636" s="6" t="s">
        <v>4075</v>
      </c>
      <c r="B1636" s="3" t="s">
        <v>558</v>
      </c>
      <c r="C1636" s="4" t="s">
        <v>12</v>
      </c>
      <c r="D1636" s="7">
        <v>854.15</v>
      </c>
      <c r="E1636" s="8" t="s">
        <v>7787</v>
      </c>
      <c r="F1636" s="9">
        <v>174</v>
      </c>
    </row>
    <row r="1637" ht="15.5" spans="1:6">
      <c r="A1637" s="6" t="s">
        <v>4076</v>
      </c>
      <c r="B1637" s="3" t="s">
        <v>556</v>
      </c>
      <c r="C1637" s="4" t="s">
        <v>12</v>
      </c>
      <c r="D1637" s="7">
        <v>1365.5</v>
      </c>
      <c r="E1637" s="8" t="s">
        <v>7788</v>
      </c>
      <c r="F1637" s="9">
        <v>108.75</v>
      </c>
    </row>
    <row r="1638" ht="46.5" spans="1:6">
      <c r="A1638" s="6" t="s">
        <v>4079</v>
      </c>
      <c r="B1638" s="3" t="s">
        <v>4053</v>
      </c>
      <c r="C1638" s="4" t="s">
        <v>12</v>
      </c>
      <c r="D1638" s="7">
        <v>353.65</v>
      </c>
      <c r="E1638" s="8" t="s">
        <v>7332</v>
      </c>
      <c r="F1638" s="9">
        <v>100</v>
      </c>
    </row>
    <row r="1639" ht="15.5" spans="1:6">
      <c r="A1639" s="6" t="s">
        <v>4080</v>
      </c>
      <c r="B1639" s="3" t="s">
        <v>4081</v>
      </c>
      <c r="C1639" s="4" t="s">
        <v>12</v>
      </c>
      <c r="D1639" s="7">
        <v>377.05</v>
      </c>
      <c r="E1639" s="8" t="s">
        <v>7332</v>
      </c>
      <c r="F1639" s="9">
        <v>100</v>
      </c>
    </row>
    <row r="1640" ht="31" spans="1:6">
      <c r="A1640" s="6" t="s">
        <v>4082</v>
      </c>
      <c r="B1640" s="3" t="s">
        <v>4083</v>
      </c>
      <c r="C1640" s="4" t="s">
        <v>12</v>
      </c>
      <c r="D1640" s="7">
        <v>351.8</v>
      </c>
      <c r="E1640" s="8" t="s">
        <v>7332</v>
      </c>
      <c r="F1640" s="9">
        <v>100</v>
      </c>
    </row>
    <row r="1641" ht="46.5" spans="1:6">
      <c r="A1641" s="6" t="s">
        <v>4086</v>
      </c>
      <c r="B1641" s="3" t="s">
        <v>4053</v>
      </c>
      <c r="C1641" s="4" t="s">
        <v>12</v>
      </c>
      <c r="D1641" s="7">
        <v>531.6</v>
      </c>
      <c r="E1641" s="8" t="s">
        <v>7332</v>
      </c>
      <c r="F1641" s="9">
        <v>100</v>
      </c>
    </row>
    <row r="1642" ht="31" spans="1:6">
      <c r="A1642" s="6" t="s">
        <v>4087</v>
      </c>
      <c r="B1642" s="3" t="s">
        <v>4088</v>
      </c>
      <c r="C1642" s="4" t="s">
        <v>12</v>
      </c>
      <c r="D1642" s="7">
        <v>568.6</v>
      </c>
      <c r="E1642" s="8" t="s">
        <v>7332</v>
      </c>
      <c r="F1642" s="9">
        <v>100</v>
      </c>
    </row>
    <row r="1643" ht="31" spans="1:6">
      <c r="A1643" s="6" t="s">
        <v>4089</v>
      </c>
      <c r="B1643" s="3" t="s">
        <v>4083</v>
      </c>
      <c r="C1643" s="4" t="s">
        <v>12</v>
      </c>
      <c r="D1643" s="7">
        <v>528.65</v>
      </c>
      <c r="E1643" s="8" t="s">
        <v>7332</v>
      </c>
      <c r="F1643" s="9">
        <v>100</v>
      </c>
    </row>
    <row r="1644" ht="139.5" spans="1:6">
      <c r="A1644" s="6" t="s">
        <v>4091</v>
      </c>
      <c r="B1644" s="12" t="s">
        <v>4092</v>
      </c>
      <c r="C1644" s="4" t="s">
        <v>12</v>
      </c>
      <c r="D1644" s="7">
        <v>88.55</v>
      </c>
      <c r="E1644" s="8" t="s">
        <v>7332</v>
      </c>
      <c r="F1644" s="9">
        <v>100</v>
      </c>
    </row>
    <row r="1645" ht="170.5" spans="1:6">
      <c r="A1645" s="6" t="s">
        <v>4093</v>
      </c>
      <c r="B1645" s="12" t="s">
        <v>4094</v>
      </c>
      <c r="C1645" s="4" t="s">
        <v>12</v>
      </c>
      <c r="D1645" s="7">
        <v>130.85</v>
      </c>
      <c r="E1645" s="8" t="s">
        <v>7332</v>
      </c>
      <c r="F1645" s="9">
        <v>100</v>
      </c>
    </row>
    <row r="1646" ht="93" spans="1:6">
      <c r="A1646" s="6" t="s">
        <v>4097</v>
      </c>
      <c r="B1646" s="12" t="s">
        <v>4098</v>
      </c>
      <c r="C1646" s="4" t="s">
        <v>16</v>
      </c>
      <c r="D1646" s="7">
        <v>7993.8</v>
      </c>
      <c r="E1646" s="8" t="s">
        <v>7392</v>
      </c>
      <c r="F1646" s="9">
        <v>1</v>
      </c>
    </row>
    <row r="1647" ht="31" spans="1:6">
      <c r="A1647" s="6" t="s">
        <v>4102</v>
      </c>
      <c r="B1647" s="3" t="s">
        <v>4103</v>
      </c>
      <c r="C1647" s="4" t="s">
        <v>16</v>
      </c>
      <c r="D1647" s="7">
        <v>10529.35</v>
      </c>
      <c r="E1647" s="8" t="s">
        <v>7394</v>
      </c>
      <c r="F1647" s="9">
        <v>1</v>
      </c>
    </row>
    <row r="1648" ht="46.5" spans="1:6">
      <c r="A1648" s="6" t="s">
        <v>4104</v>
      </c>
      <c r="B1648" s="3" t="s">
        <v>4105</v>
      </c>
      <c r="C1648" s="4" t="s">
        <v>16</v>
      </c>
      <c r="D1648" s="7">
        <v>11098.45</v>
      </c>
      <c r="E1648" s="8" t="s">
        <v>7555</v>
      </c>
      <c r="F1648" s="9">
        <v>1</v>
      </c>
    </row>
    <row r="1649" ht="62" spans="1:6">
      <c r="A1649" s="6" t="s">
        <v>4106</v>
      </c>
      <c r="B1649" s="12" t="s">
        <v>4107</v>
      </c>
      <c r="C1649" s="4" t="s">
        <v>178</v>
      </c>
      <c r="D1649" s="7">
        <v>55.5</v>
      </c>
      <c r="E1649" s="8" t="s">
        <v>7789</v>
      </c>
      <c r="F1649" s="9">
        <v>1</v>
      </c>
    </row>
    <row r="1650" ht="186" spans="1:6">
      <c r="A1650" s="6" t="s">
        <v>4108</v>
      </c>
      <c r="B1650" s="12" t="s">
        <v>4109</v>
      </c>
      <c r="C1650" s="4" t="s">
        <v>4110</v>
      </c>
      <c r="D1650" s="7">
        <v>5.3</v>
      </c>
      <c r="E1650" s="8" t="s">
        <v>7790</v>
      </c>
      <c r="F1650" s="9">
        <v>5400</v>
      </c>
    </row>
    <row r="1651" ht="108.5" spans="1:6">
      <c r="A1651" s="6" t="s">
        <v>4113</v>
      </c>
      <c r="B1651" s="3" t="s">
        <v>4112</v>
      </c>
      <c r="C1651" s="4" t="s">
        <v>4110</v>
      </c>
      <c r="D1651" s="7">
        <v>8.65</v>
      </c>
      <c r="E1651" s="8" t="s">
        <v>7791</v>
      </c>
      <c r="F1651" s="9">
        <v>900</v>
      </c>
    </row>
    <row r="1652" ht="15.5" spans="1:6">
      <c r="A1652" s="6" t="s">
        <v>4117</v>
      </c>
      <c r="B1652" s="3" t="s">
        <v>4118</v>
      </c>
      <c r="C1652" s="4" t="s">
        <v>12</v>
      </c>
      <c r="D1652" s="7">
        <v>188.2</v>
      </c>
      <c r="E1652" s="8" t="s">
        <v>7397</v>
      </c>
      <c r="F1652" s="9">
        <v>10</v>
      </c>
    </row>
    <row r="1653" ht="15.5" spans="1:6">
      <c r="A1653" s="6" t="s">
        <v>4119</v>
      </c>
      <c r="B1653" s="3" t="s">
        <v>4120</v>
      </c>
      <c r="C1653" s="4" t="s">
        <v>12</v>
      </c>
      <c r="D1653" s="7">
        <v>120.8</v>
      </c>
      <c r="E1653" s="8" t="s">
        <v>7397</v>
      </c>
      <c r="F1653" s="9">
        <v>10</v>
      </c>
    </row>
    <row r="1654" ht="15.5" spans="1:6">
      <c r="A1654" s="6" t="s">
        <v>4123</v>
      </c>
      <c r="B1654" s="3" t="s">
        <v>4118</v>
      </c>
      <c r="C1654" s="4" t="s">
        <v>12</v>
      </c>
      <c r="D1654" s="7">
        <v>288.9</v>
      </c>
      <c r="E1654" s="8" t="s">
        <v>7397</v>
      </c>
      <c r="F1654" s="9">
        <v>10</v>
      </c>
    </row>
    <row r="1655" ht="15.5" spans="1:6">
      <c r="A1655" s="6" t="s">
        <v>4124</v>
      </c>
      <c r="B1655" s="3" t="s">
        <v>4120</v>
      </c>
      <c r="C1655" s="4" t="s">
        <v>12</v>
      </c>
      <c r="D1655" s="7">
        <v>189.85</v>
      </c>
      <c r="E1655" s="8" t="s">
        <v>7397</v>
      </c>
      <c r="F1655" s="9">
        <v>10</v>
      </c>
    </row>
    <row r="1656" ht="217" spans="1:6">
      <c r="A1656" s="6" t="s">
        <v>4125</v>
      </c>
      <c r="B1656" s="12" t="s">
        <v>4126</v>
      </c>
      <c r="C1656" s="4" t="s">
        <v>156</v>
      </c>
      <c r="D1656" s="7">
        <v>3050.4</v>
      </c>
      <c r="E1656" s="8" t="s">
        <v>7576</v>
      </c>
      <c r="F1656" s="9">
        <v>10</v>
      </c>
    </row>
    <row r="1657" ht="356.5" spans="1:6">
      <c r="A1657" s="6" t="s">
        <v>4127</v>
      </c>
      <c r="B1657" s="12" t="s">
        <v>4128</v>
      </c>
      <c r="C1657" s="4" t="s">
        <v>156</v>
      </c>
      <c r="D1657" s="7">
        <v>206.3</v>
      </c>
      <c r="E1657" s="8" t="s">
        <v>7792</v>
      </c>
      <c r="F1657" s="9">
        <v>15</v>
      </c>
    </row>
    <row r="1658" ht="15.5" spans="1:6">
      <c r="A1658" s="6" t="s">
        <v>4131</v>
      </c>
      <c r="B1658" s="3" t="s">
        <v>4132</v>
      </c>
      <c r="C1658" s="4" t="s">
        <v>16</v>
      </c>
      <c r="D1658" s="7">
        <v>1514.4</v>
      </c>
      <c r="E1658" s="8" t="s">
        <v>7334</v>
      </c>
      <c r="F1658" s="9">
        <v>10</v>
      </c>
    </row>
    <row r="1659" ht="155" spans="1:6">
      <c r="A1659" s="6" t="s">
        <v>4133</v>
      </c>
      <c r="B1659" s="12" t="s">
        <v>4134</v>
      </c>
      <c r="C1659" s="4" t="s">
        <v>16</v>
      </c>
      <c r="D1659" s="7">
        <v>13719.05</v>
      </c>
      <c r="E1659" s="8" t="s">
        <v>7793</v>
      </c>
      <c r="F1659" s="9">
        <v>9</v>
      </c>
    </row>
    <row r="1660" ht="294.5" spans="1:6">
      <c r="A1660" s="6" t="s">
        <v>4135</v>
      </c>
      <c r="B1660" s="12" t="s">
        <v>4136</v>
      </c>
      <c r="C1660" s="4" t="s">
        <v>49</v>
      </c>
      <c r="D1660" s="7">
        <v>375.8</v>
      </c>
      <c r="E1660" s="8" t="s">
        <v>7794</v>
      </c>
      <c r="F1660" s="9">
        <v>30</v>
      </c>
    </row>
    <row r="1661" ht="108.5" spans="1:6">
      <c r="A1661" s="6" t="s">
        <v>4139</v>
      </c>
      <c r="B1661" s="3" t="s">
        <v>4140</v>
      </c>
      <c r="C1661" s="4" t="s">
        <v>16</v>
      </c>
      <c r="D1661" s="7">
        <v>11129.55</v>
      </c>
      <c r="E1661" s="8" t="s">
        <v>7795</v>
      </c>
      <c r="F1661" s="9">
        <v>195</v>
      </c>
    </row>
    <row r="1662" ht="93" spans="1:6">
      <c r="A1662" s="6" t="s">
        <v>4141</v>
      </c>
      <c r="B1662" s="3" t="s">
        <v>4142</v>
      </c>
      <c r="C1662" s="4" t="s">
        <v>16</v>
      </c>
      <c r="D1662" s="7">
        <v>11032.2</v>
      </c>
      <c r="E1662" s="8" t="s">
        <v>7795</v>
      </c>
      <c r="F1662" s="9">
        <v>195</v>
      </c>
    </row>
    <row r="1663" ht="77.5" spans="1:6">
      <c r="A1663" s="6" t="s">
        <v>4145</v>
      </c>
      <c r="B1663" s="3" t="s">
        <v>4146</v>
      </c>
      <c r="C1663" s="4" t="s">
        <v>16</v>
      </c>
      <c r="D1663" s="7">
        <v>8505.65</v>
      </c>
      <c r="E1663" s="8" t="s">
        <v>7796</v>
      </c>
      <c r="F1663" s="9">
        <v>205</v>
      </c>
    </row>
    <row r="1664" ht="77.5" spans="1:6">
      <c r="A1664" s="6" t="s">
        <v>4147</v>
      </c>
      <c r="B1664" s="3" t="s">
        <v>4148</v>
      </c>
      <c r="C1664" s="4" t="s">
        <v>16</v>
      </c>
      <c r="D1664" s="7">
        <v>8413</v>
      </c>
      <c r="E1664" s="8" t="s">
        <v>7796</v>
      </c>
      <c r="F1664" s="9">
        <v>205</v>
      </c>
    </row>
    <row r="1665" ht="93" spans="1:6">
      <c r="A1665" s="6" t="s">
        <v>4151</v>
      </c>
      <c r="B1665" s="3" t="s">
        <v>4152</v>
      </c>
      <c r="C1665" s="4" t="s">
        <v>12</v>
      </c>
      <c r="D1665" s="7">
        <v>277.7</v>
      </c>
      <c r="E1665" s="8" t="s">
        <v>7797</v>
      </c>
      <c r="F1665" s="9">
        <v>7800</v>
      </c>
    </row>
    <row r="1666" ht="93" spans="1:6">
      <c r="A1666" s="6" t="s">
        <v>4153</v>
      </c>
      <c r="B1666" s="3" t="s">
        <v>4154</v>
      </c>
      <c r="C1666" s="4" t="s">
        <v>12</v>
      </c>
      <c r="D1666" s="7">
        <v>275.3</v>
      </c>
      <c r="E1666" s="8" t="s">
        <v>7797</v>
      </c>
      <c r="F1666" s="9">
        <v>7800</v>
      </c>
    </row>
    <row r="1667" ht="93" spans="1:6">
      <c r="A1667" s="6" t="s">
        <v>4157</v>
      </c>
      <c r="B1667" s="3" t="s">
        <v>4158</v>
      </c>
      <c r="C1667" s="4" t="s">
        <v>16</v>
      </c>
      <c r="D1667" s="7">
        <v>12126.2</v>
      </c>
      <c r="E1667" s="8" t="s">
        <v>7798</v>
      </c>
      <c r="F1667" s="9">
        <v>191</v>
      </c>
    </row>
    <row r="1668" ht="124" spans="1:6">
      <c r="A1668" s="6" t="s">
        <v>4159</v>
      </c>
      <c r="B1668" s="3" t="s">
        <v>4160</v>
      </c>
      <c r="C1668" s="4" t="s">
        <v>16</v>
      </c>
      <c r="D1668" s="7">
        <v>12708.75</v>
      </c>
      <c r="E1668" s="8" t="s">
        <v>7798</v>
      </c>
      <c r="F1668" s="9">
        <v>191</v>
      </c>
    </row>
    <row r="1669" ht="93" spans="1:6">
      <c r="A1669" s="6" t="s">
        <v>4161</v>
      </c>
      <c r="B1669" s="3" t="s">
        <v>4162</v>
      </c>
      <c r="C1669" s="4" t="s">
        <v>16</v>
      </c>
      <c r="D1669" s="7">
        <v>11204.1</v>
      </c>
      <c r="E1669" s="8" t="s">
        <v>7798</v>
      </c>
      <c r="F1669" s="9">
        <v>191</v>
      </c>
    </row>
    <row r="1670" ht="93" spans="1:6">
      <c r="A1670" s="6" t="s">
        <v>4163</v>
      </c>
      <c r="B1670" s="3" t="s">
        <v>4164</v>
      </c>
      <c r="C1670" s="4" t="s">
        <v>16</v>
      </c>
      <c r="D1670" s="7">
        <v>10660.3</v>
      </c>
      <c r="E1670" s="8" t="s">
        <v>7798</v>
      </c>
      <c r="F1670" s="9">
        <v>191</v>
      </c>
    </row>
    <row r="1671" ht="93" spans="1:6">
      <c r="A1671" s="6" t="s">
        <v>4165</v>
      </c>
      <c r="B1671" s="3" t="s">
        <v>4166</v>
      </c>
      <c r="C1671" s="4" t="s">
        <v>16</v>
      </c>
      <c r="D1671" s="7">
        <v>12026.8</v>
      </c>
      <c r="E1671" s="8" t="s">
        <v>7798</v>
      </c>
      <c r="F1671" s="9">
        <v>191</v>
      </c>
    </row>
    <row r="1672" ht="124" spans="1:6">
      <c r="A1672" s="6" t="s">
        <v>4167</v>
      </c>
      <c r="B1672" s="3" t="s">
        <v>4168</v>
      </c>
      <c r="C1672" s="4" t="s">
        <v>16</v>
      </c>
      <c r="D1672" s="7">
        <v>12609.3</v>
      </c>
      <c r="E1672" s="8" t="s">
        <v>7798</v>
      </c>
      <c r="F1672" s="9">
        <v>191</v>
      </c>
    </row>
    <row r="1673" ht="93" spans="1:6">
      <c r="A1673" s="6" t="s">
        <v>4169</v>
      </c>
      <c r="B1673" s="3" t="s">
        <v>4170</v>
      </c>
      <c r="C1673" s="4" t="s">
        <v>16</v>
      </c>
      <c r="D1673" s="7">
        <v>11104.65</v>
      </c>
      <c r="E1673" s="8" t="s">
        <v>7798</v>
      </c>
      <c r="F1673" s="9">
        <v>191</v>
      </c>
    </row>
    <row r="1674" ht="93" spans="1:6">
      <c r="A1674" s="6" t="s">
        <v>4171</v>
      </c>
      <c r="B1674" s="3" t="s">
        <v>4172</v>
      </c>
      <c r="C1674" s="4" t="s">
        <v>16</v>
      </c>
      <c r="D1674" s="7">
        <v>10560.85</v>
      </c>
      <c r="E1674" s="8" t="s">
        <v>7798</v>
      </c>
      <c r="F1674" s="9">
        <v>191</v>
      </c>
    </row>
    <row r="1675" ht="46.5" spans="1:6">
      <c r="A1675" s="6" t="s">
        <v>4175</v>
      </c>
      <c r="B1675" s="3" t="s">
        <v>4176</v>
      </c>
      <c r="C1675" s="4" t="s">
        <v>156</v>
      </c>
      <c r="D1675" s="7">
        <v>7183.35</v>
      </c>
      <c r="E1675" s="8" t="s">
        <v>7544</v>
      </c>
      <c r="F1675" s="9">
        <v>1</v>
      </c>
    </row>
    <row r="1676" ht="62" spans="1:6">
      <c r="A1676" s="6" t="s">
        <v>4177</v>
      </c>
      <c r="B1676" s="3" t="s">
        <v>4178</v>
      </c>
      <c r="C1676" s="4" t="s">
        <v>156</v>
      </c>
      <c r="D1676" s="7">
        <v>5559.75</v>
      </c>
      <c r="E1676" s="8" t="s">
        <v>7544</v>
      </c>
      <c r="F1676" s="9">
        <v>1</v>
      </c>
    </row>
    <row r="1677" ht="15.5" spans="1:6">
      <c r="A1677" s="6" t="s">
        <v>4181</v>
      </c>
      <c r="B1677" s="3" t="s">
        <v>4182</v>
      </c>
      <c r="C1677" s="4" t="s">
        <v>12</v>
      </c>
      <c r="D1677" s="7">
        <v>5879.9</v>
      </c>
      <c r="E1677" s="8" t="s">
        <v>7667</v>
      </c>
      <c r="F1677" s="9">
        <v>3.6</v>
      </c>
    </row>
    <row r="1678" ht="356.5" spans="1:6">
      <c r="A1678" s="6" t="s">
        <v>4183</v>
      </c>
      <c r="B1678" s="12" t="s">
        <v>4184</v>
      </c>
      <c r="C1678" s="4" t="s">
        <v>156</v>
      </c>
      <c r="D1678" s="7">
        <v>8154.35</v>
      </c>
      <c r="E1678" s="8" t="s">
        <v>7799</v>
      </c>
      <c r="F1678" s="9">
        <v>1</v>
      </c>
    </row>
    <row r="1679" ht="232.5" spans="1:6">
      <c r="A1679" s="6" t="s">
        <v>4185</v>
      </c>
      <c r="B1679" s="12" t="s">
        <v>4186</v>
      </c>
      <c r="C1679" s="4" t="s">
        <v>12</v>
      </c>
      <c r="D1679" s="7">
        <v>747.8</v>
      </c>
      <c r="E1679" s="8" t="s">
        <v>7800</v>
      </c>
      <c r="F1679" s="9">
        <v>200</v>
      </c>
    </row>
    <row r="1680" ht="155" spans="1:6">
      <c r="A1680" s="6" t="s">
        <v>4187</v>
      </c>
      <c r="B1680" s="12" t="s">
        <v>4188</v>
      </c>
      <c r="C1680" s="4" t="s">
        <v>12</v>
      </c>
      <c r="D1680" s="7">
        <v>558.3</v>
      </c>
      <c r="E1680" s="8" t="s">
        <v>7397</v>
      </c>
      <c r="F1680" s="9">
        <v>10</v>
      </c>
    </row>
    <row r="1681" ht="108.5" spans="1:6">
      <c r="A1681" s="6" t="s">
        <v>4189</v>
      </c>
      <c r="B1681" s="12" t="s">
        <v>4190</v>
      </c>
      <c r="C1681" s="4" t="s">
        <v>12</v>
      </c>
      <c r="D1681" s="7">
        <v>199.35</v>
      </c>
      <c r="E1681" s="8" t="s">
        <v>7397</v>
      </c>
      <c r="F1681" s="9">
        <v>10</v>
      </c>
    </row>
    <row r="1682" ht="108.5" spans="1:6">
      <c r="A1682" s="6" t="s">
        <v>4191</v>
      </c>
      <c r="B1682" s="12" t="s">
        <v>4192</v>
      </c>
      <c r="C1682" s="4" t="s">
        <v>156</v>
      </c>
      <c r="D1682" s="7">
        <v>904.2</v>
      </c>
      <c r="E1682" s="8" t="s">
        <v>7544</v>
      </c>
      <c r="F1682" s="9">
        <v>1</v>
      </c>
    </row>
    <row r="1683" ht="15.5" spans="1:6">
      <c r="A1683" s="6" t="s">
        <v>4195</v>
      </c>
      <c r="B1683" s="3" t="s">
        <v>4196</v>
      </c>
      <c r="C1683" s="4" t="s">
        <v>156</v>
      </c>
      <c r="D1683" s="7">
        <v>27.5</v>
      </c>
      <c r="E1683" s="8" t="s">
        <v>7801</v>
      </c>
      <c r="F1683" s="9">
        <v>30</v>
      </c>
    </row>
    <row r="1684" ht="217" spans="1:6">
      <c r="A1684" s="6" t="s">
        <v>4197</v>
      </c>
      <c r="B1684" s="12" t="s">
        <v>4198</v>
      </c>
      <c r="C1684" s="4" t="s">
        <v>12</v>
      </c>
      <c r="D1684" s="7">
        <v>1600.55</v>
      </c>
      <c r="E1684" s="8" t="s">
        <v>7397</v>
      </c>
      <c r="F1684" s="9">
        <v>10</v>
      </c>
    </row>
    <row r="1685" ht="155" spans="1:6">
      <c r="A1685" s="6" t="s">
        <v>4199</v>
      </c>
      <c r="B1685" s="12" t="s">
        <v>4200</v>
      </c>
      <c r="C1685" s="4" t="s">
        <v>12</v>
      </c>
      <c r="D1685" s="7">
        <v>972</v>
      </c>
      <c r="E1685" s="8" t="s">
        <v>7397</v>
      </c>
      <c r="F1685" s="9">
        <v>10</v>
      </c>
    </row>
    <row r="1686" ht="232.5" spans="1:6">
      <c r="A1686" s="6" t="s">
        <v>4201</v>
      </c>
      <c r="B1686" s="12" t="s">
        <v>4202</v>
      </c>
      <c r="C1686" s="4" t="s">
        <v>16</v>
      </c>
      <c r="D1686" s="7">
        <v>10117.6</v>
      </c>
      <c r="E1686" s="8" t="s">
        <v>7802</v>
      </c>
      <c r="F1686" s="9">
        <v>7.5</v>
      </c>
    </row>
    <row r="1687" ht="15.5" spans="1:6">
      <c r="A1687" s="6" t="s">
        <v>4205</v>
      </c>
      <c r="B1687" s="3" t="s">
        <v>4206</v>
      </c>
      <c r="C1687" s="4" t="s">
        <v>12</v>
      </c>
      <c r="D1687" s="7">
        <v>1017.8</v>
      </c>
      <c r="E1687" s="8" t="s">
        <v>7397</v>
      </c>
      <c r="F1687" s="9">
        <v>10</v>
      </c>
    </row>
    <row r="1688" ht="46.5" spans="1:6">
      <c r="A1688" s="6" t="s">
        <v>4207</v>
      </c>
      <c r="B1688" s="3" t="s">
        <v>4208</v>
      </c>
      <c r="C1688" s="4" t="s">
        <v>12</v>
      </c>
      <c r="D1688" s="7">
        <v>1067.1</v>
      </c>
      <c r="E1688" s="8" t="s">
        <v>7397</v>
      </c>
      <c r="F1688" s="9">
        <v>10</v>
      </c>
    </row>
    <row r="1689" ht="108.5" spans="1:6">
      <c r="A1689" s="6" t="s">
        <v>4209</v>
      </c>
      <c r="B1689" s="12" t="s">
        <v>4210</v>
      </c>
      <c r="C1689" s="4" t="s">
        <v>12</v>
      </c>
      <c r="D1689" s="7">
        <v>1149.25</v>
      </c>
      <c r="E1689" s="8" t="s">
        <v>7397</v>
      </c>
      <c r="F1689" s="9">
        <v>10</v>
      </c>
    </row>
    <row r="1690" ht="31" spans="1:6">
      <c r="A1690" s="6" t="s">
        <v>4211</v>
      </c>
      <c r="B1690" s="12" t="s">
        <v>4212</v>
      </c>
      <c r="C1690" s="4" t="s">
        <v>16</v>
      </c>
      <c r="D1690" s="7">
        <v>995.85</v>
      </c>
      <c r="E1690" s="8" t="s">
        <v>7803</v>
      </c>
      <c r="F1690" s="9">
        <v>2.25</v>
      </c>
    </row>
    <row r="1691" ht="108.5" spans="1:6">
      <c r="A1691" s="6" t="s">
        <v>4213</v>
      </c>
      <c r="B1691" s="12" t="s">
        <v>4214</v>
      </c>
      <c r="C1691" s="4" t="s">
        <v>12</v>
      </c>
      <c r="D1691" s="7">
        <v>659.05</v>
      </c>
      <c r="E1691" s="8" t="s">
        <v>7397</v>
      </c>
      <c r="F1691" s="9">
        <v>10</v>
      </c>
    </row>
    <row r="1692" ht="15.5" spans="1:6">
      <c r="A1692" s="6" t="s">
        <v>4217</v>
      </c>
      <c r="B1692" s="3" t="s">
        <v>3946</v>
      </c>
      <c r="C1692" s="4" t="s">
        <v>12</v>
      </c>
      <c r="D1692" s="7">
        <v>76.3</v>
      </c>
      <c r="E1692" s="8" t="s">
        <v>7332</v>
      </c>
      <c r="F1692" s="9">
        <v>100</v>
      </c>
    </row>
    <row r="1693" ht="15.5" spans="1:6">
      <c r="A1693" s="6" t="s">
        <v>4218</v>
      </c>
      <c r="B1693" s="3" t="s">
        <v>4219</v>
      </c>
      <c r="C1693" s="4" t="s">
        <v>12</v>
      </c>
      <c r="D1693" s="7">
        <v>175</v>
      </c>
      <c r="E1693" s="8" t="s">
        <v>7332</v>
      </c>
      <c r="F1693" s="9">
        <v>100</v>
      </c>
    </row>
    <row r="1694" ht="15.5" spans="1:6">
      <c r="A1694" s="6" t="s">
        <v>4220</v>
      </c>
      <c r="B1694" s="3" t="s">
        <v>4221</v>
      </c>
      <c r="C1694" s="4" t="s">
        <v>12</v>
      </c>
      <c r="D1694" s="7">
        <v>172.35</v>
      </c>
      <c r="E1694" s="8" t="s">
        <v>7332</v>
      </c>
      <c r="F1694" s="9">
        <v>100</v>
      </c>
    </row>
    <row r="1695" ht="217" spans="1:6">
      <c r="A1695" s="6" t="s">
        <v>4222</v>
      </c>
      <c r="B1695" s="12" t="s">
        <v>7804</v>
      </c>
      <c r="C1695" s="4" t="s">
        <v>16</v>
      </c>
      <c r="D1695" s="7">
        <v>9823.8</v>
      </c>
      <c r="E1695" s="8" t="s">
        <v>7394</v>
      </c>
      <c r="F1695" s="9">
        <v>1</v>
      </c>
    </row>
    <row r="1696" ht="46.5" spans="1:6">
      <c r="A1696" s="6" t="s">
        <v>4224</v>
      </c>
      <c r="B1696" s="12" t="s">
        <v>4225</v>
      </c>
      <c r="C1696" s="4" t="s">
        <v>16</v>
      </c>
      <c r="D1696" s="7">
        <v>203.8</v>
      </c>
      <c r="E1696" s="8" t="s">
        <v>7392</v>
      </c>
      <c r="F1696" s="9">
        <v>1</v>
      </c>
    </row>
    <row r="1697" ht="62" spans="1:6">
      <c r="A1697" s="6" t="s">
        <v>4226</v>
      </c>
      <c r="B1697" s="12" t="s">
        <v>4227</v>
      </c>
      <c r="C1697" s="4" t="s">
        <v>12</v>
      </c>
      <c r="D1697" s="7">
        <v>7</v>
      </c>
      <c r="E1697" s="8" t="s">
        <v>7332</v>
      </c>
      <c r="F1697" s="9">
        <v>100</v>
      </c>
    </row>
    <row r="1698" ht="46.5" spans="1:6">
      <c r="A1698" s="6" t="s">
        <v>4230</v>
      </c>
      <c r="B1698" s="3" t="s">
        <v>4231</v>
      </c>
      <c r="C1698" s="4" t="s">
        <v>16</v>
      </c>
      <c r="D1698" s="7">
        <v>2784</v>
      </c>
      <c r="E1698" s="8" t="s">
        <v>7805</v>
      </c>
      <c r="F1698" s="9">
        <v>225</v>
      </c>
    </row>
    <row r="1699" ht="46.5" spans="1:6">
      <c r="A1699" s="6" t="s">
        <v>4232</v>
      </c>
      <c r="B1699" s="3" t="s">
        <v>4233</v>
      </c>
      <c r="C1699" s="4" t="s">
        <v>16</v>
      </c>
      <c r="D1699" s="7">
        <v>2924.85</v>
      </c>
      <c r="E1699" s="8" t="s">
        <v>7805</v>
      </c>
      <c r="F1699" s="9">
        <v>225</v>
      </c>
    </row>
    <row r="1700" ht="46.5" spans="1:6">
      <c r="A1700" s="6" t="s">
        <v>4234</v>
      </c>
      <c r="B1700" s="3" t="s">
        <v>4235</v>
      </c>
      <c r="C1700" s="4" t="s">
        <v>16</v>
      </c>
      <c r="D1700" s="7">
        <v>2808.55</v>
      </c>
      <c r="E1700" s="8" t="s">
        <v>7805</v>
      </c>
      <c r="F1700" s="9">
        <v>225</v>
      </c>
    </row>
    <row r="1701" ht="201.5" spans="1:6">
      <c r="A1701" s="6" t="s">
        <v>4236</v>
      </c>
      <c r="B1701" s="12" t="s">
        <v>4237</v>
      </c>
      <c r="C1701" s="4" t="s">
        <v>16</v>
      </c>
      <c r="D1701" s="7">
        <v>2914.3</v>
      </c>
      <c r="E1701" s="8" t="s">
        <v>7805</v>
      </c>
      <c r="F1701" s="9">
        <v>225</v>
      </c>
    </row>
    <row r="1702" ht="263.5" spans="1:6">
      <c r="A1702" s="6" t="s">
        <v>4238</v>
      </c>
      <c r="B1702" s="12" t="s">
        <v>4239</v>
      </c>
      <c r="C1702" s="4" t="s">
        <v>16</v>
      </c>
      <c r="D1702" s="7">
        <v>4148.65</v>
      </c>
      <c r="E1702" s="8" t="s">
        <v>7806</v>
      </c>
      <c r="F1702" s="9">
        <v>450</v>
      </c>
    </row>
    <row r="1703" ht="409.5" spans="1:6">
      <c r="A1703" s="6" t="s">
        <v>4240</v>
      </c>
      <c r="B1703" s="12" t="s">
        <v>7807</v>
      </c>
      <c r="C1703" s="4" t="s">
        <v>49</v>
      </c>
      <c r="D1703" s="7">
        <v>3439.5</v>
      </c>
      <c r="E1703" s="8" t="s">
        <v>7808</v>
      </c>
      <c r="F1703" s="9">
        <v>2.5</v>
      </c>
    </row>
    <row r="1704" ht="124" spans="1:6">
      <c r="A1704" s="6" t="s">
        <v>4242</v>
      </c>
      <c r="B1704" s="12" t="s">
        <v>4243</v>
      </c>
      <c r="C1704" s="4" t="s">
        <v>49</v>
      </c>
      <c r="D1704" s="7">
        <v>39.35</v>
      </c>
      <c r="E1704" s="8" t="s">
        <v>7556</v>
      </c>
      <c r="F1704" s="9">
        <v>100</v>
      </c>
    </row>
    <row r="1705" ht="124" spans="1:6">
      <c r="A1705" s="6" t="s">
        <v>4244</v>
      </c>
      <c r="B1705" s="12" t="s">
        <v>4245</v>
      </c>
      <c r="C1705" s="4" t="s">
        <v>12</v>
      </c>
      <c r="D1705" s="7">
        <v>131.75</v>
      </c>
      <c r="E1705" s="8" t="s">
        <v>7397</v>
      </c>
      <c r="F1705" s="9">
        <v>10</v>
      </c>
    </row>
    <row r="1706" ht="139.5" spans="1:6">
      <c r="A1706" s="6" t="s">
        <v>4246</v>
      </c>
      <c r="B1706" s="12" t="s">
        <v>4247</v>
      </c>
      <c r="C1706" s="4" t="s">
        <v>12</v>
      </c>
      <c r="D1706" s="7">
        <v>402.95</v>
      </c>
      <c r="E1706" s="8" t="s">
        <v>7397</v>
      </c>
      <c r="F1706" s="9">
        <v>10</v>
      </c>
    </row>
    <row r="1707" ht="217" spans="1:6">
      <c r="A1707" s="6" t="s">
        <v>4248</v>
      </c>
      <c r="B1707" s="12" t="s">
        <v>4249</v>
      </c>
      <c r="C1707" s="4" t="s">
        <v>49</v>
      </c>
      <c r="D1707" s="7">
        <v>109.45</v>
      </c>
      <c r="E1707" s="8" t="s">
        <v>7556</v>
      </c>
      <c r="F1707" s="9">
        <v>100</v>
      </c>
    </row>
    <row r="1708" ht="31" spans="1:6">
      <c r="A1708" s="6" t="s">
        <v>4252</v>
      </c>
      <c r="B1708" s="3" t="s">
        <v>4253</v>
      </c>
      <c r="C1708" s="4" t="s">
        <v>12</v>
      </c>
      <c r="D1708" s="7">
        <v>4746.2</v>
      </c>
      <c r="E1708" s="8" t="s">
        <v>7809</v>
      </c>
      <c r="F1708" s="9">
        <v>0.5</v>
      </c>
    </row>
    <row r="1709" ht="46.5" spans="1:6">
      <c r="A1709" s="6" t="s">
        <v>4256</v>
      </c>
      <c r="B1709" s="3" t="s">
        <v>4257</v>
      </c>
      <c r="C1709" s="4" t="s">
        <v>12</v>
      </c>
      <c r="D1709" s="7">
        <v>4950.9</v>
      </c>
      <c r="E1709" s="8" t="s">
        <v>7809</v>
      </c>
      <c r="F1709" s="9">
        <v>0.5</v>
      </c>
    </row>
    <row r="1710" ht="46.5" spans="1:6">
      <c r="A1710" s="6" t="s">
        <v>4258</v>
      </c>
      <c r="B1710" s="3" t="s">
        <v>4259</v>
      </c>
      <c r="C1710" s="4" t="s">
        <v>12</v>
      </c>
      <c r="D1710" s="7">
        <v>5272.05</v>
      </c>
      <c r="E1710" s="8" t="s">
        <v>7809</v>
      </c>
      <c r="F1710" s="9">
        <v>0.5</v>
      </c>
    </row>
    <row r="1711" ht="201.5" spans="1:6">
      <c r="A1711" s="6" t="s">
        <v>4260</v>
      </c>
      <c r="B1711" s="12" t="s">
        <v>4261</v>
      </c>
      <c r="C1711" s="4" t="s">
        <v>12</v>
      </c>
      <c r="D1711" s="7">
        <v>2159.85</v>
      </c>
      <c r="E1711" s="8" t="s">
        <v>7397</v>
      </c>
      <c r="F1711" s="9">
        <v>10</v>
      </c>
    </row>
    <row r="1712" ht="201.5" spans="1:6">
      <c r="A1712" s="6" t="s">
        <v>4262</v>
      </c>
      <c r="B1712" s="12" t="s">
        <v>4263</v>
      </c>
      <c r="C1712" s="4" t="s">
        <v>12</v>
      </c>
      <c r="D1712" s="7">
        <v>1455.65</v>
      </c>
      <c r="E1712" s="8" t="s">
        <v>7397</v>
      </c>
      <c r="F1712" s="9">
        <v>10</v>
      </c>
    </row>
    <row r="1713" ht="217" spans="1:6">
      <c r="A1713" s="6" t="s">
        <v>4264</v>
      </c>
      <c r="B1713" s="12" t="s">
        <v>4265</v>
      </c>
      <c r="C1713" s="4" t="s">
        <v>12</v>
      </c>
      <c r="D1713" s="7">
        <v>2017.6</v>
      </c>
      <c r="E1713" s="8" t="s">
        <v>7397</v>
      </c>
      <c r="F1713" s="9">
        <v>10</v>
      </c>
    </row>
    <row r="1714" ht="46.5" spans="1:6">
      <c r="A1714" s="6" t="s">
        <v>4268</v>
      </c>
      <c r="B1714" s="3" t="s">
        <v>4269</v>
      </c>
      <c r="C1714" s="4" t="s">
        <v>12</v>
      </c>
      <c r="D1714" s="7">
        <v>1045.65</v>
      </c>
      <c r="E1714" s="8" t="s">
        <v>7397</v>
      </c>
      <c r="F1714" s="9">
        <v>10</v>
      </c>
    </row>
    <row r="1715" ht="46.5" spans="1:6">
      <c r="A1715" s="6" t="s">
        <v>4270</v>
      </c>
      <c r="B1715" s="3" t="s">
        <v>4271</v>
      </c>
      <c r="C1715" s="4" t="s">
        <v>12</v>
      </c>
      <c r="D1715" s="7">
        <v>1091.5</v>
      </c>
      <c r="E1715" s="8" t="s">
        <v>7397</v>
      </c>
      <c r="F1715" s="9">
        <v>10</v>
      </c>
    </row>
    <row r="1716" ht="139.5" spans="1:6">
      <c r="A1716" s="6" t="s">
        <v>4272</v>
      </c>
      <c r="B1716" s="12" t="s">
        <v>4273</v>
      </c>
      <c r="C1716" s="4" t="s">
        <v>12</v>
      </c>
      <c r="D1716" s="7">
        <v>2189.15</v>
      </c>
      <c r="E1716" s="8" t="s">
        <v>7397</v>
      </c>
      <c r="F1716" s="9">
        <v>10</v>
      </c>
    </row>
    <row r="1717" ht="279" spans="1:6">
      <c r="A1717" s="6" t="s">
        <v>4274</v>
      </c>
      <c r="B1717" s="12" t="s">
        <v>4275</v>
      </c>
      <c r="C1717" s="4" t="s">
        <v>12</v>
      </c>
      <c r="D1717" s="7">
        <v>3273.25</v>
      </c>
      <c r="E1717" s="8" t="s">
        <v>7579</v>
      </c>
      <c r="F1717" s="9">
        <v>6</v>
      </c>
    </row>
    <row r="1718" ht="263.5" spans="1:6">
      <c r="A1718" s="6" t="s">
        <v>4276</v>
      </c>
      <c r="B1718" s="12" t="s">
        <v>4277</v>
      </c>
      <c r="C1718" s="4" t="s">
        <v>16</v>
      </c>
      <c r="D1718" s="7">
        <v>4178</v>
      </c>
      <c r="E1718" s="8" t="s">
        <v>7810</v>
      </c>
      <c r="F1718" s="9">
        <v>2</v>
      </c>
    </row>
    <row r="1719" ht="279" spans="1:6">
      <c r="A1719" s="6" t="s">
        <v>4278</v>
      </c>
      <c r="B1719" s="12" t="s">
        <v>4279</v>
      </c>
      <c r="C1719" s="4" t="s">
        <v>16</v>
      </c>
      <c r="D1719" s="7">
        <v>4569.25</v>
      </c>
      <c r="E1719" s="8" t="s">
        <v>7810</v>
      </c>
      <c r="F1719" s="9">
        <v>2</v>
      </c>
    </row>
    <row r="1720" ht="279" spans="1:6">
      <c r="A1720" s="6" t="s">
        <v>4280</v>
      </c>
      <c r="B1720" s="12" t="s">
        <v>4281</v>
      </c>
      <c r="C1720" s="4" t="s">
        <v>16</v>
      </c>
      <c r="D1720" s="7">
        <v>4882.2</v>
      </c>
      <c r="E1720" s="8" t="s">
        <v>7810</v>
      </c>
      <c r="F1720" s="9">
        <v>2</v>
      </c>
    </row>
    <row r="1721" ht="15.5" spans="1:6">
      <c r="A1721" s="6" t="s">
        <v>204</v>
      </c>
      <c r="B1721" s="12" t="s">
        <v>2</v>
      </c>
      <c r="C1721" s="4" t="s">
        <v>3</v>
      </c>
      <c r="D1721" s="14" t="s">
        <v>4</v>
      </c>
      <c r="E1721" s="8"/>
      <c r="F1721" s="9"/>
    </row>
    <row r="1722" ht="46.5" spans="1:6">
      <c r="A1722" s="6" t="s">
        <v>4285</v>
      </c>
      <c r="B1722" s="3" t="s">
        <v>4286</v>
      </c>
      <c r="C1722" s="4" t="s">
        <v>156</v>
      </c>
      <c r="D1722" s="7">
        <v>6767.4</v>
      </c>
      <c r="E1722" s="8" t="s">
        <v>7544</v>
      </c>
      <c r="F1722" s="9">
        <v>1</v>
      </c>
    </row>
    <row r="1723" ht="62" spans="1:6">
      <c r="A1723" s="6" t="s">
        <v>4287</v>
      </c>
      <c r="B1723" s="3" t="s">
        <v>4288</v>
      </c>
      <c r="C1723" s="4" t="s">
        <v>156</v>
      </c>
      <c r="D1723" s="7">
        <v>11390.95</v>
      </c>
      <c r="E1723" s="8" t="s">
        <v>7544</v>
      </c>
      <c r="F1723" s="9">
        <v>1</v>
      </c>
    </row>
    <row r="1724" ht="31" spans="1:6">
      <c r="A1724" s="6" t="s">
        <v>4291</v>
      </c>
      <c r="B1724" s="3" t="s">
        <v>4292</v>
      </c>
      <c r="C1724" s="4" t="s">
        <v>156</v>
      </c>
      <c r="D1724" s="7">
        <v>6515.55</v>
      </c>
      <c r="E1724" s="8" t="s">
        <v>7544</v>
      </c>
      <c r="F1724" s="9">
        <v>1</v>
      </c>
    </row>
    <row r="1725" ht="31" spans="1:6">
      <c r="A1725" s="6" t="s">
        <v>4293</v>
      </c>
      <c r="B1725" s="3" t="s">
        <v>4294</v>
      </c>
      <c r="C1725" s="4" t="s">
        <v>156</v>
      </c>
      <c r="D1725" s="7">
        <v>6383.25</v>
      </c>
      <c r="E1725" s="8" t="s">
        <v>7544</v>
      </c>
      <c r="F1725" s="9">
        <v>1</v>
      </c>
    </row>
    <row r="1726" ht="31" spans="1:6">
      <c r="A1726" s="6" t="s">
        <v>4297</v>
      </c>
      <c r="B1726" s="3" t="s">
        <v>4292</v>
      </c>
      <c r="C1726" s="4" t="s">
        <v>156</v>
      </c>
      <c r="D1726" s="7">
        <v>8006.6</v>
      </c>
      <c r="E1726" s="8" t="s">
        <v>7544</v>
      </c>
      <c r="F1726" s="9">
        <v>1</v>
      </c>
    </row>
    <row r="1727" ht="31" spans="1:6">
      <c r="A1727" s="6" t="s">
        <v>4298</v>
      </c>
      <c r="B1727" s="3" t="s">
        <v>4294</v>
      </c>
      <c r="C1727" s="4" t="s">
        <v>156</v>
      </c>
      <c r="D1727" s="7">
        <v>7874.3</v>
      </c>
      <c r="E1727" s="8" t="s">
        <v>7544</v>
      </c>
      <c r="F1727" s="9">
        <v>1</v>
      </c>
    </row>
    <row r="1728" ht="31" spans="1:6">
      <c r="A1728" s="6" t="s">
        <v>4301</v>
      </c>
      <c r="B1728" s="3" t="s">
        <v>4302</v>
      </c>
      <c r="C1728" s="4" t="s">
        <v>156</v>
      </c>
      <c r="D1728" s="7">
        <v>6258.75</v>
      </c>
      <c r="E1728" s="8" t="s">
        <v>7544</v>
      </c>
      <c r="F1728" s="9">
        <v>1</v>
      </c>
    </row>
    <row r="1729" ht="31" spans="1:6">
      <c r="A1729" s="6" t="s">
        <v>4303</v>
      </c>
      <c r="B1729" s="3" t="s">
        <v>4304</v>
      </c>
      <c r="C1729" s="4" t="s">
        <v>156</v>
      </c>
      <c r="D1729" s="7">
        <v>9612.4</v>
      </c>
      <c r="E1729" s="8" t="s">
        <v>7544</v>
      </c>
      <c r="F1729" s="9">
        <v>1</v>
      </c>
    </row>
    <row r="1730" ht="31" spans="1:6">
      <c r="A1730" s="6" t="s">
        <v>4305</v>
      </c>
      <c r="B1730" s="3" t="s">
        <v>4306</v>
      </c>
      <c r="C1730" s="4" t="s">
        <v>156</v>
      </c>
      <c r="D1730" s="7">
        <v>13417.3</v>
      </c>
      <c r="E1730" s="8" t="s">
        <v>7544</v>
      </c>
      <c r="F1730" s="9">
        <v>1</v>
      </c>
    </row>
    <row r="1731" ht="31" spans="1:6">
      <c r="A1731" s="6" t="s">
        <v>4307</v>
      </c>
      <c r="B1731" s="3" t="s">
        <v>4308</v>
      </c>
      <c r="C1731" s="4" t="s">
        <v>156</v>
      </c>
      <c r="D1731" s="7">
        <v>18579.95</v>
      </c>
      <c r="E1731" s="8" t="s">
        <v>7544</v>
      </c>
      <c r="F1731" s="9">
        <v>1</v>
      </c>
    </row>
    <row r="1732" ht="31" spans="1:6">
      <c r="A1732" s="6" t="s">
        <v>4311</v>
      </c>
      <c r="B1732" s="3" t="s">
        <v>4312</v>
      </c>
      <c r="C1732" s="4" t="s">
        <v>156</v>
      </c>
      <c r="D1732" s="7">
        <v>12071.75</v>
      </c>
      <c r="E1732" s="8" t="s">
        <v>7544</v>
      </c>
      <c r="F1732" s="9">
        <v>1</v>
      </c>
    </row>
    <row r="1733" ht="31" spans="1:6">
      <c r="A1733" s="6" t="s">
        <v>4313</v>
      </c>
      <c r="B1733" s="3" t="s">
        <v>4314</v>
      </c>
      <c r="C1733" s="4" t="s">
        <v>156</v>
      </c>
      <c r="D1733" s="7">
        <v>18008.75</v>
      </c>
      <c r="E1733" s="8" t="s">
        <v>7544</v>
      </c>
      <c r="F1733" s="9">
        <v>1</v>
      </c>
    </row>
    <row r="1734" ht="31" spans="1:6">
      <c r="A1734" s="6" t="s">
        <v>4315</v>
      </c>
      <c r="B1734" s="3" t="s">
        <v>4316</v>
      </c>
      <c r="C1734" s="4" t="s">
        <v>156</v>
      </c>
      <c r="D1734" s="7">
        <v>22058.25</v>
      </c>
      <c r="E1734" s="8" t="s">
        <v>7544</v>
      </c>
      <c r="F1734" s="9">
        <v>1</v>
      </c>
    </row>
    <row r="1735" ht="31" spans="1:6">
      <c r="A1735" s="6" t="s">
        <v>4317</v>
      </c>
      <c r="B1735" s="3" t="s">
        <v>4318</v>
      </c>
      <c r="C1735" s="4" t="s">
        <v>156</v>
      </c>
      <c r="D1735" s="7">
        <v>25969.45</v>
      </c>
      <c r="E1735" s="8" t="s">
        <v>7544</v>
      </c>
      <c r="F1735" s="9">
        <v>1</v>
      </c>
    </row>
    <row r="1736" ht="31" spans="1:6">
      <c r="A1736" s="6" t="s">
        <v>4321</v>
      </c>
      <c r="B1736" s="3" t="s">
        <v>4322</v>
      </c>
      <c r="C1736" s="4" t="s">
        <v>156</v>
      </c>
      <c r="D1736" s="7">
        <v>9256.45</v>
      </c>
      <c r="E1736" s="8" t="s">
        <v>7544</v>
      </c>
      <c r="F1736" s="9">
        <v>1</v>
      </c>
    </row>
    <row r="1737" ht="31" spans="1:6">
      <c r="A1737" s="6" t="s">
        <v>4323</v>
      </c>
      <c r="B1737" s="3" t="s">
        <v>4324</v>
      </c>
      <c r="C1737" s="4" t="s">
        <v>156</v>
      </c>
      <c r="D1737" s="7">
        <v>13476.35</v>
      </c>
      <c r="E1737" s="8" t="s">
        <v>7544</v>
      </c>
      <c r="F1737" s="9">
        <v>1</v>
      </c>
    </row>
    <row r="1738" ht="31" spans="1:6">
      <c r="A1738" s="6" t="s">
        <v>4325</v>
      </c>
      <c r="B1738" s="3" t="s">
        <v>4326</v>
      </c>
      <c r="C1738" s="4" t="s">
        <v>156</v>
      </c>
      <c r="D1738" s="7">
        <v>17702.2</v>
      </c>
      <c r="E1738" s="8" t="s">
        <v>7544</v>
      </c>
      <c r="F1738" s="9">
        <v>1</v>
      </c>
    </row>
    <row r="1739" ht="31" spans="1:6">
      <c r="A1739" s="6" t="s">
        <v>4327</v>
      </c>
      <c r="B1739" s="3" t="s">
        <v>4328</v>
      </c>
      <c r="C1739" s="4" t="s">
        <v>156</v>
      </c>
      <c r="D1739" s="7">
        <v>21203.2</v>
      </c>
      <c r="E1739" s="8" t="s">
        <v>7544</v>
      </c>
      <c r="F1739" s="9">
        <v>1</v>
      </c>
    </row>
    <row r="1740" ht="46.5" spans="1:6">
      <c r="A1740" s="6" t="s">
        <v>4331</v>
      </c>
      <c r="B1740" s="3" t="s">
        <v>4332</v>
      </c>
      <c r="C1740" s="4" t="s">
        <v>156</v>
      </c>
      <c r="D1740" s="7">
        <v>2648.85</v>
      </c>
      <c r="E1740" s="8" t="s">
        <v>7544</v>
      </c>
      <c r="F1740" s="9">
        <v>1</v>
      </c>
    </row>
    <row r="1741" ht="46.5" spans="1:6">
      <c r="A1741" s="6" t="s">
        <v>4333</v>
      </c>
      <c r="B1741" s="3" t="s">
        <v>4334</v>
      </c>
      <c r="C1741" s="4" t="s">
        <v>156</v>
      </c>
      <c r="D1741" s="7">
        <v>2226.35</v>
      </c>
      <c r="E1741" s="8" t="s">
        <v>7544</v>
      </c>
      <c r="F1741" s="9">
        <v>1</v>
      </c>
    </row>
    <row r="1742" ht="46.5" spans="1:6">
      <c r="A1742" s="6" t="s">
        <v>4335</v>
      </c>
      <c r="B1742" s="3" t="s">
        <v>4336</v>
      </c>
      <c r="C1742" s="4" t="s">
        <v>156</v>
      </c>
      <c r="D1742" s="7">
        <v>2301.75</v>
      </c>
      <c r="E1742" s="8" t="s">
        <v>7544</v>
      </c>
      <c r="F1742" s="9">
        <v>1</v>
      </c>
    </row>
    <row r="1743" ht="46.5" spans="1:6">
      <c r="A1743" s="6" t="s">
        <v>4337</v>
      </c>
      <c r="B1743" s="3" t="s">
        <v>4338</v>
      </c>
      <c r="C1743" s="4" t="s">
        <v>156</v>
      </c>
      <c r="D1743" s="7">
        <v>1879.2</v>
      </c>
      <c r="E1743" s="8" t="s">
        <v>7544</v>
      </c>
      <c r="F1743" s="9">
        <v>1</v>
      </c>
    </row>
    <row r="1744" ht="46.5" spans="1:6">
      <c r="A1744" s="6" t="s">
        <v>4339</v>
      </c>
      <c r="B1744" s="3" t="s">
        <v>4340</v>
      </c>
      <c r="C1744" s="4" t="s">
        <v>156</v>
      </c>
      <c r="D1744" s="7">
        <v>2226.35</v>
      </c>
      <c r="E1744" s="8" t="s">
        <v>7544</v>
      </c>
      <c r="F1744" s="9">
        <v>1</v>
      </c>
    </row>
    <row r="1745" ht="46.5" spans="1:6">
      <c r="A1745" s="6" t="s">
        <v>4341</v>
      </c>
      <c r="B1745" s="3" t="s">
        <v>4342</v>
      </c>
      <c r="C1745" s="4" t="s">
        <v>156</v>
      </c>
      <c r="D1745" s="7">
        <v>1756.85</v>
      </c>
      <c r="E1745" s="8" t="s">
        <v>7544</v>
      </c>
      <c r="F1745" s="9">
        <v>1</v>
      </c>
    </row>
    <row r="1746" ht="46.5" spans="1:6">
      <c r="A1746" s="6" t="s">
        <v>4343</v>
      </c>
      <c r="B1746" s="3" t="s">
        <v>4344</v>
      </c>
      <c r="C1746" s="4" t="s">
        <v>156</v>
      </c>
      <c r="D1746" s="7">
        <v>1513.6</v>
      </c>
      <c r="E1746" s="8" t="s">
        <v>7544</v>
      </c>
      <c r="F1746" s="9">
        <v>1</v>
      </c>
    </row>
    <row r="1747" ht="62" spans="1:6">
      <c r="A1747" s="6" t="s">
        <v>4345</v>
      </c>
      <c r="B1747" s="3" t="s">
        <v>4346</v>
      </c>
      <c r="C1747" s="4" t="s">
        <v>156</v>
      </c>
      <c r="D1747" s="7">
        <v>3600.6</v>
      </c>
      <c r="E1747" s="8" t="s">
        <v>7544</v>
      </c>
      <c r="F1747" s="9">
        <v>1</v>
      </c>
    </row>
    <row r="1748" ht="62" spans="1:6">
      <c r="A1748" s="6" t="s">
        <v>4347</v>
      </c>
      <c r="B1748" s="3" t="s">
        <v>4348</v>
      </c>
      <c r="C1748" s="4" t="s">
        <v>156</v>
      </c>
      <c r="D1748" s="7">
        <v>2940.5</v>
      </c>
      <c r="E1748" s="8" t="s">
        <v>7544</v>
      </c>
      <c r="F1748" s="9">
        <v>1</v>
      </c>
    </row>
    <row r="1749" ht="46.5" spans="1:6">
      <c r="A1749" s="6" t="s">
        <v>4349</v>
      </c>
      <c r="B1749" s="3" t="s">
        <v>4350</v>
      </c>
      <c r="C1749" s="4" t="s">
        <v>156</v>
      </c>
      <c r="D1749" s="7">
        <v>3438.4</v>
      </c>
      <c r="E1749" s="8" t="s">
        <v>7544</v>
      </c>
      <c r="F1749" s="9">
        <v>1</v>
      </c>
    </row>
    <row r="1750" ht="46.5" spans="1:6">
      <c r="A1750" s="6" t="s">
        <v>4351</v>
      </c>
      <c r="B1750" s="3" t="s">
        <v>4352</v>
      </c>
      <c r="C1750" s="4" t="s">
        <v>156</v>
      </c>
      <c r="D1750" s="7">
        <v>4149.75</v>
      </c>
      <c r="E1750" s="8" t="s">
        <v>7544</v>
      </c>
      <c r="F1750" s="9">
        <v>1</v>
      </c>
    </row>
    <row r="1751" ht="139.5" spans="1:6">
      <c r="A1751" s="6" t="s">
        <v>4353</v>
      </c>
      <c r="B1751" s="12" t="s">
        <v>4354</v>
      </c>
      <c r="C1751" s="4" t="s">
        <v>156</v>
      </c>
      <c r="D1751" s="7">
        <v>3960.55</v>
      </c>
      <c r="E1751" s="8" t="s">
        <v>7544</v>
      </c>
      <c r="F1751" s="9">
        <v>1</v>
      </c>
    </row>
    <row r="1752" ht="124" spans="1:6">
      <c r="A1752" s="6" t="s">
        <v>4355</v>
      </c>
      <c r="B1752" s="12" t="s">
        <v>4356</v>
      </c>
      <c r="C1752" s="4" t="s">
        <v>156</v>
      </c>
      <c r="D1752" s="7">
        <v>1550.6</v>
      </c>
      <c r="E1752" s="8" t="s">
        <v>7544</v>
      </c>
      <c r="F1752" s="9">
        <v>1</v>
      </c>
    </row>
    <row r="1753" ht="62" spans="1:6">
      <c r="A1753" s="6" t="s">
        <v>4357</v>
      </c>
      <c r="B1753" s="12" t="s">
        <v>4358</v>
      </c>
      <c r="C1753" s="4" t="s">
        <v>156</v>
      </c>
      <c r="D1753" s="7">
        <v>1683.35</v>
      </c>
      <c r="E1753" s="8" t="s">
        <v>7544</v>
      </c>
      <c r="F1753" s="9">
        <v>1</v>
      </c>
    </row>
    <row r="1754" ht="31" spans="1:6">
      <c r="A1754" s="6" t="s">
        <v>4361</v>
      </c>
      <c r="B1754" s="3" t="s">
        <v>4362</v>
      </c>
      <c r="C1754" s="4" t="s">
        <v>156</v>
      </c>
      <c r="D1754" s="7">
        <v>3892.75</v>
      </c>
      <c r="E1754" s="8" t="s">
        <v>7544</v>
      </c>
      <c r="F1754" s="9">
        <v>1</v>
      </c>
    </row>
    <row r="1755" ht="15.5" spans="1:6">
      <c r="A1755" s="6" t="s">
        <v>4367</v>
      </c>
      <c r="B1755" s="3" t="s">
        <v>4368</v>
      </c>
      <c r="C1755" s="4" t="s">
        <v>156</v>
      </c>
      <c r="D1755" s="7">
        <v>6945.6</v>
      </c>
      <c r="E1755" s="8" t="s">
        <v>7544</v>
      </c>
      <c r="F1755" s="9">
        <v>1</v>
      </c>
    </row>
    <row r="1756" ht="15.5" spans="1:6">
      <c r="A1756" s="6" t="s">
        <v>4369</v>
      </c>
      <c r="B1756" s="3" t="s">
        <v>4370</v>
      </c>
      <c r="C1756" s="4" t="s">
        <v>156</v>
      </c>
      <c r="D1756" s="7">
        <v>7514.65</v>
      </c>
      <c r="E1756" s="8" t="s">
        <v>7544</v>
      </c>
      <c r="F1756" s="9">
        <v>1</v>
      </c>
    </row>
    <row r="1757" ht="15.5" spans="1:6">
      <c r="A1757" s="6" t="s">
        <v>4371</v>
      </c>
      <c r="B1757" s="3" t="s">
        <v>4372</v>
      </c>
      <c r="C1757" s="4" t="s">
        <v>156</v>
      </c>
      <c r="D1757" s="7">
        <v>7159</v>
      </c>
      <c r="E1757" s="8" t="s">
        <v>7544</v>
      </c>
      <c r="F1757" s="9">
        <v>1</v>
      </c>
    </row>
    <row r="1758" ht="15.5" spans="1:6">
      <c r="A1758" s="6" t="s">
        <v>4373</v>
      </c>
      <c r="B1758" s="3" t="s">
        <v>4374</v>
      </c>
      <c r="C1758" s="4" t="s">
        <v>156</v>
      </c>
      <c r="D1758" s="7">
        <v>6917.2</v>
      </c>
      <c r="E1758" s="8" t="s">
        <v>7544</v>
      </c>
      <c r="F1758" s="9">
        <v>1</v>
      </c>
    </row>
    <row r="1759" ht="15.5" spans="1:6">
      <c r="A1759" s="6" t="s">
        <v>4377</v>
      </c>
      <c r="B1759" s="3" t="s">
        <v>4378</v>
      </c>
      <c r="C1759" s="4" t="s">
        <v>156</v>
      </c>
      <c r="D1759" s="7">
        <v>4940.8</v>
      </c>
      <c r="E1759" s="8" t="s">
        <v>7544</v>
      </c>
      <c r="F1759" s="9">
        <v>1</v>
      </c>
    </row>
    <row r="1760" ht="15.5" spans="1:6">
      <c r="A1760" s="6" t="s">
        <v>4379</v>
      </c>
      <c r="B1760" s="3" t="s">
        <v>4380</v>
      </c>
      <c r="C1760" s="4" t="s">
        <v>156</v>
      </c>
      <c r="D1760" s="7">
        <v>3873.8</v>
      </c>
      <c r="E1760" s="8" t="s">
        <v>7544</v>
      </c>
      <c r="F1760" s="9">
        <v>1</v>
      </c>
    </row>
    <row r="1761" ht="15.5" spans="1:6">
      <c r="A1761" s="6" t="s">
        <v>4381</v>
      </c>
      <c r="B1761" s="3" t="s">
        <v>4382</v>
      </c>
      <c r="C1761" s="4" t="s">
        <v>156</v>
      </c>
      <c r="D1761" s="7">
        <v>3407.2</v>
      </c>
      <c r="E1761" s="8" t="s">
        <v>7544</v>
      </c>
      <c r="F1761" s="9">
        <v>1</v>
      </c>
    </row>
    <row r="1762" ht="15.5" spans="1:6">
      <c r="A1762" s="6" t="s">
        <v>4385</v>
      </c>
      <c r="B1762" s="3" t="s">
        <v>4386</v>
      </c>
      <c r="C1762" s="4" t="s">
        <v>156</v>
      </c>
      <c r="D1762" s="7">
        <v>5020.85</v>
      </c>
      <c r="E1762" s="8" t="s">
        <v>7544</v>
      </c>
      <c r="F1762" s="9">
        <v>1</v>
      </c>
    </row>
    <row r="1763" ht="15.5" spans="1:6">
      <c r="A1763" s="6" t="s">
        <v>4387</v>
      </c>
      <c r="B1763" s="3" t="s">
        <v>4388</v>
      </c>
      <c r="C1763" s="4" t="s">
        <v>156</v>
      </c>
      <c r="D1763" s="7">
        <v>6585.8</v>
      </c>
      <c r="E1763" s="8" t="s">
        <v>7544</v>
      </c>
      <c r="F1763" s="9">
        <v>1</v>
      </c>
    </row>
    <row r="1764" ht="31" spans="1:6">
      <c r="A1764" s="6" t="s">
        <v>4391</v>
      </c>
      <c r="B1764" s="3" t="s">
        <v>4392</v>
      </c>
      <c r="C1764" s="4" t="s">
        <v>156</v>
      </c>
      <c r="D1764" s="7">
        <v>1579.65</v>
      </c>
      <c r="E1764" s="8" t="s">
        <v>7544</v>
      </c>
      <c r="F1764" s="9">
        <v>1</v>
      </c>
    </row>
    <row r="1765" ht="15.5" spans="1:6">
      <c r="A1765" s="6" t="s">
        <v>4395</v>
      </c>
      <c r="B1765" s="3" t="s">
        <v>4396</v>
      </c>
      <c r="C1765" s="4" t="s">
        <v>156</v>
      </c>
      <c r="D1765" s="7">
        <v>1959.8</v>
      </c>
      <c r="E1765" s="8" t="s">
        <v>7544</v>
      </c>
      <c r="F1765" s="9">
        <v>1</v>
      </c>
    </row>
    <row r="1766" ht="31" spans="1:6">
      <c r="A1766" s="6" t="s">
        <v>4397</v>
      </c>
      <c r="B1766" s="3" t="s">
        <v>4398</v>
      </c>
      <c r="C1766" s="4" t="s">
        <v>156</v>
      </c>
      <c r="D1766" s="7">
        <v>3169.05</v>
      </c>
      <c r="E1766" s="8" t="s">
        <v>7544</v>
      </c>
      <c r="F1766" s="9">
        <v>1</v>
      </c>
    </row>
    <row r="1767" ht="15.5" spans="1:6">
      <c r="A1767" s="6" t="s">
        <v>4401</v>
      </c>
      <c r="B1767" s="3" t="s">
        <v>4402</v>
      </c>
      <c r="C1767" s="4" t="s">
        <v>156</v>
      </c>
      <c r="D1767" s="7">
        <v>426.8</v>
      </c>
      <c r="E1767" s="8" t="s">
        <v>7544</v>
      </c>
      <c r="F1767" s="9">
        <v>1</v>
      </c>
    </row>
    <row r="1768" ht="46.5" spans="1:6">
      <c r="A1768" s="6" t="s">
        <v>4403</v>
      </c>
      <c r="B1768" s="12" t="s">
        <v>4404</v>
      </c>
      <c r="C1768" s="4" t="s">
        <v>156</v>
      </c>
      <c r="D1768" s="7">
        <v>2784.95</v>
      </c>
      <c r="E1768" s="8" t="s">
        <v>7544</v>
      </c>
      <c r="F1768" s="9">
        <v>1</v>
      </c>
    </row>
    <row r="1769" ht="62" spans="1:6">
      <c r="A1769" s="6" t="s">
        <v>4405</v>
      </c>
      <c r="B1769" s="12" t="s">
        <v>4406</v>
      </c>
      <c r="C1769" s="4" t="s">
        <v>156</v>
      </c>
      <c r="D1769" s="7">
        <v>170.7</v>
      </c>
      <c r="E1769" s="8" t="s">
        <v>7544</v>
      </c>
      <c r="F1769" s="9">
        <v>1</v>
      </c>
    </row>
    <row r="1770" ht="77.5" spans="1:6">
      <c r="A1770" s="6" t="s">
        <v>4407</v>
      </c>
      <c r="B1770" s="12" t="s">
        <v>4408</v>
      </c>
      <c r="C1770" s="4" t="s">
        <v>156</v>
      </c>
      <c r="D1770" s="7">
        <v>349.15</v>
      </c>
      <c r="E1770" s="8" t="s">
        <v>7544</v>
      </c>
      <c r="F1770" s="9">
        <v>1</v>
      </c>
    </row>
    <row r="1771" ht="15.5" spans="1:6">
      <c r="A1771" s="6" t="s">
        <v>4411</v>
      </c>
      <c r="B1771" s="3" t="s">
        <v>4412</v>
      </c>
      <c r="C1771" s="4" t="s">
        <v>2735</v>
      </c>
      <c r="D1771" s="7">
        <v>244.85</v>
      </c>
      <c r="E1771" s="8" t="s">
        <v>7707</v>
      </c>
      <c r="F1771" s="9">
        <v>1</v>
      </c>
    </row>
    <row r="1772" ht="15.5" spans="1:6">
      <c r="A1772" s="6" t="s">
        <v>4413</v>
      </c>
      <c r="B1772" s="3" t="s">
        <v>4414</v>
      </c>
      <c r="C1772" s="4" t="s">
        <v>2735</v>
      </c>
      <c r="D1772" s="7">
        <v>256.25</v>
      </c>
      <c r="E1772" s="8" t="s">
        <v>7707</v>
      </c>
      <c r="F1772" s="9">
        <v>1</v>
      </c>
    </row>
    <row r="1773" ht="15.5" spans="1:6">
      <c r="A1773" s="6" t="s">
        <v>4417</v>
      </c>
      <c r="B1773" s="3" t="s">
        <v>4418</v>
      </c>
      <c r="C1773" s="4" t="s">
        <v>156</v>
      </c>
      <c r="D1773" s="7">
        <v>1190.65</v>
      </c>
      <c r="E1773" s="8" t="s">
        <v>7544</v>
      </c>
      <c r="F1773" s="9">
        <v>1</v>
      </c>
    </row>
    <row r="1774" ht="15.5" spans="1:6">
      <c r="A1774" s="6" t="s">
        <v>4419</v>
      </c>
      <c r="B1774" s="3" t="s">
        <v>4420</v>
      </c>
      <c r="C1774" s="4" t="s">
        <v>156</v>
      </c>
      <c r="D1774" s="7">
        <v>1136.6</v>
      </c>
      <c r="E1774" s="8" t="s">
        <v>7544</v>
      </c>
      <c r="F1774" s="9">
        <v>1</v>
      </c>
    </row>
    <row r="1775" ht="15.5" spans="1:6">
      <c r="A1775" s="6" t="s">
        <v>4423</v>
      </c>
      <c r="B1775" s="3" t="s">
        <v>4424</v>
      </c>
      <c r="C1775" s="4" t="s">
        <v>156</v>
      </c>
      <c r="D1775" s="7">
        <v>2243.75</v>
      </c>
      <c r="E1775" s="8" t="s">
        <v>7544</v>
      </c>
      <c r="F1775" s="9">
        <v>1</v>
      </c>
    </row>
    <row r="1776" ht="15.5" spans="1:6">
      <c r="A1776" s="6" t="s">
        <v>4425</v>
      </c>
      <c r="B1776" s="3" t="s">
        <v>4426</v>
      </c>
      <c r="C1776" s="4" t="s">
        <v>156</v>
      </c>
      <c r="D1776" s="7">
        <v>2912.4</v>
      </c>
      <c r="E1776" s="8" t="s">
        <v>7544</v>
      </c>
      <c r="F1776" s="9">
        <v>1</v>
      </c>
    </row>
    <row r="1777" ht="15.5" spans="1:6">
      <c r="A1777" s="6" t="s">
        <v>4429</v>
      </c>
      <c r="B1777" s="3" t="s">
        <v>4430</v>
      </c>
      <c r="C1777" s="4" t="s">
        <v>156</v>
      </c>
      <c r="D1777" s="7">
        <v>684.85</v>
      </c>
      <c r="E1777" s="8" t="s">
        <v>7544</v>
      </c>
      <c r="F1777" s="9">
        <v>1</v>
      </c>
    </row>
    <row r="1778" ht="15.5" spans="1:6">
      <c r="A1778" s="6" t="s">
        <v>4431</v>
      </c>
      <c r="B1778" s="3" t="s">
        <v>4432</v>
      </c>
      <c r="C1778" s="4" t="s">
        <v>156</v>
      </c>
      <c r="D1778" s="7">
        <v>552.55</v>
      </c>
      <c r="E1778" s="8" t="s">
        <v>7544</v>
      </c>
      <c r="F1778" s="9">
        <v>1</v>
      </c>
    </row>
    <row r="1779" ht="31" spans="1:6">
      <c r="A1779" s="6" t="s">
        <v>4433</v>
      </c>
      <c r="B1779" s="3" t="s">
        <v>4434</v>
      </c>
      <c r="C1779" s="4" t="s">
        <v>156</v>
      </c>
      <c r="D1779" s="7">
        <v>590.95</v>
      </c>
      <c r="E1779" s="8" t="s">
        <v>7544</v>
      </c>
      <c r="F1779" s="9">
        <v>1</v>
      </c>
    </row>
    <row r="1780" ht="31" spans="1:6">
      <c r="A1780" s="6" t="s">
        <v>4435</v>
      </c>
      <c r="B1780" s="12" t="s">
        <v>4436</v>
      </c>
      <c r="C1780" s="4" t="s">
        <v>156</v>
      </c>
      <c r="D1780" s="7">
        <v>142.85</v>
      </c>
      <c r="E1780" s="8" t="s">
        <v>7544</v>
      </c>
      <c r="F1780" s="9">
        <v>1</v>
      </c>
    </row>
    <row r="1781" ht="62" spans="1:6">
      <c r="A1781" s="6" t="s">
        <v>4437</v>
      </c>
      <c r="B1781" s="12" t="s">
        <v>4438</v>
      </c>
      <c r="C1781" s="4" t="s">
        <v>156</v>
      </c>
      <c r="D1781" s="7">
        <v>1034.8</v>
      </c>
      <c r="E1781" s="8" t="s">
        <v>7544</v>
      </c>
      <c r="F1781" s="9">
        <v>1</v>
      </c>
    </row>
    <row r="1782" ht="62" spans="1:6">
      <c r="A1782" s="6" t="s">
        <v>4439</v>
      </c>
      <c r="B1782" s="12" t="s">
        <v>4440</v>
      </c>
      <c r="C1782" s="4" t="s">
        <v>156</v>
      </c>
      <c r="D1782" s="7">
        <v>6940.75</v>
      </c>
      <c r="E1782" s="8" t="s">
        <v>7544</v>
      </c>
      <c r="F1782" s="9">
        <v>1</v>
      </c>
    </row>
    <row r="1783" ht="62" spans="1:6">
      <c r="A1783" s="6" t="s">
        <v>4441</v>
      </c>
      <c r="B1783" s="12" t="s">
        <v>4442</v>
      </c>
      <c r="C1783" s="4" t="s">
        <v>156</v>
      </c>
      <c r="D1783" s="7">
        <v>1648.95</v>
      </c>
      <c r="E1783" s="8" t="s">
        <v>7544</v>
      </c>
      <c r="F1783" s="9">
        <v>1</v>
      </c>
    </row>
    <row r="1784" ht="46.5" spans="1:6">
      <c r="A1784" s="6" t="s">
        <v>4443</v>
      </c>
      <c r="B1784" s="12" t="s">
        <v>4444</v>
      </c>
      <c r="C1784" s="4" t="s">
        <v>156</v>
      </c>
      <c r="D1784" s="7">
        <v>4048.65</v>
      </c>
      <c r="E1784" s="8" t="s">
        <v>7544</v>
      </c>
      <c r="F1784" s="9">
        <v>1</v>
      </c>
    </row>
    <row r="1785" ht="15.5" spans="1:6">
      <c r="A1785" s="6" t="s">
        <v>4447</v>
      </c>
      <c r="B1785" s="3" t="s">
        <v>4448</v>
      </c>
      <c r="C1785" s="4" t="s">
        <v>156</v>
      </c>
      <c r="D1785" s="7">
        <v>1339.7</v>
      </c>
      <c r="E1785" s="8" t="s">
        <v>7544</v>
      </c>
      <c r="F1785" s="9">
        <v>1</v>
      </c>
    </row>
    <row r="1786" ht="15.5" spans="1:6">
      <c r="A1786" s="6" t="s">
        <v>4449</v>
      </c>
      <c r="B1786" s="3" t="s">
        <v>4450</v>
      </c>
      <c r="C1786" s="4" t="s">
        <v>156</v>
      </c>
      <c r="D1786" s="7">
        <v>992.6</v>
      </c>
      <c r="E1786" s="8" t="s">
        <v>7544</v>
      </c>
      <c r="F1786" s="9">
        <v>1</v>
      </c>
    </row>
    <row r="1787" ht="31" spans="1:6">
      <c r="A1787" s="6" t="s">
        <v>4451</v>
      </c>
      <c r="B1787" s="3" t="s">
        <v>4452</v>
      </c>
      <c r="C1787" s="4" t="s">
        <v>156</v>
      </c>
      <c r="D1787" s="7">
        <v>1339.7</v>
      </c>
      <c r="E1787" s="8" t="s">
        <v>7544</v>
      </c>
      <c r="F1787" s="9">
        <v>1</v>
      </c>
    </row>
    <row r="1788" ht="31" spans="1:6">
      <c r="A1788" s="6" t="s">
        <v>4453</v>
      </c>
      <c r="B1788" s="3" t="s">
        <v>4454</v>
      </c>
      <c r="C1788" s="4" t="s">
        <v>156</v>
      </c>
      <c r="D1788" s="7">
        <v>870.25</v>
      </c>
      <c r="E1788" s="8" t="s">
        <v>7544</v>
      </c>
      <c r="F1788" s="9">
        <v>1</v>
      </c>
    </row>
    <row r="1789" ht="15.5" spans="1:6">
      <c r="A1789" s="6" t="s">
        <v>4455</v>
      </c>
      <c r="B1789" s="3" t="s">
        <v>4456</v>
      </c>
      <c r="C1789" s="4" t="s">
        <v>156</v>
      </c>
      <c r="D1789" s="7">
        <v>627</v>
      </c>
      <c r="E1789" s="8" t="s">
        <v>7544</v>
      </c>
      <c r="F1789" s="9">
        <v>1</v>
      </c>
    </row>
    <row r="1790" ht="31" spans="1:6">
      <c r="A1790" s="6" t="s">
        <v>4457</v>
      </c>
      <c r="B1790" s="3" t="s">
        <v>4458</v>
      </c>
      <c r="C1790" s="4" t="s">
        <v>156</v>
      </c>
      <c r="D1790" s="7">
        <v>1816.3</v>
      </c>
      <c r="E1790" s="8" t="s">
        <v>7544</v>
      </c>
      <c r="F1790" s="9">
        <v>1</v>
      </c>
    </row>
    <row r="1791" ht="31" spans="1:6">
      <c r="A1791" s="6" t="s">
        <v>4461</v>
      </c>
      <c r="B1791" s="3" t="s">
        <v>4462</v>
      </c>
      <c r="C1791" s="4" t="s">
        <v>156</v>
      </c>
      <c r="D1791" s="7">
        <v>2199.8</v>
      </c>
      <c r="E1791" s="8" t="s">
        <v>7544</v>
      </c>
      <c r="F1791" s="9">
        <v>1</v>
      </c>
    </row>
    <row r="1792" ht="15.5" spans="1:6">
      <c r="A1792" s="6" t="s">
        <v>4465</v>
      </c>
      <c r="B1792" s="3" t="s">
        <v>4386</v>
      </c>
      <c r="C1792" s="4" t="s">
        <v>156</v>
      </c>
      <c r="D1792" s="7">
        <v>2512.75</v>
      </c>
      <c r="E1792" s="8" t="s">
        <v>7544</v>
      </c>
      <c r="F1792" s="9">
        <v>1</v>
      </c>
    </row>
    <row r="1793" ht="15.5" spans="1:6">
      <c r="A1793" s="6" t="s">
        <v>4466</v>
      </c>
      <c r="B1793" s="3" t="s">
        <v>4388</v>
      </c>
      <c r="C1793" s="4" t="s">
        <v>156</v>
      </c>
      <c r="D1793" s="7">
        <v>4077.65</v>
      </c>
      <c r="E1793" s="8" t="s">
        <v>7544</v>
      </c>
      <c r="F1793" s="9">
        <v>1</v>
      </c>
    </row>
    <row r="1794" ht="15.5" spans="1:6">
      <c r="A1794" s="6" t="s">
        <v>4471</v>
      </c>
      <c r="B1794" s="3" t="s">
        <v>3422</v>
      </c>
      <c r="C1794" s="4" t="s">
        <v>156</v>
      </c>
      <c r="D1794" s="7">
        <v>103.9</v>
      </c>
      <c r="E1794" s="8" t="s">
        <v>7544</v>
      </c>
      <c r="F1794" s="9">
        <v>1</v>
      </c>
    </row>
    <row r="1795" ht="15.5" spans="1:6">
      <c r="A1795" s="6" t="s">
        <v>4472</v>
      </c>
      <c r="B1795" s="3" t="s">
        <v>3424</v>
      </c>
      <c r="C1795" s="4" t="s">
        <v>156</v>
      </c>
      <c r="D1795" s="7">
        <v>116.7</v>
      </c>
      <c r="E1795" s="8" t="s">
        <v>7544</v>
      </c>
      <c r="F1795" s="9">
        <v>1</v>
      </c>
    </row>
    <row r="1796" ht="15.5" spans="1:6">
      <c r="A1796" s="6" t="s">
        <v>4475</v>
      </c>
      <c r="B1796" s="3" t="s">
        <v>3422</v>
      </c>
      <c r="C1796" s="4" t="s">
        <v>156</v>
      </c>
      <c r="D1796" s="7">
        <v>119.55</v>
      </c>
      <c r="E1796" s="8" t="s">
        <v>7544</v>
      </c>
      <c r="F1796" s="9">
        <v>1</v>
      </c>
    </row>
    <row r="1797" ht="15.5" spans="1:6">
      <c r="A1797" s="6" t="s">
        <v>4476</v>
      </c>
      <c r="B1797" s="3" t="s">
        <v>3424</v>
      </c>
      <c r="C1797" s="4" t="s">
        <v>156</v>
      </c>
      <c r="D1797" s="7">
        <v>119.55</v>
      </c>
      <c r="E1797" s="8" t="s">
        <v>7544</v>
      </c>
      <c r="F1797" s="9">
        <v>1</v>
      </c>
    </row>
    <row r="1798" ht="31" spans="1:6">
      <c r="A1798" s="6" t="s">
        <v>4477</v>
      </c>
      <c r="B1798" s="12" t="s">
        <v>4478</v>
      </c>
      <c r="C1798" s="4" t="s">
        <v>156</v>
      </c>
      <c r="D1798" s="7">
        <v>53.25</v>
      </c>
      <c r="E1798" s="8" t="s">
        <v>7544</v>
      </c>
      <c r="F1798" s="9">
        <v>1</v>
      </c>
    </row>
    <row r="1799" ht="46.5" spans="1:6">
      <c r="A1799" s="6" t="s">
        <v>4479</v>
      </c>
      <c r="B1799" s="12" t="s">
        <v>4480</v>
      </c>
      <c r="C1799" s="4" t="s">
        <v>156</v>
      </c>
      <c r="D1799" s="7">
        <v>55.65</v>
      </c>
      <c r="E1799" s="8" t="s">
        <v>7544</v>
      </c>
      <c r="F1799" s="9">
        <v>1</v>
      </c>
    </row>
    <row r="1800" ht="77.5" spans="1:6">
      <c r="A1800" s="6" t="s">
        <v>4481</v>
      </c>
      <c r="B1800" s="12" t="s">
        <v>4482</v>
      </c>
      <c r="C1800" s="4" t="s">
        <v>156</v>
      </c>
      <c r="D1800" s="7">
        <v>1607.95</v>
      </c>
      <c r="E1800" s="8" t="s">
        <v>7544</v>
      </c>
      <c r="F1800" s="9">
        <v>1</v>
      </c>
    </row>
    <row r="1801" ht="15.5" spans="1:6">
      <c r="A1801" s="6" t="s">
        <v>4485</v>
      </c>
      <c r="B1801" s="3" t="s">
        <v>4486</v>
      </c>
      <c r="C1801" s="4" t="s">
        <v>156</v>
      </c>
      <c r="D1801" s="7">
        <v>1479.05</v>
      </c>
      <c r="E1801" s="8" t="s">
        <v>7544</v>
      </c>
      <c r="F1801" s="9">
        <v>1</v>
      </c>
    </row>
    <row r="1802" ht="15.5" spans="1:6">
      <c r="A1802" s="6" t="s">
        <v>4487</v>
      </c>
      <c r="B1802" s="3" t="s">
        <v>4488</v>
      </c>
      <c r="C1802" s="4" t="s">
        <v>156</v>
      </c>
      <c r="D1802" s="7">
        <v>1361.8</v>
      </c>
      <c r="E1802" s="8" t="s">
        <v>7544</v>
      </c>
      <c r="F1802" s="9">
        <v>1</v>
      </c>
    </row>
    <row r="1803" ht="31" spans="1:6">
      <c r="A1803" s="6" t="s">
        <v>4489</v>
      </c>
      <c r="B1803" s="3" t="s">
        <v>4490</v>
      </c>
      <c r="C1803" s="4" t="s">
        <v>156</v>
      </c>
      <c r="D1803" s="7">
        <v>1377.1</v>
      </c>
      <c r="E1803" s="8" t="s">
        <v>7544</v>
      </c>
      <c r="F1803" s="9">
        <v>1</v>
      </c>
    </row>
    <row r="1804" ht="15.5" spans="1:6">
      <c r="A1804" s="6" t="s">
        <v>4491</v>
      </c>
      <c r="B1804" s="3" t="s">
        <v>4492</v>
      </c>
      <c r="C1804" s="4" t="s">
        <v>156</v>
      </c>
      <c r="D1804" s="7">
        <v>2093</v>
      </c>
      <c r="E1804" s="8" t="s">
        <v>7544</v>
      </c>
      <c r="F1804" s="9">
        <v>1</v>
      </c>
    </row>
    <row r="1805" ht="93" spans="1:6">
      <c r="A1805" s="6" t="s">
        <v>4493</v>
      </c>
      <c r="B1805" s="12" t="s">
        <v>4494</v>
      </c>
      <c r="C1805" s="4" t="s">
        <v>156</v>
      </c>
      <c r="D1805" s="7">
        <v>1083.5</v>
      </c>
      <c r="E1805" s="8" t="s">
        <v>7544</v>
      </c>
      <c r="F1805" s="9">
        <v>1</v>
      </c>
    </row>
    <row r="1806" ht="15.5" spans="1:6">
      <c r="A1806" s="6" t="s">
        <v>4497</v>
      </c>
      <c r="B1806" s="3" t="s">
        <v>4498</v>
      </c>
      <c r="C1806" s="4" t="s">
        <v>156</v>
      </c>
      <c r="D1806" s="7">
        <v>803.7</v>
      </c>
      <c r="E1806" s="8" t="s">
        <v>7544</v>
      </c>
      <c r="F1806" s="9">
        <v>1</v>
      </c>
    </row>
    <row r="1807" ht="15.5" spans="1:6">
      <c r="A1807" s="6" t="s">
        <v>4499</v>
      </c>
      <c r="B1807" s="3" t="s">
        <v>4500</v>
      </c>
      <c r="C1807" s="4" t="s">
        <v>156</v>
      </c>
      <c r="D1807" s="7">
        <v>546.35</v>
      </c>
      <c r="E1807" s="8" t="s">
        <v>7544</v>
      </c>
      <c r="F1807" s="9">
        <v>1</v>
      </c>
    </row>
    <row r="1808" ht="15.5" spans="1:6">
      <c r="A1808" s="6" t="s">
        <v>4505</v>
      </c>
      <c r="B1808" s="3" t="s">
        <v>4506</v>
      </c>
      <c r="C1808" s="4" t="s">
        <v>49</v>
      </c>
      <c r="D1808" s="7">
        <v>1151.9</v>
      </c>
      <c r="E1808" s="8" t="s">
        <v>7811</v>
      </c>
      <c r="F1808" s="9">
        <v>17.37</v>
      </c>
    </row>
    <row r="1809" ht="31" spans="1:6">
      <c r="A1809" s="6" t="s">
        <v>4507</v>
      </c>
      <c r="B1809" s="3" t="s">
        <v>4508</v>
      </c>
      <c r="C1809" s="4" t="s">
        <v>49</v>
      </c>
      <c r="D1809" s="7">
        <v>1180.75</v>
      </c>
      <c r="E1809" s="8" t="s">
        <v>7812</v>
      </c>
      <c r="F1809" s="9">
        <v>16.87</v>
      </c>
    </row>
    <row r="1810" ht="46.5" spans="1:6">
      <c r="A1810" s="6" t="s">
        <v>4509</v>
      </c>
      <c r="B1810" s="3" t="s">
        <v>4510</v>
      </c>
      <c r="C1810" s="4" t="s">
        <v>49</v>
      </c>
      <c r="D1810" s="7">
        <v>1169.3</v>
      </c>
      <c r="E1810" s="8" t="s">
        <v>7813</v>
      </c>
      <c r="F1810" s="9">
        <v>18</v>
      </c>
    </row>
    <row r="1811" ht="15.5" spans="1:6">
      <c r="A1811" s="6" t="s">
        <v>4513</v>
      </c>
      <c r="B1811" s="3" t="s">
        <v>4506</v>
      </c>
      <c r="C1811" s="4" t="s">
        <v>49</v>
      </c>
      <c r="D1811" s="7">
        <v>1044.75</v>
      </c>
      <c r="E1811" s="8" t="s">
        <v>7814</v>
      </c>
      <c r="F1811" s="9">
        <v>17.42</v>
      </c>
    </row>
    <row r="1812" ht="31" spans="1:6">
      <c r="A1812" s="6" t="s">
        <v>4514</v>
      </c>
      <c r="B1812" s="3" t="s">
        <v>4515</v>
      </c>
      <c r="C1812" s="4" t="s">
        <v>49</v>
      </c>
      <c r="D1812" s="7">
        <v>1186</v>
      </c>
      <c r="E1812" s="8" t="s">
        <v>7815</v>
      </c>
      <c r="F1812" s="9">
        <v>16.92</v>
      </c>
    </row>
    <row r="1813" ht="46.5" spans="1:6">
      <c r="A1813" s="6" t="s">
        <v>4516</v>
      </c>
      <c r="B1813" s="3" t="s">
        <v>4517</v>
      </c>
      <c r="C1813" s="4" t="s">
        <v>49</v>
      </c>
      <c r="D1813" s="7">
        <v>964.25</v>
      </c>
      <c r="E1813" s="8" t="s">
        <v>7813</v>
      </c>
      <c r="F1813" s="9">
        <v>18</v>
      </c>
    </row>
    <row r="1814" ht="15.5" spans="1:6">
      <c r="A1814" s="6" t="s">
        <v>4520</v>
      </c>
      <c r="B1814" s="3" t="s">
        <v>4521</v>
      </c>
      <c r="C1814" s="4" t="s">
        <v>156</v>
      </c>
      <c r="D1814" s="7">
        <v>168.2</v>
      </c>
      <c r="E1814" s="8" t="s">
        <v>7816</v>
      </c>
      <c r="F1814" s="9">
        <v>4</v>
      </c>
    </row>
    <row r="1815" ht="15.5" spans="1:6">
      <c r="A1815" s="6" t="s">
        <v>4522</v>
      </c>
      <c r="B1815" s="3" t="s">
        <v>3851</v>
      </c>
      <c r="C1815" s="4" t="s">
        <v>156</v>
      </c>
      <c r="D1815" s="7">
        <v>198.15</v>
      </c>
      <c r="E1815" s="8" t="s">
        <v>7816</v>
      </c>
      <c r="F1815" s="9">
        <v>4</v>
      </c>
    </row>
    <row r="1816" ht="15.5" spans="1:6">
      <c r="A1816" s="6" t="s">
        <v>4525</v>
      </c>
      <c r="B1816" s="3" t="s">
        <v>4526</v>
      </c>
      <c r="C1816" s="4" t="s">
        <v>156</v>
      </c>
      <c r="D1816" s="7">
        <v>362.85</v>
      </c>
      <c r="E1816" s="8" t="s">
        <v>7714</v>
      </c>
      <c r="F1816" s="9">
        <v>50</v>
      </c>
    </row>
    <row r="1817" ht="15.5" spans="1:6">
      <c r="A1817" s="6" t="s">
        <v>4527</v>
      </c>
      <c r="B1817" s="3" t="s">
        <v>4528</v>
      </c>
      <c r="C1817" s="4" t="s">
        <v>156</v>
      </c>
      <c r="D1817" s="7">
        <v>360</v>
      </c>
      <c r="E1817" s="8" t="s">
        <v>7714</v>
      </c>
      <c r="F1817" s="9">
        <v>50</v>
      </c>
    </row>
    <row r="1818" ht="15.5" spans="1:6">
      <c r="A1818" s="6" t="s">
        <v>4532</v>
      </c>
      <c r="B1818" s="3" t="s">
        <v>4533</v>
      </c>
      <c r="C1818" s="4" t="s">
        <v>156</v>
      </c>
      <c r="D1818" s="7">
        <v>598.5</v>
      </c>
      <c r="E1818" s="8" t="s">
        <v>7544</v>
      </c>
      <c r="F1818" s="9">
        <v>1</v>
      </c>
    </row>
    <row r="1819" ht="15.5" spans="1:6">
      <c r="A1819" s="6" t="s">
        <v>4534</v>
      </c>
      <c r="B1819" s="3" t="s">
        <v>4535</v>
      </c>
      <c r="C1819" s="4" t="s">
        <v>156</v>
      </c>
      <c r="D1819" s="7">
        <v>705.2</v>
      </c>
      <c r="E1819" s="8" t="s">
        <v>7544</v>
      </c>
      <c r="F1819" s="9">
        <v>1</v>
      </c>
    </row>
    <row r="1820" ht="46.5" spans="1:6">
      <c r="A1820" s="6" t="s">
        <v>4536</v>
      </c>
      <c r="B1820" s="3" t="s">
        <v>4537</v>
      </c>
      <c r="C1820" s="4" t="s">
        <v>156</v>
      </c>
      <c r="D1820" s="7">
        <v>567.2</v>
      </c>
      <c r="E1820" s="8" t="s">
        <v>7544</v>
      </c>
      <c r="F1820" s="9">
        <v>1</v>
      </c>
    </row>
    <row r="1821" ht="15.5" spans="1:6">
      <c r="A1821" s="6" t="s">
        <v>4540</v>
      </c>
      <c r="B1821" s="3" t="s">
        <v>4533</v>
      </c>
      <c r="C1821" s="4" t="s">
        <v>156</v>
      </c>
      <c r="D1821" s="7">
        <v>501.45</v>
      </c>
      <c r="E1821" s="8" t="s">
        <v>7544</v>
      </c>
      <c r="F1821" s="9">
        <v>1</v>
      </c>
    </row>
    <row r="1822" ht="15.5" spans="1:6">
      <c r="A1822" s="6" t="s">
        <v>4541</v>
      </c>
      <c r="B1822" s="3" t="s">
        <v>4542</v>
      </c>
      <c r="C1822" s="4" t="s">
        <v>156</v>
      </c>
      <c r="D1822" s="7">
        <v>522.8</v>
      </c>
      <c r="E1822" s="8" t="s">
        <v>7544</v>
      </c>
      <c r="F1822" s="9">
        <v>1</v>
      </c>
    </row>
    <row r="1823" ht="46.5" spans="1:6">
      <c r="A1823" s="6" t="s">
        <v>4543</v>
      </c>
      <c r="B1823" s="3" t="s">
        <v>4537</v>
      </c>
      <c r="C1823" s="4" t="s">
        <v>156</v>
      </c>
      <c r="D1823" s="7">
        <v>418.95</v>
      </c>
      <c r="E1823" s="8" t="s">
        <v>7544</v>
      </c>
      <c r="F1823" s="9">
        <v>1</v>
      </c>
    </row>
    <row r="1824" ht="15.5" spans="1:6">
      <c r="A1824" s="6" t="s">
        <v>4547</v>
      </c>
      <c r="B1824" s="3" t="s">
        <v>4533</v>
      </c>
      <c r="C1824" s="4" t="s">
        <v>156</v>
      </c>
      <c r="D1824" s="7">
        <v>470.45</v>
      </c>
      <c r="E1824" s="8" t="s">
        <v>7544</v>
      </c>
      <c r="F1824" s="9">
        <v>1</v>
      </c>
    </row>
    <row r="1825" ht="15.5" spans="1:6">
      <c r="A1825" s="6" t="s">
        <v>4548</v>
      </c>
      <c r="B1825" s="3" t="s">
        <v>4549</v>
      </c>
      <c r="C1825" s="4" t="s">
        <v>156</v>
      </c>
      <c r="D1825" s="7">
        <v>570.05</v>
      </c>
      <c r="E1825" s="8" t="s">
        <v>7544</v>
      </c>
      <c r="F1825" s="9">
        <v>1</v>
      </c>
    </row>
    <row r="1826" ht="46.5" spans="1:6">
      <c r="A1826" s="6" t="s">
        <v>4550</v>
      </c>
      <c r="B1826" s="3" t="s">
        <v>4517</v>
      </c>
      <c r="C1826" s="4" t="s">
        <v>156</v>
      </c>
      <c r="D1826" s="7">
        <v>368</v>
      </c>
      <c r="E1826" s="8" t="s">
        <v>7544</v>
      </c>
      <c r="F1826" s="9">
        <v>1</v>
      </c>
    </row>
    <row r="1827" ht="15.5" spans="1:6">
      <c r="A1827" s="6" t="s">
        <v>4552</v>
      </c>
      <c r="B1827" s="3" t="s">
        <v>4553</v>
      </c>
      <c r="C1827" s="4" t="s">
        <v>156</v>
      </c>
      <c r="D1827" s="7">
        <v>376.25</v>
      </c>
      <c r="E1827" s="8" t="s">
        <v>7544</v>
      </c>
      <c r="F1827" s="9">
        <v>1</v>
      </c>
    </row>
    <row r="1828" ht="15.5" spans="1:6">
      <c r="A1828" s="6" t="s">
        <v>4554</v>
      </c>
      <c r="B1828" s="3" t="s">
        <v>4535</v>
      </c>
      <c r="C1828" s="4" t="s">
        <v>156</v>
      </c>
      <c r="D1828" s="7">
        <v>390.5</v>
      </c>
      <c r="E1828" s="8" t="s">
        <v>7544</v>
      </c>
      <c r="F1828" s="9">
        <v>1</v>
      </c>
    </row>
    <row r="1829" ht="46.5" spans="1:6">
      <c r="A1829" s="6" t="s">
        <v>4555</v>
      </c>
      <c r="B1829" s="3" t="s">
        <v>4517</v>
      </c>
      <c r="C1829" s="4" t="s">
        <v>156</v>
      </c>
      <c r="D1829" s="7">
        <v>252.5</v>
      </c>
      <c r="E1829" s="8" t="s">
        <v>7544</v>
      </c>
      <c r="F1829" s="9">
        <v>1</v>
      </c>
    </row>
    <row r="1830" ht="15.5" spans="1:6">
      <c r="A1830" s="6" t="s">
        <v>4559</v>
      </c>
      <c r="B1830" s="3" t="s">
        <v>4533</v>
      </c>
      <c r="C1830" s="4" t="s">
        <v>156</v>
      </c>
      <c r="D1830" s="7">
        <v>584.25</v>
      </c>
      <c r="E1830" s="8" t="s">
        <v>7544</v>
      </c>
      <c r="F1830" s="9">
        <v>1</v>
      </c>
    </row>
    <row r="1831" ht="15.5" spans="1:6">
      <c r="A1831" s="6" t="s">
        <v>4560</v>
      </c>
      <c r="B1831" s="3" t="s">
        <v>4535</v>
      </c>
      <c r="C1831" s="4" t="s">
        <v>156</v>
      </c>
      <c r="D1831" s="7">
        <v>548.7</v>
      </c>
      <c r="E1831" s="8" t="s">
        <v>7544</v>
      </c>
      <c r="F1831" s="9">
        <v>1</v>
      </c>
    </row>
    <row r="1832" ht="15.5" spans="1:6">
      <c r="A1832" s="6" t="s">
        <v>4562</v>
      </c>
      <c r="B1832" s="3" t="s">
        <v>4533</v>
      </c>
      <c r="C1832" s="4" t="s">
        <v>156</v>
      </c>
      <c r="D1832" s="7">
        <v>490.05</v>
      </c>
      <c r="E1832" s="8" t="s">
        <v>7544</v>
      </c>
      <c r="F1832" s="9">
        <v>1</v>
      </c>
    </row>
    <row r="1833" ht="15.5" spans="1:6">
      <c r="A1833" s="6" t="s">
        <v>4563</v>
      </c>
      <c r="B1833" s="3" t="s">
        <v>4535</v>
      </c>
      <c r="C1833" s="4" t="s">
        <v>156</v>
      </c>
      <c r="D1833" s="7">
        <v>504.3</v>
      </c>
      <c r="E1833" s="8" t="s">
        <v>7544</v>
      </c>
      <c r="F1833" s="9">
        <v>1</v>
      </c>
    </row>
    <row r="1834" ht="15.5" spans="1:6">
      <c r="A1834" s="6" t="s">
        <v>4568</v>
      </c>
      <c r="B1834" s="3" t="s">
        <v>4533</v>
      </c>
      <c r="C1834" s="4" t="s">
        <v>156</v>
      </c>
      <c r="D1834" s="7">
        <v>1138.65</v>
      </c>
      <c r="E1834" s="8" t="s">
        <v>7544</v>
      </c>
      <c r="F1834" s="9">
        <v>1</v>
      </c>
    </row>
    <row r="1835" ht="15.5" spans="1:6">
      <c r="A1835" s="6" t="s">
        <v>4569</v>
      </c>
      <c r="B1835" s="3" t="s">
        <v>4535</v>
      </c>
      <c r="C1835" s="4" t="s">
        <v>156</v>
      </c>
      <c r="D1835" s="7">
        <v>1103.1</v>
      </c>
      <c r="E1835" s="8" t="s">
        <v>7544</v>
      </c>
      <c r="F1835" s="9">
        <v>1</v>
      </c>
    </row>
    <row r="1836" ht="15.5" spans="1:6">
      <c r="A1836" s="6" t="s">
        <v>4572</v>
      </c>
      <c r="B1836" s="3" t="s">
        <v>4533</v>
      </c>
      <c r="C1836" s="4" t="s">
        <v>156</v>
      </c>
      <c r="D1836" s="7">
        <v>842.9</v>
      </c>
      <c r="E1836" s="8" t="s">
        <v>7544</v>
      </c>
      <c r="F1836" s="9">
        <v>1</v>
      </c>
    </row>
    <row r="1837" ht="15.5" spans="1:6">
      <c r="A1837" s="6" t="s">
        <v>4573</v>
      </c>
      <c r="B1837" s="3" t="s">
        <v>4535</v>
      </c>
      <c r="C1837" s="4" t="s">
        <v>156</v>
      </c>
      <c r="D1837" s="7">
        <v>885.6</v>
      </c>
      <c r="E1837" s="8" t="s">
        <v>7544</v>
      </c>
      <c r="F1837" s="9">
        <v>1</v>
      </c>
    </row>
    <row r="1838" ht="15.5" spans="1:6">
      <c r="A1838" s="6" t="s">
        <v>4577</v>
      </c>
      <c r="B1838" s="3" t="s">
        <v>4533</v>
      </c>
      <c r="C1838" s="4" t="s">
        <v>156</v>
      </c>
      <c r="D1838" s="7">
        <v>939.9</v>
      </c>
      <c r="E1838" s="8" t="s">
        <v>7544</v>
      </c>
      <c r="F1838" s="9">
        <v>1</v>
      </c>
    </row>
    <row r="1839" ht="15.5" spans="1:6">
      <c r="A1839" s="6" t="s">
        <v>4578</v>
      </c>
      <c r="B1839" s="3" t="s">
        <v>4535</v>
      </c>
      <c r="C1839" s="4" t="s">
        <v>156</v>
      </c>
      <c r="D1839" s="7">
        <v>1075.05</v>
      </c>
      <c r="E1839" s="8" t="s">
        <v>7544</v>
      </c>
      <c r="F1839" s="9">
        <v>1</v>
      </c>
    </row>
    <row r="1840" ht="46.5" spans="1:6">
      <c r="A1840" s="6" t="s">
        <v>4579</v>
      </c>
      <c r="B1840" s="3" t="s">
        <v>4517</v>
      </c>
      <c r="C1840" s="4" t="s">
        <v>156</v>
      </c>
      <c r="D1840" s="7">
        <v>760.7</v>
      </c>
      <c r="E1840" s="8" t="s">
        <v>7544</v>
      </c>
      <c r="F1840" s="9">
        <v>1</v>
      </c>
    </row>
    <row r="1841" ht="15.5" spans="1:6">
      <c r="A1841" s="6" t="s">
        <v>4581</v>
      </c>
      <c r="B1841" s="3" t="s">
        <v>4533</v>
      </c>
      <c r="C1841" s="4" t="s">
        <v>156</v>
      </c>
      <c r="D1841" s="7">
        <v>625.2</v>
      </c>
      <c r="E1841" s="8" t="s">
        <v>7544</v>
      </c>
      <c r="F1841" s="9">
        <v>1</v>
      </c>
    </row>
    <row r="1842" ht="15.5" spans="1:6">
      <c r="A1842" s="6" t="s">
        <v>4582</v>
      </c>
      <c r="B1842" s="3" t="s">
        <v>4535</v>
      </c>
      <c r="C1842" s="4" t="s">
        <v>156</v>
      </c>
      <c r="D1842" s="7">
        <v>803.05</v>
      </c>
      <c r="E1842" s="8" t="s">
        <v>7544</v>
      </c>
      <c r="F1842" s="9">
        <v>1</v>
      </c>
    </row>
    <row r="1843" ht="46.5" spans="1:6">
      <c r="A1843" s="6" t="s">
        <v>4583</v>
      </c>
      <c r="B1843" s="3" t="s">
        <v>4517</v>
      </c>
      <c r="C1843" s="4" t="s">
        <v>156</v>
      </c>
      <c r="D1843" s="7">
        <v>418.95</v>
      </c>
      <c r="E1843" s="8" t="s">
        <v>7544</v>
      </c>
      <c r="F1843" s="9">
        <v>1</v>
      </c>
    </row>
    <row r="1844" ht="15.5" spans="1:6">
      <c r="A1844" s="6" t="s">
        <v>4588</v>
      </c>
      <c r="B1844" s="3" t="s">
        <v>4533</v>
      </c>
      <c r="C1844" s="4" t="s">
        <v>156</v>
      </c>
      <c r="D1844" s="7">
        <v>726.55</v>
      </c>
      <c r="E1844" s="8" t="s">
        <v>7544</v>
      </c>
      <c r="F1844" s="9">
        <v>1</v>
      </c>
    </row>
    <row r="1845" ht="15.5" spans="1:6">
      <c r="A1845" s="6" t="s">
        <v>4589</v>
      </c>
      <c r="B1845" s="3" t="s">
        <v>4535</v>
      </c>
      <c r="C1845" s="4" t="s">
        <v>156</v>
      </c>
      <c r="D1845" s="7">
        <v>925.7</v>
      </c>
      <c r="E1845" s="8" t="s">
        <v>7544</v>
      </c>
      <c r="F1845" s="9">
        <v>1</v>
      </c>
    </row>
    <row r="1846" ht="15.5" spans="1:6">
      <c r="A1846" s="6" t="s">
        <v>4591</v>
      </c>
      <c r="B1846" s="3" t="s">
        <v>4533</v>
      </c>
      <c r="C1846" s="4" t="s">
        <v>156</v>
      </c>
      <c r="D1846" s="7">
        <v>629.5</v>
      </c>
      <c r="E1846" s="8" t="s">
        <v>7544</v>
      </c>
      <c r="F1846" s="9">
        <v>1</v>
      </c>
    </row>
    <row r="1847" ht="15.5" spans="1:6">
      <c r="A1847" s="6" t="s">
        <v>4592</v>
      </c>
      <c r="B1847" s="3" t="s">
        <v>4535</v>
      </c>
      <c r="C1847" s="4" t="s">
        <v>156</v>
      </c>
      <c r="D1847" s="7">
        <v>665.05</v>
      </c>
      <c r="E1847" s="8" t="s">
        <v>7544</v>
      </c>
      <c r="F1847" s="9">
        <v>1</v>
      </c>
    </row>
    <row r="1848" ht="15.5" spans="1:6">
      <c r="A1848" s="6" t="s">
        <v>4596</v>
      </c>
      <c r="B1848" s="3" t="s">
        <v>4533</v>
      </c>
      <c r="C1848" s="4" t="s">
        <v>156</v>
      </c>
      <c r="D1848" s="7">
        <v>626.95</v>
      </c>
      <c r="E1848" s="8" t="s">
        <v>7544</v>
      </c>
      <c r="F1848" s="9">
        <v>1</v>
      </c>
    </row>
    <row r="1849" ht="15.5" spans="1:6">
      <c r="A1849" s="6" t="s">
        <v>4597</v>
      </c>
      <c r="B1849" s="3" t="s">
        <v>4535</v>
      </c>
      <c r="C1849" s="4" t="s">
        <v>156</v>
      </c>
      <c r="D1849" s="7">
        <v>811.9</v>
      </c>
      <c r="E1849" s="8" t="s">
        <v>7544</v>
      </c>
      <c r="F1849" s="9">
        <v>1</v>
      </c>
    </row>
    <row r="1850" ht="46.5" spans="1:6">
      <c r="A1850" s="6" t="s">
        <v>4598</v>
      </c>
      <c r="B1850" s="3" t="s">
        <v>4599</v>
      </c>
      <c r="C1850" s="4" t="s">
        <v>156</v>
      </c>
      <c r="D1850" s="7">
        <v>581.45</v>
      </c>
      <c r="E1850" s="8" t="s">
        <v>7544</v>
      </c>
      <c r="F1850" s="9">
        <v>1</v>
      </c>
    </row>
    <row r="1851" ht="15.5" spans="1:6">
      <c r="A1851" s="6" t="s">
        <v>4601</v>
      </c>
      <c r="B1851" s="3" t="s">
        <v>4533</v>
      </c>
      <c r="C1851" s="4" t="s">
        <v>156</v>
      </c>
      <c r="D1851" s="7">
        <v>504.3</v>
      </c>
      <c r="E1851" s="8" t="s">
        <v>7544</v>
      </c>
      <c r="F1851" s="9">
        <v>1</v>
      </c>
    </row>
    <row r="1852" ht="15.5" spans="1:6">
      <c r="A1852" s="6" t="s">
        <v>4602</v>
      </c>
      <c r="B1852" s="3" t="s">
        <v>4535</v>
      </c>
      <c r="C1852" s="4" t="s">
        <v>156</v>
      </c>
      <c r="D1852" s="7">
        <v>561.2</v>
      </c>
      <c r="E1852" s="8" t="s">
        <v>7544</v>
      </c>
      <c r="F1852" s="9">
        <v>1</v>
      </c>
    </row>
    <row r="1853" ht="46.5" spans="1:6">
      <c r="A1853" s="6" t="s">
        <v>4603</v>
      </c>
      <c r="B1853" s="3" t="s">
        <v>4537</v>
      </c>
      <c r="C1853" s="4" t="s">
        <v>156</v>
      </c>
      <c r="D1853" s="7">
        <v>337.85</v>
      </c>
      <c r="E1853" s="8" t="s">
        <v>7544</v>
      </c>
      <c r="F1853" s="9">
        <v>1</v>
      </c>
    </row>
    <row r="1854" ht="15.5" spans="1:6">
      <c r="A1854" s="6" t="s">
        <v>4608</v>
      </c>
      <c r="B1854" s="3" t="s">
        <v>4533</v>
      </c>
      <c r="C1854" s="4" t="s">
        <v>156</v>
      </c>
      <c r="D1854" s="7">
        <v>1153.3</v>
      </c>
      <c r="E1854" s="8" t="s">
        <v>7544</v>
      </c>
      <c r="F1854" s="9">
        <v>1</v>
      </c>
    </row>
    <row r="1855" ht="15.5" spans="1:6">
      <c r="A1855" s="6" t="s">
        <v>4609</v>
      </c>
      <c r="B1855" s="3" t="s">
        <v>4535</v>
      </c>
      <c r="C1855" s="4" t="s">
        <v>156</v>
      </c>
      <c r="D1855" s="7">
        <v>1601.45</v>
      </c>
      <c r="E1855" s="8" t="s">
        <v>7544</v>
      </c>
      <c r="F1855" s="9">
        <v>1</v>
      </c>
    </row>
    <row r="1856" ht="15.5" spans="1:6">
      <c r="A1856" s="6" t="s">
        <v>4613</v>
      </c>
      <c r="B1856" s="3" t="s">
        <v>4533</v>
      </c>
      <c r="C1856" s="4" t="s">
        <v>156</v>
      </c>
      <c r="D1856" s="7">
        <v>954.15</v>
      </c>
      <c r="E1856" s="8" t="s">
        <v>7544</v>
      </c>
      <c r="F1856" s="9">
        <v>1</v>
      </c>
    </row>
    <row r="1857" ht="15.5" spans="1:6">
      <c r="A1857" s="6" t="s">
        <v>4614</v>
      </c>
      <c r="B1857" s="3" t="s">
        <v>4535</v>
      </c>
      <c r="C1857" s="4" t="s">
        <v>156</v>
      </c>
      <c r="D1857" s="7">
        <v>1402.3</v>
      </c>
      <c r="E1857" s="8" t="s">
        <v>7544</v>
      </c>
      <c r="F1857" s="9">
        <v>1</v>
      </c>
    </row>
    <row r="1858" ht="46.5" spans="1:6">
      <c r="A1858" s="6" t="s">
        <v>4615</v>
      </c>
      <c r="B1858" s="3" t="s">
        <v>4537</v>
      </c>
      <c r="C1858" s="4" t="s">
        <v>156</v>
      </c>
      <c r="D1858" s="7">
        <v>607.05</v>
      </c>
      <c r="E1858" s="8" t="s">
        <v>7544</v>
      </c>
      <c r="F1858" s="9">
        <v>1</v>
      </c>
    </row>
    <row r="1859" ht="15.5" spans="1:6">
      <c r="A1859" s="6" t="s">
        <v>4620</v>
      </c>
      <c r="B1859" s="3" t="s">
        <v>4533</v>
      </c>
      <c r="C1859" s="4" t="s">
        <v>156</v>
      </c>
      <c r="D1859" s="7">
        <v>911.45</v>
      </c>
      <c r="E1859" s="8" t="s">
        <v>7544</v>
      </c>
      <c r="F1859" s="9">
        <v>1</v>
      </c>
    </row>
    <row r="1860" ht="15.5" spans="1:6">
      <c r="A1860" s="6" t="s">
        <v>4621</v>
      </c>
      <c r="B1860" s="3" t="s">
        <v>4535</v>
      </c>
      <c r="C1860" s="4" t="s">
        <v>156</v>
      </c>
      <c r="D1860" s="7">
        <v>1146.2</v>
      </c>
      <c r="E1860" s="8" t="s">
        <v>7544</v>
      </c>
      <c r="F1860" s="9">
        <v>1</v>
      </c>
    </row>
    <row r="1861" ht="15.5" spans="1:6">
      <c r="A1861" s="6" t="s">
        <v>4625</v>
      </c>
      <c r="B1861" s="3" t="s">
        <v>4533</v>
      </c>
      <c r="C1861" s="4" t="s">
        <v>156</v>
      </c>
      <c r="D1861" s="7">
        <v>811.9</v>
      </c>
      <c r="E1861" s="8" t="s">
        <v>7544</v>
      </c>
      <c r="F1861" s="9">
        <v>1</v>
      </c>
    </row>
    <row r="1862" ht="15.5" spans="1:6">
      <c r="A1862" s="6" t="s">
        <v>4626</v>
      </c>
      <c r="B1862" s="3" t="s">
        <v>4535</v>
      </c>
      <c r="C1862" s="4" t="s">
        <v>156</v>
      </c>
      <c r="D1862" s="7">
        <v>1032.4</v>
      </c>
      <c r="E1862" s="8" t="s">
        <v>7544</v>
      </c>
      <c r="F1862" s="9">
        <v>1</v>
      </c>
    </row>
    <row r="1863" ht="46.5" spans="1:6">
      <c r="A1863" s="6" t="s">
        <v>4627</v>
      </c>
      <c r="B1863" s="3" t="s">
        <v>4537</v>
      </c>
      <c r="C1863" s="4" t="s">
        <v>156</v>
      </c>
      <c r="D1863" s="7">
        <v>551.55</v>
      </c>
      <c r="E1863" s="8" t="s">
        <v>7544</v>
      </c>
      <c r="F1863" s="9">
        <v>1</v>
      </c>
    </row>
    <row r="1864" ht="15.5" spans="1:6">
      <c r="A1864" s="6" t="s">
        <v>4631</v>
      </c>
      <c r="B1864" s="3" t="s">
        <v>4533</v>
      </c>
      <c r="C1864" s="4" t="s">
        <v>156</v>
      </c>
      <c r="D1864" s="7">
        <v>883</v>
      </c>
      <c r="E1864" s="8" t="s">
        <v>7544</v>
      </c>
      <c r="F1864" s="9">
        <v>1</v>
      </c>
    </row>
    <row r="1865" ht="15.5" spans="1:6">
      <c r="A1865" s="6" t="s">
        <v>4632</v>
      </c>
      <c r="B1865" s="3" t="s">
        <v>4633</v>
      </c>
      <c r="C1865" s="4" t="s">
        <v>156</v>
      </c>
      <c r="D1865" s="7">
        <v>989.7</v>
      </c>
      <c r="E1865" s="8" t="s">
        <v>7544</v>
      </c>
      <c r="F1865" s="9">
        <v>1</v>
      </c>
    </row>
    <row r="1866" ht="46.5" spans="1:6">
      <c r="A1866" s="6" t="s">
        <v>4634</v>
      </c>
      <c r="B1866" s="3" t="s">
        <v>4537</v>
      </c>
      <c r="C1866" s="4" t="s">
        <v>156</v>
      </c>
      <c r="D1866" s="7">
        <v>1106.35</v>
      </c>
      <c r="E1866" s="8" t="s">
        <v>7544</v>
      </c>
      <c r="F1866" s="9">
        <v>1</v>
      </c>
    </row>
    <row r="1867" ht="15.5" spans="1:6">
      <c r="A1867" s="6" t="s">
        <v>4636</v>
      </c>
      <c r="B1867" s="3" t="s">
        <v>4533</v>
      </c>
      <c r="C1867" s="4" t="s">
        <v>156</v>
      </c>
      <c r="D1867" s="7">
        <v>660.8</v>
      </c>
      <c r="E1867" s="8" t="s">
        <v>7544</v>
      </c>
      <c r="F1867" s="9">
        <v>1</v>
      </c>
    </row>
    <row r="1868" ht="15.5" spans="1:6">
      <c r="A1868" s="6" t="s">
        <v>4637</v>
      </c>
      <c r="B1868" s="3" t="s">
        <v>4535</v>
      </c>
      <c r="C1868" s="4" t="s">
        <v>156</v>
      </c>
      <c r="D1868" s="7">
        <v>803.05</v>
      </c>
      <c r="E1868" s="8" t="s">
        <v>7544</v>
      </c>
      <c r="F1868" s="9">
        <v>1</v>
      </c>
    </row>
    <row r="1869" ht="15.5" spans="1:6">
      <c r="A1869" s="6" t="s">
        <v>4641</v>
      </c>
      <c r="B1869" s="3" t="s">
        <v>4642</v>
      </c>
      <c r="C1869" s="4" t="s">
        <v>156</v>
      </c>
      <c r="D1869" s="7">
        <v>698.05</v>
      </c>
      <c r="E1869" s="8" t="s">
        <v>7544</v>
      </c>
      <c r="F1869" s="9">
        <v>1</v>
      </c>
    </row>
    <row r="1870" ht="15.5" spans="1:6">
      <c r="A1870" s="6" t="s">
        <v>4643</v>
      </c>
      <c r="B1870" s="3" t="s">
        <v>4535</v>
      </c>
      <c r="C1870" s="4" t="s">
        <v>156</v>
      </c>
      <c r="D1870" s="7">
        <v>747.85</v>
      </c>
      <c r="E1870" s="8" t="s">
        <v>7544</v>
      </c>
      <c r="F1870" s="9">
        <v>1</v>
      </c>
    </row>
    <row r="1871" ht="46.5" spans="1:6">
      <c r="A1871" s="6" t="s">
        <v>4644</v>
      </c>
      <c r="B1871" s="3" t="s">
        <v>4537</v>
      </c>
      <c r="C1871" s="4" t="s">
        <v>156</v>
      </c>
      <c r="D1871" s="7">
        <v>645.45</v>
      </c>
      <c r="E1871" s="8" t="s">
        <v>7544</v>
      </c>
      <c r="F1871" s="9">
        <v>1</v>
      </c>
    </row>
    <row r="1872" ht="15.5" spans="1:6">
      <c r="A1872" s="6" t="s">
        <v>4646</v>
      </c>
      <c r="B1872" s="3" t="s">
        <v>4533</v>
      </c>
      <c r="C1872" s="4" t="s">
        <v>156</v>
      </c>
      <c r="D1872" s="7">
        <v>575.45</v>
      </c>
      <c r="E1872" s="8" t="s">
        <v>7544</v>
      </c>
      <c r="F1872" s="9">
        <v>1</v>
      </c>
    </row>
    <row r="1873" ht="15.5" spans="1:6">
      <c r="A1873" s="6" t="s">
        <v>4647</v>
      </c>
      <c r="B1873" s="3" t="s">
        <v>4535</v>
      </c>
      <c r="C1873" s="4" t="s">
        <v>156</v>
      </c>
      <c r="D1873" s="7">
        <v>575.45</v>
      </c>
      <c r="E1873" s="8" t="s">
        <v>7544</v>
      </c>
      <c r="F1873" s="9">
        <v>1</v>
      </c>
    </row>
    <row r="1874" ht="46.5" spans="1:6">
      <c r="A1874" s="6" t="s">
        <v>4648</v>
      </c>
      <c r="B1874" s="3" t="s">
        <v>4537</v>
      </c>
      <c r="C1874" s="4" t="s">
        <v>156</v>
      </c>
      <c r="D1874" s="7">
        <v>401.9</v>
      </c>
      <c r="E1874" s="8" t="s">
        <v>7544</v>
      </c>
      <c r="F1874" s="9">
        <v>1</v>
      </c>
    </row>
    <row r="1875" ht="15.5" spans="1:6">
      <c r="A1875" s="6" t="s">
        <v>4652</v>
      </c>
      <c r="B1875" s="3" t="s">
        <v>4533</v>
      </c>
      <c r="C1875" s="4" t="s">
        <v>156</v>
      </c>
      <c r="D1875" s="7">
        <v>1011.05</v>
      </c>
      <c r="E1875" s="8" t="s">
        <v>7544</v>
      </c>
      <c r="F1875" s="9">
        <v>1</v>
      </c>
    </row>
    <row r="1876" ht="15.5" spans="1:6">
      <c r="A1876" s="6" t="s">
        <v>4653</v>
      </c>
      <c r="B1876" s="3" t="s">
        <v>4535</v>
      </c>
      <c r="C1876" s="4" t="s">
        <v>156</v>
      </c>
      <c r="D1876" s="7">
        <v>1274.25</v>
      </c>
      <c r="E1876" s="8" t="s">
        <v>7544</v>
      </c>
      <c r="F1876" s="9">
        <v>1</v>
      </c>
    </row>
    <row r="1877" ht="15.5" spans="1:6">
      <c r="A1877" s="6" t="s">
        <v>4657</v>
      </c>
      <c r="B1877" s="3" t="s">
        <v>4533</v>
      </c>
      <c r="C1877" s="4" t="s">
        <v>156</v>
      </c>
      <c r="D1877" s="7">
        <v>804.8</v>
      </c>
      <c r="E1877" s="8" t="s">
        <v>7544</v>
      </c>
      <c r="F1877" s="9">
        <v>1</v>
      </c>
    </row>
    <row r="1878" ht="15.5" spans="1:6">
      <c r="A1878" s="6" t="s">
        <v>4658</v>
      </c>
      <c r="B1878" s="3" t="s">
        <v>4535</v>
      </c>
      <c r="C1878" s="4" t="s">
        <v>156</v>
      </c>
      <c r="D1878" s="7">
        <v>996.85</v>
      </c>
      <c r="E1878" s="8" t="s">
        <v>7544</v>
      </c>
      <c r="F1878" s="9">
        <v>1</v>
      </c>
    </row>
    <row r="1879" ht="46.5" spans="1:6">
      <c r="A1879" s="6" t="s">
        <v>4659</v>
      </c>
      <c r="B1879" s="3" t="s">
        <v>4537</v>
      </c>
      <c r="C1879" s="4" t="s">
        <v>156</v>
      </c>
      <c r="D1879" s="7">
        <v>658.25</v>
      </c>
      <c r="E1879" s="8" t="s">
        <v>7544</v>
      </c>
      <c r="F1879" s="9">
        <v>1</v>
      </c>
    </row>
    <row r="1880" ht="15.5" spans="1:6">
      <c r="A1880" s="6" t="s">
        <v>4664</v>
      </c>
      <c r="B1880" s="3" t="s">
        <v>4665</v>
      </c>
      <c r="C1880" s="4" t="s">
        <v>156</v>
      </c>
      <c r="D1880" s="7">
        <v>376.25</v>
      </c>
      <c r="E1880" s="8" t="s">
        <v>7544</v>
      </c>
      <c r="F1880" s="9">
        <v>1</v>
      </c>
    </row>
    <row r="1881" ht="15.5" spans="1:6">
      <c r="A1881" s="6" t="s">
        <v>4666</v>
      </c>
      <c r="B1881" s="3" t="s">
        <v>4667</v>
      </c>
      <c r="C1881" s="4" t="s">
        <v>156</v>
      </c>
      <c r="D1881" s="7">
        <v>603.9</v>
      </c>
      <c r="E1881" s="8" t="s">
        <v>7544</v>
      </c>
      <c r="F1881" s="9">
        <v>1</v>
      </c>
    </row>
    <row r="1882" ht="15.5" spans="1:6">
      <c r="A1882" s="6" t="s">
        <v>4670</v>
      </c>
      <c r="B1882" s="3" t="s">
        <v>4665</v>
      </c>
      <c r="C1882" s="4" t="s">
        <v>156</v>
      </c>
      <c r="D1882" s="7">
        <v>527.35</v>
      </c>
      <c r="E1882" s="8" t="s">
        <v>7544</v>
      </c>
      <c r="F1882" s="9">
        <v>1</v>
      </c>
    </row>
    <row r="1883" ht="15.5" spans="1:6">
      <c r="A1883" s="6" t="s">
        <v>4671</v>
      </c>
      <c r="B1883" s="3" t="s">
        <v>4667</v>
      </c>
      <c r="C1883" s="4" t="s">
        <v>156</v>
      </c>
      <c r="D1883" s="7">
        <v>648.3</v>
      </c>
      <c r="E1883" s="8" t="s">
        <v>7544</v>
      </c>
      <c r="F1883" s="9">
        <v>1</v>
      </c>
    </row>
    <row r="1884" ht="15.5" spans="1:6">
      <c r="A1884" s="6" t="s">
        <v>4674</v>
      </c>
      <c r="B1884" s="3" t="s">
        <v>4665</v>
      </c>
      <c r="C1884" s="4" t="s">
        <v>156</v>
      </c>
      <c r="D1884" s="7">
        <v>619.9</v>
      </c>
      <c r="E1884" s="8" t="s">
        <v>7544</v>
      </c>
      <c r="F1884" s="9">
        <v>1</v>
      </c>
    </row>
    <row r="1885" ht="15.5" spans="1:6">
      <c r="A1885" s="6" t="s">
        <v>4675</v>
      </c>
      <c r="B1885" s="3" t="s">
        <v>4667</v>
      </c>
      <c r="C1885" s="4" t="s">
        <v>156</v>
      </c>
      <c r="D1885" s="7">
        <v>769.25</v>
      </c>
      <c r="E1885" s="8" t="s">
        <v>7544</v>
      </c>
      <c r="F1885" s="9">
        <v>1</v>
      </c>
    </row>
    <row r="1886" ht="15.5" spans="1:6">
      <c r="A1886" s="6" t="s">
        <v>4680</v>
      </c>
      <c r="B1886" s="3" t="s">
        <v>4667</v>
      </c>
      <c r="C1886" s="4" t="s">
        <v>156</v>
      </c>
      <c r="D1886" s="7">
        <v>547</v>
      </c>
      <c r="E1886" s="8" t="s">
        <v>7544</v>
      </c>
      <c r="F1886" s="9">
        <v>1</v>
      </c>
    </row>
    <row r="1887" ht="15.5" spans="1:6">
      <c r="A1887" s="6" t="s">
        <v>4681</v>
      </c>
      <c r="B1887" s="3" t="s">
        <v>4665</v>
      </c>
      <c r="C1887" s="4" t="s">
        <v>156</v>
      </c>
      <c r="D1887" s="7">
        <v>454.5</v>
      </c>
      <c r="E1887" s="8" t="s">
        <v>7544</v>
      </c>
      <c r="F1887" s="9">
        <v>1</v>
      </c>
    </row>
    <row r="1888" ht="15.5" spans="1:6">
      <c r="A1888" s="6" t="s">
        <v>4686</v>
      </c>
      <c r="B1888" s="3" t="s">
        <v>4665</v>
      </c>
      <c r="C1888" s="4" t="s">
        <v>156</v>
      </c>
      <c r="D1888" s="7">
        <v>418.95</v>
      </c>
      <c r="E1888" s="8" t="s">
        <v>7544</v>
      </c>
      <c r="F1888" s="9">
        <v>1</v>
      </c>
    </row>
    <row r="1889" ht="15.5" spans="1:6">
      <c r="A1889" s="6" t="s">
        <v>4689</v>
      </c>
      <c r="B1889" s="3" t="s">
        <v>4665</v>
      </c>
      <c r="C1889" s="4" t="s">
        <v>156</v>
      </c>
      <c r="D1889" s="7">
        <v>585.55</v>
      </c>
      <c r="E1889" s="8" t="s">
        <v>7544</v>
      </c>
      <c r="F1889" s="9">
        <v>1</v>
      </c>
    </row>
    <row r="1890" ht="15.5" spans="1:6">
      <c r="A1890" s="6" t="s">
        <v>4690</v>
      </c>
      <c r="B1890" s="3" t="s">
        <v>4667</v>
      </c>
      <c r="C1890" s="4" t="s">
        <v>156</v>
      </c>
      <c r="D1890" s="7">
        <v>734.95</v>
      </c>
      <c r="E1890" s="8" t="s">
        <v>7544</v>
      </c>
      <c r="F1890" s="9">
        <v>1</v>
      </c>
    </row>
    <row r="1891" ht="15.5" spans="1:6">
      <c r="A1891" s="6" t="s">
        <v>4694</v>
      </c>
      <c r="B1891" s="3" t="s">
        <v>4695</v>
      </c>
      <c r="C1891" s="4" t="s">
        <v>156</v>
      </c>
      <c r="D1891" s="7">
        <v>632.65</v>
      </c>
      <c r="E1891" s="8" t="s">
        <v>7544</v>
      </c>
      <c r="F1891" s="9">
        <v>1</v>
      </c>
    </row>
    <row r="1892" ht="15.5" spans="1:6">
      <c r="A1892" s="6" t="s">
        <v>4696</v>
      </c>
      <c r="B1892" s="3" t="s">
        <v>4697</v>
      </c>
      <c r="C1892" s="4" t="s">
        <v>156</v>
      </c>
      <c r="D1892" s="7">
        <v>465.9</v>
      </c>
      <c r="E1892" s="8" t="s">
        <v>7544</v>
      </c>
      <c r="F1892" s="9">
        <v>1</v>
      </c>
    </row>
    <row r="1893" ht="15.5" spans="1:6">
      <c r="A1893" s="6" t="s">
        <v>4701</v>
      </c>
      <c r="B1893" s="3" t="s">
        <v>4533</v>
      </c>
      <c r="C1893" s="4" t="s">
        <v>156</v>
      </c>
      <c r="D1893" s="7">
        <v>783.45</v>
      </c>
      <c r="E1893" s="8" t="s">
        <v>7544</v>
      </c>
      <c r="F1893" s="9">
        <v>1</v>
      </c>
    </row>
    <row r="1894" ht="15.5" spans="1:6">
      <c r="A1894" s="6" t="s">
        <v>4702</v>
      </c>
      <c r="B1894" s="3" t="s">
        <v>4535</v>
      </c>
      <c r="C1894" s="4" t="s">
        <v>156</v>
      </c>
      <c r="D1894" s="7">
        <v>683.85</v>
      </c>
      <c r="E1894" s="8" t="s">
        <v>7544</v>
      </c>
      <c r="F1894" s="9">
        <v>1</v>
      </c>
    </row>
    <row r="1895" ht="15.5" spans="1:6">
      <c r="A1895" s="6" t="s">
        <v>4704</v>
      </c>
      <c r="B1895" s="3" t="s">
        <v>4533</v>
      </c>
      <c r="C1895" s="4" t="s">
        <v>156</v>
      </c>
      <c r="D1895" s="7">
        <v>501.45</v>
      </c>
      <c r="E1895" s="8" t="s">
        <v>7544</v>
      </c>
      <c r="F1895" s="9">
        <v>1</v>
      </c>
    </row>
    <row r="1896" ht="15.5" spans="1:6">
      <c r="A1896" s="6" t="s">
        <v>4705</v>
      </c>
      <c r="B1896" s="3" t="s">
        <v>4535</v>
      </c>
      <c r="C1896" s="4" t="s">
        <v>156</v>
      </c>
      <c r="D1896" s="7">
        <v>537</v>
      </c>
      <c r="E1896" s="8" t="s">
        <v>7544</v>
      </c>
      <c r="F1896" s="9">
        <v>1</v>
      </c>
    </row>
    <row r="1897" ht="15.5" spans="1:6">
      <c r="A1897" s="6" t="s">
        <v>4709</v>
      </c>
      <c r="B1897" s="3" t="s">
        <v>4533</v>
      </c>
      <c r="C1897" s="4" t="s">
        <v>156</v>
      </c>
      <c r="D1897" s="7">
        <v>442</v>
      </c>
      <c r="E1897" s="8" t="s">
        <v>7544</v>
      </c>
      <c r="F1897" s="9">
        <v>1</v>
      </c>
    </row>
    <row r="1898" ht="15.5" spans="1:6">
      <c r="A1898" s="6" t="s">
        <v>4710</v>
      </c>
      <c r="B1898" s="3" t="s">
        <v>4535</v>
      </c>
      <c r="C1898" s="4" t="s">
        <v>156</v>
      </c>
      <c r="D1898" s="7">
        <v>506</v>
      </c>
      <c r="E1898" s="8" t="s">
        <v>7544</v>
      </c>
      <c r="F1898" s="9">
        <v>1</v>
      </c>
    </row>
    <row r="1899" ht="46.5" spans="1:6">
      <c r="A1899" s="6" t="s">
        <v>4711</v>
      </c>
      <c r="B1899" s="3" t="s">
        <v>4537</v>
      </c>
      <c r="C1899" s="4" t="s">
        <v>156</v>
      </c>
      <c r="D1899" s="7">
        <v>427.8</v>
      </c>
      <c r="E1899" s="8" t="s">
        <v>7544</v>
      </c>
      <c r="F1899" s="9">
        <v>1</v>
      </c>
    </row>
    <row r="1900" ht="15.5" spans="1:6">
      <c r="A1900" s="6" t="s">
        <v>4713</v>
      </c>
      <c r="B1900" s="3" t="s">
        <v>4533</v>
      </c>
      <c r="C1900" s="4" t="s">
        <v>156</v>
      </c>
      <c r="D1900" s="7">
        <v>340.7</v>
      </c>
      <c r="E1900" s="8" t="s">
        <v>7544</v>
      </c>
      <c r="F1900" s="9">
        <v>1</v>
      </c>
    </row>
    <row r="1901" ht="15.5" spans="1:6">
      <c r="A1901" s="6" t="s">
        <v>4714</v>
      </c>
      <c r="B1901" s="3" t="s">
        <v>4535</v>
      </c>
      <c r="C1901" s="4" t="s">
        <v>156</v>
      </c>
      <c r="D1901" s="7">
        <v>404.75</v>
      </c>
      <c r="E1901" s="8" t="s">
        <v>7544</v>
      </c>
      <c r="F1901" s="9">
        <v>1</v>
      </c>
    </row>
    <row r="1902" ht="15.5" spans="1:6">
      <c r="A1902" s="6" t="s">
        <v>4718</v>
      </c>
      <c r="B1902" s="3" t="s">
        <v>4533</v>
      </c>
      <c r="C1902" s="4" t="s">
        <v>156</v>
      </c>
      <c r="D1902" s="7">
        <v>463.35</v>
      </c>
      <c r="E1902" s="8" t="s">
        <v>7544</v>
      </c>
      <c r="F1902" s="9">
        <v>1</v>
      </c>
    </row>
    <row r="1903" ht="15.5" spans="1:6">
      <c r="A1903" s="6" t="s">
        <v>4719</v>
      </c>
      <c r="B1903" s="3" t="s">
        <v>4535</v>
      </c>
      <c r="C1903" s="4" t="s">
        <v>156</v>
      </c>
      <c r="D1903" s="7">
        <v>513.15</v>
      </c>
      <c r="E1903" s="8" t="s">
        <v>7544</v>
      </c>
      <c r="F1903" s="9">
        <v>1</v>
      </c>
    </row>
    <row r="1904" ht="15.5" spans="1:6">
      <c r="A1904" s="6" t="s">
        <v>4721</v>
      </c>
      <c r="B1904" s="3" t="s">
        <v>4533</v>
      </c>
      <c r="C1904" s="4" t="s">
        <v>156</v>
      </c>
      <c r="D1904" s="7">
        <v>305.15</v>
      </c>
      <c r="E1904" s="8" t="s">
        <v>7544</v>
      </c>
      <c r="F1904" s="9">
        <v>1</v>
      </c>
    </row>
    <row r="1905" ht="15.5" spans="1:6">
      <c r="A1905" s="6" t="s">
        <v>4722</v>
      </c>
      <c r="B1905" s="3" t="s">
        <v>4535</v>
      </c>
      <c r="C1905" s="4" t="s">
        <v>156</v>
      </c>
      <c r="D1905" s="7">
        <v>362.05</v>
      </c>
      <c r="E1905" s="8" t="s">
        <v>7544</v>
      </c>
      <c r="F1905" s="9">
        <v>1</v>
      </c>
    </row>
    <row r="1906" ht="31" spans="1:6">
      <c r="A1906" s="6" t="s">
        <v>4726</v>
      </c>
      <c r="B1906" s="3" t="s">
        <v>4727</v>
      </c>
      <c r="C1906" s="4" t="s">
        <v>156</v>
      </c>
      <c r="D1906" s="7">
        <v>432.05</v>
      </c>
      <c r="E1906" s="8" t="s">
        <v>7544</v>
      </c>
      <c r="F1906" s="9">
        <v>1</v>
      </c>
    </row>
    <row r="1907" ht="31" spans="1:6">
      <c r="A1907" s="6" t="s">
        <v>4729</v>
      </c>
      <c r="B1907" s="3" t="s">
        <v>4727</v>
      </c>
      <c r="C1907" s="4" t="s">
        <v>156</v>
      </c>
      <c r="D1907" s="7">
        <v>389.05</v>
      </c>
      <c r="E1907" s="8" t="s">
        <v>7544</v>
      </c>
      <c r="F1907" s="9">
        <v>1</v>
      </c>
    </row>
    <row r="1908" ht="15.5" spans="1:6">
      <c r="A1908" s="6" t="s">
        <v>4732</v>
      </c>
      <c r="B1908" s="3" t="s">
        <v>1554</v>
      </c>
      <c r="C1908" s="4" t="s">
        <v>156</v>
      </c>
      <c r="D1908" s="7">
        <v>622.5</v>
      </c>
      <c r="E1908" s="8" t="s">
        <v>7544</v>
      </c>
      <c r="F1908" s="9">
        <v>1</v>
      </c>
    </row>
    <row r="1909" ht="15.5" spans="1:6">
      <c r="A1909" s="6" t="s">
        <v>4733</v>
      </c>
      <c r="B1909" s="3" t="s">
        <v>1597</v>
      </c>
      <c r="C1909" s="4" t="s">
        <v>156</v>
      </c>
      <c r="D1909" s="7">
        <v>526.25</v>
      </c>
      <c r="E1909" s="8" t="s">
        <v>7544</v>
      </c>
      <c r="F1909" s="9">
        <v>1</v>
      </c>
    </row>
    <row r="1910" ht="15.5" spans="1:6">
      <c r="A1910" s="6" t="s">
        <v>4734</v>
      </c>
      <c r="B1910" s="3" t="s">
        <v>1683</v>
      </c>
      <c r="C1910" s="4" t="s">
        <v>156</v>
      </c>
      <c r="D1910" s="7">
        <v>423.15</v>
      </c>
      <c r="E1910" s="8" t="s">
        <v>7544</v>
      </c>
      <c r="F1910" s="9">
        <v>1</v>
      </c>
    </row>
    <row r="1911" ht="15.5" spans="1:6">
      <c r="A1911" s="6" t="s">
        <v>4737</v>
      </c>
      <c r="B1911" s="3" t="s">
        <v>1554</v>
      </c>
      <c r="C1911" s="4" t="s">
        <v>156</v>
      </c>
      <c r="D1911" s="7">
        <v>139.7</v>
      </c>
      <c r="E1911" s="8" t="s">
        <v>7544</v>
      </c>
      <c r="F1911" s="9">
        <v>1</v>
      </c>
    </row>
    <row r="1912" ht="15.5" spans="1:6">
      <c r="A1912" s="6" t="s">
        <v>4738</v>
      </c>
      <c r="B1912" s="3" t="s">
        <v>1597</v>
      </c>
      <c r="C1912" s="4" t="s">
        <v>156</v>
      </c>
      <c r="D1912" s="7">
        <v>90.3</v>
      </c>
      <c r="E1912" s="8" t="s">
        <v>7544</v>
      </c>
      <c r="F1912" s="9">
        <v>1</v>
      </c>
    </row>
    <row r="1913" ht="15.5" spans="1:6">
      <c r="A1913" s="6" t="s">
        <v>4739</v>
      </c>
      <c r="B1913" s="3" t="s">
        <v>1683</v>
      </c>
      <c r="C1913" s="4" t="s">
        <v>156</v>
      </c>
      <c r="D1913" s="7">
        <v>81.85</v>
      </c>
      <c r="E1913" s="8" t="s">
        <v>7544</v>
      </c>
      <c r="F1913" s="9">
        <v>1</v>
      </c>
    </row>
    <row r="1914" ht="15.5" spans="1:6">
      <c r="A1914" s="6" t="s">
        <v>4744</v>
      </c>
      <c r="B1914" s="3" t="s">
        <v>4745</v>
      </c>
      <c r="C1914" s="4" t="s">
        <v>156</v>
      </c>
      <c r="D1914" s="7">
        <v>1996.5</v>
      </c>
      <c r="E1914" s="8" t="s">
        <v>7544</v>
      </c>
      <c r="F1914" s="9">
        <v>1</v>
      </c>
    </row>
    <row r="1915" ht="15.5" spans="1:6">
      <c r="A1915" s="6" t="s">
        <v>4746</v>
      </c>
      <c r="B1915" s="3" t="s">
        <v>4747</v>
      </c>
      <c r="C1915" s="4" t="s">
        <v>156</v>
      </c>
      <c r="D1915" s="7">
        <v>1683.55</v>
      </c>
      <c r="E1915" s="8" t="s">
        <v>7544</v>
      </c>
      <c r="F1915" s="9">
        <v>1</v>
      </c>
    </row>
    <row r="1916" ht="46.5" spans="1:6">
      <c r="A1916" s="6" t="s">
        <v>4748</v>
      </c>
      <c r="B1916" s="3" t="s">
        <v>4537</v>
      </c>
      <c r="C1916" s="4" t="s">
        <v>156</v>
      </c>
      <c r="D1916" s="7">
        <v>854.55</v>
      </c>
      <c r="E1916" s="8" t="s">
        <v>7544</v>
      </c>
      <c r="F1916" s="9">
        <v>1</v>
      </c>
    </row>
    <row r="1917" ht="15.5" spans="1:6">
      <c r="A1917" s="6" t="s">
        <v>4751</v>
      </c>
      <c r="B1917" s="3" t="s">
        <v>4535</v>
      </c>
      <c r="C1917" s="4" t="s">
        <v>156</v>
      </c>
      <c r="D1917" s="7">
        <v>1975.15</v>
      </c>
      <c r="E1917" s="8" t="s">
        <v>7544</v>
      </c>
      <c r="F1917" s="9">
        <v>1</v>
      </c>
    </row>
    <row r="1918" ht="15.5" spans="1:6">
      <c r="A1918" s="6" t="s">
        <v>4752</v>
      </c>
      <c r="B1918" s="3" t="s">
        <v>4753</v>
      </c>
      <c r="C1918" s="4" t="s">
        <v>156</v>
      </c>
      <c r="D1918" s="7">
        <v>1558.35</v>
      </c>
      <c r="E1918" s="8" t="s">
        <v>7544</v>
      </c>
      <c r="F1918" s="9">
        <v>1</v>
      </c>
    </row>
    <row r="1919" ht="46.5" spans="1:6">
      <c r="A1919" s="6" t="s">
        <v>4754</v>
      </c>
      <c r="B1919" s="3" t="s">
        <v>4537</v>
      </c>
      <c r="C1919" s="4" t="s">
        <v>156</v>
      </c>
      <c r="D1919" s="7">
        <v>591.4</v>
      </c>
      <c r="E1919" s="8" t="s">
        <v>7544</v>
      </c>
      <c r="F1919" s="9">
        <v>1</v>
      </c>
    </row>
    <row r="1920" ht="15.5" spans="1:6">
      <c r="A1920" s="6" t="s">
        <v>4757</v>
      </c>
      <c r="B1920" s="3" t="s">
        <v>4504</v>
      </c>
      <c r="C1920" s="4" t="s">
        <v>49</v>
      </c>
      <c r="D1920" s="7">
        <v>713.2</v>
      </c>
      <c r="E1920" s="8" t="s">
        <v>7531</v>
      </c>
      <c r="F1920" s="9">
        <v>1</v>
      </c>
    </row>
    <row r="1921" ht="15.5" spans="1:6">
      <c r="A1921" s="6" t="s">
        <v>4758</v>
      </c>
      <c r="B1921" s="3" t="s">
        <v>4539</v>
      </c>
      <c r="C1921" s="4" t="s">
        <v>49</v>
      </c>
      <c r="D1921" s="7">
        <v>513.25</v>
      </c>
      <c r="E1921" s="8" t="s">
        <v>7531</v>
      </c>
      <c r="F1921" s="9">
        <v>1</v>
      </c>
    </row>
    <row r="1922" ht="15.5" spans="1:6">
      <c r="A1922" s="6" t="s">
        <v>4759</v>
      </c>
      <c r="B1922" s="3" t="s">
        <v>4760</v>
      </c>
      <c r="C1922" s="4" t="s">
        <v>49</v>
      </c>
      <c r="D1922" s="7">
        <v>336</v>
      </c>
      <c r="E1922" s="8" t="s">
        <v>7531</v>
      </c>
      <c r="F1922" s="9">
        <v>1</v>
      </c>
    </row>
    <row r="1923" ht="93" spans="1:6">
      <c r="A1923" s="6" t="s">
        <v>4761</v>
      </c>
      <c r="B1923" s="12" t="s">
        <v>4762</v>
      </c>
      <c r="C1923" s="4" t="s">
        <v>156</v>
      </c>
      <c r="D1923" s="7">
        <v>1020.6</v>
      </c>
      <c r="E1923" s="8" t="s">
        <v>7544</v>
      </c>
      <c r="F1923" s="9">
        <v>1</v>
      </c>
    </row>
    <row r="1924" ht="108.5" spans="1:6">
      <c r="A1924" s="6" t="s">
        <v>4763</v>
      </c>
      <c r="B1924" s="12" t="s">
        <v>4764</v>
      </c>
      <c r="C1924" s="4" t="s">
        <v>156</v>
      </c>
      <c r="D1924" s="7">
        <v>673.7</v>
      </c>
      <c r="E1924" s="8" t="s">
        <v>7544</v>
      </c>
      <c r="F1924" s="9">
        <v>1</v>
      </c>
    </row>
    <row r="1925" ht="77.5" spans="1:6">
      <c r="A1925" s="6" t="s">
        <v>4765</v>
      </c>
      <c r="B1925" s="12" t="s">
        <v>4766</v>
      </c>
      <c r="C1925" s="4" t="s">
        <v>156</v>
      </c>
      <c r="D1925" s="7">
        <v>292.55</v>
      </c>
      <c r="E1925" s="8" t="s">
        <v>7544</v>
      </c>
      <c r="F1925" s="9">
        <v>1</v>
      </c>
    </row>
    <row r="1926" ht="15.5" spans="1:6">
      <c r="A1926" s="6" t="s">
        <v>4769</v>
      </c>
      <c r="B1926" s="3" t="s">
        <v>4770</v>
      </c>
      <c r="C1926" s="4" t="s">
        <v>49</v>
      </c>
      <c r="D1926" s="7">
        <v>82.8</v>
      </c>
      <c r="E1926" s="8" t="s">
        <v>7388</v>
      </c>
      <c r="F1926" s="9">
        <v>10</v>
      </c>
    </row>
    <row r="1927" ht="15.5" spans="1:6">
      <c r="A1927" s="6" t="s">
        <v>4771</v>
      </c>
      <c r="B1927" s="3" t="s">
        <v>4772</v>
      </c>
      <c r="C1927" s="4" t="s">
        <v>49</v>
      </c>
      <c r="D1927" s="7">
        <v>62.95</v>
      </c>
      <c r="E1927" s="8" t="s">
        <v>7388</v>
      </c>
      <c r="F1927" s="9">
        <v>10</v>
      </c>
    </row>
    <row r="1928" ht="15.5" spans="1:6">
      <c r="A1928" s="6" t="s">
        <v>4775</v>
      </c>
      <c r="B1928" s="3" t="s">
        <v>4770</v>
      </c>
      <c r="C1928" s="4" t="s">
        <v>49</v>
      </c>
      <c r="D1928" s="7">
        <v>39.5</v>
      </c>
      <c r="E1928" s="8" t="s">
        <v>7388</v>
      </c>
      <c r="F1928" s="9">
        <v>10</v>
      </c>
    </row>
    <row r="1929" ht="15.5" spans="1:6">
      <c r="A1929" s="6" t="s">
        <v>4776</v>
      </c>
      <c r="B1929" s="3" t="s">
        <v>4772</v>
      </c>
      <c r="C1929" s="4" t="s">
        <v>49</v>
      </c>
      <c r="D1929" s="7">
        <v>29.55</v>
      </c>
      <c r="E1929" s="8" t="s">
        <v>7388</v>
      </c>
      <c r="F1929" s="9">
        <v>10</v>
      </c>
    </row>
    <row r="1930" ht="31" spans="1:6">
      <c r="A1930" s="6" t="s">
        <v>4777</v>
      </c>
      <c r="B1930" s="12" t="s">
        <v>4778</v>
      </c>
      <c r="C1930" s="4" t="s">
        <v>156</v>
      </c>
      <c r="D1930" s="7">
        <v>804.3</v>
      </c>
      <c r="E1930" s="8" t="s">
        <v>7544</v>
      </c>
      <c r="F1930" s="9">
        <v>1</v>
      </c>
    </row>
    <row r="1931" ht="62" spans="1:6">
      <c r="A1931" s="6" t="s">
        <v>4781</v>
      </c>
      <c r="B1931" s="3" t="s">
        <v>4782</v>
      </c>
      <c r="C1931" s="4" t="s">
        <v>156</v>
      </c>
      <c r="D1931" s="7">
        <v>11847.65</v>
      </c>
      <c r="E1931" s="8" t="s">
        <v>7544</v>
      </c>
      <c r="F1931" s="9">
        <v>1</v>
      </c>
    </row>
    <row r="1932" ht="46.5" spans="1:6">
      <c r="A1932" s="6" t="s">
        <v>4785</v>
      </c>
      <c r="B1932" s="3" t="s">
        <v>4786</v>
      </c>
      <c r="C1932" s="4" t="s">
        <v>156</v>
      </c>
      <c r="D1932" s="7">
        <v>115.3</v>
      </c>
      <c r="E1932" s="8" t="s">
        <v>7544</v>
      </c>
      <c r="F1932" s="9">
        <v>1</v>
      </c>
    </row>
    <row r="1933" ht="46.5" spans="1:6">
      <c r="A1933" s="6" t="s">
        <v>4787</v>
      </c>
      <c r="B1933" s="3" t="s">
        <v>4788</v>
      </c>
      <c r="C1933" s="4" t="s">
        <v>156</v>
      </c>
      <c r="D1933" s="7">
        <v>122.4</v>
      </c>
      <c r="E1933" s="8" t="s">
        <v>7544</v>
      </c>
      <c r="F1933" s="9">
        <v>1</v>
      </c>
    </row>
    <row r="1934" ht="93" spans="1:6">
      <c r="A1934" s="6" t="s">
        <v>4791</v>
      </c>
      <c r="B1934" s="3" t="s">
        <v>4792</v>
      </c>
      <c r="C1934" s="4" t="s">
        <v>156</v>
      </c>
      <c r="D1934" s="7">
        <v>367.1</v>
      </c>
      <c r="E1934" s="8" t="s">
        <v>7544</v>
      </c>
      <c r="F1934" s="9">
        <v>1</v>
      </c>
    </row>
    <row r="1935" ht="93" spans="1:6">
      <c r="A1935" s="6" t="s">
        <v>4793</v>
      </c>
      <c r="B1935" s="3" t="s">
        <v>4794</v>
      </c>
      <c r="C1935" s="4" t="s">
        <v>156</v>
      </c>
      <c r="D1935" s="7">
        <v>375.65</v>
      </c>
      <c r="E1935" s="8" t="s">
        <v>7544</v>
      </c>
      <c r="F1935" s="9">
        <v>1</v>
      </c>
    </row>
    <row r="1936" ht="93" spans="1:6">
      <c r="A1936" s="6" t="s">
        <v>4795</v>
      </c>
      <c r="B1936" s="12" t="s">
        <v>4796</v>
      </c>
      <c r="C1936" s="4" t="s">
        <v>156</v>
      </c>
      <c r="D1936" s="7">
        <v>168.35</v>
      </c>
      <c r="E1936" s="8" t="s">
        <v>7544</v>
      </c>
      <c r="F1936" s="9">
        <v>1</v>
      </c>
    </row>
    <row r="1937" ht="93" spans="1:6">
      <c r="A1937" s="6" t="s">
        <v>4797</v>
      </c>
      <c r="B1937" s="12" t="s">
        <v>4798</v>
      </c>
      <c r="C1937" s="4" t="s">
        <v>156</v>
      </c>
      <c r="D1937" s="7">
        <v>231.95</v>
      </c>
      <c r="E1937" s="8" t="s">
        <v>7544</v>
      </c>
      <c r="F1937" s="9">
        <v>1</v>
      </c>
    </row>
    <row r="1938" ht="62" spans="1:6">
      <c r="A1938" s="6" t="s">
        <v>4801</v>
      </c>
      <c r="B1938" s="3" t="s">
        <v>4802</v>
      </c>
      <c r="C1938" s="4" t="s">
        <v>156</v>
      </c>
      <c r="D1938" s="7">
        <v>673.4</v>
      </c>
      <c r="E1938" s="8" t="s">
        <v>7544</v>
      </c>
      <c r="F1938" s="9">
        <v>1</v>
      </c>
    </row>
    <row r="1939" ht="62" spans="1:6">
      <c r="A1939" s="6" t="s">
        <v>4803</v>
      </c>
      <c r="B1939" s="3" t="s">
        <v>4804</v>
      </c>
      <c r="C1939" s="4" t="s">
        <v>156</v>
      </c>
      <c r="D1939" s="7">
        <v>708.95</v>
      </c>
      <c r="E1939" s="8" t="s">
        <v>7544</v>
      </c>
      <c r="F1939" s="9">
        <v>1</v>
      </c>
    </row>
    <row r="1940" ht="62" spans="1:6">
      <c r="A1940" s="6" t="s">
        <v>4805</v>
      </c>
      <c r="B1940" s="12" t="s">
        <v>4806</v>
      </c>
      <c r="C1940" s="4" t="s">
        <v>156</v>
      </c>
      <c r="D1940" s="7">
        <v>713.2</v>
      </c>
      <c r="E1940" s="8" t="s">
        <v>7544</v>
      </c>
      <c r="F1940" s="9">
        <v>1</v>
      </c>
    </row>
    <row r="1941" ht="62" spans="1:6">
      <c r="A1941" s="6" t="s">
        <v>4807</v>
      </c>
      <c r="B1941" s="12" t="s">
        <v>4808</v>
      </c>
      <c r="C1941" s="4" t="s">
        <v>156</v>
      </c>
      <c r="D1941" s="7">
        <v>107.2</v>
      </c>
      <c r="E1941" s="8" t="s">
        <v>7544</v>
      </c>
      <c r="F1941" s="9">
        <v>1</v>
      </c>
    </row>
    <row r="1942" ht="46.5" spans="1:6">
      <c r="A1942" s="6" t="s">
        <v>4811</v>
      </c>
      <c r="B1942" s="3" t="s">
        <v>4812</v>
      </c>
      <c r="C1942" s="4" t="s">
        <v>156</v>
      </c>
      <c r="D1942" s="7">
        <v>175.4</v>
      </c>
      <c r="E1942" s="8" t="s">
        <v>7544</v>
      </c>
      <c r="F1942" s="9">
        <v>1</v>
      </c>
    </row>
    <row r="1943" ht="46.5" spans="1:6">
      <c r="A1943" s="6" t="s">
        <v>4815</v>
      </c>
      <c r="B1943" s="3" t="s">
        <v>4816</v>
      </c>
      <c r="C1943" s="4" t="s">
        <v>156</v>
      </c>
      <c r="D1943" s="7">
        <v>304.05</v>
      </c>
      <c r="E1943" s="8" t="s">
        <v>7817</v>
      </c>
      <c r="F1943" s="9">
        <v>50</v>
      </c>
    </row>
    <row r="1944" ht="46.5" spans="1:6">
      <c r="A1944" s="6" t="s">
        <v>4817</v>
      </c>
      <c r="B1944" s="3" t="s">
        <v>4818</v>
      </c>
      <c r="C1944" s="4" t="s">
        <v>156</v>
      </c>
      <c r="D1944" s="7">
        <v>378.1</v>
      </c>
      <c r="E1944" s="8" t="s">
        <v>7817</v>
      </c>
      <c r="F1944" s="9">
        <v>50</v>
      </c>
    </row>
    <row r="1945" ht="46.5" spans="1:6">
      <c r="A1945" s="6" t="s">
        <v>4819</v>
      </c>
      <c r="B1945" s="3" t="s">
        <v>4820</v>
      </c>
      <c r="C1945" s="4" t="s">
        <v>156</v>
      </c>
      <c r="D1945" s="7">
        <v>451.9</v>
      </c>
      <c r="E1945" s="8" t="s">
        <v>7817</v>
      </c>
      <c r="F1945" s="9">
        <v>50</v>
      </c>
    </row>
    <row r="1946" ht="139.5" spans="1:6">
      <c r="A1946" s="6" t="s">
        <v>4821</v>
      </c>
      <c r="B1946" s="12" t="s">
        <v>4822</v>
      </c>
      <c r="C1946" s="4" t="s">
        <v>156</v>
      </c>
      <c r="D1946" s="7">
        <v>14999.15</v>
      </c>
      <c r="E1946" s="8" t="s">
        <v>7544</v>
      </c>
      <c r="F1946" s="9">
        <v>1</v>
      </c>
    </row>
    <row r="1947" ht="77.5" spans="1:6">
      <c r="A1947" s="6" t="s">
        <v>4823</v>
      </c>
      <c r="B1947" s="12" t="s">
        <v>4824</v>
      </c>
      <c r="C1947" s="4" t="s">
        <v>156</v>
      </c>
      <c r="D1947" s="7">
        <v>18088.45</v>
      </c>
      <c r="E1947" s="8" t="s">
        <v>7544</v>
      </c>
      <c r="F1947" s="9">
        <v>1</v>
      </c>
    </row>
    <row r="1948" ht="139.5" spans="1:6">
      <c r="A1948" s="6" t="s">
        <v>4825</v>
      </c>
      <c r="B1948" s="12" t="s">
        <v>4826</v>
      </c>
      <c r="C1948" s="4" t="s">
        <v>156</v>
      </c>
      <c r="D1948" s="7">
        <v>7979.2</v>
      </c>
      <c r="E1948" s="8" t="s">
        <v>7544</v>
      </c>
      <c r="F1948" s="9">
        <v>1</v>
      </c>
    </row>
    <row r="1949" ht="186" spans="1:6">
      <c r="A1949" s="6" t="s">
        <v>4827</v>
      </c>
      <c r="B1949" s="12" t="s">
        <v>4828</v>
      </c>
      <c r="C1949" s="4" t="s">
        <v>156</v>
      </c>
      <c r="D1949" s="7">
        <v>18212.9</v>
      </c>
      <c r="E1949" s="8" t="s">
        <v>7544</v>
      </c>
      <c r="F1949" s="9">
        <v>1</v>
      </c>
    </row>
    <row r="1950" ht="15.5" spans="1:6">
      <c r="A1950" s="6" t="s">
        <v>204</v>
      </c>
      <c r="B1950" s="12" t="s">
        <v>2</v>
      </c>
      <c r="C1950" s="4" t="s">
        <v>3</v>
      </c>
      <c r="D1950" s="14" t="s">
        <v>4</v>
      </c>
    </row>
    <row r="1951" ht="15.5" spans="1:6">
      <c r="A1951" s="6" t="s">
        <v>4834</v>
      </c>
      <c r="B1951" s="3" t="s">
        <v>4835</v>
      </c>
      <c r="C1951" s="4" t="s">
        <v>49</v>
      </c>
      <c r="D1951" s="7">
        <v>286.75</v>
      </c>
      <c r="E1951" s="8" t="s">
        <v>7552</v>
      </c>
      <c r="F1951" s="9">
        <v>10</v>
      </c>
    </row>
    <row r="1952" ht="15.5" spans="1:6">
      <c r="A1952" s="6" t="s">
        <v>4836</v>
      </c>
      <c r="B1952" s="3" t="s">
        <v>4837</v>
      </c>
      <c r="C1952" s="4" t="s">
        <v>49</v>
      </c>
      <c r="D1952" s="7">
        <v>331.2</v>
      </c>
      <c r="E1952" s="8" t="s">
        <v>7552</v>
      </c>
      <c r="F1952" s="9">
        <v>10</v>
      </c>
    </row>
    <row r="1953" ht="15.5" spans="1:6">
      <c r="A1953" s="6" t="s">
        <v>4838</v>
      </c>
      <c r="B1953" s="3" t="s">
        <v>4839</v>
      </c>
      <c r="C1953" s="4" t="s">
        <v>49</v>
      </c>
      <c r="D1953" s="7">
        <v>401.55</v>
      </c>
      <c r="E1953" s="8" t="s">
        <v>7552</v>
      </c>
      <c r="F1953" s="9">
        <v>10</v>
      </c>
    </row>
    <row r="1954" ht="15.5" spans="1:6">
      <c r="A1954" s="6" t="s">
        <v>4840</v>
      </c>
      <c r="B1954" s="3" t="s">
        <v>4841</v>
      </c>
      <c r="C1954" s="4" t="s">
        <v>49</v>
      </c>
      <c r="D1954" s="7">
        <v>529.85</v>
      </c>
      <c r="E1954" s="8" t="s">
        <v>7552</v>
      </c>
      <c r="F1954" s="9">
        <v>10</v>
      </c>
    </row>
    <row r="1955" ht="15.5" spans="1:6">
      <c r="A1955" s="6" t="s">
        <v>4842</v>
      </c>
      <c r="B1955" s="3" t="s">
        <v>4843</v>
      </c>
      <c r="C1955" s="4" t="s">
        <v>49</v>
      </c>
      <c r="D1955" s="7">
        <v>684.45</v>
      </c>
      <c r="E1955" s="8" t="s">
        <v>7552</v>
      </c>
      <c r="F1955" s="9">
        <v>10</v>
      </c>
    </row>
    <row r="1956" ht="15.5" spans="1:6">
      <c r="A1956" s="6" t="s">
        <v>4844</v>
      </c>
      <c r="B1956" s="3" t="s">
        <v>4845</v>
      </c>
      <c r="C1956" s="4" t="s">
        <v>49</v>
      </c>
      <c r="D1956" s="7">
        <v>939.7</v>
      </c>
      <c r="E1956" s="8" t="s">
        <v>7552</v>
      </c>
      <c r="F1956" s="9">
        <v>10</v>
      </c>
    </row>
    <row r="1957" ht="15.5" spans="1:6">
      <c r="A1957" s="6" t="s">
        <v>4849</v>
      </c>
      <c r="B1957" s="3" t="s">
        <v>4835</v>
      </c>
      <c r="C1957" s="4" t="s">
        <v>49</v>
      </c>
      <c r="D1957" s="7">
        <v>522.7</v>
      </c>
      <c r="E1957" s="8" t="s">
        <v>7552</v>
      </c>
      <c r="F1957" s="9">
        <v>10</v>
      </c>
    </row>
    <row r="1958" ht="15.5" spans="1:6">
      <c r="A1958" s="6" t="s">
        <v>4850</v>
      </c>
      <c r="B1958" s="3" t="s">
        <v>4837</v>
      </c>
      <c r="C1958" s="4" t="s">
        <v>49</v>
      </c>
      <c r="D1958" s="7">
        <v>557.55</v>
      </c>
      <c r="E1958" s="8" t="s">
        <v>7552</v>
      </c>
      <c r="F1958" s="9">
        <v>10</v>
      </c>
    </row>
    <row r="1959" ht="15.5" spans="1:6">
      <c r="A1959" s="6" t="s">
        <v>4851</v>
      </c>
      <c r="B1959" s="3" t="s">
        <v>4839</v>
      </c>
      <c r="C1959" s="4" t="s">
        <v>49</v>
      </c>
      <c r="D1959" s="7">
        <v>627.25</v>
      </c>
      <c r="E1959" s="8" t="s">
        <v>7552</v>
      </c>
      <c r="F1959" s="9">
        <v>10</v>
      </c>
    </row>
    <row r="1960" ht="15.5" spans="1:6">
      <c r="A1960" s="6" t="s">
        <v>4852</v>
      </c>
      <c r="B1960" s="3" t="s">
        <v>4841</v>
      </c>
      <c r="C1960" s="4" t="s">
        <v>49</v>
      </c>
      <c r="D1960" s="7">
        <v>754.2</v>
      </c>
      <c r="E1960" s="8" t="s">
        <v>7552</v>
      </c>
      <c r="F1960" s="9">
        <v>10</v>
      </c>
    </row>
    <row r="1961" ht="15.5" spans="1:6">
      <c r="A1961" s="6" t="s">
        <v>4856</v>
      </c>
      <c r="B1961" s="3" t="s">
        <v>4835</v>
      </c>
      <c r="C1961" s="4" t="s">
        <v>49</v>
      </c>
      <c r="D1961" s="7">
        <v>263.2</v>
      </c>
      <c r="E1961" s="8" t="s">
        <v>7552</v>
      </c>
      <c r="F1961" s="9">
        <v>10</v>
      </c>
    </row>
    <row r="1962" ht="15.5" spans="1:6">
      <c r="A1962" s="6" t="s">
        <v>4857</v>
      </c>
      <c r="B1962" s="3" t="s">
        <v>4858</v>
      </c>
      <c r="C1962" s="4" t="s">
        <v>49</v>
      </c>
      <c r="D1962" s="7">
        <v>289.1</v>
      </c>
      <c r="E1962" s="8" t="s">
        <v>7552</v>
      </c>
      <c r="F1962" s="9">
        <v>10</v>
      </c>
    </row>
    <row r="1963" ht="15.5" spans="1:6">
      <c r="A1963" s="6" t="s">
        <v>4859</v>
      </c>
      <c r="B1963" s="3" t="s">
        <v>4860</v>
      </c>
      <c r="C1963" s="4" t="s">
        <v>49</v>
      </c>
      <c r="D1963" s="7">
        <v>340.85</v>
      </c>
      <c r="E1963" s="8" t="s">
        <v>7552</v>
      </c>
      <c r="F1963" s="9">
        <v>10</v>
      </c>
    </row>
    <row r="1964" ht="15.5" spans="1:6">
      <c r="A1964" s="6" t="s">
        <v>4861</v>
      </c>
      <c r="B1964" s="3" t="s">
        <v>4862</v>
      </c>
      <c r="C1964" s="4" t="s">
        <v>49</v>
      </c>
      <c r="D1964" s="7">
        <v>435.2</v>
      </c>
      <c r="E1964" s="8" t="s">
        <v>7552</v>
      </c>
      <c r="F1964" s="9">
        <v>10</v>
      </c>
    </row>
    <row r="1965" ht="15.5" spans="1:6">
      <c r="A1965" s="6" t="s">
        <v>4863</v>
      </c>
      <c r="B1965" s="3" t="s">
        <v>4864</v>
      </c>
      <c r="C1965" s="4" t="s">
        <v>49</v>
      </c>
      <c r="D1965" s="7">
        <v>544.55</v>
      </c>
      <c r="E1965" s="8" t="s">
        <v>7552</v>
      </c>
      <c r="F1965" s="9">
        <v>10</v>
      </c>
    </row>
    <row r="1966" ht="15.5" spans="1:6">
      <c r="A1966" s="6" t="s">
        <v>4865</v>
      </c>
      <c r="B1966" s="3" t="s">
        <v>4866</v>
      </c>
      <c r="C1966" s="4" t="s">
        <v>49</v>
      </c>
      <c r="D1966" s="7">
        <v>799.8</v>
      </c>
      <c r="E1966" s="8" t="s">
        <v>7552</v>
      </c>
      <c r="F1966" s="9">
        <v>10</v>
      </c>
    </row>
    <row r="1967" ht="15.5" spans="1:6">
      <c r="A1967" s="6" t="s">
        <v>4871</v>
      </c>
      <c r="B1967" s="3" t="s">
        <v>4872</v>
      </c>
      <c r="C1967" s="4" t="s">
        <v>49</v>
      </c>
      <c r="D1967" s="7">
        <v>272</v>
      </c>
      <c r="E1967" s="8" t="s">
        <v>7552</v>
      </c>
      <c r="F1967" s="9">
        <v>10</v>
      </c>
    </row>
    <row r="1968" ht="15.5" spans="1:6">
      <c r="A1968" s="6" t="s">
        <v>4873</v>
      </c>
      <c r="B1968" s="3" t="s">
        <v>4874</v>
      </c>
      <c r="C1968" s="4" t="s">
        <v>49</v>
      </c>
      <c r="D1968" s="7">
        <v>318.35</v>
      </c>
      <c r="E1968" s="8" t="s">
        <v>7552</v>
      </c>
      <c r="F1968" s="9">
        <v>10</v>
      </c>
    </row>
    <row r="1969" ht="15.5" spans="1:6">
      <c r="A1969" s="6" t="s">
        <v>4875</v>
      </c>
      <c r="B1969" s="3" t="s">
        <v>4876</v>
      </c>
      <c r="C1969" s="4" t="s">
        <v>49</v>
      </c>
      <c r="D1969" s="7">
        <v>362.9</v>
      </c>
      <c r="E1969" s="8" t="s">
        <v>7552</v>
      </c>
      <c r="F1969" s="9">
        <v>10</v>
      </c>
    </row>
    <row r="1970" ht="15.5" spans="1:6">
      <c r="A1970" s="6" t="s">
        <v>4877</v>
      </c>
      <c r="B1970" s="3" t="s">
        <v>4878</v>
      </c>
      <c r="C1970" s="4" t="s">
        <v>49</v>
      </c>
      <c r="D1970" s="7">
        <v>545.75</v>
      </c>
      <c r="E1970" s="8" t="s">
        <v>7552</v>
      </c>
      <c r="F1970" s="9">
        <v>10</v>
      </c>
    </row>
    <row r="1971" ht="15.5" spans="1:6">
      <c r="A1971" s="6" t="s">
        <v>4879</v>
      </c>
      <c r="B1971" s="3" t="s">
        <v>4880</v>
      </c>
      <c r="C1971" s="4" t="s">
        <v>49</v>
      </c>
      <c r="D1971" s="7">
        <v>580.1</v>
      </c>
      <c r="E1971" s="8" t="s">
        <v>7552</v>
      </c>
      <c r="F1971" s="9">
        <v>10</v>
      </c>
    </row>
    <row r="1972" ht="15.5" spans="1:6">
      <c r="A1972" s="6" t="s">
        <v>4884</v>
      </c>
      <c r="B1972" s="3" t="s">
        <v>4872</v>
      </c>
      <c r="C1972" s="4" t="s">
        <v>49</v>
      </c>
      <c r="D1972" s="7">
        <v>477.85</v>
      </c>
      <c r="E1972" s="8" t="s">
        <v>7552</v>
      </c>
      <c r="F1972" s="9">
        <v>10</v>
      </c>
    </row>
    <row r="1973" ht="15.5" spans="1:6">
      <c r="A1973" s="6" t="s">
        <v>4885</v>
      </c>
      <c r="B1973" s="3" t="s">
        <v>4874</v>
      </c>
      <c r="C1973" s="4" t="s">
        <v>49</v>
      </c>
      <c r="D1973" s="7">
        <v>515.2</v>
      </c>
      <c r="E1973" s="8" t="s">
        <v>7552</v>
      </c>
      <c r="F1973" s="9">
        <v>10</v>
      </c>
    </row>
    <row r="1974" ht="15.5" spans="1:6">
      <c r="A1974" s="6" t="s">
        <v>4886</v>
      </c>
      <c r="B1974" s="3" t="s">
        <v>4876</v>
      </c>
      <c r="C1974" s="4" t="s">
        <v>49</v>
      </c>
      <c r="D1974" s="7">
        <v>561.45</v>
      </c>
      <c r="E1974" s="8" t="s">
        <v>7552</v>
      </c>
      <c r="F1974" s="9">
        <v>10</v>
      </c>
    </row>
    <row r="1975" ht="15.5" spans="1:6">
      <c r="A1975" s="6" t="s">
        <v>4889</v>
      </c>
      <c r="B1975" s="3" t="s">
        <v>4872</v>
      </c>
      <c r="C1975" s="4" t="s">
        <v>49</v>
      </c>
      <c r="D1975" s="7">
        <v>224.95</v>
      </c>
      <c r="E1975" s="8" t="s">
        <v>7552</v>
      </c>
      <c r="F1975" s="9">
        <v>10</v>
      </c>
    </row>
    <row r="1976" ht="15.5" spans="1:6">
      <c r="A1976" s="6" t="s">
        <v>4890</v>
      </c>
      <c r="B1976" s="3" t="s">
        <v>4891</v>
      </c>
      <c r="C1976" s="4" t="s">
        <v>49</v>
      </c>
      <c r="D1976" s="7">
        <v>265.05</v>
      </c>
      <c r="E1976" s="8" t="s">
        <v>7552</v>
      </c>
      <c r="F1976" s="9">
        <v>10</v>
      </c>
    </row>
    <row r="1977" ht="15.5" spans="1:6">
      <c r="A1977" s="6" t="s">
        <v>4892</v>
      </c>
      <c r="B1977" s="3" t="s">
        <v>4893</v>
      </c>
      <c r="C1977" s="4" t="s">
        <v>49</v>
      </c>
      <c r="D1977" s="7">
        <v>316.25</v>
      </c>
      <c r="E1977" s="8" t="s">
        <v>7552</v>
      </c>
      <c r="F1977" s="9">
        <v>10</v>
      </c>
    </row>
    <row r="1978" ht="15.5" spans="1:6">
      <c r="A1978" s="6" t="s">
        <v>4894</v>
      </c>
      <c r="B1978" s="3" t="s">
        <v>4895</v>
      </c>
      <c r="C1978" s="4" t="s">
        <v>49</v>
      </c>
      <c r="D1978" s="7">
        <v>415.1</v>
      </c>
      <c r="E1978" s="8" t="s">
        <v>7552</v>
      </c>
      <c r="F1978" s="9">
        <v>10</v>
      </c>
    </row>
    <row r="1979" ht="15.5" spans="1:6">
      <c r="A1979" s="6" t="s">
        <v>4896</v>
      </c>
      <c r="B1979" s="3" t="s">
        <v>4897</v>
      </c>
      <c r="C1979" s="4" t="s">
        <v>49</v>
      </c>
      <c r="D1979" s="7">
        <v>450.95</v>
      </c>
      <c r="E1979" s="8" t="s">
        <v>7552</v>
      </c>
      <c r="F1979" s="9">
        <v>10</v>
      </c>
    </row>
    <row r="1980" ht="15.5" spans="1:6">
      <c r="A1980" s="6" t="s">
        <v>4898</v>
      </c>
      <c r="B1980" s="3" t="s">
        <v>4899</v>
      </c>
      <c r="C1980" s="4" t="s">
        <v>49</v>
      </c>
      <c r="D1980" s="7">
        <v>597.75</v>
      </c>
      <c r="E1980" s="8" t="s">
        <v>7552</v>
      </c>
      <c r="F1980" s="9">
        <v>10</v>
      </c>
    </row>
    <row r="1981" ht="15.5" spans="1:6">
      <c r="A1981" s="6" t="s">
        <v>4900</v>
      </c>
      <c r="B1981" s="3" t="s">
        <v>4901</v>
      </c>
      <c r="C1981" s="4" t="s">
        <v>49</v>
      </c>
      <c r="D1981" s="7">
        <v>696.75</v>
      </c>
      <c r="E1981" s="8" t="s">
        <v>7552</v>
      </c>
      <c r="F1981" s="9">
        <v>10</v>
      </c>
    </row>
    <row r="1982" ht="15.5" spans="1:6">
      <c r="A1982" s="6" t="s">
        <v>4902</v>
      </c>
      <c r="B1982" s="3" t="s">
        <v>4903</v>
      </c>
      <c r="C1982" s="4" t="s">
        <v>49</v>
      </c>
      <c r="D1982" s="7">
        <v>975.3</v>
      </c>
      <c r="E1982" s="8" t="s">
        <v>7552</v>
      </c>
      <c r="F1982" s="9">
        <v>10</v>
      </c>
    </row>
    <row r="1983" ht="15.5" spans="1:6">
      <c r="A1983" s="6" t="s">
        <v>4904</v>
      </c>
      <c r="B1983" s="3" t="s">
        <v>4905</v>
      </c>
      <c r="C1983" s="4" t="s">
        <v>49</v>
      </c>
      <c r="D1983" s="7">
        <v>1301.35</v>
      </c>
      <c r="E1983" s="8" t="s">
        <v>7552</v>
      </c>
      <c r="F1983" s="9">
        <v>10</v>
      </c>
    </row>
    <row r="1984" ht="15.5" spans="1:6">
      <c r="A1984" s="6" t="s">
        <v>4906</v>
      </c>
      <c r="B1984" s="3" t="s">
        <v>4907</v>
      </c>
      <c r="C1984" s="4" t="s">
        <v>49</v>
      </c>
      <c r="D1984" s="7">
        <v>2746.85</v>
      </c>
      <c r="E1984" s="8" t="s">
        <v>7552</v>
      </c>
      <c r="F1984" s="9">
        <v>10</v>
      </c>
    </row>
    <row r="1985" ht="15.5" spans="1:6">
      <c r="A1985" s="6" t="s">
        <v>4910</v>
      </c>
      <c r="B1985" s="3" t="s">
        <v>4911</v>
      </c>
      <c r="C1985" s="4" t="s">
        <v>156</v>
      </c>
      <c r="D1985" s="7">
        <v>315.5</v>
      </c>
      <c r="E1985" s="8" t="s">
        <v>7544</v>
      </c>
      <c r="F1985" s="9">
        <v>1</v>
      </c>
    </row>
    <row r="1986" ht="15.5" spans="1:6">
      <c r="A1986" s="6" t="s">
        <v>4912</v>
      </c>
      <c r="B1986" s="3" t="s">
        <v>4913</v>
      </c>
      <c r="C1986" s="4" t="s">
        <v>156</v>
      </c>
      <c r="D1986" s="7">
        <v>334</v>
      </c>
      <c r="E1986" s="8" t="s">
        <v>7544</v>
      </c>
      <c r="F1986" s="9">
        <v>1</v>
      </c>
    </row>
    <row r="1987" ht="15.5" spans="1:6">
      <c r="A1987" s="6" t="s">
        <v>4914</v>
      </c>
      <c r="B1987" s="3" t="s">
        <v>4915</v>
      </c>
      <c r="C1987" s="4" t="s">
        <v>156</v>
      </c>
      <c r="D1987" s="7">
        <v>403.7</v>
      </c>
      <c r="E1987" s="8" t="s">
        <v>7544</v>
      </c>
      <c r="F1987" s="9">
        <v>1</v>
      </c>
    </row>
    <row r="1988" ht="15.5" spans="1:6">
      <c r="A1988" s="6" t="s">
        <v>4916</v>
      </c>
      <c r="B1988" s="3" t="s">
        <v>4917</v>
      </c>
      <c r="C1988" s="4" t="s">
        <v>156</v>
      </c>
      <c r="D1988" s="7">
        <v>543.1</v>
      </c>
      <c r="E1988" s="8" t="s">
        <v>7544</v>
      </c>
      <c r="F1988" s="9">
        <v>1</v>
      </c>
    </row>
    <row r="1989" ht="15.5" spans="1:6">
      <c r="A1989" s="6" t="s">
        <v>4918</v>
      </c>
      <c r="B1989" s="3" t="s">
        <v>4919</v>
      </c>
      <c r="C1989" s="4" t="s">
        <v>156</v>
      </c>
      <c r="D1989" s="7">
        <v>782.1</v>
      </c>
      <c r="E1989" s="8" t="s">
        <v>7544</v>
      </c>
      <c r="F1989" s="9">
        <v>1</v>
      </c>
    </row>
    <row r="1990" ht="15.5" spans="1:6">
      <c r="A1990" s="6" t="s">
        <v>4920</v>
      </c>
      <c r="B1990" s="3" t="s">
        <v>4921</v>
      </c>
      <c r="C1990" s="4" t="s">
        <v>156</v>
      </c>
      <c r="D1990" s="7">
        <v>913</v>
      </c>
      <c r="E1990" s="8" t="s">
        <v>7544</v>
      </c>
      <c r="F1990" s="9">
        <v>1</v>
      </c>
    </row>
    <row r="1991" ht="15.5" spans="1:6">
      <c r="A1991" s="6" t="s">
        <v>4922</v>
      </c>
      <c r="B1991" s="3" t="s">
        <v>4923</v>
      </c>
      <c r="C1991" s="4" t="s">
        <v>156</v>
      </c>
      <c r="D1991" s="7">
        <v>1684.05</v>
      </c>
      <c r="E1991" s="8" t="s">
        <v>7544</v>
      </c>
      <c r="F1991" s="9">
        <v>1</v>
      </c>
    </row>
    <row r="1992" ht="15.5" spans="1:6">
      <c r="A1992" s="6" t="s">
        <v>4928</v>
      </c>
      <c r="B1992" s="3" t="s">
        <v>4929</v>
      </c>
      <c r="C1992" s="4" t="s">
        <v>49</v>
      </c>
      <c r="D1992" s="7">
        <v>286.8</v>
      </c>
      <c r="E1992" s="8" t="s">
        <v>7552</v>
      </c>
      <c r="F1992" s="9">
        <v>10</v>
      </c>
    </row>
    <row r="1993" ht="15.5" spans="1:6">
      <c r="A1993" s="6" t="s">
        <v>4930</v>
      </c>
      <c r="B1993" s="3" t="s">
        <v>4931</v>
      </c>
      <c r="C1993" s="4" t="s">
        <v>49</v>
      </c>
      <c r="D1993" s="7">
        <v>335</v>
      </c>
      <c r="E1993" s="8" t="s">
        <v>7552</v>
      </c>
      <c r="F1993" s="9">
        <v>10</v>
      </c>
    </row>
    <row r="1994" ht="15.5" spans="1:6">
      <c r="A1994" s="6" t="s">
        <v>4932</v>
      </c>
      <c r="B1994" s="3" t="s">
        <v>4933</v>
      </c>
      <c r="C1994" s="4" t="s">
        <v>49</v>
      </c>
      <c r="D1994" s="7">
        <v>401.55</v>
      </c>
      <c r="E1994" s="8" t="s">
        <v>7552</v>
      </c>
      <c r="F1994" s="9">
        <v>10</v>
      </c>
    </row>
    <row r="1995" ht="15.5" spans="1:6">
      <c r="A1995" s="6" t="s">
        <v>4934</v>
      </c>
      <c r="B1995" s="3" t="s">
        <v>4935</v>
      </c>
      <c r="C1995" s="4" t="s">
        <v>49</v>
      </c>
      <c r="D1995" s="7">
        <v>518.75</v>
      </c>
      <c r="E1995" s="8" t="s">
        <v>7552</v>
      </c>
      <c r="F1995" s="9">
        <v>10</v>
      </c>
    </row>
    <row r="1996" ht="15.5" spans="1:6">
      <c r="A1996" s="6" t="s">
        <v>4936</v>
      </c>
      <c r="B1996" s="3" t="s">
        <v>4937</v>
      </c>
      <c r="C1996" s="4" t="s">
        <v>49</v>
      </c>
      <c r="D1996" s="7">
        <v>702.95</v>
      </c>
      <c r="E1996" s="8" t="s">
        <v>7552</v>
      </c>
      <c r="F1996" s="9">
        <v>10</v>
      </c>
    </row>
    <row r="1997" ht="15.5" spans="1:6">
      <c r="A1997" s="6" t="s">
        <v>4938</v>
      </c>
      <c r="B1997" s="3" t="s">
        <v>4939</v>
      </c>
      <c r="C1997" s="4" t="s">
        <v>49</v>
      </c>
      <c r="D1997" s="7">
        <v>934.15</v>
      </c>
      <c r="E1997" s="8" t="s">
        <v>7552</v>
      </c>
      <c r="F1997" s="9">
        <v>10</v>
      </c>
    </row>
    <row r="1998" ht="15.5" spans="1:6">
      <c r="A1998" s="6" t="s">
        <v>4943</v>
      </c>
      <c r="B1998" s="3" t="s">
        <v>4929</v>
      </c>
      <c r="C1998" s="4" t="s">
        <v>49</v>
      </c>
      <c r="D1998" s="7">
        <v>497.8</v>
      </c>
      <c r="E1998" s="8" t="s">
        <v>7552</v>
      </c>
      <c r="F1998" s="9">
        <v>10</v>
      </c>
    </row>
    <row r="1999" ht="15.5" spans="1:6">
      <c r="A1999" s="6" t="s">
        <v>4944</v>
      </c>
      <c r="B1999" s="3" t="s">
        <v>4931</v>
      </c>
      <c r="C1999" s="4" t="s">
        <v>49</v>
      </c>
      <c r="D1999" s="7">
        <v>537.6</v>
      </c>
      <c r="E1999" s="8" t="s">
        <v>7552</v>
      </c>
      <c r="F1999" s="9">
        <v>10</v>
      </c>
    </row>
    <row r="2000" ht="15.5" spans="1:6">
      <c r="A2000" s="6" t="s">
        <v>4945</v>
      </c>
      <c r="B2000" s="3" t="s">
        <v>4933</v>
      </c>
      <c r="C2000" s="4" t="s">
        <v>49</v>
      </c>
      <c r="D2000" s="7">
        <v>627.25</v>
      </c>
      <c r="E2000" s="8" t="s">
        <v>7552</v>
      </c>
      <c r="F2000" s="9">
        <v>10</v>
      </c>
    </row>
    <row r="2001" ht="15.5" spans="1:6">
      <c r="A2001" s="6" t="s">
        <v>4946</v>
      </c>
      <c r="B2001" s="3" t="s">
        <v>4935</v>
      </c>
      <c r="C2001" s="4" t="s">
        <v>49</v>
      </c>
      <c r="D2001" s="7">
        <v>739.3</v>
      </c>
      <c r="E2001" s="8" t="s">
        <v>7552</v>
      </c>
      <c r="F2001" s="9">
        <v>10</v>
      </c>
    </row>
    <row r="2002" ht="15.5" spans="1:6">
      <c r="A2002" s="6" t="s">
        <v>4949</v>
      </c>
      <c r="B2002" s="3" t="s">
        <v>4929</v>
      </c>
      <c r="C2002" s="4" t="s">
        <v>49</v>
      </c>
      <c r="D2002" s="7">
        <v>244.7</v>
      </c>
      <c r="E2002" s="8" t="s">
        <v>7552</v>
      </c>
      <c r="F2002" s="9">
        <v>10</v>
      </c>
    </row>
    <row r="2003" ht="15.5" spans="1:6">
      <c r="A2003" s="6" t="s">
        <v>4950</v>
      </c>
      <c r="B2003" s="3" t="s">
        <v>4931</v>
      </c>
      <c r="C2003" s="4" t="s">
        <v>49</v>
      </c>
      <c r="D2003" s="7">
        <v>274.3</v>
      </c>
      <c r="E2003" s="8" t="s">
        <v>7552</v>
      </c>
      <c r="F2003" s="9">
        <v>10</v>
      </c>
    </row>
    <row r="2004" ht="15.5" spans="1:6">
      <c r="A2004" s="6" t="s">
        <v>4951</v>
      </c>
      <c r="B2004" s="3" t="s">
        <v>4933</v>
      </c>
      <c r="C2004" s="4" t="s">
        <v>49</v>
      </c>
      <c r="D2004" s="7">
        <v>355.4</v>
      </c>
      <c r="E2004" s="8" t="s">
        <v>7552</v>
      </c>
      <c r="F2004" s="9">
        <v>10</v>
      </c>
    </row>
    <row r="2005" ht="15.5" spans="1:6">
      <c r="A2005" s="6" t="s">
        <v>4952</v>
      </c>
      <c r="B2005" s="3" t="s">
        <v>4935</v>
      </c>
      <c r="C2005" s="4" t="s">
        <v>49</v>
      </c>
      <c r="D2005" s="7">
        <v>438.6</v>
      </c>
      <c r="E2005" s="8" t="s">
        <v>7552</v>
      </c>
      <c r="F2005" s="9">
        <v>10</v>
      </c>
    </row>
    <row r="2006" ht="15.5" spans="1:6">
      <c r="A2006" s="6" t="s">
        <v>4953</v>
      </c>
      <c r="B2006" s="3" t="s">
        <v>4937</v>
      </c>
      <c r="C2006" s="4" t="s">
        <v>49</v>
      </c>
      <c r="D2006" s="7">
        <v>563.05</v>
      </c>
      <c r="E2006" s="8" t="s">
        <v>7552</v>
      </c>
      <c r="F2006" s="9">
        <v>10</v>
      </c>
    </row>
    <row r="2007" ht="15.5" spans="1:6">
      <c r="A2007" s="6" t="s">
        <v>4954</v>
      </c>
      <c r="B2007" s="3" t="s">
        <v>4939</v>
      </c>
      <c r="C2007" s="4" t="s">
        <v>49</v>
      </c>
      <c r="D2007" s="7">
        <v>794.25</v>
      </c>
      <c r="E2007" s="8" t="s">
        <v>7552</v>
      </c>
      <c r="F2007" s="9">
        <v>10</v>
      </c>
    </row>
    <row r="2008" ht="15.5" spans="1:6">
      <c r="A2008" s="6" t="s">
        <v>4955</v>
      </c>
      <c r="B2008" s="3" t="s">
        <v>4956</v>
      </c>
      <c r="C2008" s="4" t="s">
        <v>49</v>
      </c>
      <c r="D2008" s="7">
        <v>1674.4</v>
      </c>
      <c r="E2008" s="8" t="s">
        <v>7552</v>
      </c>
      <c r="F2008" s="9">
        <v>10</v>
      </c>
    </row>
    <row r="2009" ht="15.5" spans="1:6">
      <c r="A2009" s="6" t="s">
        <v>4957</v>
      </c>
      <c r="B2009" s="3" t="s">
        <v>4958</v>
      </c>
      <c r="C2009" s="4" t="s">
        <v>49</v>
      </c>
      <c r="D2009" s="7">
        <v>2166.35</v>
      </c>
      <c r="E2009" s="8" t="s">
        <v>7552</v>
      </c>
      <c r="F2009" s="9">
        <v>10</v>
      </c>
    </row>
    <row r="2010" ht="15.5" spans="1:6">
      <c r="A2010" s="6" t="s">
        <v>4959</v>
      </c>
      <c r="B2010" s="3" t="s">
        <v>4960</v>
      </c>
      <c r="C2010" s="4" t="s">
        <v>49</v>
      </c>
      <c r="D2010" s="7">
        <v>3271.7</v>
      </c>
      <c r="E2010" s="8" t="s">
        <v>7552</v>
      </c>
      <c r="F2010" s="9">
        <v>10</v>
      </c>
    </row>
    <row r="2011" ht="15.5" spans="1:6">
      <c r="A2011" s="6" t="s">
        <v>4961</v>
      </c>
      <c r="B2011" s="3" t="s">
        <v>4962</v>
      </c>
      <c r="C2011" s="4" t="s">
        <v>49</v>
      </c>
      <c r="D2011" s="7">
        <v>6822.7</v>
      </c>
      <c r="E2011" s="8" t="s">
        <v>7552</v>
      </c>
      <c r="F2011" s="9">
        <v>10</v>
      </c>
    </row>
    <row r="2012" ht="15.5" spans="1:6">
      <c r="A2012" s="6" t="s">
        <v>4965</v>
      </c>
      <c r="B2012" s="3" t="s">
        <v>4966</v>
      </c>
      <c r="C2012" s="4" t="s">
        <v>49</v>
      </c>
      <c r="D2012" s="7">
        <v>366.4</v>
      </c>
      <c r="E2012" s="8" t="s">
        <v>7552</v>
      </c>
      <c r="F2012" s="9">
        <v>10</v>
      </c>
    </row>
    <row r="2013" ht="15.5" spans="1:6">
      <c r="A2013" s="6" t="s">
        <v>4967</v>
      </c>
      <c r="B2013" s="3" t="s">
        <v>4968</v>
      </c>
      <c r="C2013" s="4" t="s">
        <v>49</v>
      </c>
      <c r="D2013" s="7">
        <v>437.3</v>
      </c>
      <c r="E2013" s="8" t="s">
        <v>7552</v>
      </c>
      <c r="F2013" s="9">
        <v>10</v>
      </c>
    </row>
    <row r="2014" ht="15.5" spans="1:6">
      <c r="A2014" s="6" t="s">
        <v>4969</v>
      </c>
      <c r="B2014" s="3" t="s">
        <v>4970</v>
      </c>
      <c r="C2014" s="4" t="s">
        <v>49</v>
      </c>
      <c r="D2014" s="7">
        <v>551.7</v>
      </c>
      <c r="E2014" s="8" t="s">
        <v>7552</v>
      </c>
      <c r="F2014" s="9">
        <v>10</v>
      </c>
    </row>
    <row r="2015" ht="15.5" spans="1:6">
      <c r="A2015" s="6" t="s">
        <v>4971</v>
      </c>
      <c r="B2015" s="3" t="s">
        <v>4972</v>
      </c>
      <c r="C2015" s="4" t="s">
        <v>49</v>
      </c>
      <c r="D2015" s="7">
        <v>667</v>
      </c>
      <c r="E2015" s="8" t="s">
        <v>7552</v>
      </c>
      <c r="F2015" s="9">
        <v>10</v>
      </c>
    </row>
    <row r="2016" ht="15.5" spans="1:6">
      <c r="A2016" s="6" t="s">
        <v>4973</v>
      </c>
      <c r="B2016" s="3" t="s">
        <v>4974</v>
      </c>
      <c r="C2016" s="4" t="s">
        <v>49</v>
      </c>
      <c r="D2016" s="7">
        <v>811.9</v>
      </c>
      <c r="E2016" s="8" t="s">
        <v>7552</v>
      </c>
      <c r="F2016" s="9">
        <v>10</v>
      </c>
    </row>
    <row r="2017" ht="15.5" spans="1:6">
      <c r="A2017" s="6" t="s">
        <v>4975</v>
      </c>
      <c r="B2017" s="3" t="s">
        <v>4976</v>
      </c>
      <c r="C2017" s="4" t="s">
        <v>49</v>
      </c>
      <c r="D2017" s="7">
        <v>1048.35</v>
      </c>
      <c r="E2017" s="8" t="s">
        <v>7552</v>
      </c>
      <c r="F2017" s="9">
        <v>10</v>
      </c>
    </row>
    <row r="2018" ht="15.5" spans="1:6">
      <c r="A2018" s="6" t="s">
        <v>4979</v>
      </c>
      <c r="B2018" s="3" t="s">
        <v>4966</v>
      </c>
      <c r="C2018" s="4" t="s">
        <v>49</v>
      </c>
      <c r="D2018" s="7">
        <v>580.45</v>
      </c>
      <c r="E2018" s="8" t="s">
        <v>7552</v>
      </c>
      <c r="F2018" s="9">
        <v>10</v>
      </c>
    </row>
    <row r="2019" ht="15.5" spans="1:6">
      <c r="A2019" s="6" t="s">
        <v>4980</v>
      </c>
      <c r="B2019" s="3" t="s">
        <v>4968</v>
      </c>
      <c r="C2019" s="4" t="s">
        <v>49</v>
      </c>
      <c r="D2019" s="7">
        <v>635.2</v>
      </c>
      <c r="E2019" s="8" t="s">
        <v>7552</v>
      </c>
      <c r="F2019" s="9">
        <v>10</v>
      </c>
    </row>
    <row r="2020" ht="15.5" spans="1:6">
      <c r="A2020" s="6" t="s">
        <v>4983</v>
      </c>
      <c r="B2020" s="3" t="s">
        <v>4966</v>
      </c>
      <c r="C2020" s="4" t="s">
        <v>49</v>
      </c>
      <c r="D2020" s="7">
        <v>322.15</v>
      </c>
      <c r="E2020" s="8" t="s">
        <v>7552</v>
      </c>
      <c r="F2020" s="9">
        <v>10</v>
      </c>
    </row>
    <row r="2021" ht="15.5" spans="1:6">
      <c r="A2021" s="6" t="s">
        <v>4984</v>
      </c>
      <c r="B2021" s="3" t="s">
        <v>4968</v>
      </c>
      <c r="C2021" s="4" t="s">
        <v>49</v>
      </c>
      <c r="D2021" s="7">
        <v>368.6</v>
      </c>
      <c r="E2021" s="8" t="s">
        <v>7552</v>
      </c>
      <c r="F2021" s="9">
        <v>10</v>
      </c>
    </row>
    <row r="2022" ht="15.5" spans="1:6">
      <c r="A2022" s="6" t="s">
        <v>4985</v>
      </c>
      <c r="B2022" s="3" t="s">
        <v>4970</v>
      </c>
      <c r="C2022" s="4" t="s">
        <v>49</v>
      </c>
      <c r="D2022" s="7">
        <v>467.75</v>
      </c>
      <c r="E2022" s="8" t="s">
        <v>7552</v>
      </c>
      <c r="F2022" s="9">
        <v>10</v>
      </c>
    </row>
    <row r="2023" ht="15.5" spans="1:6">
      <c r="A2023" s="6" t="s">
        <v>4986</v>
      </c>
      <c r="B2023" s="3" t="s">
        <v>4972</v>
      </c>
      <c r="C2023" s="4" t="s">
        <v>49</v>
      </c>
      <c r="D2023" s="7">
        <v>540.3</v>
      </c>
      <c r="E2023" s="8" t="s">
        <v>7552</v>
      </c>
      <c r="F2023" s="9">
        <v>10</v>
      </c>
    </row>
    <row r="2024" ht="15.5" spans="1:6">
      <c r="A2024" s="6" t="s">
        <v>4987</v>
      </c>
      <c r="B2024" s="3" t="s">
        <v>4974</v>
      </c>
      <c r="C2024" s="4" t="s">
        <v>49</v>
      </c>
      <c r="D2024" s="7">
        <v>617.05</v>
      </c>
      <c r="E2024" s="8" t="s">
        <v>7552</v>
      </c>
      <c r="F2024" s="9">
        <v>10</v>
      </c>
    </row>
    <row r="2025" ht="15.5" spans="1:6">
      <c r="A2025" s="6" t="s">
        <v>4988</v>
      </c>
      <c r="B2025" s="3" t="s">
        <v>4976</v>
      </c>
      <c r="C2025" s="4" t="s">
        <v>49</v>
      </c>
      <c r="D2025" s="7">
        <v>762.15</v>
      </c>
      <c r="E2025" s="8" t="s">
        <v>7552</v>
      </c>
      <c r="F2025" s="9">
        <v>10</v>
      </c>
    </row>
    <row r="2026" ht="15.5" spans="1:6">
      <c r="A2026" s="6" t="s">
        <v>4989</v>
      </c>
      <c r="B2026" s="3" t="s">
        <v>4990</v>
      </c>
      <c r="C2026" s="4" t="s">
        <v>49</v>
      </c>
      <c r="D2026" s="7">
        <v>896.6</v>
      </c>
      <c r="E2026" s="8" t="s">
        <v>7552</v>
      </c>
      <c r="F2026" s="9">
        <v>10</v>
      </c>
    </row>
    <row r="2027" ht="15.5" spans="1:6">
      <c r="A2027" s="6" t="s">
        <v>4991</v>
      </c>
      <c r="B2027" s="3" t="s">
        <v>4992</v>
      </c>
      <c r="C2027" s="4" t="s">
        <v>49</v>
      </c>
      <c r="D2027" s="7">
        <v>1041.7</v>
      </c>
      <c r="E2027" s="8" t="s">
        <v>7552</v>
      </c>
      <c r="F2027" s="9">
        <v>10</v>
      </c>
    </row>
    <row r="2028" ht="15.5" spans="1:6">
      <c r="A2028" s="6" t="s">
        <v>4995</v>
      </c>
      <c r="B2028" s="3" t="s">
        <v>4996</v>
      </c>
      <c r="C2028" s="4" t="s">
        <v>156</v>
      </c>
      <c r="D2028" s="7">
        <v>911.9</v>
      </c>
      <c r="E2028" s="8" t="s">
        <v>7818</v>
      </c>
      <c r="F2028" s="9">
        <v>1</v>
      </c>
    </row>
    <row r="2029" ht="15.5" spans="1:6">
      <c r="A2029" s="6" t="s">
        <v>4997</v>
      </c>
      <c r="B2029" s="3" t="s">
        <v>4998</v>
      </c>
      <c r="C2029" s="4" t="s">
        <v>156</v>
      </c>
      <c r="D2029" s="7">
        <v>1785.35</v>
      </c>
      <c r="E2029" s="8" t="s">
        <v>7818</v>
      </c>
      <c r="F2029" s="9">
        <v>1</v>
      </c>
    </row>
    <row r="2030" ht="77.5" spans="1:6">
      <c r="A2030" s="6" t="s">
        <v>4999</v>
      </c>
      <c r="B2030" s="12" t="s">
        <v>5000</v>
      </c>
      <c r="C2030" s="4" t="s">
        <v>156</v>
      </c>
      <c r="D2030" s="7">
        <v>812.3</v>
      </c>
      <c r="E2030" s="8" t="s">
        <v>7819</v>
      </c>
      <c r="F2030" s="9">
        <v>1</v>
      </c>
    </row>
    <row r="2031" ht="15.5" spans="1:6">
      <c r="A2031" s="6" t="s">
        <v>5003</v>
      </c>
      <c r="B2031" s="3" t="s">
        <v>5004</v>
      </c>
      <c r="C2031" s="4" t="s">
        <v>156</v>
      </c>
      <c r="D2031" s="7">
        <v>353.25</v>
      </c>
      <c r="E2031" s="8" t="s">
        <v>7544</v>
      </c>
      <c r="F2031" s="9">
        <v>1</v>
      </c>
    </row>
    <row r="2032" ht="15.5" spans="1:6">
      <c r="A2032" s="6" t="s">
        <v>5005</v>
      </c>
      <c r="B2032" s="3" t="s">
        <v>5006</v>
      </c>
      <c r="C2032" s="4" t="s">
        <v>156</v>
      </c>
      <c r="D2032" s="7">
        <v>379.2</v>
      </c>
      <c r="E2032" s="8" t="s">
        <v>7544</v>
      </c>
      <c r="F2032" s="9">
        <v>1</v>
      </c>
    </row>
    <row r="2033" ht="15.5" spans="1:6">
      <c r="A2033" s="6" t="s">
        <v>5009</v>
      </c>
      <c r="B2033" s="3" t="s">
        <v>5004</v>
      </c>
      <c r="C2033" s="4" t="s">
        <v>156</v>
      </c>
      <c r="D2033" s="7">
        <v>353.25</v>
      </c>
      <c r="E2033" s="8" t="s">
        <v>7544</v>
      </c>
      <c r="F2033" s="9">
        <v>1</v>
      </c>
    </row>
    <row r="2034" ht="15.5" spans="1:6">
      <c r="A2034" s="6" t="s">
        <v>5010</v>
      </c>
      <c r="B2034" s="3" t="s">
        <v>5006</v>
      </c>
      <c r="C2034" s="4" t="s">
        <v>156</v>
      </c>
      <c r="D2034" s="7">
        <v>379.2</v>
      </c>
      <c r="E2034" s="8" t="s">
        <v>7544</v>
      </c>
      <c r="F2034" s="9">
        <v>1</v>
      </c>
    </row>
    <row r="2035" ht="15.5" spans="1:6">
      <c r="A2035" s="6" t="s">
        <v>5013</v>
      </c>
      <c r="B2035" s="3" t="s">
        <v>5014</v>
      </c>
      <c r="C2035" s="4" t="s">
        <v>156</v>
      </c>
      <c r="D2035" s="7">
        <v>622.4</v>
      </c>
      <c r="E2035" s="8" t="s">
        <v>7544</v>
      </c>
      <c r="F2035" s="9">
        <v>1</v>
      </c>
    </row>
    <row r="2036" ht="15.5" spans="1:6">
      <c r="A2036" s="6" t="s">
        <v>5015</v>
      </c>
      <c r="B2036" s="3" t="s">
        <v>5006</v>
      </c>
      <c r="C2036" s="4" t="s">
        <v>156</v>
      </c>
      <c r="D2036" s="7">
        <v>539.95</v>
      </c>
      <c r="E2036" s="8" t="s">
        <v>7544</v>
      </c>
      <c r="F2036" s="9">
        <v>1</v>
      </c>
    </row>
    <row r="2037" ht="15.5" spans="1:6">
      <c r="A2037" s="6" t="s">
        <v>5016</v>
      </c>
      <c r="B2037" s="3" t="s">
        <v>5017</v>
      </c>
      <c r="C2037" s="4" t="s">
        <v>156</v>
      </c>
      <c r="D2037" s="7">
        <v>689.6</v>
      </c>
      <c r="E2037" s="8" t="s">
        <v>7544</v>
      </c>
      <c r="F2037" s="9">
        <v>1</v>
      </c>
    </row>
    <row r="2038" ht="15.5" spans="1:6">
      <c r="A2038" s="6" t="s">
        <v>5018</v>
      </c>
      <c r="B2038" s="3" t="s">
        <v>5019</v>
      </c>
      <c r="C2038" s="4" t="s">
        <v>156</v>
      </c>
      <c r="D2038" s="7">
        <v>826.1</v>
      </c>
      <c r="E2038" s="8" t="s">
        <v>7544</v>
      </c>
      <c r="F2038" s="9">
        <v>1</v>
      </c>
    </row>
    <row r="2039" ht="15.5" spans="1:6">
      <c r="A2039" s="6" t="s">
        <v>5020</v>
      </c>
      <c r="B2039" s="3" t="s">
        <v>5021</v>
      </c>
      <c r="C2039" s="4" t="s">
        <v>156</v>
      </c>
      <c r="D2039" s="7">
        <v>1026.65</v>
      </c>
      <c r="E2039" s="8" t="s">
        <v>7544</v>
      </c>
      <c r="F2039" s="9">
        <v>1</v>
      </c>
    </row>
    <row r="2040" ht="15.5" spans="1:6">
      <c r="A2040" s="6" t="s">
        <v>5022</v>
      </c>
      <c r="B2040" s="3" t="s">
        <v>5023</v>
      </c>
      <c r="C2040" s="4" t="s">
        <v>156</v>
      </c>
      <c r="D2040" s="7">
        <v>1742.15</v>
      </c>
      <c r="E2040" s="8" t="s">
        <v>7544</v>
      </c>
      <c r="F2040" s="9">
        <v>1</v>
      </c>
    </row>
    <row r="2041" ht="15.5" spans="1:6">
      <c r="A2041" s="6" t="s">
        <v>5024</v>
      </c>
      <c r="B2041" s="3" t="s">
        <v>5025</v>
      </c>
      <c r="C2041" s="4" t="s">
        <v>156</v>
      </c>
      <c r="D2041" s="7">
        <v>2604.55</v>
      </c>
      <c r="E2041" s="8" t="s">
        <v>7544</v>
      </c>
      <c r="F2041" s="9">
        <v>1</v>
      </c>
    </row>
    <row r="2042" ht="15.5" spans="1:6">
      <c r="A2042" s="6" t="s">
        <v>5028</v>
      </c>
      <c r="B2042" s="3" t="s">
        <v>5004</v>
      </c>
      <c r="C2042" s="4" t="s">
        <v>156</v>
      </c>
      <c r="D2042" s="7">
        <v>406.85</v>
      </c>
      <c r="E2042" s="8" t="s">
        <v>7544</v>
      </c>
      <c r="F2042" s="9">
        <v>1</v>
      </c>
    </row>
    <row r="2043" ht="15.5" spans="1:6">
      <c r="A2043" s="6" t="s">
        <v>5029</v>
      </c>
      <c r="B2043" s="3" t="s">
        <v>5006</v>
      </c>
      <c r="C2043" s="4" t="s">
        <v>156</v>
      </c>
      <c r="D2043" s="7">
        <v>462.5</v>
      </c>
      <c r="E2043" s="8" t="s">
        <v>7544</v>
      </c>
      <c r="F2043" s="9">
        <v>1</v>
      </c>
    </row>
    <row r="2044" ht="15.5" spans="1:6">
      <c r="A2044" s="6" t="s">
        <v>5030</v>
      </c>
      <c r="B2044" s="3" t="s">
        <v>5014</v>
      </c>
      <c r="C2044" s="4" t="s">
        <v>156</v>
      </c>
      <c r="D2044" s="7">
        <v>464.05</v>
      </c>
      <c r="E2044" s="8" t="s">
        <v>7544</v>
      </c>
      <c r="F2044" s="9">
        <v>1</v>
      </c>
    </row>
    <row r="2045" ht="15.5" spans="1:6">
      <c r="A2045" s="6" t="s">
        <v>5034</v>
      </c>
      <c r="B2045" s="3" t="s">
        <v>5035</v>
      </c>
      <c r="C2045" s="4" t="s">
        <v>156</v>
      </c>
      <c r="D2045" s="7">
        <v>591.4</v>
      </c>
      <c r="E2045" s="8" t="s">
        <v>7544</v>
      </c>
      <c r="F2045" s="9">
        <v>1</v>
      </c>
    </row>
    <row r="2046" ht="15.5" spans="1:6">
      <c r="A2046" s="6" t="s">
        <v>5036</v>
      </c>
      <c r="B2046" s="3" t="s">
        <v>5037</v>
      </c>
      <c r="C2046" s="4" t="s">
        <v>156</v>
      </c>
      <c r="D2046" s="7">
        <v>624.1</v>
      </c>
      <c r="E2046" s="8" t="s">
        <v>7544</v>
      </c>
      <c r="F2046" s="9">
        <v>1</v>
      </c>
    </row>
    <row r="2047" ht="15.5" spans="1:6">
      <c r="A2047" s="6" t="s">
        <v>5040</v>
      </c>
      <c r="B2047" s="3" t="s">
        <v>5035</v>
      </c>
      <c r="C2047" s="4" t="s">
        <v>156</v>
      </c>
      <c r="D2047" s="7">
        <v>791.9</v>
      </c>
      <c r="E2047" s="8" t="s">
        <v>7544</v>
      </c>
      <c r="F2047" s="9">
        <v>1</v>
      </c>
    </row>
    <row r="2048" ht="15.5" spans="1:6">
      <c r="A2048" s="6" t="s">
        <v>5041</v>
      </c>
      <c r="B2048" s="3" t="s">
        <v>5037</v>
      </c>
      <c r="C2048" s="4" t="s">
        <v>156</v>
      </c>
      <c r="D2048" s="7">
        <v>850.25</v>
      </c>
      <c r="E2048" s="8" t="s">
        <v>7544</v>
      </c>
      <c r="F2048" s="9">
        <v>1</v>
      </c>
    </row>
    <row r="2049" ht="15.5" spans="1:6">
      <c r="A2049" s="6" t="s">
        <v>5043</v>
      </c>
      <c r="B2049" s="3" t="s">
        <v>5035</v>
      </c>
      <c r="C2049" s="4" t="s">
        <v>156</v>
      </c>
      <c r="D2049" s="7">
        <v>952.6</v>
      </c>
      <c r="E2049" s="8" t="s">
        <v>7544</v>
      </c>
      <c r="F2049" s="9">
        <v>1</v>
      </c>
    </row>
    <row r="2050" ht="15.5" spans="1:6">
      <c r="A2050" s="6" t="s">
        <v>5044</v>
      </c>
      <c r="B2050" s="3" t="s">
        <v>5037</v>
      </c>
      <c r="C2050" s="4" t="s">
        <v>156</v>
      </c>
      <c r="D2050" s="7">
        <v>1134.7</v>
      </c>
      <c r="E2050" s="8" t="s">
        <v>7544</v>
      </c>
      <c r="F2050" s="9">
        <v>1</v>
      </c>
    </row>
    <row r="2051" ht="15.5" spans="1:6">
      <c r="A2051" s="6" t="s">
        <v>5046</v>
      </c>
      <c r="B2051" s="3" t="s">
        <v>5035</v>
      </c>
      <c r="C2051" s="4" t="s">
        <v>156</v>
      </c>
      <c r="D2051" s="7">
        <v>1371.2</v>
      </c>
      <c r="E2051" s="8" t="s">
        <v>7544</v>
      </c>
      <c r="F2051" s="9">
        <v>1</v>
      </c>
    </row>
    <row r="2052" ht="15.5" spans="1:6">
      <c r="A2052" s="6" t="s">
        <v>5047</v>
      </c>
      <c r="B2052" s="3" t="s">
        <v>5037</v>
      </c>
      <c r="C2052" s="4" t="s">
        <v>156</v>
      </c>
      <c r="D2052" s="7">
        <v>1445.15</v>
      </c>
      <c r="E2052" s="8" t="s">
        <v>7544</v>
      </c>
      <c r="F2052" s="9">
        <v>1</v>
      </c>
    </row>
    <row r="2053" ht="15.5" spans="1:6">
      <c r="A2053" s="6" t="s">
        <v>5049</v>
      </c>
      <c r="B2053" s="3" t="s">
        <v>5035</v>
      </c>
      <c r="C2053" s="4" t="s">
        <v>156</v>
      </c>
      <c r="D2053" s="7">
        <v>2448.05</v>
      </c>
      <c r="E2053" s="8" t="s">
        <v>7544</v>
      </c>
      <c r="F2053" s="9">
        <v>1</v>
      </c>
    </row>
    <row r="2054" ht="15.5" spans="1:6">
      <c r="A2054" s="6" t="s">
        <v>5050</v>
      </c>
      <c r="B2054" s="3" t="s">
        <v>5037</v>
      </c>
      <c r="C2054" s="4" t="s">
        <v>156</v>
      </c>
      <c r="D2054" s="7">
        <v>2291.55</v>
      </c>
      <c r="E2054" s="8" t="s">
        <v>7544</v>
      </c>
      <c r="F2054" s="9">
        <v>1</v>
      </c>
    </row>
    <row r="2055" ht="15.5" spans="1:6">
      <c r="A2055" s="6" t="s">
        <v>5052</v>
      </c>
      <c r="B2055" s="3" t="s">
        <v>5035</v>
      </c>
      <c r="C2055" s="4" t="s">
        <v>156</v>
      </c>
      <c r="D2055" s="7">
        <v>3664.75</v>
      </c>
      <c r="E2055" s="8" t="s">
        <v>7544</v>
      </c>
      <c r="F2055" s="9">
        <v>1</v>
      </c>
    </row>
    <row r="2056" ht="15.5" spans="1:6">
      <c r="A2056" s="6" t="s">
        <v>5053</v>
      </c>
      <c r="B2056" s="3" t="s">
        <v>5037</v>
      </c>
      <c r="C2056" s="4" t="s">
        <v>156</v>
      </c>
      <c r="D2056" s="7">
        <v>3855.4</v>
      </c>
      <c r="E2056" s="8" t="s">
        <v>7544</v>
      </c>
      <c r="F2056" s="9">
        <v>1</v>
      </c>
    </row>
    <row r="2057" ht="15.5" spans="1:6">
      <c r="A2057" s="6" t="s">
        <v>5056</v>
      </c>
      <c r="B2057" s="3" t="s">
        <v>5004</v>
      </c>
      <c r="C2057" s="4" t="s">
        <v>156</v>
      </c>
      <c r="D2057" s="7">
        <v>329.3</v>
      </c>
      <c r="E2057" s="8" t="s">
        <v>7544</v>
      </c>
      <c r="F2057" s="9">
        <v>1</v>
      </c>
    </row>
    <row r="2058" ht="15.5" spans="1:6">
      <c r="A2058" s="6" t="s">
        <v>5057</v>
      </c>
      <c r="B2058" s="3" t="s">
        <v>5006</v>
      </c>
      <c r="C2058" s="4" t="s">
        <v>156</v>
      </c>
      <c r="D2058" s="7">
        <v>380</v>
      </c>
      <c r="E2058" s="8" t="s">
        <v>7544</v>
      </c>
      <c r="F2058" s="9">
        <v>1</v>
      </c>
    </row>
    <row r="2059" ht="15.5" spans="1:6">
      <c r="A2059" s="6" t="s">
        <v>5058</v>
      </c>
      <c r="B2059" s="3" t="s">
        <v>5014</v>
      </c>
      <c r="C2059" s="4" t="s">
        <v>156</v>
      </c>
      <c r="D2059" s="7">
        <v>486.8</v>
      </c>
      <c r="E2059" s="8" t="s">
        <v>7544</v>
      </c>
      <c r="F2059" s="9">
        <v>1</v>
      </c>
    </row>
    <row r="2060" ht="15.5" spans="1:6">
      <c r="A2060" s="6" t="s">
        <v>5063</v>
      </c>
      <c r="B2060" s="3" t="s">
        <v>5004</v>
      </c>
      <c r="C2060" s="4" t="s">
        <v>156</v>
      </c>
      <c r="D2060" s="7">
        <v>85</v>
      </c>
      <c r="E2060" s="8" t="s">
        <v>7544</v>
      </c>
      <c r="F2060" s="9">
        <v>1</v>
      </c>
    </row>
    <row r="2061" ht="15.5" spans="1:6">
      <c r="A2061" s="6" t="s">
        <v>5064</v>
      </c>
      <c r="B2061" s="3" t="s">
        <v>5006</v>
      </c>
      <c r="C2061" s="4" t="s">
        <v>156</v>
      </c>
      <c r="D2061" s="7">
        <v>93.55</v>
      </c>
      <c r="E2061" s="8" t="s">
        <v>7544</v>
      </c>
      <c r="F2061" s="9">
        <v>1</v>
      </c>
    </row>
    <row r="2062" ht="15.5" spans="1:6">
      <c r="A2062" s="6" t="s">
        <v>5067</v>
      </c>
      <c r="B2062" s="3" t="s">
        <v>5004</v>
      </c>
      <c r="C2062" s="4" t="s">
        <v>156</v>
      </c>
      <c r="D2062" s="7">
        <v>97.75</v>
      </c>
      <c r="E2062" s="8" t="s">
        <v>7544</v>
      </c>
      <c r="F2062" s="9">
        <v>1</v>
      </c>
    </row>
    <row r="2063" ht="15.5" spans="1:6">
      <c r="A2063" s="6" t="s">
        <v>5068</v>
      </c>
      <c r="B2063" s="3" t="s">
        <v>5006</v>
      </c>
      <c r="C2063" s="4" t="s">
        <v>156</v>
      </c>
      <c r="D2063" s="7">
        <v>119.05</v>
      </c>
      <c r="E2063" s="8" t="s">
        <v>7544</v>
      </c>
      <c r="F2063" s="9">
        <v>1</v>
      </c>
    </row>
    <row r="2064" ht="15.5" spans="1:6">
      <c r="A2064" s="6" t="s">
        <v>5071</v>
      </c>
      <c r="B2064" s="3" t="s">
        <v>2847</v>
      </c>
      <c r="C2064" s="4" t="s">
        <v>156</v>
      </c>
      <c r="D2064" s="7">
        <v>193.95</v>
      </c>
      <c r="E2064" s="8" t="s">
        <v>7544</v>
      </c>
      <c r="F2064" s="9">
        <v>1</v>
      </c>
    </row>
    <row r="2065" ht="15.5" spans="1:6">
      <c r="A2065" s="6" t="s">
        <v>5072</v>
      </c>
      <c r="B2065" s="3" t="s">
        <v>2849</v>
      </c>
      <c r="C2065" s="4" t="s">
        <v>156</v>
      </c>
      <c r="D2065" s="7">
        <v>222.35</v>
      </c>
      <c r="E2065" s="8" t="s">
        <v>7544</v>
      </c>
      <c r="F2065" s="9">
        <v>1</v>
      </c>
    </row>
    <row r="2066" ht="46.5" spans="1:6">
      <c r="A2066" s="6" t="s">
        <v>5074</v>
      </c>
      <c r="B2066" s="12" t="s">
        <v>5075</v>
      </c>
      <c r="C2066" s="4" t="s">
        <v>675</v>
      </c>
      <c r="D2066" s="7">
        <v>361.65</v>
      </c>
      <c r="E2066" s="8" t="s">
        <v>7820</v>
      </c>
      <c r="F2066" s="9">
        <v>5.14</v>
      </c>
    </row>
    <row r="2067" ht="62" spans="1:6">
      <c r="A2067" s="6" t="s">
        <v>5076</v>
      </c>
      <c r="B2067" s="12" t="s">
        <v>5077</v>
      </c>
      <c r="C2067" s="4" t="s">
        <v>675</v>
      </c>
      <c r="D2067" s="7">
        <v>661.85</v>
      </c>
      <c r="E2067" s="8" t="s">
        <v>7821</v>
      </c>
      <c r="F2067" s="9">
        <v>7</v>
      </c>
    </row>
    <row r="2068" ht="15.5" spans="1:6">
      <c r="A2068" s="6" t="s">
        <v>5080</v>
      </c>
      <c r="B2068" s="3" t="s">
        <v>5081</v>
      </c>
      <c r="C2068" s="4" t="s">
        <v>675</v>
      </c>
      <c r="D2068" s="7">
        <v>6352.4</v>
      </c>
      <c r="E2068" s="8" t="s">
        <v>7665</v>
      </c>
      <c r="F2068" s="9">
        <v>1</v>
      </c>
    </row>
    <row r="2069" ht="15.5" spans="1:6">
      <c r="A2069" s="6" t="s">
        <v>5082</v>
      </c>
      <c r="B2069" s="3" t="s">
        <v>5083</v>
      </c>
      <c r="C2069" s="4" t="s">
        <v>675</v>
      </c>
      <c r="D2069" s="7">
        <v>6352.4</v>
      </c>
      <c r="E2069" s="8" t="s">
        <v>7665</v>
      </c>
      <c r="F2069" s="9">
        <v>1</v>
      </c>
    </row>
    <row r="2070" ht="15.5" spans="1:6">
      <c r="A2070" s="6" t="s">
        <v>5086</v>
      </c>
      <c r="B2070" s="3" t="s">
        <v>5081</v>
      </c>
      <c r="C2070" s="4" t="s">
        <v>675</v>
      </c>
      <c r="D2070" s="7">
        <v>8913.15</v>
      </c>
      <c r="E2070" s="8" t="s">
        <v>7665</v>
      </c>
      <c r="F2070" s="9">
        <v>1</v>
      </c>
    </row>
    <row r="2071" ht="15.5" spans="1:6">
      <c r="A2071" s="6" t="s">
        <v>5087</v>
      </c>
      <c r="B2071" s="3" t="s">
        <v>5083</v>
      </c>
      <c r="C2071" s="4" t="s">
        <v>675</v>
      </c>
      <c r="D2071" s="7">
        <v>8486.35</v>
      </c>
      <c r="E2071" s="8" t="s">
        <v>7665</v>
      </c>
      <c r="F2071" s="9">
        <v>1</v>
      </c>
    </row>
    <row r="2072" ht="15.5" spans="1:6">
      <c r="A2072" s="6" t="s">
        <v>5090</v>
      </c>
      <c r="B2072" s="3" t="s">
        <v>3851</v>
      </c>
      <c r="C2072" s="4" t="s">
        <v>49</v>
      </c>
      <c r="D2072" s="7">
        <v>1423.1</v>
      </c>
      <c r="E2072" s="8" t="s">
        <v>7552</v>
      </c>
      <c r="F2072" s="9">
        <v>10</v>
      </c>
    </row>
    <row r="2073" ht="15.5" spans="1:6">
      <c r="A2073" s="6" t="s">
        <v>5091</v>
      </c>
      <c r="B2073" s="3" t="s">
        <v>5092</v>
      </c>
      <c r="C2073" s="4" t="s">
        <v>49</v>
      </c>
      <c r="D2073" s="7">
        <v>1729.35</v>
      </c>
      <c r="E2073" s="8" t="s">
        <v>7552</v>
      </c>
      <c r="F2073" s="9">
        <v>10</v>
      </c>
    </row>
    <row r="2074" ht="15.5" spans="1:6">
      <c r="A2074" s="6" t="s">
        <v>5093</v>
      </c>
      <c r="B2074" s="3" t="s">
        <v>3853</v>
      </c>
      <c r="C2074" s="4" t="s">
        <v>49</v>
      </c>
      <c r="D2074" s="7">
        <v>2037</v>
      </c>
      <c r="E2074" s="8" t="s">
        <v>7552</v>
      </c>
      <c r="F2074" s="9">
        <v>10</v>
      </c>
    </row>
    <row r="2075" ht="15.5" spans="1:6">
      <c r="A2075" s="6" t="s">
        <v>5094</v>
      </c>
      <c r="B2075" s="3" t="s">
        <v>5095</v>
      </c>
      <c r="C2075" s="4" t="s">
        <v>49</v>
      </c>
      <c r="D2075" s="7">
        <v>3406.85</v>
      </c>
      <c r="E2075" s="8" t="s">
        <v>7552</v>
      </c>
      <c r="F2075" s="9">
        <v>10</v>
      </c>
    </row>
    <row r="2076" ht="15.5" spans="1:6">
      <c r="A2076" s="6" t="s">
        <v>5096</v>
      </c>
      <c r="B2076" s="3" t="s">
        <v>5097</v>
      </c>
      <c r="C2076" s="4" t="s">
        <v>49</v>
      </c>
      <c r="D2076" s="7">
        <v>4639.8</v>
      </c>
      <c r="E2076" s="8" t="s">
        <v>7552</v>
      </c>
      <c r="F2076" s="9">
        <v>10</v>
      </c>
    </row>
    <row r="2077" ht="15.5" spans="1:6">
      <c r="A2077" s="6" t="s">
        <v>5098</v>
      </c>
      <c r="B2077" s="3" t="s">
        <v>5099</v>
      </c>
      <c r="C2077" s="4" t="s">
        <v>49</v>
      </c>
      <c r="D2077" s="7">
        <v>6128.65</v>
      </c>
      <c r="E2077" s="8" t="s">
        <v>7552</v>
      </c>
      <c r="F2077" s="9">
        <v>10</v>
      </c>
    </row>
    <row r="2078" ht="15.5" spans="1:6">
      <c r="A2078" s="6" t="s">
        <v>5100</v>
      </c>
      <c r="B2078" s="3" t="s">
        <v>5101</v>
      </c>
      <c r="C2078" s="4" t="s">
        <v>49</v>
      </c>
      <c r="D2078" s="7">
        <v>7343.8</v>
      </c>
      <c r="E2078" s="8" t="s">
        <v>7552</v>
      </c>
      <c r="F2078" s="9">
        <v>10</v>
      </c>
    </row>
    <row r="2079" ht="15.5" spans="1:6">
      <c r="A2079" s="6" t="s">
        <v>5102</v>
      </c>
      <c r="B2079" s="3" t="s">
        <v>5103</v>
      </c>
      <c r="C2079" s="4" t="s">
        <v>49</v>
      </c>
      <c r="D2079" s="7">
        <v>9701</v>
      </c>
      <c r="E2079" s="8" t="s">
        <v>7552</v>
      </c>
      <c r="F2079" s="9">
        <v>10</v>
      </c>
    </row>
    <row r="2080" ht="15.5" spans="1:6">
      <c r="A2080" s="6" t="s">
        <v>5104</v>
      </c>
      <c r="B2080" s="3" t="s">
        <v>5105</v>
      </c>
      <c r="C2080" s="4" t="s">
        <v>49</v>
      </c>
      <c r="D2080" s="7">
        <v>11714.85</v>
      </c>
      <c r="E2080" s="8" t="s">
        <v>7552</v>
      </c>
      <c r="F2080" s="9">
        <v>10</v>
      </c>
    </row>
    <row r="2081" ht="15.5" spans="1:6">
      <c r="A2081" s="6" t="s">
        <v>5106</v>
      </c>
      <c r="B2081" s="3" t="s">
        <v>5107</v>
      </c>
      <c r="C2081" s="4" t="s">
        <v>49</v>
      </c>
      <c r="D2081" s="7">
        <v>13728.75</v>
      </c>
      <c r="E2081" s="8" t="s">
        <v>7552</v>
      </c>
      <c r="F2081" s="9">
        <v>10</v>
      </c>
    </row>
    <row r="2082" ht="15.5" spans="1:6">
      <c r="A2082" s="6" t="s">
        <v>5108</v>
      </c>
      <c r="B2082" s="3" t="s">
        <v>5109</v>
      </c>
      <c r="C2082" s="4" t="s">
        <v>49</v>
      </c>
      <c r="D2082" s="7">
        <v>18636.45</v>
      </c>
      <c r="E2082" s="8" t="s">
        <v>7552</v>
      </c>
      <c r="F2082" s="9">
        <v>10</v>
      </c>
    </row>
    <row r="2083" ht="15.5" spans="1:6">
      <c r="A2083" s="6" t="s">
        <v>5112</v>
      </c>
      <c r="B2083" s="3" t="s">
        <v>4770</v>
      </c>
      <c r="C2083" s="4" t="s">
        <v>156</v>
      </c>
      <c r="D2083" s="7">
        <v>496.4</v>
      </c>
      <c r="E2083" s="8" t="s">
        <v>7822</v>
      </c>
      <c r="F2083" s="9">
        <v>10</v>
      </c>
    </row>
    <row r="2084" ht="15.5" spans="1:6">
      <c r="A2084" s="6" t="s">
        <v>5113</v>
      </c>
      <c r="B2084" s="3" t="s">
        <v>5114</v>
      </c>
      <c r="C2084" s="4" t="s">
        <v>156</v>
      </c>
      <c r="D2084" s="7">
        <v>737.5</v>
      </c>
      <c r="E2084" s="8" t="s">
        <v>7822</v>
      </c>
      <c r="F2084" s="9">
        <v>10</v>
      </c>
    </row>
    <row r="2085" ht="15.5" spans="1:6">
      <c r="A2085" s="6" t="s">
        <v>5115</v>
      </c>
      <c r="B2085" s="3" t="s">
        <v>5116</v>
      </c>
      <c r="C2085" s="4" t="s">
        <v>156</v>
      </c>
      <c r="D2085" s="7">
        <v>744.85</v>
      </c>
      <c r="E2085" s="8" t="s">
        <v>7822</v>
      </c>
      <c r="F2085" s="9">
        <v>10</v>
      </c>
    </row>
    <row r="2086" ht="15.5" spans="1:6">
      <c r="A2086" s="6" t="s">
        <v>5117</v>
      </c>
      <c r="B2086" s="3" t="s">
        <v>5118</v>
      </c>
      <c r="C2086" s="4" t="s">
        <v>156</v>
      </c>
      <c r="D2086" s="7">
        <v>990.2</v>
      </c>
      <c r="E2086" s="8" t="s">
        <v>7822</v>
      </c>
      <c r="F2086" s="9">
        <v>10</v>
      </c>
    </row>
    <row r="2087" ht="15.5" spans="1:6">
      <c r="A2087" s="6" t="s">
        <v>5119</v>
      </c>
      <c r="B2087" s="3" t="s">
        <v>5120</v>
      </c>
      <c r="C2087" s="4" t="s">
        <v>156</v>
      </c>
      <c r="D2087" s="7">
        <v>1237.8</v>
      </c>
      <c r="E2087" s="8" t="s">
        <v>7822</v>
      </c>
      <c r="F2087" s="9">
        <v>10</v>
      </c>
    </row>
    <row r="2088" ht="15.5" spans="1:6">
      <c r="A2088" s="6" t="s">
        <v>5121</v>
      </c>
      <c r="B2088" s="3" t="s">
        <v>5122</v>
      </c>
      <c r="C2088" s="4" t="s">
        <v>156</v>
      </c>
      <c r="D2088" s="7">
        <v>1488.8</v>
      </c>
      <c r="E2088" s="8" t="s">
        <v>7822</v>
      </c>
      <c r="F2088" s="9">
        <v>10</v>
      </c>
    </row>
    <row r="2089" ht="15.5" spans="1:6">
      <c r="A2089" s="6" t="s">
        <v>5123</v>
      </c>
      <c r="B2089" s="3" t="s">
        <v>5124</v>
      </c>
      <c r="C2089" s="4" t="s">
        <v>156</v>
      </c>
      <c r="D2089" s="7">
        <v>1513.6</v>
      </c>
      <c r="E2089" s="8" t="s">
        <v>7822</v>
      </c>
      <c r="F2089" s="9">
        <v>10</v>
      </c>
    </row>
    <row r="2090" ht="15.5" spans="1:6">
      <c r="A2090" s="6" t="s">
        <v>5125</v>
      </c>
      <c r="B2090" s="3" t="s">
        <v>5126</v>
      </c>
      <c r="C2090" s="4" t="s">
        <v>156</v>
      </c>
      <c r="D2090" s="7">
        <v>1993.75</v>
      </c>
      <c r="E2090" s="8" t="s">
        <v>7822</v>
      </c>
      <c r="F2090" s="9">
        <v>10</v>
      </c>
    </row>
    <row r="2091" ht="15.5" spans="1:6">
      <c r="A2091" s="6" t="s">
        <v>5127</v>
      </c>
      <c r="B2091" s="3" t="s">
        <v>5128</v>
      </c>
      <c r="C2091" s="4" t="s">
        <v>156</v>
      </c>
      <c r="D2091" s="7">
        <v>2238.45</v>
      </c>
      <c r="E2091" s="8" t="s">
        <v>7822</v>
      </c>
      <c r="F2091" s="9">
        <v>10</v>
      </c>
    </row>
    <row r="2092" ht="15.5" spans="1:6">
      <c r="A2092" s="6" t="s">
        <v>5129</v>
      </c>
      <c r="B2092" s="3" t="s">
        <v>5130</v>
      </c>
      <c r="C2092" s="4" t="s">
        <v>156</v>
      </c>
      <c r="D2092" s="7">
        <v>2366.45</v>
      </c>
      <c r="E2092" s="8" t="s">
        <v>7822</v>
      </c>
      <c r="F2092" s="9">
        <v>10</v>
      </c>
    </row>
    <row r="2093" ht="15.5" spans="1:6">
      <c r="A2093" s="6" t="s">
        <v>5131</v>
      </c>
      <c r="B2093" s="3" t="s">
        <v>5132</v>
      </c>
      <c r="C2093" s="4" t="s">
        <v>156</v>
      </c>
      <c r="D2093" s="7">
        <v>3211.4</v>
      </c>
      <c r="E2093" s="8" t="s">
        <v>7822</v>
      </c>
      <c r="F2093" s="9">
        <v>10</v>
      </c>
    </row>
    <row r="2094" ht="15.5" spans="1:6">
      <c r="A2094" s="6" t="s">
        <v>5133</v>
      </c>
      <c r="B2094" s="12" t="s">
        <v>5134</v>
      </c>
      <c r="C2094" s="4" t="s">
        <v>675</v>
      </c>
      <c r="D2094" s="7">
        <v>29875.4</v>
      </c>
      <c r="E2094" s="8" t="s">
        <v>7665</v>
      </c>
      <c r="F2094" s="9">
        <v>1</v>
      </c>
    </row>
    <row r="2095" ht="15.5" spans="1:6">
      <c r="A2095" s="6" t="s">
        <v>5137</v>
      </c>
      <c r="B2095" s="3" t="s">
        <v>5138</v>
      </c>
      <c r="C2095" s="4" t="s">
        <v>156</v>
      </c>
      <c r="D2095" s="7">
        <v>215.1</v>
      </c>
      <c r="E2095" s="8" t="s">
        <v>7822</v>
      </c>
      <c r="F2095" s="9">
        <v>10</v>
      </c>
    </row>
    <row r="2096" ht="15.5" spans="1:6">
      <c r="A2096" s="6" t="s">
        <v>5139</v>
      </c>
      <c r="B2096" s="3" t="s">
        <v>4770</v>
      </c>
      <c r="C2096" s="4" t="s">
        <v>156</v>
      </c>
      <c r="D2096" s="7">
        <v>332</v>
      </c>
      <c r="E2096" s="8" t="s">
        <v>7822</v>
      </c>
      <c r="F2096" s="9">
        <v>10</v>
      </c>
    </row>
    <row r="2097" ht="15.5" spans="1:6">
      <c r="A2097" s="6" t="s">
        <v>5140</v>
      </c>
      <c r="B2097" s="3" t="s">
        <v>5114</v>
      </c>
      <c r="C2097" s="4" t="s">
        <v>156</v>
      </c>
      <c r="D2097" s="7">
        <v>351.9</v>
      </c>
      <c r="E2097" s="8" t="s">
        <v>7822</v>
      </c>
      <c r="F2097" s="9">
        <v>10</v>
      </c>
    </row>
    <row r="2098" ht="15.5" spans="1:6">
      <c r="A2098" s="6" t="s">
        <v>5141</v>
      </c>
      <c r="B2098" s="3" t="s">
        <v>5116</v>
      </c>
      <c r="C2098" s="4" t="s">
        <v>156</v>
      </c>
      <c r="D2098" s="7">
        <v>387.4</v>
      </c>
      <c r="E2098" s="8" t="s">
        <v>7822</v>
      </c>
      <c r="F2098" s="9">
        <v>10</v>
      </c>
    </row>
    <row r="2099" ht="15.5" spans="1:6">
      <c r="A2099" s="6" t="s">
        <v>5142</v>
      </c>
      <c r="B2099" s="3" t="s">
        <v>5118</v>
      </c>
      <c r="C2099" s="4" t="s">
        <v>156</v>
      </c>
      <c r="D2099" s="7">
        <v>428.65</v>
      </c>
      <c r="E2099" s="8" t="s">
        <v>7822</v>
      </c>
      <c r="F2099" s="9">
        <v>10</v>
      </c>
    </row>
    <row r="2100" ht="15.5" spans="1:6">
      <c r="A2100" s="6" t="s">
        <v>5143</v>
      </c>
      <c r="B2100" s="3" t="s">
        <v>5120</v>
      </c>
      <c r="C2100" s="4" t="s">
        <v>156</v>
      </c>
      <c r="D2100" s="7">
        <v>596.65</v>
      </c>
      <c r="E2100" s="8" t="s">
        <v>7822</v>
      </c>
      <c r="F2100" s="9">
        <v>10</v>
      </c>
    </row>
    <row r="2101" ht="15.5" spans="1:6">
      <c r="A2101" s="6" t="s">
        <v>5144</v>
      </c>
      <c r="B2101" s="3" t="s">
        <v>5122</v>
      </c>
      <c r="C2101" s="4" t="s">
        <v>156</v>
      </c>
      <c r="D2101" s="7">
        <v>599.5</v>
      </c>
      <c r="E2101" s="8" t="s">
        <v>7822</v>
      </c>
      <c r="F2101" s="9">
        <v>10</v>
      </c>
    </row>
    <row r="2102" ht="15.5" spans="1:6">
      <c r="A2102" s="6" t="s">
        <v>5145</v>
      </c>
      <c r="B2102" s="3" t="s">
        <v>5124</v>
      </c>
      <c r="C2102" s="4" t="s">
        <v>156</v>
      </c>
      <c r="D2102" s="7">
        <v>762.9</v>
      </c>
      <c r="E2102" s="8" t="s">
        <v>7822</v>
      </c>
      <c r="F2102" s="9">
        <v>10</v>
      </c>
    </row>
    <row r="2103" ht="15.5" spans="1:6">
      <c r="A2103" s="6" t="s">
        <v>5146</v>
      </c>
      <c r="B2103" s="3" t="s">
        <v>5126</v>
      </c>
      <c r="C2103" s="4" t="s">
        <v>156</v>
      </c>
      <c r="D2103" s="7">
        <v>1066.8</v>
      </c>
      <c r="E2103" s="8" t="s">
        <v>7822</v>
      </c>
      <c r="F2103" s="9">
        <v>10</v>
      </c>
    </row>
    <row r="2104" ht="15.5" spans="1:6">
      <c r="A2104" s="6" t="s">
        <v>5147</v>
      </c>
      <c r="B2104" s="3" t="s">
        <v>5128</v>
      </c>
      <c r="C2104" s="4" t="s">
        <v>156</v>
      </c>
      <c r="D2104" s="7">
        <v>1305.6</v>
      </c>
      <c r="E2104" s="8" t="s">
        <v>7822</v>
      </c>
      <c r="F2104" s="9">
        <v>10</v>
      </c>
    </row>
    <row r="2105" ht="15.5" spans="1:6">
      <c r="A2105" s="6" t="s">
        <v>5148</v>
      </c>
      <c r="B2105" s="3" t="s">
        <v>5130</v>
      </c>
      <c r="C2105" s="4" t="s">
        <v>156</v>
      </c>
      <c r="D2105" s="7">
        <v>1437.8</v>
      </c>
      <c r="E2105" s="8" t="s">
        <v>7822</v>
      </c>
      <c r="F2105" s="9">
        <v>10</v>
      </c>
    </row>
    <row r="2106" ht="15.5" spans="1:6">
      <c r="A2106" s="6" t="s">
        <v>5149</v>
      </c>
      <c r="B2106" s="3" t="s">
        <v>5132</v>
      </c>
      <c r="C2106" s="4" t="s">
        <v>156</v>
      </c>
      <c r="D2106" s="7">
        <v>1704.1</v>
      </c>
      <c r="E2106" s="8" t="s">
        <v>7822</v>
      </c>
      <c r="F2106" s="9">
        <v>10</v>
      </c>
    </row>
    <row r="2107" ht="15.5" spans="1:6">
      <c r="A2107" s="6" t="s">
        <v>5154</v>
      </c>
      <c r="B2107" s="3" t="s">
        <v>5155</v>
      </c>
      <c r="C2107" s="4" t="s">
        <v>156</v>
      </c>
      <c r="D2107" s="7">
        <v>4791.2</v>
      </c>
      <c r="E2107" s="8" t="s">
        <v>7823</v>
      </c>
      <c r="F2107" s="9">
        <v>10</v>
      </c>
    </row>
    <row r="2108" ht="15.5" spans="1:6">
      <c r="A2108" s="6" t="s">
        <v>5156</v>
      </c>
      <c r="B2108" s="3" t="s">
        <v>5157</v>
      </c>
      <c r="C2108" s="4" t="s">
        <v>156</v>
      </c>
      <c r="D2108" s="7">
        <v>4985.85</v>
      </c>
      <c r="E2108" s="8" t="s">
        <v>7823</v>
      </c>
      <c r="F2108" s="9">
        <v>10</v>
      </c>
    </row>
    <row r="2109" ht="15.5" spans="1:6">
      <c r="A2109" s="6" t="s">
        <v>5160</v>
      </c>
      <c r="B2109" s="3" t="s">
        <v>5155</v>
      </c>
      <c r="C2109" s="4" t="s">
        <v>156</v>
      </c>
      <c r="D2109" s="7">
        <v>5160.8</v>
      </c>
      <c r="E2109" s="8" t="s">
        <v>7823</v>
      </c>
      <c r="F2109" s="9">
        <v>10</v>
      </c>
    </row>
    <row r="2110" ht="15.5" spans="1:6">
      <c r="A2110" s="6" t="s">
        <v>5161</v>
      </c>
      <c r="B2110" s="3" t="s">
        <v>5157</v>
      </c>
      <c r="C2110" s="4" t="s">
        <v>156</v>
      </c>
      <c r="D2110" s="7">
        <v>5943</v>
      </c>
      <c r="E2110" s="8" t="s">
        <v>7823</v>
      </c>
      <c r="F2110" s="9">
        <v>10</v>
      </c>
    </row>
    <row r="2111" ht="15.5" spans="1:6">
      <c r="A2111" s="6" t="s">
        <v>5163</v>
      </c>
      <c r="B2111" s="3" t="s">
        <v>5155</v>
      </c>
      <c r="C2111" s="4" t="s">
        <v>156</v>
      </c>
      <c r="D2111" s="7">
        <v>6966.55</v>
      </c>
      <c r="E2111" s="8" t="s">
        <v>7823</v>
      </c>
      <c r="F2111" s="9">
        <v>10</v>
      </c>
    </row>
    <row r="2112" ht="15.5" spans="1:6">
      <c r="A2112" s="6" t="s">
        <v>5164</v>
      </c>
      <c r="B2112" s="3" t="s">
        <v>5157</v>
      </c>
      <c r="C2112" s="4" t="s">
        <v>156</v>
      </c>
      <c r="D2112" s="7">
        <v>7312.4</v>
      </c>
      <c r="E2112" s="8" t="s">
        <v>7823</v>
      </c>
      <c r="F2112" s="9">
        <v>10</v>
      </c>
    </row>
    <row r="2113" ht="15.5" spans="1:6">
      <c r="A2113" s="6" t="s">
        <v>5167</v>
      </c>
      <c r="B2113" s="3" t="s">
        <v>5155</v>
      </c>
      <c r="C2113" s="4" t="s">
        <v>156</v>
      </c>
      <c r="D2113" s="7">
        <v>13554.7</v>
      </c>
      <c r="E2113" s="8" t="s">
        <v>7823</v>
      </c>
      <c r="F2113" s="9">
        <v>10</v>
      </c>
    </row>
    <row r="2114" ht="15.5" spans="1:6">
      <c r="A2114" s="6" t="s">
        <v>5168</v>
      </c>
      <c r="B2114" s="3" t="s">
        <v>5157</v>
      </c>
      <c r="C2114" s="4" t="s">
        <v>156</v>
      </c>
      <c r="D2114" s="7">
        <v>14622.95</v>
      </c>
      <c r="E2114" s="8" t="s">
        <v>7823</v>
      </c>
      <c r="F2114" s="9">
        <v>10</v>
      </c>
    </row>
    <row r="2115" ht="15.5" spans="1:6">
      <c r="A2115" s="6" t="s">
        <v>5171</v>
      </c>
      <c r="B2115" s="3" t="s">
        <v>5155</v>
      </c>
      <c r="C2115" s="4" t="s">
        <v>156</v>
      </c>
      <c r="D2115" s="7">
        <v>19566.55</v>
      </c>
      <c r="E2115" s="8" t="s">
        <v>7823</v>
      </c>
      <c r="F2115" s="9">
        <v>10</v>
      </c>
    </row>
    <row r="2116" ht="15.5" spans="1:6">
      <c r="A2116" s="6" t="s">
        <v>5172</v>
      </c>
      <c r="B2116" s="3" t="s">
        <v>5157</v>
      </c>
      <c r="C2116" s="4" t="s">
        <v>156</v>
      </c>
      <c r="D2116" s="7">
        <v>24623.5</v>
      </c>
      <c r="E2116" s="8" t="s">
        <v>7823</v>
      </c>
      <c r="F2116" s="9">
        <v>10</v>
      </c>
    </row>
    <row r="2117" ht="15.5" spans="1:6">
      <c r="A2117" s="6" t="s">
        <v>5175</v>
      </c>
      <c r="B2117" s="3" t="s">
        <v>5155</v>
      </c>
      <c r="C2117" s="4" t="s">
        <v>156</v>
      </c>
      <c r="D2117" s="7">
        <v>27059.3</v>
      </c>
      <c r="E2117" s="8" t="s">
        <v>7823</v>
      </c>
      <c r="F2117" s="9">
        <v>10</v>
      </c>
    </row>
    <row r="2118" ht="15.5" spans="1:6">
      <c r="A2118" s="6" t="s">
        <v>5176</v>
      </c>
      <c r="B2118" s="3" t="s">
        <v>5157</v>
      </c>
      <c r="C2118" s="4" t="s">
        <v>156</v>
      </c>
      <c r="D2118" s="7">
        <v>30203</v>
      </c>
      <c r="E2118" s="8" t="s">
        <v>7823</v>
      </c>
      <c r="F2118" s="9">
        <v>10</v>
      </c>
    </row>
    <row r="2119" ht="31" spans="1:6">
      <c r="A2119" s="6" t="s">
        <v>5179</v>
      </c>
      <c r="B2119" s="3" t="s">
        <v>993</v>
      </c>
      <c r="C2119" s="4" t="s">
        <v>156</v>
      </c>
      <c r="D2119" s="7">
        <v>1992.6</v>
      </c>
      <c r="E2119" s="8" t="s">
        <v>7824</v>
      </c>
      <c r="F2119" s="9">
        <v>1</v>
      </c>
    </row>
    <row r="2120" ht="31" spans="1:6">
      <c r="A2120" s="6" t="s">
        <v>5182</v>
      </c>
      <c r="B2120" s="3" t="s">
        <v>993</v>
      </c>
      <c r="C2120" s="4" t="s">
        <v>156</v>
      </c>
      <c r="D2120" s="7">
        <v>10862.4</v>
      </c>
      <c r="E2120" s="8" t="s">
        <v>7824</v>
      </c>
      <c r="F2120" s="9">
        <v>1</v>
      </c>
    </row>
    <row r="2121" ht="31" spans="1:6">
      <c r="A2121" s="6" t="s">
        <v>5185</v>
      </c>
      <c r="B2121" s="3" t="s">
        <v>993</v>
      </c>
      <c r="C2121" s="4" t="s">
        <v>156</v>
      </c>
      <c r="D2121" s="7">
        <v>18896.7</v>
      </c>
      <c r="E2121" s="8" t="s">
        <v>7824</v>
      </c>
      <c r="F2121" s="9">
        <v>1</v>
      </c>
    </row>
    <row r="2122" ht="31" spans="1:6">
      <c r="A2122" s="6" t="s">
        <v>5188</v>
      </c>
      <c r="B2122" s="3" t="s">
        <v>993</v>
      </c>
      <c r="C2122" s="4" t="s">
        <v>156</v>
      </c>
      <c r="D2122" s="7">
        <v>26163.4</v>
      </c>
      <c r="E2122" s="8" t="s">
        <v>7824</v>
      </c>
      <c r="F2122" s="9">
        <v>1</v>
      </c>
    </row>
    <row r="2123" ht="31" spans="1:6">
      <c r="A2123" s="6" t="s">
        <v>5191</v>
      </c>
      <c r="B2123" s="3" t="s">
        <v>993</v>
      </c>
      <c r="C2123" s="4" t="s">
        <v>156</v>
      </c>
      <c r="D2123" s="7">
        <v>10354.95</v>
      </c>
      <c r="E2123" s="8" t="s">
        <v>7824</v>
      </c>
      <c r="F2123" s="9">
        <v>1</v>
      </c>
    </row>
    <row r="2124" ht="31" spans="1:6">
      <c r="A2124" s="6" t="s">
        <v>5194</v>
      </c>
      <c r="B2124" s="3" t="s">
        <v>993</v>
      </c>
      <c r="C2124" s="4" t="s">
        <v>156</v>
      </c>
      <c r="D2124" s="7">
        <v>9698.55</v>
      </c>
      <c r="E2124" s="8" t="s">
        <v>7824</v>
      </c>
      <c r="F2124" s="9">
        <v>1</v>
      </c>
    </row>
    <row r="2125" ht="15.5" spans="1:6">
      <c r="A2125" s="6" t="s">
        <v>5197</v>
      </c>
      <c r="B2125" s="3" t="s">
        <v>5198</v>
      </c>
      <c r="C2125" s="4" t="s">
        <v>49</v>
      </c>
      <c r="D2125" s="7">
        <v>19.4</v>
      </c>
      <c r="E2125" s="8" t="s">
        <v>7552</v>
      </c>
      <c r="F2125" s="9">
        <v>10</v>
      </c>
    </row>
    <row r="2126" ht="15.5" spans="1:6">
      <c r="A2126" s="6" t="s">
        <v>5199</v>
      </c>
      <c r="B2126" s="3" t="s">
        <v>5200</v>
      </c>
      <c r="C2126" s="4" t="s">
        <v>49</v>
      </c>
      <c r="D2126" s="7">
        <v>23.25</v>
      </c>
      <c r="E2126" s="8" t="s">
        <v>7552</v>
      </c>
      <c r="F2126" s="9">
        <v>10</v>
      </c>
    </row>
    <row r="2127" ht="15.5" spans="1:6">
      <c r="A2127" s="6" t="s">
        <v>5201</v>
      </c>
      <c r="B2127" s="3" t="s">
        <v>5202</v>
      </c>
      <c r="C2127" s="4" t="s">
        <v>49</v>
      </c>
      <c r="D2127" s="7">
        <v>30.25</v>
      </c>
      <c r="E2127" s="8" t="s">
        <v>7552</v>
      </c>
      <c r="F2127" s="9">
        <v>10</v>
      </c>
    </row>
    <row r="2128" ht="15.5" spans="1:6">
      <c r="A2128" s="6" t="s">
        <v>5203</v>
      </c>
      <c r="B2128" s="3" t="s">
        <v>5204</v>
      </c>
      <c r="C2128" s="4" t="s">
        <v>49</v>
      </c>
      <c r="D2128" s="7">
        <v>36.35</v>
      </c>
      <c r="E2128" s="8" t="s">
        <v>7552</v>
      </c>
      <c r="F2128" s="9">
        <v>10</v>
      </c>
    </row>
    <row r="2129" ht="15.5" spans="1:6">
      <c r="A2129" s="6" t="s">
        <v>5205</v>
      </c>
      <c r="B2129" s="3" t="s">
        <v>5206</v>
      </c>
      <c r="C2129" s="4" t="s">
        <v>49</v>
      </c>
      <c r="D2129" s="7">
        <v>42.65</v>
      </c>
      <c r="E2129" s="8" t="s">
        <v>7552</v>
      </c>
      <c r="F2129" s="9">
        <v>10</v>
      </c>
    </row>
    <row r="2130" ht="15.5" spans="1:6">
      <c r="A2130" s="6" t="s">
        <v>5207</v>
      </c>
      <c r="B2130" s="3" t="s">
        <v>5208</v>
      </c>
      <c r="C2130" s="4" t="s">
        <v>49</v>
      </c>
      <c r="D2130" s="7">
        <v>51</v>
      </c>
      <c r="E2130" s="8" t="s">
        <v>7552</v>
      </c>
      <c r="F2130" s="9">
        <v>10</v>
      </c>
    </row>
    <row r="2131" ht="15.5" spans="1:6">
      <c r="A2131" s="6" t="s">
        <v>5211</v>
      </c>
      <c r="B2131" s="3" t="s">
        <v>5198</v>
      </c>
      <c r="C2131" s="4" t="s">
        <v>49</v>
      </c>
      <c r="D2131" s="7">
        <v>9.5</v>
      </c>
      <c r="E2131" s="8" t="s">
        <v>7552</v>
      </c>
      <c r="F2131" s="9">
        <v>10</v>
      </c>
    </row>
    <row r="2132" ht="15.5" spans="1:6">
      <c r="A2132" s="6" t="s">
        <v>5212</v>
      </c>
      <c r="B2132" s="3" t="s">
        <v>5200</v>
      </c>
      <c r="C2132" s="4" t="s">
        <v>49</v>
      </c>
      <c r="D2132" s="7">
        <v>11.3</v>
      </c>
      <c r="E2132" s="8" t="s">
        <v>7552</v>
      </c>
      <c r="F2132" s="9">
        <v>10</v>
      </c>
    </row>
    <row r="2133" ht="15.5" spans="1:6">
      <c r="A2133" s="6" t="s">
        <v>5213</v>
      </c>
      <c r="B2133" s="3" t="s">
        <v>5202</v>
      </c>
      <c r="C2133" s="4" t="s">
        <v>49</v>
      </c>
      <c r="D2133" s="7">
        <v>14.4</v>
      </c>
      <c r="E2133" s="8" t="s">
        <v>7552</v>
      </c>
      <c r="F2133" s="9">
        <v>10</v>
      </c>
    </row>
    <row r="2134" ht="15.5" spans="1:6">
      <c r="A2134" s="6" t="s">
        <v>5214</v>
      </c>
      <c r="B2134" s="3" t="s">
        <v>5204</v>
      </c>
      <c r="C2134" s="4" t="s">
        <v>49</v>
      </c>
      <c r="D2134" s="7">
        <v>17.25</v>
      </c>
      <c r="E2134" s="8" t="s">
        <v>7552</v>
      </c>
      <c r="F2134" s="9">
        <v>10</v>
      </c>
    </row>
    <row r="2135" ht="15.5" spans="1:6">
      <c r="A2135" s="6" t="s">
        <v>5215</v>
      </c>
      <c r="B2135" s="3" t="s">
        <v>5206</v>
      </c>
      <c r="C2135" s="4" t="s">
        <v>49</v>
      </c>
      <c r="D2135" s="7">
        <v>20</v>
      </c>
      <c r="E2135" s="8" t="s">
        <v>7552</v>
      </c>
      <c r="F2135" s="9">
        <v>10</v>
      </c>
    </row>
    <row r="2136" ht="15.5" spans="1:6">
      <c r="A2136" s="6" t="s">
        <v>5216</v>
      </c>
      <c r="B2136" s="3" t="s">
        <v>5208</v>
      </c>
      <c r="C2136" s="4" t="s">
        <v>49</v>
      </c>
      <c r="D2136" s="7">
        <v>23.85</v>
      </c>
      <c r="E2136" s="8" t="s">
        <v>7552</v>
      </c>
      <c r="F2136" s="9">
        <v>10</v>
      </c>
    </row>
    <row r="2137" ht="15.5" spans="1:6">
      <c r="A2137" s="6" t="s">
        <v>5219</v>
      </c>
      <c r="B2137" s="3" t="s">
        <v>5198</v>
      </c>
      <c r="C2137" s="4" t="s">
        <v>49</v>
      </c>
      <c r="D2137" s="7">
        <v>12.05</v>
      </c>
      <c r="E2137" s="8" t="s">
        <v>7552</v>
      </c>
      <c r="F2137" s="9">
        <v>10</v>
      </c>
    </row>
    <row r="2138" ht="15.5" spans="1:6">
      <c r="A2138" s="6" t="s">
        <v>5220</v>
      </c>
      <c r="B2138" s="3" t="s">
        <v>5200</v>
      </c>
      <c r="C2138" s="4" t="s">
        <v>49</v>
      </c>
      <c r="D2138" s="7">
        <v>14.45</v>
      </c>
      <c r="E2138" s="8" t="s">
        <v>7552</v>
      </c>
      <c r="F2138" s="9">
        <v>10</v>
      </c>
    </row>
    <row r="2139" ht="15.5" spans="1:6">
      <c r="A2139" s="6" t="s">
        <v>5221</v>
      </c>
      <c r="B2139" s="3" t="s">
        <v>5202</v>
      </c>
      <c r="C2139" s="4" t="s">
        <v>49</v>
      </c>
      <c r="D2139" s="7">
        <v>18.35</v>
      </c>
      <c r="E2139" s="8" t="s">
        <v>7552</v>
      </c>
      <c r="F2139" s="9">
        <v>10</v>
      </c>
    </row>
    <row r="2140" ht="15.5" spans="1:6">
      <c r="A2140" s="6" t="s">
        <v>5222</v>
      </c>
      <c r="B2140" s="3" t="s">
        <v>5204</v>
      </c>
      <c r="C2140" s="4" t="s">
        <v>49</v>
      </c>
      <c r="D2140" s="7">
        <v>22.2</v>
      </c>
      <c r="E2140" s="8" t="s">
        <v>7552</v>
      </c>
      <c r="F2140" s="9">
        <v>10</v>
      </c>
    </row>
    <row r="2141" ht="15.5" spans="1:6">
      <c r="A2141" s="6" t="s">
        <v>5223</v>
      </c>
      <c r="B2141" s="3" t="s">
        <v>5206</v>
      </c>
      <c r="C2141" s="4" t="s">
        <v>49</v>
      </c>
      <c r="D2141" s="7">
        <v>25.25</v>
      </c>
      <c r="E2141" s="8" t="s">
        <v>7552</v>
      </c>
      <c r="F2141" s="9">
        <v>10</v>
      </c>
    </row>
    <row r="2142" ht="15.5" spans="1:6">
      <c r="A2142" s="6" t="s">
        <v>5224</v>
      </c>
      <c r="B2142" s="3" t="s">
        <v>5208</v>
      </c>
      <c r="C2142" s="4" t="s">
        <v>49</v>
      </c>
      <c r="D2142" s="7">
        <v>30.5</v>
      </c>
      <c r="E2142" s="8" t="s">
        <v>7552</v>
      </c>
      <c r="F2142" s="9">
        <v>10</v>
      </c>
    </row>
    <row r="2143" ht="15.5" spans="1:6">
      <c r="A2143" s="6" t="s">
        <v>5225</v>
      </c>
      <c r="B2143" s="3" t="s">
        <v>5226</v>
      </c>
      <c r="C2143" s="4" t="s">
        <v>49</v>
      </c>
      <c r="D2143" s="7">
        <v>37.85</v>
      </c>
      <c r="E2143" s="8" t="s">
        <v>7552</v>
      </c>
      <c r="F2143" s="9">
        <v>10</v>
      </c>
    </row>
    <row r="2144" ht="15.5" spans="1:6">
      <c r="A2144" s="6" t="s">
        <v>5227</v>
      </c>
      <c r="B2144" s="3" t="s">
        <v>5138</v>
      </c>
      <c r="C2144" s="4" t="s">
        <v>49</v>
      </c>
      <c r="D2144" s="7">
        <v>44</v>
      </c>
      <c r="E2144" s="8" t="s">
        <v>7552</v>
      </c>
      <c r="F2144" s="9">
        <v>10</v>
      </c>
    </row>
    <row r="2145" ht="15.5" spans="1:6">
      <c r="A2145" s="6" t="s">
        <v>5230</v>
      </c>
      <c r="B2145" s="3" t="s">
        <v>5198</v>
      </c>
      <c r="C2145" s="4" t="s">
        <v>49</v>
      </c>
      <c r="D2145" s="7">
        <v>154.45</v>
      </c>
      <c r="E2145" s="8" t="s">
        <v>7552</v>
      </c>
      <c r="F2145" s="9">
        <v>10</v>
      </c>
    </row>
    <row r="2146" ht="15.5" spans="1:6">
      <c r="A2146" s="6" t="s">
        <v>5231</v>
      </c>
      <c r="B2146" s="3" t="s">
        <v>5200</v>
      </c>
      <c r="C2146" s="4" t="s">
        <v>49</v>
      </c>
      <c r="D2146" s="7">
        <v>156.55</v>
      </c>
      <c r="E2146" s="8" t="s">
        <v>7552</v>
      </c>
      <c r="F2146" s="9">
        <v>10</v>
      </c>
    </row>
    <row r="2147" ht="15.5" spans="1:6">
      <c r="A2147" s="6" t="s">
        <v>5232</v>
      </c>
      <c r="B2147" s="3" t="s">
        <v>5202</v>
      </c>
      <c r="C2147" s="4" t="s">
        <v>49</v>
      </c>
      <c r="D2147" s="7">
        <v>160.7</v>
      </c>
      <c r="E2147" s="8" t="s">
        <v>7552</v>
      </c>
      <c r="F2147" s="9">
        <v>10</v>
      </c>
    </row>
    <row r="2148" ht="15.5" spans="1:6">
      <c r="A2148" s="6" t="s">
        <v>5233</v>
      </c>
      <c r="B2148" s="3" t="s">
        <v>5204</v>
      </c>
      <c r="C2148" s="4" t="s">
        <v>49</v>
      </c>
      <c r="D2148" s="7">
        <v>164.9</v>
      </c>
      <c r="E2148" s="8" t="s">
        <v>7552</v>
      </c>
      <c r="F2148" s="9">
        <v>10</v>
      </c>
    </row>
    <row r="2149" ht="15.5" spans="1:6">
      <c r="A2149" s="6" t="s">
        <v>5234</v>
      </c>
      <c r="B2149" s="3" t="s">
        <v>5206</v>
      </c>
      <c r="C2149" s="4" t="s">
        <v>49</v>
      </c>
      <c r="D2149" s="7">
        <v>167</v>
      </c>
      <c r="E2149" s="8" t="s">
        <v>7552</v>
      </c>
      <c r="F2149" s="9">
        <v>10</v>
      </c>
    </row>
    <row r="2150" ht="15.5" spans="1:6">
      <c r="A2150" s="6" t="s">
        <v>5235</v>
      </c>
      <c r="B2150" s="3" t="s">
        <v>5208</v>
      </c>
      <c r="C2150" s="4" t="s">
        <v>49</v>
      </c>
      <c r="D2150" s="7">
        <v>173.25</v>
      </c>
      <c r="E2150" s="8" t="s">
        <v>7552</v>
      </c>
      <c r="F2150" s="9">
        <v>10</v>
      </c>
    </row>
    <row r="2151" ht="15.5" spans="1:6">
      <c r="A2151" s="6" t="s">
        <v>5236</v>
      </c>
      <c r="B2151" s="3" t="s">
        <v>5226</v>
      </c>
      <c r="C2151" s="4" t="s">
        <v>49</v>
      </c>
      <c r="D2151" s="7">
        <v>273.45</v>
      </c>
      <c r="E2151" s="8" t="s">
        <v>7552</v>
      </c>
      <c r="F2151" s="9">
        <v>10</v>
      </c>
    </row>
    <row r="2152" ht="15.5" spans="1:6">
      <c r="A2152" s="6" t="s">
        <v>5237</v>
      </c>
      <c r="B2152" s="3" t="s">
        <v>5138</v>
      </c>
      <c r="C2152" s="4" t="s">
        <v>49</v>
      </c>
      <c r="D2152" s="7">
        <v>281.8</v>
      </c>
      <c r="E2152" s="8" t="s">
        <v>7552</v>
      </c>
      <c r="F2152" s="9">
        <v>10</v>
      </c>
    </row>
    <row r="2153" ht="15.5" spans="1:6">
      <c r="A2153" s="6" t="s">
        <v>5238</v>
      </c>
      <c r="B2153" s="3" t="s">
        <v>4770</v>
      </c>
      <c r="C2153" s="4" t="s">
        <v>49</v>
      </c>
      <c r="D2153" s="7">
        <v>298.5</v>
      </c>
      <c r="E2153" s="8" t="s">
        <v>7552</v>
      </c>
      <c r="F2153" s="9">
        <v>10</v>
      </c>
    </row>
    <row r="2154" ht="15.5" spans="1:6">
      <c r="A2154" s="6" t="s">
        <v>5239</v>
      </c>
      <c r="B2154" s="3" t="s">
        <v>5116</v>
      </c>
      <c r="C2154" s="4" t="s">
        <v>49</v>
      </c>
      <c r="D2154" s="7">
        <v>444.6</v>
      </c>
      <c r="E2154" s="8" t="s">
        <v>7552</v>
      </c>
      <c r="F2154" s="9">
        <v>10</v>
      </c>
    </row>
    <row r="2155" ht="15.5" spans="1:6">
      <c r="A2155" s="6" t="s">
        <v>5242</v>
      </c>
      <c r="B2155" s="3" t="s">
        <v>5243</v>
      </c>
      <c r="C2155" s="4" t="s">
        <v>49</v>
      </c>
      <c r="D2155" s="7">
        <v>747.9</v>
      </c>
      <c r="E2155" s="8" t="s">
        <v>7825</v>
      </c>
      <c r="F2155" s="9">
        <v>6</v>
      </c>
    </row>
    <row r="2156" ht="15.5" spans="1:6">
      <c r="A2156" s="6" t="s">
        <v>5244</v>
      </c>
      <c r="B2156" s="3" t="s">
        <v>5245</v>
      </c>
      <c r="C2156" s="4" t="s">
        <v>49</v>
      </c>
      <c r="D2156" s="7">
        <v>884.85</v>
      </c>
      <c r="E2156" s="8" t="s">
        <v>7825</v>
      </c>
      <c r="F2156" s="9">
        <v>6</v>
      </c>
    </row>
    <row r="2157" ht="15.5" spans="1:6">
      <c r="A2157" s="6" t="s">
        <v>5246</v>
      </c>
      <c r="B2157" s="3" t="s">
        <v>5247</v>
      </c>
      <c r="C2157" s="4" t="s">
        <v>49</v>
      </c>
      <c r="D2157" s="7">
        <v>1025.95</v>
      </c>
      <c r="E2157" s="8" t="s">
        <v>7825</v>
      </c>
      <c r="F2157" s="9">
        <v>6</v>
      </c>
    </row>
    <row r="2158" ht="46.5" spans="1:6">
      <c r="A2158" s="6" t="s">
        <v>5248</v>
      </c>
      <c r="B2158" s="12" t="s">
        <v>5249</v>
      </c>
      <c r="C2158" s="4" t="s">
        <v>49</v>
      </c>
      <c r="D2158" s="7">
        <v>960.3</v>
      </c>
      <c r="E2158" s="8" t="s">
        <v>7568</v>
      </c>
      <c r="F2158" s="9">
        <v>1.5</v>
      </c>
    </row>
    <row r="2159" ht="62" spans="1:6">
      <c r="A2159" s="6" t="s">
        <v>5250</v>
      </c>
      <c r="B2159" s="12" t="s">
        <v>5251</v>
      </c>
      <c r="C2159" s="4" t="s">
        <v>49</v>
      </c>
      <c r="D2159" s="7">
        <v>546</v>
      </c>
      <c r="E2159" s="8" t="s">
        <v>7552</v>
      </c>
      <c r="F2159" s="9">
        <v>10</v>
      </c>
    </row>
    <row r="2160" ht="62" spans="1:6">
      <c r="A2160" s="6" t="s">
        <v>5252</v>
      </c>
      <c r="B2160" s="12" t="s">
        <v>5253</v>
      </c>
      <c r="C2160" s="4" t="s">
        <v>156</v>
      </c>
      <c r="D2160" s="7">
        <v>1321.65</v>
      </c>
      <c r="E2160" s="8" t="s">
        <v>7826</v>
      </c>
      <c r="F2160" s="9">
        <v>1</v>
      </c>
    </row>
    <row r="2161" ht="15.5" spans="1:6">
      <c r="A2161" s="6" t="s">
        <v>5256</v>
      </c>
      <c r="B2161" s="3" t="s">
        <v>5004</v>
      </c>
      <c r="C2161" s="4" t="s">
        <v>156</v>
      </c>
      <c r="D2161" s="7">
        <v>318.35</v>
      </c>
      <c r="E2161" s="8" t="s">
        <v>7544</v>
      </c>
      <c r="F2161" s="9">
        <v>1</v>
      </c>
    </row>
    <row r="2162" ht="15.5" spans="1:6">
      <c r="A2162" s="6" t="s">
        <v>5257</v>
      </c>
      <c r="B2162" s="3" t="s">
        <v>5006</v>
      </c>
      <c r="C2162" s="4" t="s">
        <v>156</v>
      </c>
      <c r="D2162" s="7">
        <v>346.8</v>
      </c>
      <c r="E2162" s="8" t="s">
        <v>7544</v>
      </c>
      <c r="F2162" s="9">
        <v>1</v>
      </c>
    </row>
    <row r="2163" ht="15.5" spans="1:6">
      <c r="A2163" s="6" t="s">
        <v>5258</v>
      </c>
      <c r="B2163" s="3" t="s">
        <v>5014</v>
      </c>
      <c r="C2163" s="4" t="s">
        <v>156</v>
      </c>
      <c r="D2163" s="7">
        <v>439.25</v>
      </c>
      <c r="E2163" s="8" t="s">
        <v>7544</v>
      </c>
      <c r="F2163" s="9">
        <v>1</v>
      </c>
    </row>
    <row r="2164" ht="15.5" spans="1:6">
      <c r="A2164" s="6" t="s">
        <v>5259</v>
      </c>
      <c r="B2164" s="3" t="s">
        <v>5039</v>
      </c>
      <c r="C2164" s="4" t="s">
        <v>156</v>
      </c>
      <c r="D2164" s="7">
        <v>489.05</v>
      </c>
      <c r="E2164" s="8" t="s">
        <v>7544</v>
      </c>
      <c r="F2164" s="9">
        <v>1</v>
      </c>
    </row>
    <row r="2165" ht="15.5" spans="1:6">
      <c r="A2165" s="6" t="s">
        <v>5260</v>
      </c>
      <c r="B2165" s="3" t="s">
        <v>5019</v>
      </c>
      <c r="C2165" s="4" t="s">
        <v>156</v>
      </c>
      <c r="D2165" s="7">
        <v>631.3</v>
      </c>
      <c r="E2165" s="8" t="s">
        <v>7544</v>
      </c>
      <c r="F2165" s="9">
        <v>1</v>
      </c>
    </row>
    <row r="2166" ht="15.5" spans="1:6">
      <c r="A2166" s="6" t="s">
        <v>5261</v>
      </c>
      <c r="B2166" s="3" t="s">
        <v>5021</v>
      </c>
      <c r="C2166" s="4" t="s">
        <v>156</v>
      </c>
      <c r="D2166" s="7">
        <v>823.8</v>
      </c>
      <c r="E2166" s="8" t="s">
        <v>7544</v>
      </c>
      <c r="F2166" s="9">
        <v>1</v>
      </c>
    </row>
    <row r="2167" ht="15.5" spans="1:6">
      <c r="A2167" s="6" t="s">
        <v>5262</v>
      </c>
      <c r="B2167" s="3" t="s">
        <v>5023</v>
      </c>
      <c r="C2167" s="4" t="s">
        <v>156</v>
      </c>
      <c r="D2167" s="7">
        <v>1136.8</v>
      </c>
      <c r="E2167" s="8" t="s">
        <v>7544</v>
      </c>
      <c r="F2167" s="9">
        <v>1</v>
      </c>
    </row>
    <row r="2168" ht="15.5" spans="1:6">
      <c r="A2168" s="6" t="s">
        <v>5263</v>
      </c>
      <c r="B2168" s="3" t="s">
        <v>5025</v>
      </c>
      <c r="C2168" s="4" t="s">
        <v>156</v>
      </c>
      <c r="D2168" s="7">
        <v>1207.95</v>
      </c>
      <c r="E2168" s="8" t="s">
        <v>7544</v>
      </c>
      <c r="F2168" s="9">
        <v>1</v>
      </c>
    </row>
    <row r="2169" ht="15.5" spans="1:6">
      <c r="A2169" s="6" t="s">
        <v>5266</v>
      </c>
      <c r="B2169" s="3" t="s">
        <v>5004</v>
      </c>
      <c r="C2169" s="4" t="s">
        <v>156</v>
      </c>
      <c r="D2169" s="7">
        <v>829.45</v>
      </c>
      <c r="E2169" s="8" t="s">
        <v>7544</v>
      </c>
      <c r="F2169" s="9">
        <v>1</v>
      </c>
    </row>
    <row r="2170" ht="15.5" spans="1:6">
      <c r="A2170" s="6" t="s">
        <v>5267</v>
      </c>
      <c r="B2170" s="3" t="s">
        <v>5006</v>
      </c>
      <c r="C2170" s="4" t="s">
        <v>156</v>
      </c>
      <c r="D2170" s="7">
        <v>857.85</v>
      </c>
      <c r="E2170" s="8" t="s">
        <v>7544</v>
      </c>
      <c r="F2170" s="9">
        <v>1</v>
      </c>
    </row>
    <row r="2171" ht="15.5" spans="1:6">
      <c r="A2171" s="6" t="s">
        <v>5268</v>
      </c>
      <c r="B2171" s="3" t="s">
        <v>5014</v>
      </c>
      <c r="C2171" s="4" t="s">
        <v>156</v>
      </c>
      <c r="D2171" s="7">
        <v>950.35</v>
      </c>
      <c r="E2171" s="8" t="s">
        <v>7544</v>
      </c>
      <c r="F2171" s="9">
        <v>1</v>
      </c>
    </row>
    <row r="2172" ht="15.5" spans="1:6">
      <c r="A2172" s="6" t="s">
        <v>5269</v>
      </c>
      <c r="B2172" s="3" t="s">
        <v>5039</v>
      </c>
      <c r="C2172" s="4" t="s">
        <v>156</v>
      </c>
      <c r="D2172" s="7">
        <v>1000.15</v>
      </c>
      <c r="E2172" s="8" t="s">
        <v>7544</v>
      </c>
      <c r="F2172" s="9">
        <v>1</v>
      </c>
    </row>
    <row r="2173" ht="15.5" spans="1:6">
      <c r="A2173" s="6" t="s">
        <v>5270</v>
      </c>
      <c r="B2173" s="3" t="s">
        <v>5019</v>
      </c>
      <c r="C2173" s="4" t="s">
        <v>156</v>
      </c>
      <c r="D2173" s="7">
        <v>1142.4</v>
      </c>
      <c r="E2173" s="8" t="s">
        <v>7544</v>
      </c>
      <c r="F2173" s="9">
        <v>1</v>
      </c>
    </row>
    <row r="2174" ht="15.5" spans="1:6">
      <c r="A2174" s="6" t="s">
        <v>5271</v>
      </c>
      <c r="B2174" s="3" t="s">
        <v>5021</v>
      </c>
      <c r="C2174" s="4" t="s">
        <v>156</v>
      </c>
      <c r="D2174" s="7">
        <v>1520.8</v>
      </c>
      <c r="E2174" s="8" t="s">
        <v>7544</v>
      </c>
      <c r="F2174" s="9">
        <v>1</v>
      </c>
    </row>
    <row r="2175" ht="15.5" spans="1:6">
      <c r="A2175" s="6" t="s">
        <v>5272</v>
      </c>
      <c r="B2175" s="3" t="s">
        <v>5023</v>
      </c>
      <c r="C2175" s="4" t="s">
        <v>156</v>
      </c>
      <c r="D2175" s="7">
        <v>1833.75</v>
      </c>
      <c r="E2175" s="8" t="s">
        <v>7544</v>
      </c>
      <c r="F2175" s="9">
        <v>1</v>
      </c>
    </row>
    <row r="2176" ht="15.5" spans="1:6">
      <c r="A2176" s="6" t="s">
        <v>5273</v>
      </c>
      <c r="B2176" s="3" t="s">
        <v>5025</v>
      </c>
      <c r="C2176" s="4" t="s">
        <v>156</v>
      </c>
      <c r="D2176" s="7">
        <v>1904.9</v>
      </c>
      <c r="E2176" s="8" t="s">
        <v>7544</v>
      </c>
      <c r="F2176" s="9">
        <v>1</v>
      </c>
    </row>
    <row r="2177" ht="108.5" spans="1:6">
      <c r="A2177" s="6" t="s">
        <v>5274</v>
      </c>
      <c r="B2177" s="12" t="s">
        <v>5275</v>
      </c>
      <c r="C2177" s="4" t="s">
        <v>5276</v>
      </c>
      <c r="D2177" s="7">
        <v>11</v>
      </c>
      <c r="E2177" s="8" t="s">
        <v>7827</v>
      </c>
      <c r="F2177" s="9">
        <v>500</v>
      </c>
    </row>
    <row r="2178" ht="139.5" spans="1:6">
      <c r="A2178" s="6" t="s">
        <v>5277</v>
      </c>
      <c r="B2178" s="12" t="s">
        <v>5278</v>
      </c>
      <c r="C2178" s="4" t="s">
        <v>5276</v>
      </c>
      <c r="D2178" s="7">
        <v>11</v>
      </c>
      <c r="E2178" s="8" t="s">
        <v>7828</v>
      </c>
      <c r="F2178" s="9">
        <v>500</v>
      </c>
    </row>
    <row r="2179" ht="15.5" spans="1:6">
      <c r="A2179" s="6" t="s">
        <v>5282</v>
      </c>
      <c r="B2179" s="3" t="s">
        <v>5004</v>
      </c>
      <c r="C2179" s="4" t="s">
        <v>156</v>
      </c>
      <c r="D2179" s="7">
        <v>506.8</v>
      </c>
      <c r="E2179" s="8" t="s">
        <v>7544</v>
      </c>
      <c r="F2179" s="9">
        <v>1</v>
      </c>
    </row>
    <row r="2180" ht="15.5" spans="1:6">
      <c r="A2180" s="6" t="s">
        <v>5285</v>
      </c>
      <c r="B2180" s="3" t="s">
        <v>5004</v>
      </c>
      <c r="C2180" s="4" t="s">
        <v>156</v>
      </c>
      <c r="D2180" s="7">
        <v>820.7</v>
      </c>
      <c r="E2180" s="8" t="s">
        <v>7544</v>
      </c>
      <c r="F2180" s="9">
        <v>1</v>
      </c>
    </row>
    <row r="2181" ht="15.5" spans="1:6">
      <c r="A2181" s="6" t="s">
        <v>5288</v>
      </c>
      <c r="B2181" s="3" t="s">
        <v>5004</v>
      </c>
      <c r="C2181" s="4" t="s">
        <v>156</v>
      </c>
      <c r="D2181" s="7">
        <v>798.95</v>
      </c>
      <c r="E2181" s="8" t="s">
        <v>7544</v>
      </c>
      <c r="F2181" s="9">
        <v>1</v>
      </c>
    </row>
    <row r="2182" ht="15.5" spans="1:6">
      <c r="A2182" s="6" t="s">
        <v>5291</v>
      </c>
      <c r="B2182" s="3" t="s">
        <v>5004</v>
      </c>
      <c r="C2182" s="4" t="s">
        <v>156</v>
      </c>
      <c r="D2182" s="7">
        <v>670.45</v>
      </c>
      <c r="E2182" s="8" t="s">
        <v>7544</v>
      </c>
      <c r="F2182" s="9">
        <v>1</v>
      </c>
    </row>
    <row r="2183" ht="15.5" spans="1:6">
      <c r="A2183" s="6" t="s">
        <v>5294</v>
      </c>
      <c r="B2183" s="3" t="s">
        <v>5295</v>
      </c>
      <c r="C2183" s="4" t="s">
        <v>156</v>
      </c>
      <c r="D2183" s="7">
        <v>574.3</v>
      </c>
      <c r="E2183" s="8" t="s">
        <v>7544</v>
      </c>
      <c r="F2183" s="9">
        <v>1</v>
      </c>
    </row>
    <row r="2184" ht="62" spans="1:6">
      <c r="A2184" s="6" t="s">
        <v>5296</v>
      </c>
      <c r="B2184" s="12" t="s">
        <v>5297</v>
      </c>
      <c r="C2184" s="4" t="s">
        <v>156</v>
      </c>
      <c r="D2184" s="7">
        <v>74.8</v>
      </c>
      <c r="E2184" s="8" t="s">
        <v>7544</v>
      </c>
      <c r="F2184" s="9">
        <v>1</v>
      </c>
    </row>
    <row r="2185" ht="31" spans="1:6">
      <c r="A2185" s="6" t="s">
        <v>5301</v>
      </c>
      <c r="B2185" s="3" t="s">
        <v>5302</v>
      </c>
      <c r="C2185" s="4" t="s">
        <v>156</v>
      </c>
      <c r="D2185" s="7">
        <v>125.6</v>
      </c>
      <c r="E2185" s="8" t="s">
        <v>7544</v>
      </c>
      <c r="F2185" s="9">
        <v>1</v>
      </c>
    </row>
    <row r="2186" ht="31" spans="1:6">
      <c r="A2186" s="6" t="s">
        <v>5303</v>
      </c>
      <c r="B2186" s="3" t="s">
        <v>5304</v>
      </c>
      <c r="C2186" s="4" t="s">
        <v>156</v>
      </c>
      <c r="D2186" s="7">
        <v>161.2</v>
      </c>
      <c r="E2186" s="8" t="s">
        <v>7544</v>
      </c>
      <c r="F2186" s="9">
        <v>1</v>
      </c>
    </row>
    <row r="2187" ht="31" spans="1:6">
      <c r="A2187" s="6" t="s">
        <v>5305</v>
      </c>
      <c r="B2187" s="3" t="s">
        <v>5306</v>
      </c>
      <c r="C2187" s="4" t="s">
        <v>156</v>
      </c>
      <c r="D2187" s="7">
        <v>176.85</v>
      </c>
      <c r="E2187" s="8" t="s">
        <v>7544</v>
      </c>
      <c r="F2187" s="9">
        <v>1</v>
      </c>
    </row>
    <row r="2188" ht="31" spans="1:6">
      <c r="A2188" s="6" t="s">
        <v>5307</v>
      </c>
      <c r="B2188" s="3" t="s">
        <v>5308</v>
      </c>
      <c r="C2188" s="4" t="s">
        <v>156</v>
      </c>
      <c r="D2188" s="7">
        <v>196.75</v>
      </c>
      <c r="E2188" s="8" t="s">
        <v>7544</v>
      </c>
      <c r="F2188" s="9">
        <v>1</v>
      </c>
    </row>
    <row r="2189" ht="31" spans="1:6">
      <c r="A2189" s="6" t="s">
        <v>5311</v>
      </c>
      <c r="B2189" s="3" t="s">
        <v>5312</v>
      </c>
      <c r="C2189" s="4" t="s">
        <v>156</v>
      </c>
      <c r="D2189" s="7">
        <v>118.5</v>
      </c>
      <c r="E2189" s="8" t="s">
        <v>7544</v>
      </c>
      <c r="F2189" s="9">
        <v>1</v>
      </c>
    </row>
    <row r="2190" ht="31" spans="1:6">
      <c r="A2190" s="6" t="s">
        <v>5313</v>
      </c>
      <c r="B2190" s="3" t="s">
        <v>5314</v>
      </c>
      <c r="C2190" s="4" t="s">
        <v>156</v>
      </c>
      <c r="D2190" s="7">
        <v>129.9</v>
      </c>
      <c r="E2190" s="8" t="s">
        <v>7544</v>
      </c>
      <c r="F2190" s="9">
        <v>1</v>
      </c>
    </row>
    <row r="2191" ht="46.5" spans="1:6">
      <c r="A2191" s="6" t="s">
        <v>5315</v>
      </c>
      <c r="B2191" s="3" t="s">
        <v>5316</v>
      </c>
      <c r="C2191" s="4" t="s">
        <v>156</v>
      </c>
      <c r="D2191" s="7">
        <v>218.1</v>
      </c>
      <c r="E2191" s="8" t="s">
        <v>7544</v>
      </c>
      <c r="F2191" s="9">
        <v>1</v>
      </c>
    </row>
    <row r="2192" ht="31" spans="1:6">
      <c r="A2192" s="6" t="s">
        <v>5319</v>
      </c>
      <c r="B2192" s="3" t="s">
        <v>5320</v>
      </c>
      <c r="C2192" s="4" t="s">
        <v>156</v>
      </c>
      <c r="D2192" s="7">
        <v>208.45</v>
      </c>
      <c r="E2192" s="8" t="s">
        <v>7544</v>
      </c>
      <c r="F2192" s="9">
        <v>1</v>
      </c>
    </row>
    <row r="2193" ht="31" spans="1:6">
      <c r="A2193" s="6" t="s">
        <v>5321</v>
      </c>
      <c r="B2193" s="3" t="s">
        <v>5322</v>
      </c>
      <c r="C2193" s="4" t="s">
        <v>156</v>
      </c>
      <c r="D2193" s="7">
        <v>224.1</v>
      </c>
      <c r="E2193" s="8" t="s">
        <v>7544</v>
      </c>
      <c r="F2193" s="9">
        <v>1</v>
      </c>
    </row>
    <row r="2194" ht="31" spans="1:6">
      <c r="A2194" s="6" t="s">
        <v>5325</v>
      </c>
      <c r="B2194" s="3" t="s">
        <v>5326</v>
      </c>
      <c r="C2194" s="4" t="s">
        <v>156</v>
      </c>
      <c r="D2194" s="7">
        <v>112.8</v>
      </c>
      <c r="E2194" s="8" t="s">
        <v>7544</v>
      </c>
      <c r="F2194" s="9">
        <v>1</v>
      </c>
    </row>
    <row r="2195" ht="31" spans="1:6">
      <c r="A2195" s="6" t="s">
        <v>5327</v>
      </c>
      <c r="B2195" s="3" t="s">
        <v>5328</v>
      </c>
      <c r="C2195" s="4" t="s">
        <v>156</v>
      </c>
      <c r="D2195" s="7">
        <v>95.75</v>
      </c>
      <c r="E2195" s="8" t="s">
        <v>7544</v>
      </c>
      <c r="F2195" s="9">
        <v>1</v>
      </c>
    </row>
    <row r="2196" ht="15.5" spans="1:6">
      <c r="A2196" s="6" t="s">
        <v>5333</v>
      </c>
      <c r="B2196" s="3" t="s">
        <v>5334</v>
      </c>
      <c r="C2196" s="4" t="s">
        <v>156</v>
      </c>
      <c r="D2196" s="7">
        <v>37.6</v>
      </c>
      <c r="E2196" s="8" t="s">
        <v>7544</v>
      </c>
      <c r="F2196" s="9">
        <v>1</v>
      </c>
    </row>
    <row r="2197" ht="31" spans="1:6">
      <c r="A2197" s="6" t="s">
        <v>5335</v>
      </c>
      <c r="B2197" s="3" t="s">
        <v>5336</v>
      </c>
      <c r="C2197" s="4" t="s">
        <v>156</v>
      </c>
      <c r="D2197" s="7">
        <v>51.85</v>
      </c>
      <c r="E2197" s="8" t="s">
        <v>7544</v>
      </c>
      <c r="F2197" s="9">
        <v>1</v>
      </c>
    </row>
    <row r="2198" ht="46.5" spans="1:6">
      <c r="A2198" s="6" t="s">
        <v>5339</v>
      </c>
      <c r="B2198" s="3" t="s">
        <v>5340</v>
      </c>
      <c r="C2198" s="4" t="s">
        <v>156</v>
      </c>
      <c r="D2198" s="7">
        <v>196.95</v>
      </c>
      <c r="E2198" s="8" t="s">
        <v>7544</v>
      </c>
      <c r="F2198" s="9">
        <v>1</v>
      </c>
    </row>
    <row r="2199" ht="15.5" spans="1:6">
      <c r="A2199" s="6" t="s">
        <v>5344</v>
      </c>
      <c r="B2199" s="3" t="s">
        <v>4760</v>
      </c>
      <c r="C2199" s="4" t="s">
        <v>156</v>
      </c>
      <c r="D2199" s="7">
        <v>5748.8</v>
      </c>
      <c r="E2199" s="8" t="s">
        <v>7829</v>
      </c>
      <c r="F2199" s="9">
        <v>10</v>
      </c>
    </row>
    <row r="2200" ht="15.5" spans="1:6">
      <c r="A2200" s="6" t="s">
        <v>5345</v>
      </c>
      <c r="B2200" s="3" t="s">
        <v>5346</v>
      </c>
      <c r="C2200" s="4" t="s">
        <v>156</v>
      </c>
      <c r="D2200" s="7">
        <v>6993.6</v>
      </c>
      <c r="E2200" s="8" t="s">
        <v>7829</v>
      </c>
      <c r="F2200" s="9">
        <v>10</v>
      </c>
    </row>
    <row r="2201" ht="15.5" spans="1:6">
      <c r="A2201" s="6" t="s">
        <v>5347</v>
      </c>
      <c r="B2201" s="3" t="s">
        <v>4504</v>
      </c>
      <c r="C2201" s="4" t="s">
        <v>156</v>
      </c>
      <c r="D2201" s="7">
        <v>8893</v>
      </c>
      <c r="E2201" s="8" t="s">
        <v>7829</v>
      </c>
      <c r="F2201" s="9">
        <v>10</v>
      </c>
    </row>
    <row r="2202" ht="15.5" spans="1:6">
      <c r="A2202" s="6" t="s">
        <v>5350</v>
      </c>
      <c r="B2202" s="3" t="s">
        <v>4992</v>
      </c>
      <c r="C2202" s="4" t="s">
        <v>156</v>
      </c>
      <c r="D2202" s="7">
        <v>3627.65</v>
      </c>
      <c r="E2202" s="8" t="s">
        <v>7830</v>
      </c>
      <c r="F2202" s="9">
        <v>1</v>
      </c>
    </row>
    <row r="2203" ht="15.5" spans="1:6">
      <c r="A2203" s="6" t="s">
        <v>5351</v>
      </c>
      <c r="B2203" s="3" t="s">
        <v>5352</v>
      </c>
      <c r="C2203" s="4" t="s">
        <v>156</v>
      </c>
      <c r="D2203" s="7">
        <v>5468.35</v>
      </c>
      <c r="E2203" s="8" t="s">
        <v>7830</v>
      </c>
      <c r="F2203" s="9">
        <v>1</v>
      </c>
    </row>
    <row r="2204" ht="15.5" spans="1:6">
      <c r="A2204" s="6" t="s">
        <v>5353</v>
      </c>
      <c r="B2204" s="3" t="s">
        <v>5354</v>
      </c>
      <c r="C2204" s="4" t="s">
        <v>156</v>
      </c>
      <c r="D2204" s="7">
        <v>8408.8</v>
      </c>
      <c r="E2204" s="8" t="s">
        <v>7830</v>
      </c>
      <c r="F2204" s="9">
        <v>1</v>
      </c>
    </row>
    <row r="2205" ht="15.5" spans="1:6">
      <c r="A2205" s="6" t="s">
        <v>5355</v>
      </c>
      <c r="B2205" s="3" t="s">
        <v>5356</v>
      </c>
      <c r="C2205" s="4" t="s">
        <v>156</v>
      </c>
      <c r="D2205" s="7">
        <v>9043.3</v>
      </c>
      <c r="E2205" s="8" t="s">
        <v>7830</v>
      </c>
      <c r="F2205" s="9">
        <v>1</v>
      </c>
    </row>
    <row r="2206" ht="15.5" spans="1:6">
      <c r="A2206" s="6" t="s">
        <v>5359</v>
      </c>
      <c r="B2206" s="3" t="s">
        <v>5346</v>
      </c>
      <c r="C2206" s="4" t="s">
        <v>156</v>
      </c>
      <c r="D2206" s="7">
        <v>4623.5</v>
      </c>
      <c r="E2206" s="8" t="s">
        <v>7831</v>
      </c>
      <c r="F2206" s="9">
        <v>1</v>
      </c>
    </row>
    <row r="2207" ht="15.5" spans="1:6">
      <c r="A2207" s="6" t="s">
        <v>5360</v>
      </c>
      <c r="B2207" s="3" t="s">
        <v>4504</v>
      </c>
      <c r="C2207" s="4" t="s">
        <v>156</v>
      </c>
      <c r="D2207" s="7">
        <v>7460</v>
      </c>
      <c r="E2207" s="8" t="s">
        <v>7831</v>
      </c>
      <c r="F2207" s="9">
        <v>1</v>
      </c>
    </row>
    <row r="2208" ht="15.5" spans="1:6">
      <c r="A2208" s="6" t="s">
        <v>5361</v>
      </c>
      <c r="B2208" s="3" t="s">
        <v>5362</v>
      </c>
      <c r="C2208" s="4" t="s">
        <v>156</v>
      </c>
      <c r="D2208" s="7">
        <v>9433.1</v>
      </c>
      <c r="E2208" s="8" t="s">
        <v>7831</v>
      </c>
      <c r="F2208" s="9">
        <v>1</v>
      </c>
    </row>
    <row r="2209" ht="15.5" spans="1:6">
      <c r="A2209" s="6" t="s">
        <v>5363</v>
      </c>
      <c r="B2209" s="3" t="s">
        <v>5364</v>
      </c>
      <c r="C2209" s="4" t="s">
        <v>156</v>
      </c>
      <c r="D2209" s="7">
        <v>12927.1</v>
      </c>
      <c r="E2209" s="8" t="s">
        <v>7831</v>
      </c>
      <c r="F2209" s="9">
        <v>1</v>
      </c>
    </row>
    <row r="2210" ht="31" spans="1:6">
      <c r="A2210" s="6" t="s">
        <v>5367</v>
      </c>
      <c r="B2210" s="3" t="s">
        <v>5368</v>
      </c>
      <c r="C2210" s="4" t="s">
        <v>156</v>
      </c>
      <c r="D2210" s="7">
        <v>182.1</v>
      </c>
      <c r="E2210" s="8" t="s">
        <v>7544</v>
      </c>
      <c r="F2210" s="9">
        <v>1</v>
      </c>
    </row>
    <row r="2211" ht="31" spans="1:6">
      <c r="A2211" s="6" t="s">
        <v>5369</v>
      </c>
      <c r="B2211" s="3" t="s">
        <v>5370</v>
      </c>
      <c r="C2211" s="4" t="s">
        <v>156</v>
      </c>
      <c r="D2211" s="7">
        <v>257.6</v>
      </c>
      <c r="E2211" s="8" t="s">
        <v>7544</v>
      </c>
      <c r="F2211" s="9">
        <v>1</v>
      </c>
    </row>
    <row r="2212" ht="31" spans="1:6">
      <c r="A2212" s="6" t="s">
        <v>5371</v>
      </c>
      <c r="B2212" s="3" t="s">
        <v>5372</v>
      </c>
      <c r="C2212" s="4" t="s">
        <v>156</v>
      </c>
      <c r="D2212" s="7">
        <v>523.8</v>
      </c>
      <c r="E2212" s="8" t="s">
        <v>7544</v>
      </c>
      <c r="F2212" s="9">
        <v>1</v>
      </c>
    </row>
    <row r="2213" ht="31" spans="1:6">
      <c r="A2213" s="6" t="s">
        <v>5373</v>
      </c>
      <c r="B2213" s="3" t="s">
        <v>5374</v>
      </c>
      <c r="C2213" s="4" t="s">
        <v>156</v>
      </c>
      <c r="D2213" s="7">
        <v>737.2</v>
      </c>
      <c r="E2213" s="8" t="s">
        <v>7544</v>
      </c>
      <c r="F2213" s="9">
        <v>1</v>
      </c>
    </row>
    <row r="2214" ht="31" spans="1:6">
      <c r="A2214" s="6" t="s">
        <v>5375</v>
      </c>
      <c r="B2214" s="3" t="s">
        <v>5376</v>
      </c>
      <c r="C2214" s="4" t="s">
        <v>156</v>
      </c>
      <c r="D2214" s="7">
        <v>1375.95</v>
      </c>
      <c r="E2214" s="8" t="s">
        <v>7544</v>
      </c>
      <c r="F2214" s="9">
        <v>1</v>
      </c>
    </row>
    <row r="2215" ht="46.5" spans="1:6">
      <c r="A2215" s="6" t="s">
        <v>5377</v>
      </c>
      <c r="B2215" s="12" t="s">
        <v>5378</v>
      </c>
      <c r="C2215" s="4" t="s">
        <v>156</v>
      </c>
      <c r="D2215" s="7">
        <v>156.9</v>
      </c>
      <c r="E2215" s="8" t="s">
        <v>7544</v>
      </c>
      <c r="F2215" s="9">
        <v>1</v>
      </c>
    </row>
    <row r="2216" ht="46.5" spans="1:6">
      <c r="A2216" s="6" t="s">
        <v>5379</v>
      </c>
      <c r="B2216" s="12" t="s">
        <v>5380</v>
      </c>
      <c r="C2216" s="4" t="s">
        <v>156</v>
      </c>
      <c r="D2216" s="7">
        <v>121.4</v>
      </c>
      <c r="E2216" s="8" t="s">
        <v>7544</v>
      </c>
      <c r="F2216" s="9">
        <v>1</v>
      </c>
    </row>
    <row r="2217" ht="77.5" spans="1:6">
      <c r="A2217" s="6" t="s">
        <v>5381</v>
      </c>
      <c r="B2217" s="12" t="s">
        <v>5382</v>
      </c>
      <c r="C2217" s="4" t="s">
        <v>156</v>
      </c>
      <c r="D2217" s="7">
        <v>111.45</v>
      </c>
      <c r="E2217" s="8" t="s">
        <v>7544</v>
      </c>
      <c r="F2217" s="9">
        <v>1</v>
      </c>
    </row>
    <row r="2218" ht="15.5" spans="1:6">
      <c r="A2218" s="6" t="s">
        <v>5385</v>
      </c>
      <c r="B2218" s="3" t="s">
        <v>5081</v>
      </c>
      <c r="C2218" s="4" t="s">
        <v>675</v>
      </c>
      <c r="D2218" s="7">
        <v>8628.6</v>
      </c>
      <c r="E2218" s="8" t="s">
        <v>7665</v>
      </c>
      <c r="F2218" s="9">
        <v>1</v>
      </c>
    </row>
    <row r="2219" ht="15.5" spans="1:6">
      <c r="A2219" s="6" t="s">
        <v>5386</v>
      </c>
      <c r="B2219" s="3" t="s">
        <v>5387</v>
      </c>
      <c r="C2219" s="4" t="s">
        <v>675</v>
      </c>
      <c r="D2219" s="7">
        <v>10157.95</v>
      </c>
      <c r="E2219" s="8" t="s">
        <v>7665</v>
      </c>
      <c r="F2219" s="9">
        <v>1</v>
      </c>
    </row>
    <row r="2220" ht="15.5" spans="1:6">
      <c r="A2220" s="6" t="s">
        <v>5390</v>
      </c>
      <c r="B2220" s="3" t="s">
        <v>5081</v>
      </c>
      <c r="C2220" s="4" t="s">
        <v>675</v>
      </c>
      <c r="D2220" s="7">
        <v>13764.35</v>
      </c>
      <c r="E2220" s="8" t="s">
        <v>7665</v>
      </c>
      <c r="F2220" s="9">
        <v>1</v>
      </c>
    </row>
    <row r="2221" ht="15.5" spans="1:6">
      <c r="A2221" s="6" t="s">
        <v>5391</v>
      </c>
      <c r="B2221" s="3" t="s">
        <v>5387</v>
      </c>
      <c r="C2221" s="4" t="s">
        <v>675</v>
      </c>
      <c r="D2221" s="7">
        <v>14532.55</v>
      </c>
      <c r="E2221" s="8" t="s">
        <v>7665</v>
      </c>
      <c r="F2221" s="9">
        <v>1</v>
      </c>
    </row>
    <row r="2222" ht="15.5" spans="1:6">
      <c r="A2222" s="6" t="s">
        <v>5394</v>
      </c>
      <c r="B2222" s="3" t="s">
        <v>5395</v>
      </c>
      <c r="C2222" s="4" t="s">
        <v>675</v>
      </c>
      <c r="D2222" s="7">
        <v>20009.7</v>
      </c>
      <c r="E2222" s="8" t="s">
        <v>7665</v>
      </c>
      <c r="F2222" s="9">
        <v>1</v>
      </c>
    </row>
    <row r="2223" ht="15.5" spans="1:6">
      <c r="A2223" s="6" t="s">
        <v>5396</v>
      </c>
      <c r="B2223" s="3" t="s">
        <v>5397</v>
      </c>
      <c r="C2223" s="4" t="s">
        <v>675</v>
      </c>
      <c r="D2223" s="7">
        <v>26696.1</v>
      </c>
      <c r="E2223" s="8" t="s">
        <v>7665</v>
      </c>
      <c r="F2223" s="9">
        <v>1</v>
      </c>
    </row>
    <row r="2224" ht="15.5" spans="1:6">
      <c r="A2224" s="6" t="s">
        <v>5400</v>
      </c>
      <c r="B2224" s="3" t="s">
        <v>7832</v>
      </c>
      <c r="C2224" s="4" t="s">
        <v>675</v>
      </c>
      <c r="D2224" s="7">
        <v>30394.95</v>
      </c>
      <c r="E2224" s="8" t="s">
        <v>7665</v>
      </c>
      <c r="F2224" s="9">
        <v>1</v>
      </c>
    </row>
    <row r="2225" ht="15.5" spans="1:6">
      <c r="A2225" s="6" t="s">
        <v>5402</v>
      </c>
      <c r="B2225" s="3" t="s">
        <v>7833</v>
      </c>
      <c r="C2225" s="4" t="s">
        <v>675</v>
      </c>
      <c r="D2225" s="7">
        <v>39073.05</v>
      </c>
      <c r="E2225" s="8" t="s">
        <v>7665</v>
      </c>
      <c r="F2225" s="9">
        <v>1</v>
      </c>
    </row>
    <row r="2226" ht="15.5" spans="1:6">
      <c r="A2226" s="6" t="s">
        <v>5406</v>
      </c>
      <c r="B2226" s="3" t="s">
        <v>5395</v>
      </c>
      <c r="C2226" s="4" t="s">
        <v>675</v>
      </c>
      <c r="D2226" s="7">
        <v>21290.1</v>
      </c>
      <c r="E2226" s="8" t="s">
        <v>7665</v>
      </c>
      <c r="F2226" s="9">
        <v>1</v>
      </c>
    </row>
    <row r="2227" ht="15.5" spans="1:6">
      <c r="A2227" s="6" t="s">
        <v>5407</v>
      </c>
      <c r="B2227" s="3" t="s">
        <v>5397</v>
      </c>
      <c r="C2227" s="4" t="s">
        <v>675</v>
      </c>
      <c r="D2227" s="7">
        <v>28403.25</v>
      </c>
      <c r="E2227" s="8" t="s">
        <v>7665</v>
      </c>
      <c r="F2227" s="9">
        <v>1</v>
      </c>
    </row>
    <row r="2228" ht="15.5" spans="1:6">
      <c r="A2228" s="6" t="s">
        <v>5410</v>
      </c>
      <c r="B2228" s="3" t="s">
        <v>5411</v>
      </c>
      <c r="C2228" s="4" t="s">
        <v>5412</v>
      </c>
      <c r="D2228" s="7">
        <v>119.45</v>
      </c>
      <c r="E2228" s="8" t="s">
        <v>7834</v>
      </c>
      <c r="F2228" s="9">
        <v>50</v>
      </c>
    </row>
    <row r="2229" ht="15.5" spans="1:6">
      <c r="A2229" s="6" t="s">
        <v>5413</v>
      </c>
      <c r="B2229" s="3" t="s">
        <v>5414</v>
      </c>
      <c r="C2229" s="4" t="s">
        <v>5412</v>
      </c>
      <c r="D2229" s="7">
        <v>192.85</v>
      </c>
      <c r="E2229" s="8" t="s">
        <v>7834</v>
      </c>
      <c r="F2229" s="9">
        <v>50</v>
      </c>
    </row>
    <row r="2230" ht="15.5" spans="1:6">
      <c r="A2230" s="6" t="s">
        <v>5415</v>
      </c>
      <c r="B2230" s="3" t="s">
        <v>5416</v>
      </c>
      <c r="C2230" s="4" t="s">
        <v>5412</v>
      </c>
      <c r="D2230" s="7">
        <v>280.85</v>
      </c>
      <c r="E2230" s="8" t="s">
        <v>7834</v>
      </c>
      <c r="F2230" s="9">
        <v>50</v>
      </c>
    </row>
    <row r="2231" ht="15.5" spans="1:6">
      <c r="A2231" s="6" t="s">
        <v>5417</v>
      </c>
      <c r="B2231" s="3" t="s">
        <v>5418</v>
      </c>
      <c r="C2231" s="4" t="s">
        <v>5412</v>
      </c>
      <c r="D2231" s="7">
        <v>340.35</v>
      </c>
      <c r="E2231" s="8" t="s">
        <v>7834</v>
      </c>
      <c r="F2231" s="9">
        <v>50</v>
      </c>
    </row>
    <row r="2232" ht="15.5" spans="1:6">
      <c r="A2232" s="6" t="s">
        <v>5419</v>
      </c>
      <c r="B2232" s="3" t="s">
        <v>5420</v>
      </c>
      <c r="C2232" s="4" t="s">
        <v>5412</v>
      </c>
      <c r="D2232" s="7">
        <v>435.45</v>
      </c>
      <c r="E2232" s="8" t="s">
        <v>7834</v>
      </c>
      <c r="F2232" s="9">
        <v>50</v>
      </c>
    </row>
    <row r="2233" ht="15.5" spans="1:6">
      <c r="A2233" s="6" t="s">
        <v>5421</v>
      </c>
      <c r="B2233" s="3" t="s">
        <v>5422</v>
      </c>
      <c r="C2233" s="4" t="s">
        <v>5412</v>
      </c>
      <c r="D2233" s="7">
        <v>495</v>
      </c>
      <c r="E2233" s="8" t="s">
        <v>7834</v>
      </c>
      <c r="F2233" s="9">
        <v>50</v>
      </c>
    </row>
    <row r="2234" ht="15.5" spans="1:6">
      <c r="A2234" s="6" t="s">
        <v>5423</v>
      </c>
      <c r="B2234" s="3" t="s">
        <v>5424</v>
      </c>
      <c r="C2234" s="4" t="s">
        <v>5412</v>
      </c>
      <c r="D2234" s="7">
        <v>696.8</v>
      </c>
      <c r="E2234" s="8" t="s">
        <v>7834</v>
      </c>
      <c r="F2234" s="9">
        <v>50</v>
      </c>
    </row>
    <row r="2235" ht="15.5" spans="1:6">
      <c r="A2235" s="6" t="s">
        <v>5425</v>
      </c>
      <c r="B2235" s="3" t="s">
        <v>5426</v>
      </c>
      <c r="C2235" s="4" t="s">
        <v>5412</v>
      </c>
      <c r="D2235" s="7">
        <v>820.35</v>
      </c>
      <c r="E2235" s="8" t="s">
        <v>7834</v>
      </c>
      <c r="F2235" s="9">
        <v>50</v>
      </c>
    </row>
    <row r="2236" ht="15.5" spans="1:6">
      <c r="A2236" s="6" t="s">
        <v>5427</v>
      </c>
      <c r="B2236" s="3" t="s">
        <v>5428</v>
      </c>
      <c r="C2236" s="4" t="s">
        <v>5412</v>
      </c>
      <c r="D2236" s="7">
        <v>871.45</v>
      </c>
      <c r="E2236" s="8" t="s">
        <v>7834</v>
      </c>
      <c r="F2236" s="9">
        <v>50</v>
      </c>
    </row>
    <row r="2237" ht="15.5" spans="1:6">
      <c r="A2237" s="6" t="s">
        <v>5429</v>
      </c>
      <c r="B2237" s="3" t="s">
        <v>5430</v>
      </c>
      <c r="C2237" s="4" t="s">
        <v>5412</v>
      </c>
      <c r="D2237" s="7">
        <v>1207.9</v>
      </c>
      <c r="E2237" s="8" t="s">
        <v>7834</v>
      </c>
      <c r="F2237" s="9">
        <v>50</v>
      </c>
    </row>
    <row r="2238" ht="15.5" spans="1:6">
      <c r="A2238" s="6" t="s">
        <v>5431</v>
      </c>
      <c r="B2238" s="3" t="s">
        <v>5432</v>
      </c>
      <c r="C2238" s="4" t="s">
        <v>5412</v>
      </c>
      <c r="D2238" s="7">
        <v>1572.7</v>
      </c>
      <c r="E2238" s="8" t="s">
        <v>7834</v>
      </c>
      <c r="F2238" s="9">
        <v>50</v>
      </c>
    </row>
    <row r="2239" ht="15.5" spans="1:6">
      <c r="A2239" s="6" t="s">
        <v>5433</v>
      </c>
      <c r="B2239" s="3" t="s">
        <v>5434</v>
      </c>
      <c r="C2239" s="4" t="s">
        <v>5412</v>
      </c>
      <c r="D2239" s="7">
        <v>1693.65</v>
      </c>
      <c r="E2239" s="8" t="s">
        <v>7834</v>
      </c>
      <c r="F2239" s="9">
        <v>50</v>
      </c>
    </row>
    <row r="2240" ht="15.5" spans="1:6">
      <c r="A2240" s="6" t="s">
        <v>5435</v>
      </c>
      <c r="B2240" s="3" t="s">
        <v>5436</v>
      </c>
      <c r="C2240" s="4" t="s">
        <v>5412</v>
      </c>
      <c r="D2240" s="7">
        <v>1844.4</v>
      </c>
      <c r="E2240" s="8" t="s">
        <v>7834</v>
      </c>
      <c r="F2240" s="9">
        <v>50</v>
      </c>
    </row>
    <row r="2241" ht="15.5" spans="1:6">
      <c r="A2241" s="6" t="s">
        <v>5437</v>
      </c>
      <c r="B2241" s="3" t="s">
        <v>5438</v>
      </c>
      <c r="C2241" s="4" t="s">
        <v>5412</v>
      </c>
      <c r="D2241" s="7">
        <v>2314.65</v>
      </c>
      <c r="E2241" s="8" t="s">
        <v>7834</v>
      </c>
      <c r="F2241" s="9">
        <v>50</v>
      </c>
    </row>
    <row r="2242" ht="15.5" spans="1:6">
      <c r="A2242" s="6" t="s">
        <v>5439</v>
      </c>
      <c r="B2242" s="3" t="s">
        <v>5440</v>
      </c>
      <c r="C2242" s="4" t="s">
        <v>5412</v>
      </c>
      <c r="D2242" s="7">
        <v>2604.4</v>
      </c>
      <c r="E2242" s="8" t="s">
        <v>7834</v>
      </c>
      <c r="F2242" s="9">
        <v>50</v>
      </c>
    </row>
    <row r="2243" ht="15.5" spans="1:6">
      <c r="A2243" s="6" t="s">
        <v>5443</v>
      </c>
      <c r="B2243" s="3" t="s">
        <v>5444</v>
      </c>
      <c r="C2243" s="4" t="s">
        <v>49</v>
      </c>
      <c r="D2243" s="7">
        <v>2089.35</v>
      </c>
      <c r="E2243" s="8" t="s">
        <v>7603</v>
      </c>
      <c r="F2243" s="9">
        <v>5</v>
      </c>
    </row>
    <row r="2244" ht="15.5" spans="1:6">
      <c r="A2244" s="6" t="s">
        <v>5445</v>
      </c>
      <c r="B2244" s="3" t="s">
        <v>5446</v>
      </c>
      <c r="C2244" s="4" t="s">
        <v>49</v>
      </c>
      <c r="D2244" s="7">
        <v>3218.5</v>
      </c>
      <c r="E2244" s="8" t="s">
        <v>7603</v>
      </c>
      <c r="F2244" s="9">
        <v>5</v>
      </c>
    </row>
    <row r="2245" ht="15.5" spans="1:6">
      <c r="A2245" s="6" t="s">
        <v>5447</v>
      </c>
      <c r="B2245" s="3" t="s">
        <v>5448</v>
      </c>
      <c r="C2245" s="4" t="s">
        <v>49</v>
      </c>
      <c r="D2245" s="7">
        <v>4995.85</v>
      </c>
      <c r="E2245" s="8" t="s">
        <v>7603</v>
      </c>
      <c r="F2245" s="9">
        <v>5</v>
      </c>
    </row>
    <row r="2246" ht="15.5" spans="1:6">
      <c r="A2246" s="6" t="s">
        <v>5449</v>
      </c>
      <c r="B2246" s="3" t="s">
        <v>5450</v>
      </c>
      <c r="C2246" s="4" t="s">
        <v>49</v>
      </c>
      <c r="D2246" s="7">
        <v>6227</v>
      </c>
      <c r="E2246" s="8" t="s">
        <v>7603</v>
      </c>
      <c r="F2246" s="9">
        <v>5</v>
      </c>
    </row>
    <row r="2247" ht="15.5" spans="1:6">
      <c r="A2247" s="6" t="s">
        <v>5451</v>
      </c>
      <c r="B2247" s="3" t="s">
        <v>5452</v>
      </c>
      <c r="C2247" s="4" t="s">
        <v>49</v>
      </c>
      <c r="D2247" s="7">
        <v>8094.3</v>
      </c>
      <c r="E2247" s="8" t="s">
        <v>7603</v>
      </c>
      <c r="F2247" s="9">
        <v>5</v>
      </c>
    </row>
    <row r="2248" ht="15.5" spans="1:6">
      <c r="A2248" s="6" t="s">
        <v>5453</v>
      </c>
      <c r="B2248" s="3" t="s">
        <v>5454</v>
      </c>
      <c r="C2248" s="4" t="s">
        <v>49</v>
      </c>
      <c r="D2248" s="7">
        <v>10093.9</v>
      </c>
      <c r="E2248" s="8" t="s">
        <v>7603</v>
      </c>
      <c r="F2248" s="9">
        <v>5</v>
      </c>
    </row>
    <row r="2249" ht="15.5" spans="1:6">
      <c r="A2249" s="6" t="s">
        <v>5455</v>
      </c>
      <c r="B2249" s="3" t="s">
        <v>5456</v>
      </c>
      <c r="C2249" s="4" t="s">
        <v>49</v>
      </c>
      <c r="D2249" s="7">
        <v>13136.65</v>
      </c>
      <c r="E2249" s="8" t="s">
        <v>7603</v>
      </c>
      <c r="F2249" s="9">
        <v>5</v>
      </c>
    </row>
    <row r="2250" ht="15.5" spans="1:6">
      <c r="A2250" s="6" t="s">
        <v>5457</v>
      </c>
      <c r="B2250" s="3" t="s">
        <v>5458</v>
      </c>
      <c r="C2250" s="4" t="s">
        <v>49</v>
      </c>
      <c r="D2250" s="7">
        <v>16769.3</v>
      </c>
      <c r="E2250" s="8" t="s">
        <v>7603</v>
      </c>
      <c r="F2250" s="9">
        <v>5</v>
      </c>
    </row>
    <row r="2251" ht="15.5" spans="1:6">
      <c r="A2251" s="6" t="s">
        <v>5459</v>
      </c>
      <c r="B2251" s="3" t="s">
        <v>5460</v>
      </c>
      <c r="C2251" s="4" t="s">
        <v>49</v>
      </c>
      <c r="D2251" s="7">
        <v>21619.65</v>
      </c>
      <c r="E2251" s="8" t="s">
        <v>7603</v>
      </c>
      <c r="F2251" s="9">
        <v>5</v>
      </c>
    </row>
    <row r="2252" ht="15.5" spans="1:6">
      <c r="A2252" s="6" t="s">
        <v>5461</v>
      </c>
      <c r="B2252" s="3" t="s">
        <v>5462</v>
      </c>
      <c r="C2252" s="4" t="s">
        <v>49</v>
      </c>
      <c r="D2252" s="7">
        <v>27459.4</v>
      </c>
      <c r="E2252" s="8" t="s">
        <v>7603</v>
      </c>
      <c r="F2252" s="9">
        <v>5</v>
      </c>
    </row>
    <row r="2253" ht="15.5" spans="1:6">
      <c r="A2253" s="6" t="s">
        <v>5465</v>
      </c>
      <c r="B2253" s="3" t="s">
        <v>5466</v>
      </c>
      <c r="C2253" s="4" t="s">
        <v>49</v>
      </c>
      <c r="D2253" s="7">
        <v>1257.8</v>
      </c>
      <c r="E2253" s="8" t="s">
        <v>7552</v>
      </c>
      <c r="F2253" s="9">
        <v>10</v>
      </c>
    </row>
    <row r="2254" ht="15.5" spans="1:6">
      <c r="A2254" s="6" t="s">
        <v>5467</v>
      </c>
      <c r="B2254" s="3" t="s">
        <v>5468</v>
      </c>
      <c r="C2254" s="4" t="s">
        <v>49</v>
      </c>
      <c r="D2254" s="7">
        <v>1789.6</v>
      </c>
      <c r="E2254" s="8" t="s">
        <v>7552</v>
      </c>
      <c r="F2254" s="9">
        <v>10</v>
      </c>
    </row>
    <row r="2255" ht="15.5" spans="1:6">
      <c r="A2255" s="6" t="s">
        <v>5469</v>
      </c>
      <c r="B2255" s="3" t="s">
        <v>5470</v>
      </c>
      <c r="C2255" s="4" t="s">
        <v>49</v>
      </c>
      <c r="D2255" s="7">
        <v>2328.15</v>
      </c>
      <c r="E2255" s="8" t="s">
        <v>7552</v>
      </c>
      <c r="F2255" s="9">
        <v>10</v>
      </c>
    </row>
    <row r="2256" ht="15.5" spans="1:6">
      <c r="A2256" s="6" t="s">
        <v>5471</v>
      </c>
      <c r="B2256" s="3" t="s">
        <v>5472</v>
      </c>
      <c r="C2256" s="4" t="s">
        <v>49</v>
      </c>
      <c r="D2256" s="7">
        <v>2880.7</v>
      </c>
      <c r="E2256" s="8" t="s">
        <v>7552</v>
      </c>
      <c r="F2256" s="9">
        <v>10</v>
      </c>
    </row>
    <row r="2257" ht="15.5" spans="1:6">
      <c r="A2257" s="6" t="s">
        <v>5473</v>
      </c>
      <c r="B2257" s="3" t="s">
        <v>5474</v>
      </c>
      <c r="C2257" s="4" t="s">
        <v>49</v>
      </c>
      <c r="D2257" s="7">
        <v>3518.25</v>
      </c>
      <c r="E2257" s="8" t="s">
        <v>7552</v>
      </c>
      <c r="F2257" s="9">
        <v>10</v>
      </c>
    </row>
    <row r="2258" ht="15.5" spans="1:6">
      <c r="A2258" s="6" t="s">
        <v>5475</v>
      </c>
      <c r="B2258" s="3" t="s">
        <v>5476</v>
      </c>
      <c r="C2258" s="4" t="s">
        <v>49</v>
      </c>
      <c r="D2258" s="7">
        <v>4186.5</v>
      </c>
      <c r="E2258" s="8" t="s">
        <v>7552</v>
      </c>
      <c r="F2258" s="9">
        <v>10</v>
      </c>
    </row>
    <row r="2259" ht="15.5" spans="1:6">
      <c r="A2259" s="6" t="s">
        <v>5477</v>
      </c>
      <c r="B2259" s="3" t="s">
        <v>5478</v>
      </c>
      <c r="C2259" s="4" t="s">
        <v>49</v>
      </c>
      <c r="D2259" s="7">
        <v>5084.55</v>
      </c>
      <c r="E2259" s="8" t="s">
        <v>7552</v>
      </c>
      <c r="F2259" s="9">
        <v>10</v>
      </c>
    </row>
    <row r="2260" ht="15.5" spans="1:6">
      <c r="A2260" s="6" t="s">
        <v>5479</v>
      </c>
      <c r="B2260" s="3" t="s">
        <v>5480</v>
      </c>
      <c r="C2260" s="4" t="s">
        <v>49</v>
      </c>
      <c r="D2260" s="7">
        <v>6163.35</v>
      </c>
      <c r="E2260" s="8" t="s">
        <v>7552</v>
      </c>
      <c r="F2260" s="9">
        <v>10</v>
      </c>
    </row>
    <row r="2261" ht="15.5" spans="1:6">
      <c r="A2261" s="6" t="s">
        <v>5481</v>
      </c>
      <c r="B2261" s="3" t="s">
        <v>5482</v>
      </c>
      <c r="C2261" s="4" t="s">
        <v>49</v>
      </c>
      <c r="D2261" s="7">
        <v>6787.4</v>
      </c>
      <c r="E2261" s="8" t="s">
        <v>7552</v>
      </c>
      <c r="F2261" s="9">
        <v>10</v>
      </c>
    </row>
    <row r="2262" ht="15.5" spans="1:6">
      <c r="A2262" s="6" t="s">
        <v>5483</v>
      </c>
      <c r="B2262" s="3" t="s">
        <v>5484</v>
      </c>
      <c r="C2262" s="4" t="s">
        <v>49</v>
      </c>
      <c r="D2262" s="7">
        <v>8965.95</v>
      </c>
      <c r="E2262" s="8" t="s">
        <v>7552</v>
      </c>
      <c r="F2262" s="9">
        <v>10</v>
      </c>
    </row>
    <row r="2263" ht="15.5" spans="1:6">
      <c r="A2263" s="6" t="s">
        <v>5485</v>
      </c>
      <c r="B2263" s="3" t="s">
        <v>5486</v>
      </c>
      <c r="C2263" s="4" t="s">
        <v>49</v>
      </c>
      <c r="D2263" s="7">
        <v>11566.35</v>
      </c>
      <c r="E2263" s="8" t="s">
        <v>7552</v>
      </c>
      <c r="F2263" s="9">
        <v>10</v>
      </c>
    </row>
    <row r="2264" ht="15.5" spans="1:6">
      <c r="A2264" s="6" t="s">
        <v>5487</v>
      </c>
      <c r="B2264" s="3" t="s">
        <v>5488</v>
      </c>
      <c r="C2264" s="4" t="s">
        <v>49</v>
      </c>
      <c r="D2264" s="7">
        <v>14609.05</v>
      </c>
      <c r="E2264" s="8" t="s">
        <v>7552</v>
      </c>
      <c r="F2264" s="9">
        <v>10</v>
      </c>
    </row>
    <row r="2265" ht="15.5" spans="1:6">
      <c r="A2265" s="6" t="s">
        <v>5489</v>
      </c>
      <c r="B2265" s="3" t="s">
        <v>5490</v>
      </c>
      <c r="C2265" s="4" t="s">
        <v>49</v>
      </c>
      <c r="D2265" s="7">
        <v>18734.2</v>
      </c>
      <c r="E2265" s="8" t="s">
        <v>7552</v>
      </c>
      <c r="F2265" s="9">
        <v>10</v>
      </c>
    </row>
    <row r="2266" ht="15.5" spans="1:6">
      <c r="A2266" s="6" t="s">
        <v>5491</v>
      </c>
      <c r="B2266" s="3" t="s">
        <v>5492</v>
      </c>
      <c r="C2266" s="4" t="s">
        <v>49</v>
      </c>
      <c r="D2266" s="7">
        <v>19895.8</v>
      </c>
      <c r="E2266" s="8" t="s">
        <v>7552</v>
      </c>
      <c r="F2266" s="9">
        <v>10</v>
      </c>
    </row>
    <row r="2267" ht="15.5" spans="1:6">
      <c r="A2267" s="6" t="s">
        <v>5493</v>
      </c>
      <c r="B2267" s="3" t="s">
        <v>5494</v>
      </c>
      <c r="C2267" s="4" t="s">
        <v>49</v>
      </c>
      <c r="D2267" s="7">
        <v>1344.6</v>
      </c>
      <c r="E2267" s="8" t="s">
        <v>7552</v>
      </c>
      <c r="F2267" s="9">
        <v>10</v>
      </c>
    </row>
    <row r="2268" ht="15.5" spans="1:6">
      <c r="A2268" s="6" t="s">
        <v>5495</v>
      </c>
      <c r="B2268" s="3" t="s">
        <v>5496</v>
      </c>
      <c r="C2268" s="4" t="s">
        <v>49</v>
      </c>
      <c r="D2268" s="7">
        <v>1837.75</v>
      </c>
      <c r="E2268" s="8" t="s">
        <v>7552</v>
      </c>
      <c r="F2268" s="9">
        <v>10</v>
      </c>
    </row>
    <row r="2269" ht="15.5" spans="1:6">
      <c r="A2269" s="6" t="s">
        <v>5497</v>
      </c>
      <c r="B2269" s="3" t="s">
        <v>5498</v>
      </c>
      <c r="C2269" s="4" t="s">
        <v>49</v>
      </c>
      <c r="D2269" s="7">
        <v>2478.1</v>
      </c>
      <c r="E2269" s="8" t="s">
        <v>7552</v>
      </c>
      <c r="F2269" s="9">
        <v>10</v>
      </c>
    </row>
    <row r="2270" ht="15.5" spans="1:6">
      <c r="A2270" s="6" t="s">
        <v>5499</v>
      </c>
      <c r="B2270" s="3" t="s">
        <v>5500</v>
      </c>
      <c r="C2270" s="4" t="s">
        <v>49</v>
      </c>
      <c r="D2270" s="7">
        <v>3516.8</v>
      </c>
      <c r="E2270" s="8" t="s">
        <v>7552</v>
      </c>
      <c r="F2270" s="9">
        <v>10</v>
      </c>
    </row>
    <row r="2271" ht="15.5" spans="1:6">
      <c r="A2271" s="6" t="s">
        <v>5501</v>
      </c>
      <c r="B2271" s="3" t="s">
        <v>5502</v>
      </c>
      <c r="C2271" s="4" t="s">
        <v>49</v>
      </c>
      <c r="D2271" s="7">
        <v>4344.4</v>
      </c>
      <c r="E2271" s="8" t="s">
        <v>7552</v>
      </c>
      <c r="F2271" s="9">
        <v>10</v>
      </c>
    </row>
    <row r="2272" ht="15.5" spans="1:6">
      <c r="A2272" s="6" t="s">
        <v>5503</v>
      </c>
      <c r="B2272" s="3" t="s">
        <v>5504</v>
      </c>
      <c r="C2272" s="4" t="s">
        <v>49</v>
      </c>
      <c r="D2272" s="7">
        <v>5409.85</v>
      </c>
      <c r="E2272" s="8" t="s">
        <v>7552</v>
      </c>
      <c r="F2272" s="9">
        <v>10</v>
      </c>
    </row>
    <row r="2273" ht="15.5" spans="1:6">
      <c r="A2273" s="6" t="s">
        <v>5505</v>
      </c>
      <c r="B2273" s="3" t="s">
        <v>5506</v>
      </c>
      <c r="C2273" s="4" t="s">
        <v>49</v>
      </c>
      <c r="D2273" s="7">
        <v>6844.3</v>
      </c>
      <c r="E2273" s="8" t="s">
        <v>7552</v>
      </c>
      <c r="F2273" s="9">
        <v>10</v>
      </c>
    </row>
    <row r="2274" ht="15.5" spans="1:6">
      <c r="A2274" s="6" t="s">
        <v>5507</v>
      </c>
      <c r="B2274" s="3" t="s">
        <v>5508</v>
      </c>
      <c r="C2274" s="4" t="s">
        <v>49</v>
      </c>
      <c r="D2274" s="7">
        <v>7976.85</v>
      </c>
      <c r="E2274" s="8" t="s">
        <v>7552</v>
      </c>
      <c r="F2274" s="9">
        <v>10</v>
      </c>
    </row>
    <row r="2275" ht="15.5" spans="1:6">
      <c r="A2275" s="6" t="s">
        <v>5509</v>
      </c>
      <c r="B2275" s="3" t="s">
        <v>5510</v>
      </c>
      <c r="C2275" s="4" t="s">
        <v>49</v>
      </c>
      <c r="D2275" s="7">
        <v>9679.85</v>
      </c>
      <c r="E2275" s="8" t="s">
        <v>7552</v>
      </c>
      <c r="F2275" s="9">
        <v>10</v>
      </c>
    </row>
    <row r="2276" ht="15.5" spans="1:6">
      <c r="A2276" s="6" t="s">
        <v>5511</v>
      </c>
      <c r="B2276" s="3" t="s">
        <v>5512</v>
      </c>
      <c r="C2276" s="4" t="s">
        <v>49</v>
      </c>
      <c r="D2276" s="7">
        <v>12986.95</v>
      </c>
      <c r="E2276" s="8" t="s">
        <v>7552</v>
      </c>
      <c r="F2276" s="9">
        <v>10</v>
      </c>
    </row>
    <row r="2277" ht="15.5" spans="1:6">
      <c r="A2277" s="6" t="s">
        <v>5513</v>
      </c>
      <c r="B2277" s="3" t="s">
        <v>5514</v>
      </c>
      <c r="C2277" s="4" t="s">
        <v>49</v>
      </c>
      <c r="D2277" s="7">
        <v>17431.6</v>
      </c>
      <c r="E2277" s="8" t="s">
        <v>7552</v>
      </c>
      <c r="F2277" s="9">
        <v>10</v>
      </c>
    </row>
    <row r="2278" ht="15.5" spans="1:6">
      <c r="A2278" s="6" t="s">
        <v>5515</v>
      </c>
      <c r="B2278" s="3" t="s">
        <v>5516</v>
      </c>
      <c r="C2278" s="4" t="s">
        <v>49</v>
      </c>
      <c r="D2278" s="7">
        <v>18567.85</v>
      </c>
      <c r="E2278" s="8" t="s">
        <v>7552</v>
      </c>
      <c r="F2278" s="9">
        <v>10</v>
      </c>
    </row>
    <row r="2279" ht="15.5" spans="1:6">
      <c r="A2279" s="6" t="s">
        <v>5517</v>
      </c>
      <c r="B2279" s="3" t="s">
        <v>5518</v>
      </c>
      <c r="C2279" s="4" t="s">
        <v>49</v>
      </c>
      <c r="D2279" s="7">
        <v>18891.2</v>
      </c>
      <c r="E2279" s="8" t="s">
        <v>7552</v>
      </c>
      <c r="F2279" s="9">
        <v>10</v>
      </c>
    </row>
    <row r="2280" ht="15.5" spans="1:6">
      <c r="A2280" s="6" t="s">
        <v>5519</v>
      </c>
      <c r="B2280" s="3" t="s">
        <v>5520</v>
      </c>
      <c r="C2280" s="4" t="s">
        <v>49</v>
      </c>
      <c r="D2280" s="7">
        <v>23163</v>
      </c>
      <c r="E2280" s="8" t="s">
        <v>7552</v>
      </c>
      <c r="F2280" s="9">
        <v>10</v>
      </c>
    </row>
    <row r="2281" ht="15.5" spans="1:6">
      <c r="A2281" s="6" t="s">
        <v>5521</v>
      </c>
      <c r="B2281" s="3" t="s">
        <v>5522</v>
      </c>
      <c r="C2281" s="4" t="s">
        <v>49</v>
      </c>
      <c r="D2281" s="7">
        <v>25133</v>
      </c>
      <c r="E2281" s="8" t="s">
        <v>7552</v>
      </c>
      <c r="F2281" s="9">
        <v>10</v>
      </c>
    </row>
    <row r="2282" ht="15.5" spans="1:6">
      <c r="A2282" s="6" t="s">
        <v>5525</v>
      </c>
      <c r="B2282" s="3" t="s">
        <v>5526</v>
      </c>
      <c r="C2282" s="4" t="s">
        <v>49</v>
      </c>
      <c r="D2282" s="7">
        <v>1870.75</v>
      </c>
      <c r="E2282" s="8" t="s">
        <v>7552</v>
      </c>
      <c r="F2282" s="9">
        <v>10</v>
      </c>
    </row>
    <row r="2283" ht="15.5" spans="1:6">
      <c r="A2283" s="6" t="s">
        <v>5527</v>
      </c>
      <c r="B2283" s="3" t="s">
        <v>5528</v>
      </c>
      <c r="C2283" s="4" t="s">
        <v>49</v>
      </c>
      <c r="D2283" s="7">
        <v>2590.9</v>
      </c>
      <c r="E2283" s="8" t="s">
        <v>7552</v>
      </c>
      <c r="F2283" s="9">
        <v>10</v>
      </c>
    </row>
    <row r="2284" ht="15.5" spans="1:6">
      <c r="A2284" s="6" t="s">
        <v>5529</v>
      </c>
      <c r="B2284" s="3" t="s">
        <v>5530</v>
      </c>
      <c r="C2284" s="4" t="s">
        <v>49</v>
      </c>
      <c r="D2284" s="7">
        <v>3260.55</v>
      </c>
      <c r="E2284" s="8" t="s">
        <v>7552</v>
      </c>
      <c r="F2284" s="9">
        <v>10</v>
      </c>
    </row>
    <row r="2285" ht="15.5" spans="1:6">
      <c r="A2285" s="6" t="s">
        <v>5531</v>
      </c>
      <c r="B2285" s="3" t="s">
        <v>5532</v>
      </c>
      <c r="C2285" s="4" t="s">
        <v>49</v>
      </c>
      <c r="D2285" s="7">
        <v>4357.6</v>
      </c>
      <c r="E2285" s="8" t="s">
        <v>7552</v>
      </c>
      <c r="F2285" s="9">
        <v>10</v>
      </c>
    </row>
    <row r="2286" ht="15.5" spans="1:6">
      <c r="A2286" s="6" t="s">
        <v>5533</v>
      </c>
      <c r="B2286" s="3" t="s">
        <v>5534</v>
      </c>
      <c r="C2286" s="4" t="s">
        <v>49</v>
      </c>
      <c r="D2286" s="7">
        <v>5452.95</v>
      </c>
      <c r="E2286" s="8" t="s">
        <v>7552</v>
      </c>
      <c r="F2286" s="9">
        <v>10</v>
      </c>
    </row>
    <row r="2287" ht="15.5" spans="1:6">
      <c r="A2287" s="6" t="s">
        <v>5535</v>
      </c>
      <c r="B2287" s="3" t="s">
        <v>5536</v>
      </c>
      <c r="C2287" s="4" t="s">
        <v>49</v>
      </c>
      <c r="D2287" s="7">
        <v>6636.8</v>
      </c>
      <c r="E2287" s="8" t="s">
        <v>7552</v>
      </c>
      <c r="F2287" s="9">
        <v>10</v>
      </c>
    </row>
    <row r="2288" ht="15.5" spans="1:6">
      <c r="A2288" s="6" t="s">
        <v>5537</v>
      </c>
      <c r="B2288" s="3" t="s">
        <v>5538</v>
      </c>
      <c r="C2288" s="4" t="s">
        <v>49</v>
      </c>
      <c r="D2288" s="7">
        <v>8279.45</v>
      </c>
      <c r="E2288" s="8" t="s">
        <v>7552</v>
      </c>
      <c r="F2288" s="9">
        <v>10</v>
      </c>
    </row>
    <row r="2289" ht="15.5" spans="1:6">
      <c r="A2289" s="6" t="s">
        <v>5539</v>
      </c>
      <c r="B2289" s="3" t="s">
        <v>5540</v>
      </c>
      <c r="C2289" s="4" t="s">
        <v>49</v>
      </c>
      <c r="D2289" s="7">
        <v>9861.2</v>
      </c>
      <c r="E2289" s="8" t="s">
        <v>7552</v>
      </c>
      <c r="F2289" s="9">
        <v>10</v>
      </c>
    </row>
    <row r="2290" ht="15.5" spans="1:6">
      <c r="A2290" s="6" t="s">
        <v>5541</v>
      </c>
      <c r="B2290" s="3" t="s">
        <v>5542</v>
      </c>
      <c r="C2290" s="4" t="s">
        <v>49</v>
      </c>
      <c r="D2290" s="7">
        <v>11628.3</v>
      </c>
      <c r="E2290" s="8" t="s">
        <v>7552</v>
      </c>
      <c r="F2290" s="9">
        <v>10</v>
      </c>
    </row>
    <row r="2291" ht="15.5" spans="1:6">
      <c r="A2291" s="6" t="s">
        <v>5543</v>
      </c>
      <c r="B2291" s="3" t="s">
        <v>5544</v>
      </c>
      <c r="C2291" s="4" t="s">
        <v>49</v>
      </c>
      <c r="D2291" s="7">
        <v>15202.6</v>
      </c>
      <c r="E2291" s="8" t="s">
        <v>7552</v>
      </c>
      <c r="F2291" s="9">
        <v>10</v>
      </c>
    </row>
    <row r="2292" ht="15.5" spans="1:6">
      <c r="A2292" s="6" t="s">
        <v>5545</v>
      </c>
      <c r="B2292" s="3" t="s">
        <v>5546</v>
      </c>
      <c r="C2292" s="4" t="s">
        <v>49</v>
      </c>
      <c r="D2292" s="7">
        <v>19217.15</v>
      </c>
      <c r="E2292" s="8" t="s">
        <v>7552</v>
      </c>
      <c r="F2292" s="9">
        <v>10</v>
      </c>
    </row>
    <row r="2293" ht="15.5" spans="1:6">
      <c r="A2293" s="6" t="s">
        <v>5547</v>
      </c>
      <c r="B2293" s="3" t="s">
        <v>5548</v>
      </c>
      <c r="C2293" s="4" t="s">
        <v>49</v>
      </c>
      <c r="D2293" s="7">
        <v>21627.85</v>
      </c>
      <c r="E2293" s="8" t="s">
        <v>7552</v>
      </c>
      <c r="F2293" s="9">
        <v>10</v>
      </c>
    </row>
    <row r="2294" ht="15.5" spans="1:6">
      <c r="A2294" s="6" t="s">
        <v>5549</v>
      </c>
      <c r="B2294" s="3" t="s">
        <v>5550</v>
      </c>
      <c r="C2294" s="4" t="s">
        <v>49</v>
      </c>
      <c r="D2294" s="7">
        <v>23932.65</v>
      </c>
      <c r="E2294" s="8" t="s">
        <v>7552</v>
      </c>
      <c r="F2294" s="9">
        <v>10</v>
      </c>
    </row>
    <row r="2295" ht="15.5" spans="1:6">
      <c r="A2295" s="6" t="s">
        <v>5551</v>
      </c>
      <c r="B2295" s="3" t="s">
        <v>5552</v>
      </c>
      <c r="C2295" s="4" t="s">
        <v>49</v>
      </c>
      <c r="D2295" s="7">
        <v>29836.95</v>
      </c>
      <c r="E2295" s="8" t="s">
        <v>7552</v>
      </c>
      <c r="F2295" s="9">
        <v>10</v>
      </c>
    </row>
    <row r="2296" ht="15.5" spans="1:6">
      <c r="A2296" s="6" t="s">
        <v>5553</v>
      </c>
      <c r="B2296" s="3" t="s">
        <v>5554</v>
      </c>
      <c r="C2296" s="4" t="s">
        <v>49</v>
      </c>
      <c r="D2296" s="7">
        <v>36164.1</v>
      </c>
      <c r="E2296" s="8" t="s">
        <v>7552</v>
      </c>
      <c r="F2296" s="9">
        <v>10</v>
      </c>
    </row>
    <row r="2297" ht="15.5" spans="1:6">
      <c r="A2297" s="6" t="s">
        <v>5557</v>
      </c>
      <c r="B2297" s="3" t="s">
        <v>5558</v>
      </c>
      <c r="C2297" s="4" t="s">
        <v>49</v>
      </c>
      <c r="D2297" s="7">
        <v>1821.55</v>
      </c>
      <c r="E2297" s="8" t="s">
        <v>7603</v>
      </c>
      <c r="F2297" s="9">
        <v>5</v>
      </c>
    </row>
    <row r="2298" ht="15.5" spans="1:6">
      <c r="A2298" s="6" t="s">
        <v>5559</v>
      </c>
      <c r="B2298" s="3" t="s">
        <v>5560</v>
      </c>
      <c r="C2298" s="4" t="s">
        <v>49</v>
      </c>
      <c r="D2298" s="7">
        <v>2607.5</v>
      </c>
      <c r="E2298" s="8" t="s">
        <v>7603</v>
      </c>
      <c r="F2298" s="9">
        <v>5</v>
      </c>
    </row>
    <row r="2299" ht="15.5" spans="1:6">
      <c r="A2299" s="6" t="s">
        <v>5561</v>
      </c>
      <c r="B2299" s="3" t="s">
        <v>5562</v>
      </c>
      <c r="C2299" s="4" t="s">
        <v>49</v>
      </c>
      <c r="D2299" s="7">
        <v>3360.8</v>
      </c>
      <c r="E2299" s="8" t="s">
        <v>7603</v>
      </c>
      <c r="F2299" s="9">
        <v>5</v>
      </c>
    </row>
    <row r="2300" ht="15.5" spans="1:6">
      <c r="A2300" s="6" t="s">
        <v>5563</v>
      </c>
      <c r="B2300" s="3" t="s">
        <v>5564</v>
      </c>
      <c r="C2300" s="4" t="s">
        <v>49</v>
      </c>
      <c r="D2300" s="7">
        <v>4696.15</v>
      </c>
      <c r="E2300" s="8" t="s">
        <v>7603</v>
      </c>
      <c r="F2300" s="9">
        <v>5</v>
      </c>
    </row>
    <row r="2301" ht="15.5" spans="1:6">
      <c r="A2301" s="6" t="s">
        <v>5565</v>
      </c>
      <c r="B2301" s="3" t="s">
        <v>5566</v>
      </c>
      <c r="C2301" s="4" t="s">
        <v>49</v>
      </c>
      <c r="D2301" s="7">
        <v>5895.7</v>
      </c>
      <c r="E2301" s="8" t="s">
        <v>7603</v>
      </c>
      <c r="F2301" s="9">
        <v>5</v>
      </c>
    </row>
    <row r="2302" ht="15.5" spans="1:6">
      <c r="A2302" s="6" t="s">
        <v>5567</v>
      </c>
      <c r="B2302" s="3" t="s">
        <v>5568</v>
      </c>
      <c r="C2302" s="4" t="s">
        <v>49</v>
      </c>
      <c r="D2302" s="7">
        <v>7550.45</v>
      </c>
      <c r="E2302" s="8" t="s">
        <v>7603</v>
      </c>
      <c r="F2302" s="9">
        <v>5</v>
      </c>
    </row>
    <row r="2303" ht="15.5" spans="1:6">
      <c r="A2303" s="6" t="s">
        <v>5569</v>
      </c>
      <c r="B2303" s="3" t="s">
        <v>5570</v>
      </c>
      <c r="C2303" s="4" t="s">
        <v>49</v>
      </c>
      <c r="D2303" s="7">
        <v>9744.4</v>
      </c>
      <c r="E2303" s="8" t="s">
        <v>7603</v>
      </c>
      <c r="F2303" s="9">
        <v>5</v>
      </c>
    </row>
    <row r="2304" ht="15.5" spans="1:6">
      <c r="A2304" s="6" t="s">
        <v>5571</v>
      </c>
      <c r="B2304" s="3" t="s">
        <v>5572</v>
      </c>
      <c r="C2304" s="4" t="s">
        <v>49</v>
      </c>
      <c r="D2304" s="7">
        <v>10136.1</v>
      </c>
      <c r="E2304" s="8" t="s">
        <v>7603</v>
      </c>
      <c r="F2304" s="9">
        <v>5</v>
      </c>
    </row>
    <row r="2305" ht="15.5" spans="1:6">
      <c r="A2305" s="6" t="s">
        <v>5573</v>
      </c>
      <c r="B2305" s="3" t="s">
        <v>5574</v>
      </c>
      <c r="C2305" s="4" t="s">
        <v>49</v>
      </c>
      <c r="D2305" s="7">
        <v>15472.95</v>
      </c>
      <c r="E2305" s="8" t="s">
        <v>7603</v>
      </c>
      <c r="F2305" s="9">
        <v>5</v>
      </c>
    </row>
    <row r="2306" ht="15.5" spans="1:6">
      <c r="A2306" s="6" t="s">
        <v>5575</v>
      </c>
      <c r="B2306" s="3" t="s">
        <v>5576</v>
      </c>
      <c r="C2306" s="4" t="s">
        <v>49</v>
      </c>
      <c r="D2306" s="7">
        <v>19925.3</v>
      </c>
      <c r="E2306" s="8" t="s">
        <v>7603</v>
      </c>
      <c r="F2306" s="9">
        <v>5</v>
      </c>
    </row>
    <row r="2307" ht="15.5" spans="1:6">
      <c r="A2307" s="6" t="s">
        <v>5577</v>
      </c>
      <c r="B2307" s="3" t="s">
        <v>5578</v>
      </c>
      <c r="C2307" s="4" t="s">
        <v>49</v>
      </c>
      <c r="D2307" s="7">
        <v>22830.8</v>
      </c>
      <c r="E2307" s="8" t="s">
        <v>7603</v>
      </c>
      <c r="F2307" s="9">
        <v>5</v>
      </c>
    </row>
    <row r="2308" ht="15.5" spans="1:6">
      <c r="A2308" s="6" t="s">
        <v>5581</v>
      </c>
      <c r="B2308" s="3" t="s">
        <v>5582</v>
      </c>
      <c r="C2308" s="4" t="s">
        <v>156</v>
      </c>
      <c r="D2308" s="7">
        <v>96.35</v>
      </c>
      <c r="E2308" s="8" t="s">
        <v>7544</v>
      </c>
      <c r="F2308" s="9">
        <v>1</v>
      </c>
    </row>
    <row r="2309" ht="15.5" spans="1:6">
      <c r="A2309" s="6" t="s">
        <v>5583</v>
      </c>
      <c r="B2309" s="3" t="s">
        <v>5584</v>
      </c>
      <c r="C2309" s="4" t="s">
        <v>156</v>
      </c>
      <c r="D2309" s="7">
        <v>121.9</v>
      </c>
      <c r="E2309" s="8" t="s">
        <v>7544</v>
      </c>
      <c r="F2309" s="9">
        <v>1</v>
      </c>
    </row>
    <row r="2310" ht="31" spans="1:6">
      <c r="A2310" s="6" t="s">
        <v>5587</v>
      </c>
      <c r="B2310" s="3" t="s">
        <v>5588</v>
      </c>
      <c r="C2310" s="4" t="s">
        <v>156</v>
      </c>
      <c r="D2310" s="7">
        <v>53.6</v>
      </c>
      <c r="E2310" s="8" t="s">
        <v>7544</v>
      </c>
      <c r="F2310" s="9">
        <v>1</v>
      </c>
    </row>
    <row r="2311" ht="31" spans="1:6">
      <c r="A2311" s="6" t="s">
        <v>5589</v>
      </c>
      <c r="B2311" s="3" t="s">
        <v>5590</v>
      </c>
      <c r="C2311" s="4" t="s">
        <v>156</v>
      </c>
      <c r="D2311" s="7">
        <v>93.45</v>
      </c>
      <c r="E2311" s="8" t="s">
        <v>7544</v>
      </c>
      <c r="F2311" s="9">
        <v>1</v>
      </c>
    </row>
    <row r="2312" ht="31" spans="1:6">
      <c r="A2312" s="6" t="s">
        <v>5591</v>
      </c>
      <c r="B2312" s="3" t="s">
        <v>5592</v>
      </c>
      <c r="C2312" s="4" t="s">
        <v>156</v>
      </c>
      <c r="D2312" s="7">
        <v>113.35</v>
      </c>
      <c r="E2312" s="8" t="s">
        <v>7544</v>
      </c>
      <c r="F2312" s="9">
        <v>1</v>
      </c>
    </row>
    <row r="2313" ht="31" spans="1:6">
      <c r="A2313" s="6" t="s">
        <v>5595</v>
      </c>
      <c r="B2313" s="3" t="s">
        <v>5596</v>
      </c>
      <c r="C2313" s="4" t="s">
        <v>156</v>
      </c>
      <c r="D2313" s="7">
        <v>416.8</v>
      </c>
      <c r="E2313" s="8" t="s">
        <v>7379</v>
      </c>
      <c r="F2313" s="9">
        <v>10</v>
      </c>
    </row>
    <row r="2314" ht="124" spans="1:6">
      <c r="A2314" s="6" t="s">
        <v>5597</v>
      </c>
      <c r="B2314" s="12" t="s">
        <v>5598</v>
      </c>
      <c r="C2314" s="4" t="s">
        <v>156</v>
      </c>
      <c r="D2314" s="7">
        <v>452</v>
      </c>
      <c r="E2314" s="8" t="s">
        <v>7379</v>
      </c>
      <c r="F2314" s="9">
        <v>10</v>
      </c>
    </row>
    <row r="2315" ht="62" spans="1:6">
      <c r="A2315" s="6" t="s">
        <v>5599</v>
      </c>
      <c r="B2315" s="12" t="s">
        <v>5600</v>
      </c>
      <c r="C2315" s="4" t="s">
        <v>49</v>
      </c>
      <c r="D2315" s="7">
        <v>202.9</v>
      </c>
      <c r="E2315" s="8" t="s">
        <v>7552</v>
      </c>
      <c r="F2315" s="9">
        <v>10</v>
      </c>
    </row>
    <row r="2316" ht="93" spans="1:6">
      <c r="A2316" s="6" t="s">
        <v>5601</v>
      </c>
      <c r="B2316" s="12" t="s">
        <v>5602</v>
      </c>
      <c r="C2316" s="4" t="s">
        <v>49</v>
      </c>
      <c r="D2316" s="7">
        <v>209.2</v>
      </c>
      <c r="E2316" s="8" t="s">
        <v>7552</v>
      </c>
      <c r="F2316" s="9">
        <v>10</v>
      </c>
    </row>
    <row r="2317" ht="31" spans="1:6">
      <c r="A2317" s="6" t="s">
        <v>5605</v>
      </c>
      <c r="B2317" s="3" t="s">
        <v>5606</v>
      </c>
      <c r="C2317" s="4" t="s">
        <v>5607</v>
      </c>
      <c r="D2317" s="7">
        <v>1844</v>
      </c>
      <c r="E2317" s="8" t="s">
        <v>7556</v>
      </c>
      <c r="F2317" s="9">
        <v>1</v>
      </c>
    </row>
    <row r="2318" ht="31" spans="1:6">
      <c r="A2318" s="6" t="s">
        <v>5608</v>
      </c>
      <c r="B2318" s="3" t="s">
        <v>5609</v>
      </c>
      <c r="C2318" s="4" t="s">
        <v>5607</v>
      </c>
      <c r="D2318" s="7">
        <v>2415.15</v>
      </c>
      <c r="E2318" s="8" t="s">
        <v>7556</v>
      </c>
      <c r="F2318" s="9">
        <v>1</v>
      </c>
    </row>
    <row r="2319" ht="31" spans="1:6">
      <c r="A2319" s="6" t="s">
        <v>5610</v>
      </c>
      <c r="B2319" s="3" t="s">
        <v>5611</v>
      </c>
      <c r="C2319" s="4" t="s">
        <v>5607</v>
      </c>
      <c r="D2319" s="7">
        <v>3006.4</v>
      </c>
      <c r="E2319" s="8" t="s">
        <v>7556</v>
      </c>
      <c r="F2319" s="9">
        <v>1</v>
      </c>
    </row>
    <row r="2320" ht="31" spans="1:6">
      <c r="A2320" s="6" t="s">
        <v>5612</v>
      </c>
      <c r="B2320" s="3" t="s">
        <v>5613</v>
      </c>
      <c r="C2320" s="4" t="s">
        <v>5607</v>
      </c>
      <c r="D2320" s="7">
        <v>3593.85</v>
      </c>
      <c r="E2320" s="8" t="s">
        <v>7556</v>
      </c>
      <c r="F2320" s="9">
        <v>1</v>
      </c>
    </row>
    <row r="2321" ht="31" spans="1:6">
      <c r="A2321" s="6" t="s">
        <v>5614</v>
      </c>
      <c r="B2321" s="3" t="s">
        <v>5615</v>
      </c>
      <c r="C2321" s="4" t="s">
        <v>5607</v>
      </c>
      <c r="D2321" s="7">
        <v>4771.6</v>
      </c>
      <c r="E2321" s="8" t="s">
        <v>7556</v>
      </c>
      <c r="F2321" s="9">
        <v>1</v>
      </c>
    </row>
    <row r="2322" ht="31" spans="1:6">
      <c r="A2322" s="6" t="s">
        <v>5616</v>
      </c>
      <c r="B2322" s="3" t="s">
        <v>5617</v>
      </c>
      <c r="C2322" s="4" t="s">
        <v>5607</v>
      </c>
      <c r="D2322" s="7">
        <v>5977.65</v>
      </c>
      <c r="E2322" s="8" t="s">
        <v>7556</v>
      </c>
      <c r="F2322" s="9">
        <v>1</v>
      </c>
    </row>
    <row r="2323" ht="31" spans="1:6">
      <c r="A2323" s="6" t="s">
        <v>5618</v>
      </c>
      <c r="B2323" s="3" t="s">
        <v>5619</v>
      </c>
      <c r="C2323" s="4" t="s">
        <v>5607</v>
      </c>
      <c r="D2323" s="7">
        <v>6618.15</v>
      </c>
      <c r="E2323" s="8" t="s">
        <v>7556</v>
      </c>
      <c r="F2323" s="9">
        <v>1</v>
      </c>
    </row>
    <row r="2324" ht="31" spans="1:6">
      <c r="A2324" s="6" t="s">
        <v>5620</v>
      </c>
      <c r="B2324" s="3" t="s">
        <v>5621</v>
      </c>
      <c r="C2324" s="4" t="s">
        <v>5607</v>
      </c>
      <c r="D2324" s="7">
        <v>7272.35</v>
      </c>
      <c r="E2324" s="8" t="s">
        <v>7556</v>
      </c>
      <c r="F2324" s="9">
        <v>1</v>
      </c>
    </row>
    <row r="2325" ht="31" spans="1:6">
      <c r="A2325" s="6" t="s">
        <v>5622</v>
      </c>
      <c r="B2325" s="3" t="s">
        <v>5623</v>
      </c>
      <c r="C2325" s="4" t="s">
        <v>5607</v>
      </c>
      <c r="D2325" s="7">
        <v>7950.85</v>
      </c>
      <c r="E2325" s="8" t="s">
        <v>7556</v>
      </c>
      <c r="F2325" s="9">
        <v>1</v>
      </c>
    </row>
    <row r="2326" ht="31" spans="1:6">
      <c r="A2326" s="6" t="s">
        <v>5624</v>
      </c>
      <c r="B2326" s="3" t="s">
        <v>5625</v>
      </c>
      <c r="C2326" s="4" t="s">
        <v>5607</v>
      </c>
      <c r="D2326" s="7">
        <v>8635.75</v>
      </c>
      <c r="E2326" s="8" t="s">
        <v>7556</v>
      </c>
      <c r="F2326" s="9">
        <v>1</v>
      </c>
    </row>
    <row r="2327" ht="31" spans="1:6">
      <c r="A2327" s="6" t="s">
        <v>5626</v>
      </c>
      <c r="B2327" s="3" t="s">
        <v>5627</v>
      </c>
      <c r="C2327" s="4" t="s">
        <v>5607</v>
      </c>
      <c r="D2327" s="7">
        <v>9351.25</v>
      </c>
      <c r="E2327" s="8" t="s">
        <v>7556</v>
      </c>
      <c r="F2327" s="9">
        <v>1</v>
      </c>
    </row>
    <row r="2328" ht="31" spans="1:6">
      <c r="A2328" s="6" t="s">
        <v>5628</v>
      </c>
      <c r="B2328" s="3" t="s">
        <v>5629</v>
      </c>
      <c r="C2328" s="4" t="s">
        <v>5607</v>
      </c>
      <c r="D2328" s="7">
        <v>10787.45</v>
      </c>
      <c r="E2328" s="8" t="s">
        <v>7556</v>
      </c>
      <c r="F2328" s="9">
        <v>1</v>
      </c>
    </row>
    <row r="2329" ht="31" spans="1:6">
      <c r="A2329" s="6" t="s">
        <v>5632</v>
      </c>
      <c r="B2329" s="3" t="s">
        <v>5606</v>
      </c>
      <c r="C2329" s="4" t="s">
        <v>5607</v>
      </c>
      <c r="D2329" s="7">
        <v>674.95</v>
      </c>
      <c r="E2329" s="8" t="s">
        <v>7556</v>
      </c>
      <c r="F2329" s="9">
        <v>1</v>
      </c>
    </row>
    <row r="2330" ht="31" spans="1:6">
      <c r="A2330" s="6" t="s">
        <v>5633</v>
      </c>
      <c r="B2330" s="3" t="s">
        <v>5609</v>
      </c>
      <c r="C2330" s="4" t="s">
        <v>5607</v>
      </c>
      <c r="D2330" s="7">
        <v>824.95</v>
      </c>
      <c r="E2330" s="8" t="s">
        <v>7556</v>
      </c>
      <c r="F2330" s="9">
        <v>1</v>
      </c>
    </row>
    <row r="2331" ht="31" spans="1:6">
      <c r="A2331" s="6" t="s">
        <v>5634</v>
      </c>
      <c r="B2331" s="3" t="s">
        <v>5611</v>
      </c>
      <c r="C2331" s="4" t="s">
        <v>5607</v>
      </c>
      <c r="D2331" s="7">
        <v>1003.95</v>
      </c>
      <c r="E2331" s="8" t="s">
        <v>7556</v>
      </c>
      <c r="F2331" s="9">
        <v>1</v>
      </c>
    </row>
    <row r="2332" ht="31" spans="1:6">
      <c r="A2332" s="6" t="s">
        <v>5635</v>
      </c>
      <c r="B2332" s="3" t="s">
        <v>5613</v>
      </c>
      <c r="C2332" s="4" t="s">
        <v>5607</v>
      </c>
      <c r="D2332" s="7">
        <v>1164.25</v>
      </c>
      <c r="E2332" s="8" t="s">
        <v>7556</v>
      </c>
      <c r="F2332" s="9">
        <v>1</v>
      </c>
    </row>
    <row r="2333" ht="31" spans="1:6">
      <c r="A2333" s="6" t="s">
        <v>5636</v>
      </c>
      <c r="B2333" s="3" t="s">
        <v>5615</v>
      </c>
      <c r="C2333" s="4" t="s">
        <v>5607</v>
      </c>
      <c r="D2333" s="7">
        <v>1753.1</v>
      </c>
      <c r="E2333" s="8" t="s">
        <v>7556</v>
      </c>
      <c r="F2333" s="9">
        <v>1</v>
      </c>
    </row>
    <row r="2334" ht="31" spans="1:6">
      <c r="A2334" s="6" t="s">
        <v>5637</v>
      </c>
      <c r="B2334" s="3" t="s">
        <v>5617</v>
      </c>
      <c r="C2334" s="4" t="s">
        <v>5607</v>
      </c>
      <c r="D2334" s="7">
        <v>2012.75</v>
      </c>
      <c r="E2334" s="8" t="s">
        <v>7556</v>
      </c>
      <c r="F2334" s="9">
        <v>1</v>
      </c>
    </row>
    <row r="2335" ht="31" spans="1:6">
      <c r="A2335" s="6" t="s">
        <v>5638</v>
      </c>
      <c r="B2335" s="3" t="s">
        <v>5619</v>
      </c>
      <c r="C2335" s="4" t="s">
        <v>5607</v>
      </c>
      <c r="D2335" s="7">
        <v>2255.15</v>
      </c>
      <c r="E2335" s="8" t="s">
        <v>7556</v>
      </c>
      <c r="F2335" s="9">
        <v>1</v>
      </c>
    </row>
    <row r="2336" ht="31" spans="1:6">
      <c r="A2336" s="6" t="s">
        <v>5639</v>
      </c>
      <c r="B2336" s="3" t="s">
        <v>5621</v>
      </c>
      <c r="C2336" s="4" t="s">
        <v>5607</v>
      </c>
      <c r="D2336" s="7">
        <v>2632</v>
      </c>
      <c r="E2336" s="8" t="s">
        <v>7556</v>
      </c>
      <c r="F2336" s="9">
        <v>1</v>
      </c>
    </row>
    <row r="2337" ht="31" spans="1:6">
      <c r="A2337" s="6" t="s">
        <v>5640</v>
      </c>
      <c r="B2337" s="3" t="s">
        <v>5623</v>
      </c>
      <c r="C2337" s="4" t="s">
        <v>5607</v>
      </c>
      <c r="D2337" s="7">
        <v>3011.2</v>
      </c>
      <c r="E2337" s="8" t="s">
        <v>7556</v>
      </c>
      <c r="F2337" s="9">
        <v>1</v>
      </c>
    </row>
    <row r="2338" ht="31" spans="1:6">
      <c r="A2338" s="6" t="s">
        <v>5641</v>
      </c>
      <c r="B2338" s="3" t="s">
        <v>5625</v>
      </c>
      <c r="C2338" s="4" t="s">
        <v>5607</v>
      </c>
      <c r="D2338" s="7">
        <v>3398.15</v>
      </c>
      <c r="E2338" s="8" t="s">
        <v>7556</v>
      </c>
      <c r="F2338" s="9">
        <v>1</v>
      </c>
    </row>
    <row r="2339" ht="31" spans="1:6">
      <c r="A2339" s="6" t="s">
        <v>5642</v>
      </c>
      <c r="B2339" s="3" t="s">
        <v>5627</v>
      </c>
      <c r="C2339" s="4" t="s">
        <v>5607</v>
      </c>
      <c r="D2339" s="7">
        <v>3787.1</v>
      </c>
      <c r="E2339" s="8" t="s">
        <v>7556</v>
      </c>
      <c r="F2339" s="9">
        <v>1</v>
      </c>
    </row>
    <row r="2340" ht="31" spans="1:6">
      <c r="A2340" s="6" t="s">
        <v>5643</v>
      </c>
      <c r="B2340" s="3" t="s">
        <v>5629</v>
      </c>
      <c r="C2340" s="4" t="s">
        <v>5607</v>
      </c>
      <c r="D2340" s="7">
        <v>4573.95</v>
      </c>
      <c r="E2340" s="8" t="s">
        <v>7556</v>
      </c>
      <c r="F2340" s="9">
        <v>1</v>
      </c>
    </row>
    <row r="2341" ht="15.5" spans="1:6">
      <c r="A2341" s="6" t="s">
        <v>5646</v>
      </c>
      <c r="B2341" s="3" t="s">
        <v>5606</v>
      </c>
      <c r="C2341" s="4" t="s">
        <v>49</v>
      </c>
      <c r="D2341" s="7">
        <v>315.55</v>
      </c>
      <c r="E2341" s="8" t="s">
        <v>7771</v>
      </c>
      <c r="F2341" s="9">
        <v>40.26</v>
      </c>
    </row>
    <row r="2342" ht="15.5" spans="1:6">
      <c r="A2342" s="6" t="s">
        <v>5647</v>
      </c>
      <c r="B2342" s="3" t="s">
        <v>5609</v>
      </c>
      <c r="C2342" s="4" t="s">
        <v>49</v>
      </c>
      <c r="D2342" s="7">
        <v>332.5</v>
      </c>
      <c r="E2342" s="8" t="s">
        <v>7771</v>
      </c>
      <c r="F2342" s="9">
        <v>40.26</v>
      </c>
    </row>
    <row r="2343" ht="15.5" spans="1:6">
      <c r="A2343" s="6" t="s">
        <v>5648</v>
      </c>
      <c r="B2343" s="3" t="s">
        <v>5611</v>
      </c>
      <c r="C2343" s="4" t="s">
        <v>49</v>
      </c>
      <c r="D2343" s="7">
        <v>348.75</v>
      </c>
      <c r="E2343" s="8" t="s">
        <v>7771</v>
      </c>
      <c r="F2343" s="9">
        <v>40.26</v>
      </c>
    </row>
    <row r="2344" ht="15.5" spans="1:6">
      <c r="A2344" s="6" t="s">
        <v>5649</v>
      </c>
      <c r="B2344" s="3" t="s">
        <v>5613</v>
      </c>
      <c r="C2344" s="4" t="s">
        <v>49</v>
      </c>
      <c r="D2344" s="7">
        <v>365.45</v>
      </c>
      <c r="E2344" s="8" t="s">
        <v>7771</v>
      </c>
      <c r="F2344" s="9">
        <v>40.26</v>
      </c>
    </row>
    <row r="2345" ht="15.5" spans="1:6">
      <c r="A2345" s="6" t="s">
        <v>5650</v>
      </c>
      <c r="B2345" s="3" t="s">
        <v>5615</v>
      </c>
      <c r="C2345" s="4" t="s">
        <v>49</v>
      </c>
      <c r="D2345" s="7">
        <v>411.5</v>
      </c>
      <c r="E2345" s="8" t="s">
        <v>7771</v>
      </c>
      <c r="F2345" s="9">
        <v>40.26</v>
      </c>
    </row>
    <row r="2346" ht="15.5" spans="1:6">
      <c r="A2346" s="6" t="s">
        <v>5651</v>
      </c>
      <c r="B2346" s="3" t="s">
        <v>5617</v>
      </c>
      <c r="C2346" s="4" t="s">
        <v>49</v>
      </c>
      <c r="D2346" s="7">
        <v>456.6</v>
      </c>
      <c r="E2346" s="8" t="s">
        <v>7771</v>
      </c>
      <c r="F2346" s="9">
        <v>40.26</v>
      </c>
    </row>
    <row r="2347" ht="15.5" spans="1:6">
      <c r="A2347" s="6" t="s">
        <v>5652</v>
      </c>
      <c r="B2347" s="3" t="s">
        <v>5619</v>
      </c>
      <c r="C2347" s="4" t="s">
        <v>49</v>
      </c>
      <c r="D2347" s="7">
        <v>497.8</v>
      </c>
      <c r="E2347" s="8" t="s">
        <v>7771</v>
      </c>
      <c r="F2347" s="9">
        <v>40.26</v>
      </c>
    </row>
    <row r="2348" ht="15.5" spans="1:6">
      <c r="A2348" s="6" t="s">
        <v>5653</v>
      </c>
      <c r="B2348" s="3" t="s">
        <v>5621</v>
      </c>
      <c r="C2348" s="4" t="s">
        <v>49</v>
      </c>
      <c r="D2348" s="7">
        <v>538</v>
      </c>
      <c r="E2348" s="8" t="s">
        <v>7771</v>
      </c>
      <c r="F2348" s="9">
        <v>40.26</v>
      </c>
    </row>
    <row r="2349" ht="15.5" spans="1:6">
      <c r="A2349" s="6" t="s">
        <v>5654</v>
      </c>
      <c r="B2349" s="3" t="s">
        <v>5623</v>
      </c>
      <c r="C2349" s="4" t="s">
        <v>49</v>
      </c>
      <c r="D2349" s="7">
        <v>575.8</v>
      </c>
      <c r="E2349" s="8" t="s">
        <v>7771</v>
      </c>
      <c r="F2349" s="9">
        <v>40.26</v>
      </c>
    </row>
    <row r="2350" ht="15.5" spans="1:6">
      <c r="A2350" s="6" t="s">
        <v>5655</v>
      </c>
      <c r="B2350" s="3" t="s">
        <v>5625</v>
      </c>
      <c r="C2350" s="4" t="s">
        <v>49</v>
      </c>
      <c r="D2350" s="7">
        <v>614.3</v>
      </c>
      <c r="E2350" s="8" t="s">
        <v>7771</v>
      </c>
      <c r="F2350" s="9">
        <v>40.26</v>
      </c>
    </row>
    <row r="2351" ht="15.5" spans="1:6">
      <c r="A2351" s="6" t="s">
        <v>5656</v>
      </c>
      <c r="B2351" s="3" t="s">
        <v>5627</v>
      </c>
      <c r="C2351" s="4" t="s">
        <v>49</v>
      </c>
      <c r="D2351" s="7">
        <v>649.45</v>
      </c>
      <c r="E2351" s="8" t="s">
        <v>7771</v>
      </c>
      <c r="F2351" s="9">
        <v>40.26</v>
      </c>
    </row>
    <row r="2352" ht="15.5" spans="1:6">
      <c r="A2352" s="6" t="s">
        <v>5657</v>
      </c>
      <c r="B2352" s="3" t="s">
        <v>5629</v>
      </c>
      <c r="C2352" s="4" t="s">
        <v>49</v>
      </c>
      <c r="D2352" s="7">
        <v>713.95</v>
      </c>
      <c r="E2352" s="8" t="s">
        <v>7771</v>
      </c>
      <c r="F2352" s="9">
        <v>40.26</v>
      </c>
    </row>
    <row r="2353" ht="31" spans="1:6">
      <c r="A2353" s="6" t="s">
        <v>5660</v>
      </c>
      <c r="B2353" s="3" t="s">
        <v>5606</v>
      </c>
      <c r="C2353" s="4" t="s">
        <v>5661</v>
      </c>
      <c r="D2353" s="7">
        <v>145.25</v>
      </c>
      <c r="E2353" s="8" t="s">
        <v>7835</v>
      </c>
      <c r="F2353" s="9">
        <v>1</v>
      </c>
    </row>
    <row r="2354" ht="31" spans="1:6">
      <c r="A2354" s="6" t="s">
        <v>5662</v>
      </c>
      <c r="B2354" s="3" t="s">
        <v>5609</v>
      </c>
      <c r="C2354" s="4" t="s">
        <v>5661</v>
      </c>
      <c r="D2354" s="7">
        <v>194.7</v>
      </c>
      <c r="E2354" s="8" t="s">
        <v>7835</v>
      </c>
      <c r="F2354" s="9">
        <v>1</v>
      </c>
    </row>
    <row r="2355" ht="31" spans="1:6">
      <c r="A2355" s="6" t="s">
        <v>5663</v>
      </c>
      <c r="B2355" s="3" t="s">
        <v>5611</v>
      </c>
      <c r="C2355" s="4" t="s">
        <v>5661</v>
      </c>
      <c r="D2355" s="7">
        <v>269.8</v>
      </c>
      <c r="E2355" s="8" t="s">
        <v>7835</v>
      </c>
      <c r="F2355" s="9">
        <v>1</v>
      </c>
    </row>
    <row r="2356" ht="31" spans="1:6">
      <c r="A2356" s="6" t="s">
        <v>5664</v>
      </c>
      <c r="B2356" s="3" t="s">
        <v>5613</v>
      </c>
      <c r="C2356" s="4" t="s">
        <v>5661</v>
      </c>
      <c r="D2356" s="7">
        <v>365.7</v>
      </c>
      <c r="E2356" s="8" t="s">
        <v>7835</v>
      </c>
      <c r="F2356" s="9">
        <v>1</v>
      </c>
    </row>
    <row r="2357" ht="31" spans="1:6">
      <c r="A2357" s="6" t="s">
        <v>5665</v>
      </c>
      <c r="B2357" s="3" t="s">
        <v>5615</v>
      </c>
      <c r="C2357" s="4" t="s">
        <v>5661</v>
      </c>
      <c r="D2357" s="7">
        <v>487.75</v>
      </c>
      <c r="E2357" s="8" t="s">
        <v>7835</v>
      </c>
      <c r="F2357" s="9">
        <v>1</v>
      </c>
    </row>
    <row r="2358" ht="31" spans="1:6">
      <c r="A2358" s="6" t="s">
        <v>5666</v>
      </c>
      <c r="B2358" s="3" t="s">
        <v>5617</v>
      </c>
      <c r="C2358" s="4" t="s">
        <v>5661</v>
      </c>
      <c r="D2358" s="7">
        <v>606.85</v>
      </c>
      <c r="E2358" s="8" t="s">
        <v>7835</v>
      </c>
      <c r="F2358" s="9">
        <v>1</v>
      </c>
    </row>
    <row r="2359" ht="31" spans="1:6">
      <c r="A2359" s="6" t="s">
        <v>5667</v>
      </c>
      <c r="B2359" s="3" t="s">
        <v>5619</v>
      </c>
      <c r="C2359" s="4" t="s">
        <v>5661</v>
      </c>
      <c r="D2359" s="7">
        <v>728.85</v>
      </c>
      <c r="E2359" s="8" t="s">
        <v>7835</v>
      </c>
      <c r="F2359" s="9">
        <v>1</v>
      </c>
    </row>
    <row r="2360" ht="31" spans="1:6">
      <c r="A2360" s="6" t="s">
        <v>5668</v>
      </c>
      <c r="B2360" s="3" t="s">
        <v>5621</v>
      </c>
      <c r="C2360" s="4" t="s">
        <v>5661</v>
      </c>
      <c r="D2360" s="7">
        <v>847.95</v>
      </c>
      <c r="E2360" s="8" t="s">
        <v>7835</v>
      </c>
      <c r="F2360" s="9">
        <v>1</v>
      </c>
    </row>
    <row r="2361" ht="31" spans="1:6">
      <c r="A2361" s="6" t="s">
        <v>5669</v>
      </c>
      <c r="B2361" s="3" t="s">
        <v>5623</v>
      </c>
      <c r="C2361" s="4" t="s">
        <v>5661</v>
      </c>
      <c r="D2361" s="7">
        <v>969.55</v>
      </c>
      <c r="E2361" s="8" t="s">
        <v>7835</v>
      </c>
      <c r="F2361" s="9">
        <v>1</v>
      </c>
    </row>
    <row r="2362" ht="31" spans="1:6">
      <c r="A2362" s="6" t="s">
        <v>5670</v>
      </c>
      <c r="B2362" s="3" t="s">
        <v>5625</v>
      </c>
      <c r="C2362" s="4" t="s">
        <v>5661</v>
      </c>
      <c r="D2362" s="7">
        <v>1089.1</v>
      </c>
      <c r="E2362" s="8" t="s">
        <v>7835</v>
      </c>
      <c r="F2362" s="9">
        <v>1</v>
      </c>
    </row>
    <row r="2363" ht="31" spans="1:6">
      <c r="A2363" s="6" t="s">
        <v>5671</v>
      </c>
      <c r="B2363" s="3" t="s">
        <v>5627</v>
      </c>
      <c r="C2363" s="4" t="s">
        <v>5661</v>
      </c>
      <c r="D2363" s="7">
        <v>1210.7</v>
      </c>
      <c r="E2363" s="8" t="s">
        <v>7835</v>
      </c>
      <c r="F2363" s="9">
        <v>1</v>
      </c>
    </row>
    <row r="2364" ht="31" spans="1:6">
      <c r="A2364" s="6" t="s">
        <v>5672</v>
      </c>
      <c r="B2364" s="3" t="s">
        <v>5629</v>
      </c>
      <c r="C2364" s="4" t="s">
        <v>5661</v>
      </c>
      <c r="D2364" s="7">
        <v>1445.95</v>
      </c>
      <c r="E2364" s="8" t="s">
        <v>7835</v>
      </c>
      <c r="F2364" s="9">
        <v>1</v>
      </c>
    </row>
    <row r="2365" ht="15.5" spans="1:6">
      <c r="A2365" s="6" t="s">
        <v>5675</v>
      </c>
      <c r="B2365" s="3" t="s">
        <v>5004</v>
      </c>
      <c r="C2365" s="4" t="s">
        <v>156</v>
      </c>
      <c r="D2365" s="7">
        <v>8803.7</v>
      </c>
      <c r="E2365" s="8" t="s">
        <v>7544</v>
      </c>
      <c r="F2365" s="9">
        <v>1</v>
      </c>
    </row>
    <row r="2366" ht="15.5" spans="1:6">
      <c r="A2366" s="6" t="s">
        <v>5678</v>
      </c>
      <c r="B2366" s="3" t="s">
        <v>5679</v>
      </c>
      <c r="C2366" s="4" t="s">
        <v>49</v>
      </c>
      <c r="D2366" s="7">
        <v>420.25</v>
      </c>
      <c r="E2366" s="8" t="s">
        <v>7552</v>
      </c>
      <c r="F2366" s="9">
        <v>10</v>
      </c>
    </row>
    <row r="2367" ht="15.5" spans="1:6">
      <c r="A2367" s="6" t="s">
        <v>5680</v>
      </c>
      <c r="B2367" s="3" t="s">
        <v>5681</v>
      </c>
      <c r="C2367" s="4" t="s">
        <v>49</v>
      </c>
      <c r="D2367" s="7">
        <v>599.5</v>
      </c>
      <c r="E2367" s="8" t="s">
        <v>7552</v>
      </c>
      <c r="F2367" s="9">
        <v>10</v>
      </c>
    </row>
    <row r="2368" ht="15.5" spans="1:6">
      <c r="A2368" s="6" t="s">
        <v>5682</v>
      </c>
      <c r="B2368" s="3" t="s">
        <v>5683</v>
      </c>
      <c r="C2368" s="4" t="s">
        <v>49</v>
      </c>
      <c r="D2368" s="7">
        <v>704.55</v>
      </c>
      <c r="E2368" s="8" t="s">
        <v>7552</v>
      </c>
      <c r="F2368" s="9">
        <v>10</v>
      </c>
    </row>
    <row r="2369" ht="15.5" spans="1:6">
      <c r="A2369" s="6" t="s">
        <v>5684</v>
      </c>
      <c r="B2369" s="3" t="s">
        <v>5685</v>
      </c>
      <c r="C2369" s="4" t="s">
        <v>49</v>
      </c>
      <c r="D2369" s="7">
        <v>913.65</v>
      </c>
      <c r="E2369" s="8" t="s">
        <v>7552</v>
      </c>
      <c r="F2369" s="9">
        <v>10</v>
      </c>
    </row>
    <row r="2370" ht="15.5" spans="1:6">
      <c r="A2370" s="6" t="s">
        <v>5686</v>
      </c>
      <c r="B2370" s="3" t="s">
        <v>5687</v>
      </c>
      <c r="C2370" s="4" t="s">
        <v>49</v>
      </c>
      <c r="D2370" s="7">
        <v>943.9</v>
      </c>
      <c r="E2370" s="8" t="s">
        <v>7552</v>
      </c>
      <c r="F2370" s="9">
        <v>10</v>
      </c>
    </row>
    <row r="2371" ht="15.5" spans="1:6">
      <c r="A2371" s="6" t="s">
        <v>5688</v>
      </c>
      <c r="B2371" s="3" t="s">
        <v>5689</v>
      </c>
      <c r="C2371" s="4" t="s">
        <v>49</v>
      </c>
      <c r="D2371" s="7">
        <v>1202.35</v>
      </c>
      <c r="E2371" s="8" t="s">
        <v>7552</v>
      </c>
      <c r="F2371" s="9">
        <v>10</v>
      </c>
    </row>
    <row r="2372" ht="15.5" spans="1:6">
      <c r="A2372" s="6" t="s">
        <v>5692</v>
      </c>
      <c r="B2372" s="3" t="s">
        <v>5693</v>
      </c>
      <c r="C2372" s="4" t="s">
        <v>49</v>
      </c>
      <c r="D2372" s="7">
        <v>704.05</v>
      </c>
      <c r="E2372" s="8" t="s">
        <v>7552</v>
      </c>
      <c r="F2372" s="9">
        <v>10</v>
      </c>
    </row>
    <row r="2373" ht="15.5" spans="1:6">
      <c r="A2373" s="6" t="s">
        <v>5694</v>
      </c>
      <c r="B2373" s="3" t="s">
        <v>5695</v>
      </c>
      <c r="C2373" s="4" t="s">
        <v>49</v>
      </c>
      <c r="D2373" s="7">
        <v>1025.25</v>
      </c>
      <c r="E2373" s="8" t="s">
        <v>7552</v>
      </c>
      <c r="F2373" s="9">
        <v>10</v>
      </c>
    </row>
    <row r="2374" ht="15.5" spans="1:6">
      <c r="A2374" s="6" t="s">
        <v>5696</v>
      </c>
      <c r="B2374" s="3" t="s">
        <v>5697</v>
      </c>
      <c r="C2374" s="4" t="s">
        <v>49</v>
      </c>
      <c r="D2374" s="7">
        <v>1272.15</v>
      </c>
      <c r="E2374" s="8" t="s">
        <v>7552</v>
      </c>
      <c r="F2374" s="9">
        <v>10</v>
      </c>
    </row>
    <row r="2375" ht="15.5" spans="1:6">
      <c r="A2375" s="6" t="s">
        <v>5698</v>
      </c>
      <c r="B2375" s="3" t="s">
        <v>5699</v>
      </c>
      <c r="C2375" s="4" t="s">
        <v>49</v>
      </c>
      <c r="D2375" s="7">
        <v>1765.1</v>
      </c>
      <c r="E2375" s="8" t="s">
        <v>7552</v>
      </c>
      <c r="F2375" s="9">
        <v>10</v>
      </c>
    </row>
    <row r="2376" ht="15.5" spans="1:6">
      <c r="A2376" s="6" t="s">
        <v>5700</v>
      </c>
      <c r="B2376" s="3" t="s">
        <v>5701</v>
      </c>
      <c r="C2376" s="4" t="s">
        <v>49</v>
      </c>
      <c r="D2376" s="7">
        <v>2124</v>
      </c>
      <c r="E2376" s="8" t="s">
        <v>7552</v>
      </c>
      <c r="F2376" s="9">
        <v>10</v>
      </c>
    </row>
    <row r="2377" ht="15.5" spans="1:6">
      <c r="A2377" s="6" t="s">
        <v>5702</v>
      </c>
      <c r="B2377" s="3" t="s">
        <v>5703</v>
      </c>
      <c r="C2377" s="4" t="s">
        <v>49</v>
      </c>
      <c r="D2377" s="7">
        <v>2699.1</v>
      </c>
      <c r="E2377" s="8" t="s">
        <v>7552</v>
      </c>
      <c r="F2377" s="9">
        <v>10</v>
      </c>
    </row>
    <row r="2378" ht="15.5" spans="1:6">
      <c r="A2378" s="6" t="s">
        <v>5707</v>
      </c>
      <c r="B2378" s="3" t="s">
        <v>5708</v>
      </c>
      <c r="C2378" s="4" t="s">
        <v>49</v>
      </c>
      <c r="D2378" s="7">
        <v>622.25</v>
      </c>
      <c r="E2378" s="8" t="s">
        <v>7552</v>
      </c>
      <c r="F2378" s="9">
        <v>10</v>
      </c>
    </row>
    <row r="2379" ht="15.5" spans="1:6">
      <c r="A2379" s="6" t="s">
        <v>5709</v>
      </c>
      <c r="B2379" s="3" t="s">
        <v>5710</v>
      </c>
      <c r="C2379" s="4" t="s">
        <v>49</v>
      </c>
      <c r="D2379" s="7">
        <v>801.5</v>
      </c>
      <c r="E2379" s="8" t="s">
        <v>7552</v>
      </c>
      <c r="F2379" s="9">
        <v>10</v>
      </c>
    </row>
    <row r="2380" ht="15.5" spans="1:6">
      <c r="A2380" s="6" t="s">
        <v>5713</v>
      </c>
      <c r="B2380" s="3" t="s">
        <v>5714</v>
      </c>
      <c r="C2380" s="4" t="s">
        <v>49</v>
      </c>
      <c r="D2380" s="7">
        <v>906.1</v>
      </c>
      <c r="E2380" s="8" t="s">
        <v>7552</v>
      </c>
      <c r="F2380" s="9">
        <v>10</v>
      </c>
    </row>
    <row r="2381" ht="15.5" spans="1:6">
      <c r="A2381" s="6" t="s">
        <v>5715</v>
      </c>
      <c r="B2381" s="3" t="s">
        <v>5716</v>
      </c>
      <c r="C2381" s="4" t="s">
        <v>49</v>
      </c>
      <c r="D2381" s="7">
        <v>1227.25</v>
      </c>
      <c r="E2381" s="8" t="s">
        <v>7552</v>
      </c>
      <c r="F2381" s="9">
        <v>10</v>
      </c>
    </row>
    <row r="2382" ht="15.5" spans="1:6">
      <c r="A2382" s="6" t="s">
        <v>5720</v>
      </c>
      <c r="B2382" s="3" t="s">
        <v>5721</v>
      </c>
      <c r="C2382" s="4" t="s">
        <v>156</v>
      </c>
      <c r="D2382" s="7">
        <v>93.9</v>
      </c>
      <c r="E2382" s="8" t="s">
        <v>7544</v>
      </c>
      <c r="F2382" s="9">
        <v>1</v>
      </c>
    </row>
    <row r="2383" ht="15.5" spans="1:6">
      <c r="A2383" s="6" t="s">
        <v>5722</v>
      </c>
      <c r="B2383" s="3" t="s">
        <v>5723</v>
      </c>
      <c r="C2383" s="4" t="s">
        <v>156</v>
      </c>
      <c r="D2383" s="7">
        <v>113.8</v>
      </c>
      <c r="E2383" s="8" t="s">
        <v>7544</v>
      </c>
      <c r="F2383" s="9">
        <v>1</v>
      </c>
    </row>
    <row r="2384" ht="15.5" spans="1:6">
      <c r="A2384" s="6" t="s">
        <v>5724</v>
      </c>
      <c r="B2384" s="3" t="s">
        <v>5725</v>
      </c>
      <c r="C2384" s="4" t="s">
        <v>156</v>
      </c>
      <c r="D2384" s="7">
        <v>156.5</v>
      </c>
      <c r="E2384" s="8" t="s">
        <v>7544</v>
      </c>
      <c r="F2384" s="9">
        <v>1</v>
      </c>
    </row>
    <row r="2385" ht="15.5" spans="1:6">
      <c r="A2385" s="6" t="s">
        <v>5726</v>
      </c>
      <c r="B2385" s="3" t="s">
        <v>5727</v>
      </c>
      <c r="C2385" s="4" t="s">
        <v>156</v>
      </c>
      <c r="D2385" s="7">
        <v>213.4</v>
      </c>
      <c r="E2385" s="8" t="s">
        <v>7544</v>
      </c>
      <c r="F2385" s="9">
        <v>1</v>
      </c>
    </row>
    <row r="2386" ht="15.5" spans="1:6">
      <c r="A2386" s="6" t="s">
        <v>5728</v>
      </c>
      <c r="B2386" s="3" t="s">
        <v>5729</v>
      </c>
      <c r="C2386" s="4" t="s">
        <v>156</v>
      </c>
      <c r="D2386" s="7">
        <v>256.1</v>
      </c>
      <c r="E2386" s="8" t="s">
        <v>7544</v>
      </c>
      <c r="F2386" s="9">
        <v>1</v>
      </c>
    </row>
    <row r="2387" ht="15.5" spans="1:6">
      <c r="A2387" s="6" t="s">
        <v>5730</v>
      </c>
      <c r="B2387" s="3" t="s">
        <v>5731</v>
      </c>
      <c r="C2387" s="4" t="s">
        <v>156</v>
      </c>
      <c r="D2387" s="7">
        <v>291.65</v>
      </c>
      <c r="E2387" s="8" t="s">
        <v>7544</v>
      </c>
      <c r="F2387" s="9">
        <v>1</v>
      </c>
    </row>
    <row r="2388" ht="15.5" spans="1:6">
      <c r="A2388" s="6" t="s">
        <v>5734</v>
      </c>
      <c r="B2388" s="3" t="s">
        <v>5735</v>
      </c>
      <c r="C2388" s="4" t="s">
        <v>156</v>
      </c>
      <c r="D2388" s="7">
        <v>341.45</v>
      </c>
      <c r="E2388" s="8" t="s">
        <v>7544</v>
      </c>
      <c r="F2388" s="9">
        <v>1</v>
      </c>
    </row>
    <row r="2389" ht="15.5" spans="1:6">
      <c r="A2389" s="6" t="s">
        <v>5736</v>
      </c>
      <c r="B2389" s="3" t="s">
        <v>5737</v>
      </c>
      <c r="C2389" s="4" t="s">
        <v>156</v>
      </c>
      <c r="D2389" s="7">
        <v>426.8</v>
      </c>
      <c r="E2389" s="8" t="s">
        <v>7544</v>
      </c>
      <c r="F2389" s="9">
        <v>1</v>
      </c>
    </row>
    <row r="2390" ht="15.5" spans="1:6">
      <c r="A2390" s="6" t="s">
        <v>5738</v>
      </c>
      <c r="B2390" s="3" t="s">
        <v>5739</v>
      </c>
      <c r="C2390" s="4" t="s">
        <v>156</v>
      </c>
      <c r="D2390" s="7">
        <v>497.9</v>
      </c>
      <c r="E2390" s="8" t="s">
        <v>7544</v>
      </c>
      <c r="F2390" s="9">
        <v>1</v>
      </c>
    </row>
    <row r="2391" ht="15.5" spans="1:6">
      <c r="A2391" s="6" t="s">
        <v>5740</v>
      </c>
      <c r="B2391" s="3" t="s">
        <v>5741</v>
      </c>
      <c r="C2391" s="4" t="s">
        <v>156</v>
      </c>
      <c r="D2391" s="7">
        <v>625.95</v>
      </c>
      <c r="E2391" s="8" t="s">
        <v>7544</v>
      </c>
      <c r="F2391" s="9">
        <v>1</v>
      </c>
    </row>
    <row r="2392" ht="15.5" spans="1:6">
      <c r="A2392" s="6" t="s">
        <v>5742</v>
      </c>
      <c r="B2392" s="3" t="s">
        <v>5743</v>
      </c>
      <c r="C2392" s="4" t="s">
        <v>156</v>
      </c>
      <c r="D2392" s="7">
        <v>846.45</v>
      </c>
      <c r="E2392" s="8" t="s">
        <v>7544</v>
      </c>
      <c r="F2392" s="9">
        <v>1</v>
      </c>
    </row>
    <row r="2393" ht="15.5" spans="1:6">
      <c r="A2393" s="6" t="s">
        <v>5744</v>
      </c>
      <c r="B2393" s="3" t="s">
        <v>5745</v>
      </c>
      <c r="C2393" s="4" t="s">
        <v>156</v>
      </c>
      <c r="D2393" s="7">
        <v>1017.2</v>
      </c>
      <c r="E2393" s="8" t="s">
        <v>7544</v>
      </c>
      <c r="F2393" s="9">
        <v>1</v>
      </c>
    </row>
    <row r="2394" ht="15.5" spans="1:6">
      <c r="A2394" s="6" t="s">
        <v>5749</v>
      </c>
      <c r="B2394" s="3" t="s">
        <v>5750</v>
      </c>
      <c r="C2394" s="4" t="s">
        <v>156</v>
      </c>
      <c r="D2394" s="7">
        <v>139.4</v>
      </c>
      <c r="E2394" s="8" t="s">
        <v>7544</v>
      </c>
      <c r="F2394" s="9">
        <v>1</v>
      </c>
    </row>
    <row r="2395" ht="15.5" spans="1:6">
      <c r="A2395" s="6" t="s">
        <v>5751</v>
      </c>
      <c r="B2395" s="3" t="s">
        <v>5752</v>
      </c>
      <c r="C2395" s="4" t="s">
        <v>156</v>
      </c>
      <c r="D2395" s="7">
        <v>186.35</v>
      </c>
      <c r="E2395" s="8" t="s">
        <v>7544</v>
      </c>
      <c r="F2395" s="9">
        <v>1</v>
      </c>
    </row>
    <row r="2396" ht="15.5" spans="1:6">
      <c r="A2396" s="6" t="s">
        <v>5753</v>
      </c>
      <c r="B2396" s="3" t="s">
        <v>5754</v>
      </c>
      <c r="C2396" s="4" t="s">
        <v>156</v>
      </c>
      <c r="D2396" s="7">
        <v>189.2</v>
      </c>
      <c r="E2396" s="8" t="s">
        <v>7544</v>
      </c>
      <c r="F2396" s="9">
        <v>1</v>
      </c>
    </row>
    <row r="2397" ht="15.5" spans="1:6">
      <c r="A2397" s="6" t="s">
        <v>5755</v>
      </c>
      <c r="B2397" s="3" t="s">
        <v>5756</v>
      </c>
      <c r="C2397" s="4" t="s">
        <v>156</v>
      </c>
      <c r="D2397" s="7">
        <v>313</v>
      </c>
      <c r="E2397" s="8" t="s">
        <v>7544</v>
      </c>
      <c r="F2397" s="9">
        <v>1</v>
      </c>
    </row>
    <row r="2398" ht="15.5" spans="1:6">
      <c r="A2398" s="6" t="s">
        <v>5757</v>
      </c>
      <c r="B2398" s="3" t="s">
        <v>5758</v>
      </c>
      <c r="C2398" s="4" t="s">
        <v>156</v>
      </c>
      <c r="D2398" s="7">
        <v>327.2</v>
      </c>
      <c r="E2398" s="8" t="s">
        <v>7544</v>
      </c>
      <c r="F2398" s="9">
        <v>1</v>
      </c>
    </row>
    <row r="2399" ht="15.5" spans="1:6">
      <c r="A2399" s="6" t="s">
        <v>5759</v>
      </c>
      <c r="B2399" s="3" t="s">
        <v>5760</v>
      </c>
      <c r="C2399" s="4" t="s">
        <v>156</v>
      </c>
      <c r="D2399" s="7">
        <v>327.2</v>
      </c>
      <c r="E2399" s="8" t="s">
        <v>7544</v>
      </c>
      <c r="F2399" s="9">
        <v>1</v>
      </c>
    </row>
    <row r="2400" ht="15.5" spans="1:6">
      <c r="A2400" s="6" t="s">
        <v>5761</v>
      </c>
      <c r="B2400" s="3" t="s">
        <v>5762</v>
      </c>
      <c r="C2400" s="4" t="s">
        <v>156</v>
      </c>
      <c r="D2400" s="7">
        <v>517.85</v>
      </c>
      <c r="E2400" s="8" t="s">
        <v>7544</v>
      </c>
      <c r="F2400" s="9">
        <v>1</v>
      </c>
    </row>
    <row r="2401" ht="15.5" spans="1:6">
      <c r="A2401" s="6" t="s">
        <v>5763</v>
      </c>
      <c r="B2401" s="3" t="s">
        <v>5764</v>
      </c>
      <c r="C2401" s="4" t="s">
        <v>156</v>
      </c>
      <c r="D2401" s="7">
        <v>529.25</v>
      </c>
      <c r="E2401" s="8" t="s">
        <v>7544</v>
      </c>
      <c r="F2401" s="9">
        <v>1</v>
      </c>
    </row>
    <row r="2402" ht="15.5" spans="1:6">
      <c r="A2402" s="6" t="s">
        <v>5765</v>
      </c>
      <c r="B2402" s="3" t="s">
        <v>5766</v>
      </c>
      <c r="C2402" s="4" t="s">
        <v>156</v>
      </c>
      <c r="D2402" s="7">
        <v>606.05</v>
      </c>
      <c r="E2402" s="8" t="s">
        <v>7544</v>
      </c>
      <c r="F2402" s="9">
        <v>1</v>
      </c>
    </row>
    <row r="2403" ht="15.5" spans="1:6">
      <c r="A2403" s="6" t="s">
        <v>5767</v>
      </c>
      <c r="B2403" s="3" t="s">
        <v>5768</v>
      </c>
      <c r="C2403" s="4" t="s">
        <v>156</v>
      </c>
      <c r="D2403" s="7">
        <v>643.05</v>
      </c>
      <c r="E2403" s="8" t="s">
        <v>7544</v>
      </c>
      <c r="F2403" s="9">
        <v>1</v>
      </c>
    </row>
    <row r="2404" ht="15.5" spans="1:6">
      <c r="A2404" s="6" t="s">
        <v>5769</v>
      </c>
      <c r="B2404" s="3" t="s">
        <v>5770</v>
      </c>
      <c r="C2404" s="4" t="s">
        <v>156</v>
      </c>
      <c r="D2404" s="7">
        <v>643.05</v>
      </c>
      <c r="E2404" s="8" t="s">
        <v>7544</v>
      </c>
      <c r="F2404" s="9">
        <v>1</v>
      </c>
    </row>
    <row r="2405" ht="15.5" spans="1:6">
      <c r="A2405" s="6" t="s">
        <v>5771</v>
      </c>
      <c r="B2405" s="3" t="s">
        <v>5772</v>
      </c>
      <c r="C2405" s="4" t="s">
        <v>156</v>
      </c>
      <c r="D2405" s="7">
        <v>643.05</v>
      </c>
      <c r="E2405" s="8" t="s">
        <v>7544</v>
      </c>
      <c r="F2405" s="9">
        <v>1</v>
      </c>
    </row>
    <row r="2406" ht="15.5" spans="1:6">
      <c r="A2406" s="6" t="s">
        <v>5773</v>
      </c>
      <c r="B2406" s="3" t="s">
        <v>5774</v>
      </c>
      <c r="C2406" s="4" t="s">
        <v>156</v>
      </c>
      <c r="D2406" s="7">
        <v>643.05</v>
      </c>
      <c r="E2406" s="8" t="s">
        <v>7544</v>
      </c>
      <c r="F2406" s="9">
        <v>1</v>
      </c>
    </row>
    <row r="2407" ht="15.5" spans="1:6">
      <c r="A2407" s="6" t="s">
        <v>5775</v>
      </c>
      <c r="B2407" s="3" t="s">
        <v>5776</v>
      </c>
      <c r="C2407" s="4" t="s">
        <v>156</v>
      </c>
      <c r="D2407" s="7">
        <v>664.35</v>
      </c>
      <c r="E2407" s="8" t="s">
        <v>7544</v>
      </c>
      <c r="F2407" s="9">
        <v>1</v>
      </c>
    </row>
    <row r="2408" ht="15.5" spans="1:6">
      <c r="A2408" s="6" t="s">
        <v>5777</v>
      </c>
      <c r="B2408" s="3" t="s">
        <v>5778</v>
      </c>
      <c r="C2408" s="4" t="s">
        <v>156</v>
      </c>
      <c r="D2408" s="7">
        <v>667.2</v>
      </c>
      <c r="E2408" s="8" t="s">
        <v>7544</v>
      </c>
      <c r="F2408" s="9">
        <v>1</v>
      </c>
    </row>
    <row r="2409" ht="15.5" spans="1:6">
      <c r="A2409" s="6" t="s">
        <v>5781</v>
      </c>
      <c r="B2409" s="3" t="s">
        <v>5782</v>
      </c>
      <c r="C2409" s="4" t="s">
        <v>156</v>
      </c>
      <c r="D2409" s="7">
        <v>405.45</v>
      </c>
      <c r="E2409" s="8" t="s">
        <v>7544</v>
      </c>
      <c r="F2409" s="9">
        <v>1</v>
      </c>
    </row>
    <row r="2410" ht="15.5" spans="1:6">
      <c r="A2410" s="6" t="s">
        <v>5783</v>
      </c>
      <c r="B2410" s="3" t="s">
        <v>5784</v>
      </c>
      <c r="C2410" s="4" t="s">
        <v>156</v>
      </c>
      <c r="D2410" s="7">
        <v>490.8</v>
      </c>
      <c r="E2410" s="8" t="s">
        <v>7544</v>
      </c>
      <c r="F2410" s="9">
        <v>1</v>
      </c>
    </row>
    <row r="2411" ht="15.5" spans="1:6">
      <c r="A2411" s="6" t="s">
        <v>5785</v>
      </c>
      <c r="B2411" s="3" t="s">
        <v>5786</v>
      </c>
      <c r="C2411" s="4" t="s">
        <v>156</v>
      </c>
      <c r="D2411" s="7">
        <v>597.5</v>
      </c>
      <c r="E2411" s="8" t="s">
        <v>7544</v>
      </c>
      <c r="F2411" s="9">
        <v>1</v>
      </c>
    </row>
    <row r="2412" ht="15.5" spans="1:6">
      <c r="A2412" s="6" t="s">
        <v>5787</v>
      </c>
      <c r="B2412" s="3" t="s">
        <v>5788</v>
      </c>
      <c r="C2412" s="4" t="s">
        <v>156</v>
      </c>
      <c r="D2412" s="7">
        <v>604.6</v>
      </c>
      <c r="E2412" s="8" t="s">
        <v>7544</v>
      </c>
      <c r="F2412" s="9">
        <v>1</v>
      </c>
    </row>
    <row r="2413" ht="15.5" spans="1:6">
      <c r="A2413" s="6" t="s">
        <v>5789</v>
      </c>
      <c r="B2413" s="3" t="s">
        <v>5790</v>
      </c>
      <c r="C2413" s="4" t="s">
        <v>156</v>
      </c>
      <c r="D2413" s="7">
        <v>746.85</v>
      </c>
      <c r="E2413" s="8" t="s">
        <v>7544</v>
      </c>
      <c r="F2413" s="9">
        <v>1</v>
      </c>
    </row>
    <row r="2414" ht="15.5" spans="1:6">
      <c r="A2414" s="6" t="s">
        <v>5791</v>
      </c>
      <c r="B2414" s="3" t="s">
        <v>5792</v>
      </c>
      <c r="C2414" s="4" t="s">
        <v>156</v>
      </c>
      <c r="D2414" s="7">
        <v>960.3</v>
      </c>
      <c r="E2414" s="8" t="s">
        <v>7544</v>
      </c>
      <c r="F2414" s="9">
        <v>1</v>
      </c>
    </row>
    <row r="2415" ht="15.5" spans="1:6">
      <c r="A2415" s="6" t="s">
        <v>5793</v>
      </c>
      <c r="B2415" s="3" t="s">
        <v>5794</v>
      </c>
      <c r="C2415" s="4" t="s">
        <v>156</v>
      </c>
      <c r="D2415" s="7">
        <v>1095.45</v>
      </c>
      <c r="E2415" s="8" t="s">
        <v>7544</v>
      </c>
      <c r="F2415" s="9">
        <v>1</v>
      </c>
    </row>
    <row r="2416" ht="15.5" spans="1:6">
      <c r="A2416" s="6" t="s">
        <v>5795</v>
      </c>
      <c r="B2416" s="3" t="s">
        <v>5796</v>
      </c>
      <c r="C2416" s="4" t="s">
        <v>156</v>
      </c>
      <c r="D2416" s="7">
        <v>1145.25</v>
      </c>
      <c r="E2416" s="8" t="s">
        <v>7544</v>
      </c>
      <c r="F2416" s="9">
        <v>1</v>
      </c>
    </row>
    <row r="2417" ht="15.5" spans="1:6">
      <c r="A2417" s="6" t="s">
        <v>5797</v>
      </c>
      <c r="B2417" s="3" t="s">
        <v>5798</v>
      </c>
      <c r="C2417" s="4" t="s">
        <v>156</v>
      </c>
      <c r="D2417" s="7">
        <v>1330.15</v>
      </c>
      <c r="E2417" s="8" t="s">
        <v>7544</v>
      </c>
      <c r="F2417" s="9">
        <v>1</v>
      </c>
    </row>
    <row r="2418" ht="15.5" spans="1:6">
      <c r="A2418" s="6" t="s">
        <v>5799</v>
      </c>
      <c r="B2418" s="3" t="s">
        <v>5800</v>
      </c>
      <c r="C2418" s="4" t="s">
        <v>156</v>
      </c>
      <c r="D2418" s="7">
        <v>1572</v>
      </c>
      <c r="E2418" s="8" t="s">
        <v>7544</v>
      </c>
      <c r="F2418" s="9">
        <v>1</v>
      </c>
    </row>
    <row r="2419" ht="15.5" spans="1:6">
      <c r="A2419" s="6" t="s">
        <v>5801</v>
      </c>
      <c r="B2419" s="3" t="s">
        <v>5802</v>
      </c>
      <c r="C2419" s="4" t="s">
        <v>156</v>
      </c>
      <c r="D2419" s="7">
        <v>1636.05</v>
      </c>
      <c r="E2419" s="8" t="s">
        <v>7544</v>
      </c>
      <c r="F2419" s="9">
        <v>1</v>
      </c>
    </row>
    <row r="2420" ht="15.5" spans="1:6">
      <c r="A2420" s="6" t="s">
        <v>5805</v>
      </c>
      <c r="B2420" s="3" t="s">
        <v>5721</v>
      </c>
      <c r="C2420" s="4" t="s">
        <v>156</v>
      </c>
      <c r="D2420" s="7">
        <v>92.45</v>
      </c>
      <c r="E2420" s="8" t="s">
        <v>7544</v>
      </c>
      <c r="F2420" s="9">
        <v>1</v>
      </c>
    </row>
    <row r="2421" ht="15.5" spans="1:6">
      <c r="A2421" s="6" t="s">
        <v>5806</v>
      </c>
      <c r="B2421" s="3" t="s">
        <v>5723</v>
      </c>
      <c r="C2421" s="4" t="s">
        <v>156</v>
      </c>
      <c r="D2421" s="7">
        <v>113.8</v>
      </c>
      <c r="E2421" s="8" t="s">
        <v>7544</v>
      </c>
      <c r="F2421" s="9">
        <v>1</v>
      </c>
    </row>
    <row r="2422" ht="15.5" spans="1:6">
      <c r="A2422" s="6" t="s">
        <v>5807</v>
      </c>
      <c r="B2422" s="3" t="s">
        <v>5725</v>
      </c>
      <c r="C2422" s="4" t="s">
        <v>156</v>
      </c>
      <c r="D2422" s="7">
        <v>156.5</v>
      </c>
      <c r="E2422" s="8" t="s">
        <v>7544</v>
      </c>
      <c r="F2422" s="9">
        <v>1</v>
      </c>
    </row>
    <row r="2423" ht="15.5" spans="1:6">
      <c r="A2423" s="6" t="s">
        <v>5808</v>
      </c>
      <c r="B2423" s="3" t="s">
        <v>5727</v>
      </c>
      <c r="C2423" s="4" t="s">
        <v>156</v>
      </c>
      <c r="D2423" s="7">
        <v>220.5</v>
      </c>
      <c r="E2423" s="8" t="s">
        <v>7544</v>
      </c>
      <c r="F2423" s="9">
        <v>1</v>
      </c>
    </row>
    <row r="2424" ht="15.5" spans="1:6">
      <c r="A2424" s="6" t="s">
        <v>5809</v>
      </c>
      <c r="B2424" s="3" t="s">
        <v>5729</v>
      </c>
      <c r="C2424" s="4" t="s">
        <v>156</v>
      </c>
      <c r="D2424" s="7">
        <v>256.1</v>
      </c>
      <c r="E2424" s="8" t="s">
        <v>7544</v>
      </c>
      <c r="F2424" s="9">
        <v>1</v>
      </c>
    </row>
    <row r="2425" ht="15.5" spans="1:6">
      <c r="A2425" s="6" t="s">
        <v>5810</v>
      </c>
      <c r="B2425" s="3" t="s">
        <v>5731</v>
      </c>
      <c r="C2425" s="4" t="s">
        <v>156</v>
      </c>
      <c r="D2425" s="7">
        <v>277.4</v>
      </c>
      <c r="E2425" s="8" t="s">
        <v>7544</v>
      </c>
      <c r="F2425" s="9">
        <v>1</v>
      </c>
    </row>
    <row r="2426" ht="15.5" spans="1:6">
      <c r="A2426" s="6" t="s">
        <v>5813</v>
      </c>
      <c r="B2426" s="3" t="s">
        <v>5735</v>
      </c>
      <c r="C2426" s="4" t="s">
        <v>156</v>
      </c>
      <c r="D2426" s="7">
        <v>597.5</v>
      </c>
      <c r="E2426" s="8" t="s">
        <v>7544</v>
      </c>
      <c r="F2426" s="9">
        <v>1</v>
      </c>
    </row>
    <row r="2427" ht="15.5" spans="1:6">
      <c r="A2427" s="6" t="s">
        <v>5814</v>
      </c>
      <c r="B2427" s="3" t="s">
        <v>5737</v>
      </c>
      <c r="C2427" s="4" t="s">
        <v>156</v>
      </c>
      <c r="D2427" s="7">
        <v>711.3</v>
      </c>
      <c r="E2427" s="8" t="s">
        <v>7544</v>
      </c>
      <c r="F2427" s="9">
        <v>1</v>
      </c>
    </row>
    <row r="2428" ht="15.5" spans="1:6">
      <c r="A2428" s="6" t="s">
        <v>5815</v>
      </c>
      <c r="B2428" s="3" t="s">
        <v>5739</v>
      </c>
      <c r="C2428" s="4" t="s">
        <v>156</v>
      </c>
      <c r="D2428" s="7">
        <v>825.15</v>
      </c>
      <c r="E2428" s="8" t="s">
        <v>7544</v>
      </c>
      <c r="F2428" s="9">
        <v>1</v>
      </c>
    </row>
    <row r="2429" ht="15.5" spans="1:6">
      <c r="A2429" s="6" t="s">
        <v>5816</v>
      </c>
      <c r="B2429" s="3" t="s">
        <v>5741</v>
      </c>
      <c r="C2429" s="4" t="s">
        <v>156</v>
      </c>
      <c r="D2429" s="7">
        <v>917.6</v>
      </c>
      <c r="E2429" s="8" t="s">
        <v>7544</v>
      </c>
      <c r="F2429" s="9">
        <v>1</v>
      </c>
    </row>
    <row r="2430" ht="15.5" spans="1:6">
      <c r="A2430" s="6" t="s">
        <v>5817</v>
      </c>
      <c r="B2430" s="3" t="s">
        <v>5743</v>
      </c>
      <c r="C2430" s="4" t="s">
        <v>156</v>
      </c>
      <c r="D2430" s="7">
        <v>1066.95</v>
      </c>
      <c r="E2430" s="8" t="s">
        <v>7544</v>
      </c>
      <c r="F2430" s="9">
        <v>1</v>
      </c>
    </row>
    <row r="2431" ht="15.5" spans="1:6">
      <c r="A2431" s="6" t="s">
        <v>5818</v>
      </c>
      <c r="B2431" s="3" t="s">
        <v>5745</v>
      </c>
      <c r="C2431" s="4" t="s">
        <v>156</v>
      </c>
      <c r="D2431" s="7">
        <v>1515.1</v>
      </c>
      <c r="E2431" s="8" t="s">
        <v>7544</v>
      </c>
      <c r="F2431" s="9">
        <v>1</v>
      </c>
    </row>
    <row r="2432" ht="15.5" spans="1:6">
      <c r="A2432" s="6" t="s">
        <v>5821</v>
      </c>
      <c r="B2432" s="3" t="s">
        <v>5822</v>
      </c>
      <c r="C2432" s="4" t="s">
        <v>156</v>
      </c>
      <c r="D2432" s="7">
        <v>99.6</v>
      </c>
      <c r="E2432" s="8" t="s">
        <v>7544</v>
      </c>
      <c r="F2432" s="9">
        <v>1</v>
      </c>
    </row>
    <row r="2433" ht="15.5" spans="1:6">
      <c r="A2433" s="6" t="s">
        <v>5823</v>
      </c>
      <c r="B2433" s="3" t="s">
        <v>5723</v>
      </c>
      <c r="C2433" s="4" t="s">
        <v>156</v>
      </c>
      <c r="D2433" s="7">
        <v>113.8</v>
      </c>
      <c r="E2433" s="8" t="s">
        <v>7544</v>
      </c>
      <c r="F2433" s="9">
        <v>1</v>
      </c>
    </row>
    <row r="2434" ht="15.5" spans="1:6">
      <c r="A2434" s="6" t="s">
        <v>5824</v>
      </c>
      <c r="B2434" s="3" t="s">
        <v>5725</v>
      </c>
      <c r="C2434" s="4" t="s">
        <v>156</v>
      </c>
      <c r="D2434" s="7">
        <v>163.6</v>
      </c>
      <c r="E2434" s="8" t="s">
        <v>7544</v>
      </c>
      <c r="F2434" s="9">
        <v>1</v>
      </c>
    </row>
    <row r="2435" ht="15.5" spans="1:6">
      <c r="A2435" s="6" t="s">
        <v>5825</v>
      </c>
      <c r="B2435" s="3" t="s">
        <v>5727</v>
      </c>
      <c r="C2435" s="4" t="s">
        <v>156</v>
      </c>
      <c r="D2435" s="7">
        <v>204.85</v>
      </c>
      <c r="E2435" s="8" t="s">
        <v>7544</v>
      </c>
      <c r="F2435" s="9">
        <v>1</v>
      </c>
    </row>
    <row r="2436" ht="15.5" spans="1:6">
      <c r="A2436" s="6" t="s">
        <v>5826</v>
      </c>
      <c r="B2436" s="3" t="s">
        <v>5729</v>
      </c>
      <c r="C2436" s="4" t="s">
        <v>156</v>
      </c>
      <c r="D2436" s="7">
        <v>221.95</v>
      </c>
      <c r="E2436" s="8" t="s">
        <v>7544</v>
      </c>
      <c r="F2436" s="9">
        <v>1</v>
      </c>
    </row>
    <row r="2437" ht="15.5" spans="1:6">
      <c r="A2437" s="6" t="s">
        <v>5827</v>
      </c>
      <c r="B2437" s="3" t="s">
        <v>5731</v>
      </c>
      <c r="C2437" s="4" t="s">
        <v>156</v>
      </c>
      <c r="D2437" s="7">
        <v>273.15</v>
      </c>
      <c r="E2437" s="8" t="s">
        <v>7544</v>
      </c>
      <c r="F2437" s="9">
        <v>1</v>
      </c>
    </row>
    <row r="2438" ht="15.5" spans="1:6">
      <c r="A2438" s="6" t="s">
        <v>5829</v>
      </c>
      <c r="B2438" s="3" t="s">
        <v>5735</v>
      </c>
      <c r="C2438" s="4" t="s">
        <v>156</v>
      </c>
      <c r="D2438" s="7">
        <v>483.7</v>
      </c>
      <c r="E2438" s="8" t="s">
        <v>7544</v>
      </c>
      <c r="F2438" s="9">
        <v>1</v>
      </c>
    </row>
    <row r="2439" ht="15.5" spans="1:6">
      <c r="A2439" s="6" t="s">
        <v>5830</v>
      </c>
      <c r="B2439" s="3" t="s">
        <v>5737</v>
      </c>
      <c r="C2439" s="4" t="s">
        <v>156</v>
      </c>
      <c r="D2439" s="7">
        <v>682.85</v>
      </c>
      <c r="E2439" s="8" t="s">
        <v>7544</v>
      </c>
      <c r="F2439" s="9">
        <v>1</v>
      </c>
    </row>
    <row r="2440" ht="15.5" spans="1:6">
      <c r="A2440" s="6" t="s">
        <v>5831</v>
      </c>
      <c r="B2440" s="3" t="s">
        <v>5739</v>
      </c>
      <c r="C2440" s="4" t="s">
        <v>156</v>
      </c>
      <c r="D2440" s="7">
        <v>910.5</v>
      </c>
      <c r="E2440" s="8" t="s">
        <v>7544</v>
      </c>
      <c r="F2440" s="9">
        <v>1</v>
      </c>
    </row>
    <row r="2441" ht="15.5" spans="1:6">
      <c r="A2441" s="6" t="s">
        <v>5832</v>
      </c>
      <c r="B2441" s="3" t="s">
        <v>5741</v>
      </c>
      <c r="C2441" s="4" t="s">
        <v>156</v>
      </c>
      <c r="D2441" s="7">
        <v>1493.75</v>
      </c>
      <c r="E2441" s="8" t="s">
        <v>7544</v>
      </c>
      <c r="F2441" s="9">
        <v>1</v>
      </c>
    </row>
    <row r="2442" ht="15.5" spans="1:6">
      <c r="A2442" s="6" t="s">
        <v>5833</v>
      </c>
      <c r="B2442" s="3" t="s">
        <v>5743</v>
      </c>
      <c r="C2442" s="4" t="s">
        <v>156</v>
      </c>
      <c r="D2442" s="7">
        <v>2418.5</v>
      </c>
      <c r="E2442" s="8" t="s">
        <v>7544</v>
      </c>
      <c r="F2442" s="9">
        <v>1</v>
      </c>
    </row>
    <row r="2443" ht="15.5" spans="1:6">
      <c r="A2443" s="6" t="s">
        <v>5834</v>
      </c>
      <c r="B2443" s="3" t="s">
        <v>5745</v>
      </c>
      <c r="C2443" s="4" t="s">
        <v>156</v>
      </c>
      <c r="D2443" s="7">
        <v>3200.95</v>
      </c>
      <c r="E2443" s="8" t="s">
        <v>7544</v>
      </c>
      <c r="F2443" s="9">
        <v>1</v>
      </c>
    </row>
    <row r="2444" ht="15.5" spans="1:6">
      <c r="A2444" s="6" t="s">
        <v>5837</v>
      </c>
      <c r="B2444" s="3" t="s">
        <v>5838</v>
      </c>
      <c r="C2444" s="4" t="s">
        <v>156</v>
      </c>
      <c r="D2444" s="7">
        <v>223.35</v>
      </c>
      <c r="E2444" s="8" t="s">
        <v>7544</v>
      </c>
      <c r="F2444" s="9">
        <v>1</v>
      </c>
    </row>
    <row r="2445" ht="15.5" spans="1:6">
      <c r="A2445" s="6" t="s">
        <v>5839</v>
      </c>
      <c r="B2445" s="3" t="s">
        <v>5752</v>
      </c>
      <c r="C2445" s="4" t="s">
        <v>156</v>
      </c>
      <c r="D2445" s="7">
        <v>304.45</v>
      </c>
      <c r="E2445" s="8" t="s">
        <v>7544</v>
      </c>
      <c r="F2445" s="9">
        <v>1</v>
      </c>
    </row>
    <row r="2446" ht="15.5" spans="1:6">
      <c r="A2446" s="6" t="s">
        <v>5840</v>
      </c>
      <c r="B2446" s="3" t="s">
        <v>5754</v>
      </c>
      <c r="C2446" s="4" t="s">
        <v>156</v>
      </c>
      <c r="D2446" s="7">
        <v>318.65</v>
      </c>
      <c r="E2446" s="8" t="s">
        <v>7544</v>
      </c>
      <c r="F2446" s="9">
        <v>1</v>
      </c>
    </row>
    <row r="2447" ht="15.5" spans="1:6">
      <c r="A2447" s="6" t="s">
        <v>5841</v>
      </c>
      <c r="B2447" s="3" t="s">
        <v>5758</v>
      </c>
      <c r="C2447" s="4" t="s">
        <v>156</v>
      </c>
      <c r="D2447" s="7">
        <v>426.8</v>
      </c>
      <c r="E2447" s="8" t="s">
        <v>7544</v>
      </c>
      <c r="F2447" s="9">
        <v>1</v>
      </c>
    </row>
    <row r="2448" ht="15.5" spans="1:6">
      <c r="A2448" s="6" t="s">
        <v>5842</v>
      </c>
      <c r="B2448" s="3" t="s">
        <v>5760</v>
      </c>
      <c r="C2448" s="4" t="s">
        <v>156</v>
      </c>
      <c r="D2448" s="7">
        <v>512.15</v>
      </c>
      <c r="E2448" s="8" t="s">
        <v>7544</v>
      </c>
      <c r="F2448" s="9">
        <v>1</v>
      </c>
    </row>
    <row r="2449" ht="15.5" spans="1:6">
      <c r="A2449" s="6" t="s">
        <v>5843</v>
      </c>
      <c r="B2449" s="3" t="s">
        <v>5768</v>
      </c>
      <c r="C2449" s="4" t="s">
        <v>156</v>
      </c>
      <c r="D2449" s="7">
        <v>554.8</v>
      </c>
      <c r="E2449" s="8" t="s">
        <v>7544</v>
      </c>
      <c r="F2449" s="9">
        <v>1</v>
      </c>
    </row>
    <row r="2450" ht="15.5" spans="1:6">
      <c r="A2450" s="6" t="s">
        <v>5846</v>
      </c>
      <c r="B2450" s="3" t="s">
        <v>5721</v>
      </c>
      <c r="C2450" s="4" t="s">
        <v>156</v>
      </c>
      <c r="D2450" s="7">
        <v>197.75</v>
      </c>
      <c r="E2450" s="8" t="s">
        <v>7544</v>
      </c>
      <c r="F2450" s="9">
        <v>1</v>
      </c>
    </row>
    <row r="2451" ht="15.5" spans="1:6">
      <c r="A2451" s="6" t="s">
        <v>5847</v>
      </c>
      <c r="B2451" s="3" t="s">
        <v>5723</v>
      </c>
      <c r="C2451" s="4" t="s">
        <v>156</v>
      </c>
      <c r="D2451" s="7">
        <v>300.2</v>
      </c>
      <c r="E2451" s="8" t="s">
        <v>7544</v>
      </c>
      <c r="F2451" s="9">
        <v>1</v>
      </c>
    </row>
    <row r="2452" ht="15.5" spans="1:6">
      <c r="A2452" s="6" t="s">
        <v>5848</v>
      </c>
      <c r="B2452" s="3" t="s">
        <v>5725</v>
      </c>
      <c r="C2452" s="4" t="s">
        <v>156</v>
      </c>
      <c r="D2452" s="7">
        <v>466.6</v>
      </c>
      <c r="E2452" s="8" t="s">
        <v>7544</v>
      </c>
      <c r="F2452" s="9">
        <v>1</v>
      </c>
    </row>
    <row r="2453" ht="15.5" spans="1:6">
      <c r="A2453" s="6" t="s">
        <v>5849</v>
      </c>
      <c r="B2453" s="3" t="s">
        <v>5727</v>
      </c>
      <c r="C2453" s="4" t="s">
        <v>156</v>
      </c>
      <c r="D2453" s="7">
        <v>688.55</v>
      </c>
      <c r="E2453" s="8" t="s">
        <v>7544</v>
      </c>
      <c r="F2453" s="9">
        <v>1</v>
      </c>
    </row>
    <row r="2454" ht="15.5" spans="1:6">
      <c r="A2454" s="6" t="s">
        <v>5850</v>
      </c>
      <c r="B2454" s="3" t="s">
        <v>5729</v>
      </c>
      <c r="C2454" s="4" t="s">
        <v>156</v>
      </c>
      <c r="D2454" s="7">
        <v>1088.3</v>
      </c>
      <c r="E2454" s="8" t="s">
        <v>7544</v>
      </c>
      <c r="F2454" s="9">
        <v>1</v>
      </c>
    </row>
    <row r="2455" ht="15.5" spans="1:6">
      <c r="A2455" s="6" t="s">
        <v>5851</v>
      </c>
      <c r="B2455" s="3" t="s">
        <v>5731</v>
      </c>
      <c r="C2455" s="4" t="s">
        <v>156</v>
      </c>
      <c r="D2455" s="7">
        <v>1429.75</v>
      </c>
      <c r="E2455" s="8" t="s">
        <v>7544</v>
      </c>
      <c r="F2455" s="9">
        <v>1</v>
      </c>
    </row>
    <row r="2456" ht="15.5" spans="1:6">
      <c r="A2456" s="6" t="s">
        <v>5853</v>
      </c>
      <c r="B2456" s="3" t="s">
        <v>5735</v>
      </c>
      <c r="C2456" s="4" t="s">
        <v>156</v>
      </c>
      <c r="D2456" s="7">
        <v>796.7</v>
      </c>
      <c r="E2456" s="8" t="s">
        <v>7544</v>
      </c>
      <c r="F2456" s="9">
        <v>1</v>
      </c>
    </row>
    <row r="2457" ht="15.5" spans="1:6">
      <c r="A2457" s="6" t="s">
        <v>5854</v>
      </c>
      <c r="B2457" s="3" t="s">
        <v>5737</v>
      </c>
      <c r="C2457" s="4" t="s">
        <v>156</v>
      </c>
      <c r="D2457" s="7">
        <v>931.85</v>
      </c>
      <c r="E2457" s="8" t="s">
        <v>7544</v>
      </c>
      <c r="F2457" s="9">
        <v>1</v>
      </c>
    </row>
    <row r="2458" ht="15.5" spans="1:6">
      <c r="A2458" s="6" t="s">
        <v>5855</v>
      </c>
      <c r="B2458" s="3" t="s">
        <v>5739</v>
      </c>
      <c r="C2458" s="4" t="s">
        <v>156</v>
      </c>
      <c r="D2458" s="7">
        <v>1145.25</v>
      </c>
      <c r="E2458" s="8" t="s">
        <v>7544</v>
      </c>
      <c r="F2458" s="9">
        <v>1</v>
      </c>
    </row>
    <row r="2459" ht="15.5" spans="1:6">
      <c r="A2459" s="6" t="s">
        <v>5856</v>
      </c>
      <c r="B2459" s="3" t="s">
        <v>5741</v>
      </c>
      <c r="C2459" s="4" t="s">
        <v>156</v>
      </c>
      <c r="D2459" s="7">
        <v>1422.65</v>
      </c>
      <c r="E2459" s="8" t="s">
        <v>7544</v>
      </c>
      <c r="F2459" s="9">
        <v>1</v>
      </c>
    </row>
    <row r="2460" ht="15.5" spans="1:6">
      <c r="A2460" s="6" t="s">
        <v>5857</v>
      </c>
      <c r="B2460" s="3" t="s">
        <v>5743</v>
      </c>
      <c r="C2460" s="4" t="s">
        <v>156</v>
      </c>
      <c r="D2460" s="7">
        <v>1991.7</v>
      </c>
      <c r="E2460" s="8" t="s">
        <v>7544</v>
      </c>
      <c r="F2460" s="9">
        <v>1</v>
      </c>
    </row>
    <row r="2461" ht="15.5" spans="1:6">
      <c r="A2461" s="6" t="s">
        <v>5858</v>
      </c>
      <c r="B2461" s="3" t="s">
        <v>5745</v>
      </c>
      <c r="C2461" s="4" t="s">
        <v>156</v>
      </c>
      <c r="D2461" s="7">
        <v>2390.05</v>
      </c>
      <c r="E2461" s="8" t="s">
        <v>7544</v>
      </c>
      <c r="F2461" s="9">
        <v>1</v>
      </c>
    </row>
    <row r="2462" ht="15.5" spans="1:6">
      <c r="A2462" s="6" t="s">
        <v>5861</v>
      </c>
      <c r="B2462" s="3" t="s">
        <v>5750</v>
      </c>
      <c r="C2462" s="4" t="s">
        <v>156</v>
      </c>
      <c r="D2462" s="7">
        <v>268.85</v>
      </c>
      <c r="E2462" s="8" t="s">
        <v>7544</v>
      </c>
      <c r="F2462" s="9">
        <v>1</v>
      </c>
    </row>
    <row r="2463" ht="15.5" spans="1:6">
      <c r="A2463" s="6" t="s">
        <v>5862</v>
      </c>
      <c r="B2463" s="3" t="s">
        <v>5752</v>
      </c>
      <c r="C2463" s="4" t="s">
        <v>156</v>
      </c>
      <c r="D2463" s="7">
        <v>357.1</v>
      </c>
      <c r="E2463" s="8" t="s">
        <v>7544</v>
      </c>
      <c r="F2463" s="9">
        <v>1</v>
      </c>
    </row>
    <row r="2464" ht="15.5" spans="1:6">
      <c r="A2464" s="6" t="s">
        <v>5863</v>
      </c>
      <c r="B2464" s="3" t="s">
        <v>5754</v>
      </c>
      <c r="C2464" s="4" t="s">
        <v>156</v>
      </c>
      <c r="D2464" s="7">
        <v>362.75</v>
      </c>
      <c r="E2464" s="8" t="s">
        <v>7544</v>
      </c>
      <c r="F2464" s="9">
        <v>1</v>
      </c>
    </row>
    <row r="2465" ht="15.5" spans="1:6">
      <c r="A2465" s="6" t="s">
        <v>5864</v>
      </c>
      <c r="B2465" s="3" t="s">
        <v>5756</v>
      </c>
      <c r="C2465" s="4" t="s">
        <v>156</v>
      </c>
      <c r="D2465" s="7">
        <v>633.1</v>
      </c>
      <c r="E2465" s="8" t="s">
        <v>7544</v>
      </c>
      <c r="F2465" s="9">
        <v>1</v>
      </c>
    </row>
    <row r="2466" ht="15.5" spans="1:6">
      <c r="A2466" s="6" t="s">
        <v>5865</v>
      </c>
      <c r="B2466" s="3" t="s">
        <v>5758</v>
      </c>
      <c r="C2466" s="4" t="s">
        <v>156</v>
      </c>
      <c r="D2466" s="7">
        <v>654.4</v>
      </c>
      <c r="E2466" s="8" t="s">
        <v>7544</v>
      </c>
      <c r="F2466" s="9">
        <v>1</v>
      </c>
    </row>
    <row r="2467" ht="15.5" spans="1:6">
      <c r="A2467" s="6" t="s">
        <v>5866</v>
      </c>
      <c r="B2467" s="3" t="s">
        <v>5760</v>
      </c>
      <c r="C2467" s="4" t="s">
        <v>156</v>
      </c>
      <c r="D2467" s="7">
        <v>675.75</v>
      </c>
      <c r="E2467" s="8" t="s">
        <v>7544</v>
      </c>
      <c r="F2467" s="9">
        <v>1</v>
      </c>
    </row>
    <row r="2468" ht="15.5" spans="1:6">
      <c r="A2468" s="6" t="s">
        <v>5867</v>
      </c>
      <c r="B2468" s="3" t="s">
        <v>5762</v>
      </c>
      <c r="C2468" s="4" t="s">
        <v>156</v>
      </c>
      <c r="D2468" s="7">
        <v>1045.65</v>
      </c>
      <c r="E2468" s="8" t="s">
        <v>7544</v>
      </c>
      <c r="F2468" s="9">
        <v>1</v>
      </c>
    </row>
    <row r="2469" ht="15.5" spans="1:6">
      <c r="A2469" s="6" t="s">
        <v>5868</v>
      </c>
      <c r="B2469" s="3" t="s">
        <v>5764</v>
      </c>
      <c r="C2469" s="4" t="s">
        <v>156</v>
      </c>
      <c r="D2469" s="7">
        <v>1066.95</v>
      </c>
      <c r="E2469" s="8" t="s">
        <v>7544</v>
      </c>
      <c r="F2469" s="9">
        <v>1</v>
      </c>
    </row>
    <row r="2470" ht="15.5" spans="1:6">
      <c r="A2470" s="6" t="s">
        <v>5869</v>
      </c>
      <c r="B2470" s="3" t="s">
        <v>5766</v>
      </c>
      <c r="C2470" s="4" t="s">
        <v>156</v>
      </c>
      <c r="D2470" s="7">
        <v>1095.45</v>
      </c>
      <c r="E2470" s="8" t="s">
        <v>7544</v>
      </c>
      <c r="F2470" s="9">
        <v>1</v>
      </c>
    </row>
    <row r="2471" ht="15.5" spans="1:6">
      <c r="A2471" s="6" t="s">
        <v>5870</v>
      </c>
      <c r="B2471" s="3" t="s">
        <v>5768</v>
      </c>
      <c r="C2471" s="4" t="s">
        <v>156</v>
      </c>
      <c r="D2471" s="7">
        <v>1123.9</v>
      </c>
      <c r="E2471" s="8" t="s">
        <v>7544</v>
      </c>
      <c r="F2471" s="9">
        <v>1</v>
      </c>
    </row>
    <row r="2472" ht="15.5" spans="1:6">
      <c r="A2472" s="6" t="s">
        <v>5871</v>
      </c>
      <c r="B2472" s="3" t="s">
        <v>5770</v>
      </c>
      <c r="C2472" s="4" t="s">
        <v>156</v>
      </c>
      <c r="D2472" s="7">
        <v>1280.35</v>
      </c>
      <c r="E2472" s="8" t="s">
        <v>7544</v>
      </c>
      <c r="F2472" s="9">
        <v>1</v>
      </c>
    </row>
    <row r="2473" ht="15.5" spans="1:6">
      <c r="A2473" s="6" t="s">
        <v>5872</v>
      </c>
      <c r="B2473" s="3" t="s">
        <v>5772</v>
      </c>
      <c r="C2473" s="4" t="s">
        <v>156</v>
      </c>
      <c r="D2473" s="7">
        <v>1296</v>
      </c>
      <c r="E2473" s="8" t="s">
        <v>7544</v>
      </c>
      <c r="F2473" s="9">
        <v>1</v>
      </c>
    </row>
    <row r="2474" ht="15.5" spans="1:6">
      <c r="A2474" s="6" t="s">
        <v>5873</v>
      </c>
      <c r="B2474" s="3" t="s">
        <v>5774</v>
      </c>
      <c r="C2474" s="4" t="s">
        <v>156</v>
      </c>
      <c r="D2474" s="7">
        <v>1320.2</v>
      </c>
      <c r="E2474" s="8" t="s">
        <v>7544</v>
      </c>
      <c r="F2474" s="9">
        <v>1</v>
      </c>
    </row>
    <row r="2475" ht="15.5" spans="1:6">
      <c r="A2475" s="6" t="s">
        <v>5874</v>
      </c>
      <c r="B2475" s="3" t="s">
        <v>5776</v>
      </c>
      <c r="C2475" s="4" t="s">
        <v>156</v>
      </c>
      <c r="D2475" s="7">
        <v>1372.85</v>
      </c>
      <c r="E2475" s="8" t="s">
        <v>7544</v>
      </c>
      <c r="F2475" s="9">
        <v>1</v>
      </c>
    </row>
    <row r="2476" ht="15.5" spans="1:6">
      <c r="A2476" s="6" t="s">
        <v>5875</v>
      </c>
      <c r="B2476" s="3" t="s">
        <v>5778</v>
      </c>
      <c r="C2476" s="4" t="s">
        <v>156</v>
      </c>
      <c r="D2476" s="7">
        <v>1401.3</v>
      </c>
      <c r="E2476" s="8" t="s">
        <v>7544</v>
      </c>
      <c r="F2476" s="9">
        <v>1</v>
      </c>
    </row>
    <row r="2477" ht="15.5" spans="1:6">
      <c r="A2477" s="6" t="s">
        <v>5877</v>
      </c>
      <c r="B2477" s="3" t="s">
        <v>5878</v>
      </c>
      <c r="C2477" s="4" t="s">
        <v>156</v>
      </c>
      <c r="D2477" s="7">
        <v>910.5</v>
      </c>
      <c r="E2477" s="8" t="s">
        <v>7544</v>
      </c>
      <c r="F2477" s="9">
        <v>1</v>
      </c>
    </row>
    <row r="2478" ht="15.5" spans="1:6">
      <c r="A2478" s="6" t="s">
        <v>5879</v>
      </c>
      <c r="B2478" s="3" t="s">
        <v>5784</v>
      </c>
      <c r="C2478" s="4" t="s">
        <v>156</v>
      </c>
      <c r="D2478" s="7">
        <v>1131</v>
      </c>
      <c r="E2478" s="8" t="s">
        <v>7544</v>
      </c>
      <c r="F2478" s="9">
        <v>1</v>
      </c>
    </row>
    <row r="2479" ht="15.5" spans="1:6">
      <c r="A2479" s="6" t="s">
        <v>5880</v>
      </c>
      <c r="B2479" s="3" t="s">
        <v>5786</v>
      </c>
      <c r="C2479" s="4" t="s">
        <v>156</v>
      </c>
      <c r="D2479" s="7">
        <v>1138.1</v>
      </c>
      <c r="E2479" s="8" t="s">
        <v>7544</v>
      </c>
      <c r="F2479" s="9">
        <v>1</v>
      </c>
    </row>
    <row r="2480" ht="15.5" spans="1:6">
      <c r="A2480" s="6" t="s">
        <v>5881</v>
      </c>
      <c r="B2480" s="3" t="s">
        <v>5882</v>
      </c>
      <c r="C2480" s="4" t="s">
        <v>156</v>
      </c>
      <c r="D2480" s="7">
        <v>1429.75</v>
      </c>
      <c r="E2480" s="8" t="s">
        <v>7544</v>
      </c>
      <c r="F2480" s="9">
        <v>1</v>
      </c>
    </row>
    <row r="2481" ht="15.5" spans="1:6">
      <c r="A2481" s="6" t="s">
        <v>5883</v>
      </c>
      <c r="B2481" s="3" t="s">
        <v>5788</v>
      </c>
      <c r="C2481" s="4" t="s">
        <v>156</v>
      </c>
      <c r="D2481" s="7">
        <v>1436.85</v>
      </c>
      <c r="E2481" s="8" t="s">
        <v>7544</v>
      </c>
      <c r="F2481" s="9">
        <v>1</v>
      </c>
    </row>
    <row r="2482" ht="15.5" spans="1:6">
      <c r="A2482" s="6" t="s">
        <v>5884</v>
      </c>
      <c r="B2482" s="3" t="s">
        <v>5790</v>
      </c>
      <c r="C2482" s="4" t="s">
        <v>156</v>
      </c>
      <c r="D2482" s="7">
        <v>1451.1</v>
      </c>
      <c r="E2482" s="8" t="s">
        <v>7544</v>
      </c>
      <c r="F2482" s="9">
        <v>1</v>
      </c>
    </row>
    <row r="2483" ht="15.5" spans="1:6">
      <c r="A2483" s="6" t="s">
        <v>5885</v>
      </c>
      <c r="B2483" s="3" t="s">
        <v>5792</v>
      </c>
      <c r="C2483" s="4" t="s">
        <v>156</v>
      </c>
      <c r="D2483" s="7">
        <v>2013.05</v>
      </c>
      <c r="E2483" s="8" t="s">
        <v>7544</v>
      </c>
      <c r="F2483" s="9">
        <v>1</v>
      </c>
    </row>
    <row r="2484" ht="15.5" spans="1:6">
      <c r="A2484" s="6" t="s">
        <v>5886</v>
      </c>
      <c r="B2484" s="3" t="s">
        <v>5794</v>
      </c>
      <c r="C2484" s="4" t="s">
        <v>156</v>
      </c>
      <c r="D2484" s="7">
        <v>2034.35</v>
      </c>
      <c r="E2484" s="8" t="s">
        <v>7544</v>
      </c>
      <c r="F2484" s="9">
        <v>1</v>
      </c>
    </row>
    <row r="2485" ht="15.5" spans="1:6">
      <c r="A2485" s="6" t="s">
        <v>5887</v>
      </c>
      <c r="B2485" s="3" t="s">
        <v>5796</v>
      </c>
      <c r="C2485" s="4" t="s">
        <v>156</v>
      </c>
      <c r="D2485" s="7">
        <v>2048.6</v>
      </c>
      <c r="E2485" s="8" t="s">
        <v>7544</v>
      </c>
      <c r="F2485" s="9">
        <v>1</v>
      </c>
    </row>
    <row r="2486" ht="15.5" spans="1:6">
      <c r="A2486" s="6" t="s">
        <v>5888</v>
      </c>
      <c r="B2486" s="3" t="s">
        <v>5889</v>
      </c>
      <c r="C2486" s="4" t="s">
        <v>156</v>
      </c>
      <c r="D2486" s="7">
        <v>2390.05</v>
      </c>
      <c r="E2486" s="8" t="s">
        <v>7544</v>
      </c>
      <c r="F2486" s="9">
        <v>1</v>
      </c>
    </row>
    <row r="2487" ht="15.5" spans="1:6">
      <c r="A2487" s="6" t="s">
        <v>5890</v>
      </c>
      <c r="B2487" s="3" t="s">
        <v>5798</v>
      </c>
      <c r="C2487" s="4" t="s">
        <v>156</v>
      </c>
      <c r="D2487" s="7">
        <v>2446.95</v>
      </c>
      <c r="E2487" s="8" t="s">
        <v>7544</v>
      </c>
      <c r="F2487" s="9">
        <v>1</v>
      </c>
    </row>
    <row r="2488" ht="15.5" spans="1:6">
      <c r="A2488" s="6" t="s">
        <v>5891</v>
      </c>
      <c r="B2488" s="3" t="s">
        <v>5800</v>
      </c>
      <c r="C2488" s="4" t="s">
        <v>156</v>
      </c>
      <c r="D2488" s="7">
        <v>2468.25</v>
      </c>
      <c r="E2488" s="8" t="s">
        <v>7544</v>
      </c>
      <c r="F2488" s="9">
        <v>1</v>
      </c>
    </row>
    <row r="2489" ht="15.5" spans="1:6">
      <c r="A2489" s="6" t="s">
        <v>5892</v>
      </c>
      <c r="B2489" s="3" t="s">
        <v>5802</v>
      </c>
      <c r="C2489" s="4" t="s">
        <v>156</v>
      </c>
      <c r="D2489" s="7">
        <v>2496.75</v>
      </c>
      <c r="E2489" s="8" t="s">
        <v>7544</v>
      </c>
      <c r="F2489" s="9">
        <v>1</v>
      </c>
    </row>
    <row r="2490" ht="31" spans="1:6">
      <c r="A2490" s="6" t="s">
        <v>5895</v>
      </c>
      <c r="B2490" s="3" t="s">
        <v>5896</v>
      </c>
      <c r="C2490" s="4" t="s">
        <v>156</v>
      </c>
      <c r="D2490" s="7">
        <v>291.65</v>
      </c>
      <c r="E2490" s="8" t="s">
        <v>7544</v>
      </c>
      <c r="F2490" s="9">
        <v>1</v>
      </c>
    </row>
    <row r="2491" ht="31" spans="1:6">
      <c r="A2491" s="6" t="s">
        <v>5897</v>
      </c>
      <c r="B2491" s="3" t="s">
        <v>5898</v>
      </c>
      <c r="C2491" s="4" t="s">
        <v>156</v>
      </c>
      <c r="D2491" s="7">
        <v>334.3</v>
      </c>
      <c r="E2491" s="8" t="s">
        <v>7544</v>
      </c>
      <c r="F2491" s="9">
        <v>1</v>
      </c>
    </row>
    <row r="2492" ht="31" spans="1:6">
      <c r="A2492" s="6" t="s">
        <v>5899</v>
      </c>
      <c r="B2492" s="3" t="s">
        <v>5900</v>
      </c>
      <c r="C2492" s="4" t="s">
        <v>156</v>
      </c>
      <c r="D2492" s="7">
        <v>355.65</v>
      </c>
      <c r="E2492" s="8" t="s">
        <v>7544</v>
      </c>
      <c r="F2492" s="9">
        <v>1</v>
      </c>
    </row>
    <row r="2493" ht="31" spans="1:6">
      <c r="A2493" s="6" t="s">
        <v>5901</v>
      </c>
      <c r="B2493" s="3" t="s">
        <v>5902</v>
      </c>
      <c r="C2493" s="4" t="s">
        <v>156</v>
      </c>
      <c r="D2493" s="7">
        <v>448.15</v>
      </c>
      <c r="E2493" s="8" t="s">
        <v>7544</v>
      </c>
      <c r="F2493" s="9">
        <v>1</v>
      </c>
    </row>
    <row r="2494" ht="31" spans="1:6">
      <c r="A2494" s="6" t="s">
        <v>5903</v>
      </c>
      <c r="B2494" s="3" t="s">
        <v>5904</v>
      </c>
      <c r="C2494" s="4" t="s">
        <v>156</v>
      </c>
      <c r="D2494" s="7">
        <v>462.35</v>
      </c>
      <c r="E2494" s="8" t="s">
        <v>7544</v>
      </c>
      <c r="F2494" s="9">
        <v>1</v>
      </c>
    </row>
    <row r="2495" ht="31" spans="1:6">
      <c r="A2495" s="6" t="s">
        <v>5905</v>
      </c>
      <c r="B2495" s="3" t="s">
        <v>5906</v>
      </c>
      <c r="C2495" s="4" t="s">
        <v>156</v>
      </c>
      <c r="D2495" s="7">
        <v>476.6</v>
      </c>
      <c r="E2495" s="8" t="s">
        <v>7544</v>
      </c>
      <c r="F2495" s="9">
        <v>1</v>
      </c>
    </row>
    <row r="2496" ht="31" spans="1:6">
      <c r="A2496" s="6" t="s">
        <v>5907</v>
      </c>
      <c r="B2496" s="3" t="s">
        <v>5908</v>
      </c>
      <c r="C2496" s="4" t="s">
        <v>156</v>
      </c>
      <c r="D2496" s="7">
        <v>661.5</v>
      </c>
      <c r="E2496" s="8" t="s">
        <v>7544</v>
      </c>
      <c r="F2496" s="9">
        <v>1</v>
      </c>
    </row>
    <row r="2497" ht="31" spans="1:6">
      <c r="A2497" s="6" t="s">
        <v>5909</v>
      </c>
      <c r="B2497" s="3" t="s">
        <v>5910</v>
      </c>
      <c r="C2497" s="4" t="s">
        <v>156</v>
      </c>
      <c r="D2497" s="7">
        <v>675.75</v>
      </c>
      <c r="E2497" s="8" t="s">
        <v>7544</v>
      </c>
      <c r="F2497" s="9">
        <v>1</v>
      </c>
    </row>
    <row r="2498" ht="31" spans="1:6">
      <c r="A2498" s="6" t="s">
        <v>5911</v>
      </c>
      <c r="B2498" s="3" t="s">
        <v>5912</v>
      </c>
      <c r="C2498" s="4" t="s">
        <v>156</v>
      </c>
      <c r="D2498" s="7">
        <v>704.2</v>
      </c>
      <c r="E2498" s="8" t="s">
        <v>7544</v>
      </c>
      <c r="F2498" s="9">
        <v>1</v>
      </c>
    </row>
    <row r="2499" ht="31" spans="1:6">
      <c r="A2499" s="6" t="s">
        <v>5913</v>
      </c>
      <c r="B2499" s="3" t="s">
        <v>5914</v>
      </c>
      <c r="C2499" s="4" t="s">
        <v>156</v>
      </c>
      <c r="D2499" s="7">
        <v>732.65</v>
      </c>
      <c r="E2499" s="8" t="s">
        <v>7544</v>
      </c>
      <c r="F2499" s="9">
        <v>1</v>
      </c>
    </row>
    <row r="2500" ht="31" spans="1:6">
      <c r="A2500" s="6" t="s">
        <v>5915</v>
      </c>
      <c r="B2500" s="3" t="s">
        <v>5916</v>
      </c>
      <c r="C2500" s="4" t="s">
        <v>156</v>
      </c>
      <c r="D2500" s="7">
        <v>1010.05</v>
      </c>
      <c r="E2500" s="8" t="s">
        <v>7544</v>
      </c>
      <c r="F2500" s="9">
        <v>1</v>
      </c>
    </row>
    <row r="2501" ht="31" spans="1:6">
      <c r="A2501" s="6" t="s">
        <v>5917</v>
      </c>
      <c r="B2501" s="3" t="s">
        <v>5918</v>
      </c>
      <c r="C2501" s="4" t="s">
        <v>156</v>
      </c>
      <c r="D2501" s="7">
        <v>1031.4</v>
      </c>
      <c r="E2501" s="8" t="s">
        <v>7544</v>
      </c>
      <c r="F2501" s="9">
        <v>1</v>
      </c>
    </row>
    <row r="2502" ht="31" spans="1:6">
      <c r="A2502" s="6" t="s">
        <v>5919</v>
      </c>
      <c r="B2502" s="3" t="s">
        <v>5920</v>
      </c>
      <c r="C2502" s="4" t="s">
        <v>156</v>
      </c>
      <c r="D2502" s="7">
        <v>1088.3</v>
      </c>
      <c r="E2502" s="8" t="s">
        <v>7544</v>
      </c>
      <c r="F2502" s="9">
        <v>1</v>
      </c>
    </row>
    <row r="2503" ht="31" spans="1:6">
      <c r="A2503" s="6" t="s">
        <v>5921</v>
      </c>
      <c r="B2503" s="3" t="s">
        <v>5922</v>
      </c>
      <c r="C2503" s="4" t="s">
        <v>156</v>
      </c>
      <c r="D2503" s="7">
        <v>1131</v>
      </c>
      <c r="E2503" s="8" t="s">
        <v>7544</v>
      </c>
      <c r="F2503" s="9">
        <v>1</v>
      </c>
    </row>
    <row r="2504" ht="31" spans="1:6">
      <c r="A2504" s="6" t="s">
        <v>5923</v>
      </c>
      <c r="B2504" s="3" t="s">
        <v>5924</v>
      </c>
      <c r="C2504" s="4" t="s">
        <v>156</v>
      </c>
      <c r="D2504" s="7">
        <v>1173.65</v>
      </c>
      <c r="E2504" s="8" t="s">
        <v>7544</v>
      </c>
      <c r="F2504" s="9">
        <v>1</v>
      </c>
    </row>
    <row r="2505" ht="31" spans="1:6">
      <c r="A2505" s="6" t="s">
        <v>5925</v>
      </c>
      <c r="B2505" s="3" t="s">
        <v>5926</v>
      </c>
      <c r="C2505" s="4" t="s">
        <v>156</v>
      </c>
      <c r="D2505" s="7">
        <v>1415.55</v>
      </c>
      <c r="E2505" s="8" t="s">
        <v>7544</v>
      </c>
      <c r="F2505" s="9">
        <v>1</v>
      </c>
    </row>
    <row r="2506" ht="31" spans="1:6">
      <c r="A2506" s="6" t="s">
        <v>5927</v>
      </c>
      <c r="B2506" s="3" t="s">
        <v>5928</v>
      </c>
      <c r="C2506" s="4" t="s">
        <v>156</v>
      </c>
      <c r="D2506" s="7">
        <v>1442.55</v>
      </c>
      <c r="E2506" s="8" t="s">
        <v>7544</v>
      </c>
      <c r="F2506" s="9">
        <v>1</v>
      </c>
    </row>
    <row r="2507" ht="31" spans="1:6">
      <c r="A2507" s="6" t="s">
        <v>5929</v>
      </c>
      <c r="B2507" s="3" t="s">
        <v>5930</v>
      </c>
      <c r="C2507" s="4" t="s">
        <v>156</v>
      </c>
      <c r="D2507" s="7">
        <v>1458.2</v>
      </c>
      <c r="E2507" s="8" t="s">
        <v>7544</v>
      </c>
      <c r="F2507" s="9">
        <v>1</v>
      </c>
    </row>
    <row r="2508" ht="31" spans="1:6">
      <c r="A2508" s="6" t="s">
        <v>5931</v>
      </c>
      <c r="B2508" s="3" t="s">
        <v>5932</v>
      </c>
      <c r="C2508" s="4" t="s">
        <v>156</v>
      </c>
      <c r="D2508" s="7">
        <v>1493.75</v>
      </c>
      <c r="E2508" s="8" t="s">
        <v>7544</v>
      </c>
      <c r="F2508" s="9">
        <v>1</v>
      </c>
    </row>
    <row r="2509" ht="31" spans="1:6">
      <c r="A2509" s="6" t="s">
        <v>5933</v>
      </c>
      <c r="B2509" s="3" t="s">
        <v>5934</v>
      </c>
      <c r="C2509" s="4" t="s">
        <v>156</v>
      </c>
      <c r="D2509" s="7">
        <v>1536.45</v>
      </c>
      <c r="E2509" s="8" t="s">
        <v>7544</v>
      </c>
      <c r="F2509" s="9">
        <v>1</v>
      </c>
    </row>
    <row r="2510" ht="31" spans="1:6">
      <c r="A2510" s="6" t="s">
        <v>5935</v>
      </c>
      <c r="B2510" s="3" t="s">
        <v>5936</v>
      </c>
      <c r="C2510" s="4" t="s">
        <v>156</v>
      </c>
      <c r="D2510" s="7">
        <v>1586.25</v>
      </c>
      <c r="E2510" s="8" t="s">
        <v>7544</v>
      </c>
      <c r="F2510" s="9">
        <v>1</v>
      </c>
    </row>
    <row r="2511" ht="31" spans="1:6">
      <c r="A2511" s="6" t="s">
        <v>5939</v>
      </c>
      <c r="B2511" s="3" t="s">
        <v>5940</v>
      </c>
      <c r="C2511" s="4" t="s">
        <v>156</v>
      </c>
      <c r="D2511" s="7">
        <v>277.4</v>
      </c>
      <c r="E2511" s="8" t="s">
        <v>7544</v>
      </c>
      <c r="F2511" s="9">
        <v>1</v>
      </c>
    </row>
    <row r="2512" ht="31" spans="1:6">
      <c r="A2512" s="6" t="s">
        <v>5941</v>
      </c>
      <c r="B2512" s="3" t="s">
        <v>5898</v>
      </c>
      <c r="C2512" s="4" t="s">
        <v>156</v>
      </c>
      <c r="D2512" s="7">
        <v>305.85</v>
      </c>
      <c r="E2512" s="8" t="s">
        <v>7544</v>
      </c>
      <c r="F2512" s="9">
        <v>1</v>
      </c>
    </row>
    <row r="2513" ht="31" spans="1:6">
      <c r="A2513" s="6" t="s">
        <v>5942</v>
      </c>
      <c r="B2513" s="3" t="s">
        <v>5900</v>
      </c>
      <c r="C2513" s="4" t="s">
        <v>156</v>
      </c>
      <c r="D2513" s="7">
        <v>320.1</v>
      </c>
      <c r="E2513" s="8" t="s">
        <v>7544</v>
      </c>
      <c r="F2513" s="9">
        <v>1</v>
      </c>
    </row>
    <row r="2514" ht="31" spans="1:6">
      <c r="A2514" s="6" t="s">
        <v>5943</v>
      </c>
      <c r="B2514" s="3" t="s">
        <v>5902</v>
      </c>
      <c r="C2514" s="4" t="s">
        <v>156</v>
      </c>
      <c r="D2514" s="7">
        <v>405.45</v>
      </c>
      <c r="E2514" s="8" t="s">
        <v>7544</v>
      </c>
      <c r="F2514" s="9">
        <v>1</v>
      </c>
    </row>
    <row r="2515" ht="31" spans="1:6">
      <c r="A2515" s="6" t="s">
        <v>5944</v>
      </c>
      <c r="B2515" s="3" t="s">
        <v>5904</v>
      </c>
      <c r="C2515" s="4" t="s">
        <v>156</v>
      </c>
      <c r="D2515" s="7">
        <v>419.7</v>
      </c>
      <c r="E2515" s="8" t="s">
        <v>7544</v>
      </c>
      <c r="F2515" s="9">
        <v>1</v>
      </c>
    </row>
    <row r="2516" ht="31" spans="1:6">
      <c r="A2516" s="6" t="s">
        <v>5945</v>
      </c>
      <c r="B2516" s="3" t="s">
        <v>5906</v>
      </c>
      <c r="C2516" s="4" t="s">
        <v>156</v>
      </c>
      <c r="D2516" s="7">
        <v>433.9</v>
      </c>
      <c r="E2516" s="8" t="s">
        <v>7544</v>
      </c>
      <c r="F2516" s="9">
        <v>1</v>
      </c>
    </row>
    <row r="2517" ht="31" spans="1:6">
      <c r="A2517" s="6" t="s">
        <v>5946</v>
      </c>
      <c r="B2517" s="3" t="s">
        <v>5908</v>
      </c>
      <c r="C2517" s="4" t="s">
        <v>156</v>
      </c>
      <c r="D2517" s="7">
        <v>647.3</v>
      </c>
      <c r="E2517" s="8" t="s">
        <v>7544</v>
      </c>
      <c r="F2517" s="9">
        <v>1</v>
      </c>
    </row>
    <row r="2518" ht="31" spans="1:6">
      <c r="A2518" s="6" t="s">
        <v>5947</v>
      </c>
      <c r="B2518" s="3" t="s">
        <v>5910</v>
      </c>
      <c r="C2518" s="4" t="s">
        <v>156</v>
      </c>
      <c r="D2518" s="7">
        <v>690</v>
      </c>
      <c r="E2518" s="8" t="s">
        <v>7544</v>
      </c>
      <c r="F2518" s="9">
        <v>1</v>
      </c>
    </row>
    <row r="2519" ht="31" spans="1:6">
      <c r="A2519" s="6" t="s">
        <v>5948</v>
      </c>
      <c r="B2519" s="3" t="s">
        <v>5912</v>
      </c>
      <c r="C2519" s="4" t="s">
        <v>156</v>
      </c>
      <c r="D2519" s="7">
        <v>732.65</v>
      </c>
      <c r="E2519" s="8" t="s">
        <v>7544</v>
      </c>
      <c r="F2519" s="9">
        <v>1</v>
      </c>
    </row>
    <row r="2520" ht="31" spans="1:6">
      <c r="A2520" s="6" t="s">
        <v>5949</v>
      </c>
      <c r="B2520" s="3" t="s">
        <v>5914</v>
      </c>
      <c r="C2520" s="4" t="s">
        <v>156</v>
      </c>
      <c r="D2520" s="7">
        <v>775.35</v>
      </c>
      <c r="E2520" s="8" t="s">
        <v>7544</v>
      </c>
      <c r="F2520" s="9">
        <v>1</v>
      </c>
    </row>
    <row r="2521" ht="31" spans="1:6">
      <c r="A2521" s="6" t="s">
        <v>5950</v>
      </c>
      <c r="B2521" s="3" t="s">
        <v>5916</v>
      </c>
      <c r="C2521" s="4" t="s">
        <v>156</v>
      </c>
      <c r="D2521" s="7">
        <v>995.85</v>
      </c>
      <c r="E2521" s="8" t="s">
        <v>7544</v>
      </c>
      <c r="F2521" s="9">
        <v>1</v>
      </c>
    </row>
    <row r="2522" ht="31" spans="1:6">
      <c r="A2522" s="6" t="s">
        <v>5951</v>
      </c>
      <c r="B2522" s="3" t="s">
        <v>5918</v>
      </c>
      <c r="C2522" s="4" t="s">
        <v>156</v>
      </c>
      <c r="D2522" s="7">
        <v>1010.05</v>
      </c>
      <c r="E2522" s="8" t="s">
        <v>7544</v>
      </c>
      <c r="F2522" s="9">
        <v>1</v>
      </c>
    </row>
    <row r="2523" ht="31" spans="1:6">
      <c r="A2523" s="6" t="s">
        <v>5952</v>
      </c>
      <c r="B2523" s="3" t="s">
        <v>5920</v>
      </c>
      <c r="C2523" s="4" t="s">
        <v>156</v>
      </c>
      <c r="D2523" s="7">
        <v>1038.5</v>
      </c>
      <c r="E2523" s="8" t="s">
        <v>7544</v>
      </c>
      <c r="F2523" s="9">
        <v>1</v>
      </c>
    </row>
    <row r="2524" ht="31" spans="1:6">
      <c r="A2524" s="6" t="s">
        <v>5953</v>
      </c>
      <c r="B2524" s="3" t="s">
        <v>5922</v>
      </c>
      <c r="C2524" s="4" t="s">
        <v>156</v>
      </c>
      <c r="D2524" s="7">
        <v>1066.95</v>
      </c>
      <c r="E2524" s="8" t="s">
        <v>7544</v>
      </c>
      <c r="F2524" s="9">
        <v>1</v>
      </c>
    </row>
    <row r="2525" ht="31" spans="1:6">
      <c r="A2525" s="6" t="s">
        <v>5954</v>
      </c>
      <c r="B2525" s="3" t="s">
        <v>5924</v>
      </c>
      <c r="C2525" s="4" t="s">
        <v>156</v>
      </c>
      <c r="D2525" s="7">
        <v>1145.25</v>
      </c>
      <c r="E2525" s="8" t="s">
        <v>7544</v>
      </c>
      <c r="F2525" s="9">
        <v>1</v>
      </c>
    </row>
    <row r="2526" ht="31" spans="1:6">
      <c r="A2526" s="6" t="s">
        <v>5955</v>
      </c>
      <c r="B2526" s="3" t="s">
        <v>5926</v>
      </c>
      <c r="C2526" s="4" t="s">
        <v>156</v>
      </c>
      <c r="D2526" s="7">
        <v>1287.5</v>
      </c>
      <c r="E2526" s="8" t="s">
        <v>7544</v>
      </c>
      <c r="F2526" s="9">
        <v>1</v>
      </c>
    </row>
    <row r="2527" ht="31" spans="1:6">
      <c r="A2527" s="6" t="s">
        <v>5956</v>
      </c>
      <c r="B2527" s="3" t="s">
        <v>5928</v>
      </c>
      <c r="C2527" s="4" t="s">
        <v>156</v>
      </c>
      <c r="D2527" s="7">
        <v>1301.7</v>
      </c>
      <c r="E2527" s="8" t="s">
        <v>7544</v>
      </c>
      <c r="F2527" s="9">
        <v>1</v>
      </c>
    </row>
    <row r="2528" ht="31" spans="1:6">
      <c r="A2528" s="6" t="s">
        <v>5957</v>
      </c>
      <c r="B2528" s="3" t="s">
        <v>5930</v>
      </c>
      <c r="C2528" s="4" t="s">
        <v>156</v>
      </c>
      <c r="D2528" s="7">
        <v>1323.05</v>
      </c>
      <c r="E2528" s="8" t="s">
        <v>7544</v>
      </c>
      <c r="F2528" s="9">
        <v>1</v>
      </c>
    </row>
    <row r="2529" ht="31" spans="1:6">
      <c r="A2529" s="6" t="s">
        <v>5958</v>
      </c>
      <c r="B2529" s="3" t="s">
        <v>5932</v>
      </c>
      <c r="C2529" s="4" t="s">
        <v>156</v>
      </c>
      <c r="D2529" s="7">
        <v>1394.2</v>
      </c>
      <c r="E2529" s="8" t="s">
        <v>7544</v>
      </c>
      <c r="F2529" s="9">
        <v>1</v>
      </c>
    </row>
    <row r="2530" ht="31" spans="1:6">
      <c r="A2530" s="6" t="s">
        <v>5959</v>
      </c>
      <c r="B2530" s="3" t="s">
        <v>5934</v>
      </c>
      <c r="C2530" s="4" t="s">
        <v>156</v>
      </c>
      <c r="D2530" s="7">
        <v>1429.75</v>
      </c>
      <c r="E2530" s="8" t="s">
        <v>7544</v>
      </c>
      <c r="F2530" s="9">
        <v>1</v>
      </c>
    </row>
    <row r="2531" ht="31" spans="1:6">
      <c r="A2531" s="6" t="s">
        <v>5960</v>
      </c>
      <c r="B2531" s="3" t="s">
        <v>5936</v>
      </c>
      <c r="C2531" s="4" t="s">
        <v>156</v>
      </c>
      <c r="D2531" s="7">
        <v>1543.55</v>
      </c>
      <c r="E2531" s="8" t="s">
        <v>7544</v>
      </c>
      <c r="F2531" s="9">
        <v>1</v>
      </c>
    </row>
    <row r="2532" ht="31" spans="1:6">
      <c r="A2532" s="6" t="s">
        <v>5962</v>
      </c>
      <c r="B2532" s="3" t="s">
        <v>5963</v>
      </c>
      <c r="C2532" s="4" t="s">
        <v>156</v>
      </c>
      <c r="D2532" s="7">
        <v>889.15</v>
      </c>
      <c r="E2532" s="8" t="s">
        <v>7544</v>
      </c>
      <c r="F2532" s="9">
        <v>1</v>
      </c>
    </row>
    <row r="2533" ht="31" spans="1:6">
      <c r="A2533" s="6" t="s">
        <v>5964</v>
      </c>
      <c r="B2533" s="3" t="s">
        <v>5965</v>
      </c>
      <c r="C2533" s="4" t="s">
        <v>156</v>
      </c>
      <c r="D2533" s="7">
        <v>967.4</v>
      </c>
      <c r="E2533" s="8" t="s">
        <v>7544</v>
      </c>
      <c r="F2533" s="9">
        <v>1</v>
      </c>
    </row>
    <row r="2534" ht="31" spans="1:6">
      <c r="A2534" s="6" t="s">
        <v>5966</v>
      </c>
      <c r="B2534" s="3" t="s">
        <v>5967</v>
      </c>
      <c r="C2534" s="4" t="s">
        <v>156</v>
      </c>
      <c r="D2534" s="7">
        <v>1095.45</v>
      </c>
      <c r="E2534" s="8" t="s">
        <v>7544</v>
      </c>
      <c r="F2534" s="9">
        <v>1</v>
      </c>
    </row>
    <row r="2535" ht="31" spans="1:6">
      <c r="A2535" s="6" t="s">
        <v>5968</v>
      </c>
      <c r="B2535" s="3" t="s">
        <v>5969</v>
      </c>
      <c r="C2535" s="4" t="s">
        <v>156</v>
      </c>
      <c r="D2535" s="7">
        <v>1159.45</v>
      </c>
      <c r="E2535" s="8" t="s">
        <v>7544</v>
      </c>
      <c r="F2535" s="9">
        <v>1</v>
      </c>
    </row>
    <row r="2536" ht="31" spans="1:6">
      <c r="A2536" s="6" t="s">
        <v>5970</v>
      </c>
      <c r="B2536" s="3" t="s">
        <v>5971</v>
      </c>
      <c r="C2536" s="4" t="s">
        <v>156</v>
      </c>
      <c r="D2536" s="7">
        <v>1202.15</v>
      </c>
      <c r="E2536" s="8" t="s">
        <v>7544</v>
      </c>
      <c r="F2536" s="9">
        <v>1</v>
      </c>
    </row>
    <row r="2537" ht="31" spans="1:6">
      <c r="A2537" s="6" t="s">
        <v>5972</v>
      </c>
      <c r="B2537" s="3" t="s">
        <v>5973</v>
      </c>
      <c r="C2537" s="4" t="s">
        <v>156</v>
      </c>
      <c r="D2537" s="7">
        <v>1330.15</v>
      </c>
      <c r="E2537" s="8" t="s">
        <v>7544</v>
      </c>
      <c r="F2537" s="9">
        <v>1</v>
      </c>
    </row>
    <row r="2538" ht="31" spans="1:6">
      <c r="A2538" s="6" t="s">
        <v>5974</v>
      </c>
      <c r="B2538" s="3" t="s">
        <v>5975</v>
      </c>
      <c r="C2538" s="4" t="s">
        <v>156</v>
      </c>
      <c r="D2538" s="7">
        <v>1337.3</v>
      </c>
      <c r="E2538" s="8" t="s">
        <v>7544</v>
      </c>
      <c r="F2538" s="9">
        <v>1</v>
      </c>
    </row>
    <row r="2539" ht="31" spans="1:6">
      <c r="A2539" s="6" t="s">
        <v>5976</v>
      </c>
      <c r="B2539" s="3" t="s">
        <v>5977</v>
      </c>
      <c r="C2539" s="4" t="s">
        <v>156</v>
      </c>
      <c r="D2539" s="7">
        <v>1842.3</v>
      </c>
      <c r="E2539" s="8" t="s">
        <v>7544</v>
      </c>
      <c r="F2539" s="9">
        <v>1</v>
      </c>
    </row>
    <row r="2540" ht="31" spans="1:6">
      <c r="A2540" s="6" t="s">
        <v>5978</v>
      </c>
      <c r="B2540" s="3" t="s">
        <v>5979</v>
      </c>
      <c r="C2540" s="4" t="s">
        <v>156</v>
      </c>
      <c r="D2540" s="7">
        <v>2141.05</v>
      </c>
      <c r="E2540" s="8" t="s">
        <v>7544</v>
      </c>
      <c r="F2540" s="9">
        <v>1</v>
      </c>
    </row>
    <row r="2541" ht="31" spans="1:6">
      <c r="A2541" s="6" t="s">
        <v>5980</v>
      </c>
      <c r="B2541" s="3" t="s">
        <v>5981</v>
      </c>
      <c r="C2541" s="4" t="s">
        <v>156</v>
      </c>
      <c r="D2541" s="7">
        <v>3058.65</v>
      </c>
      <c r="E2541" s="8" t="s">
        <v>7544</v>
      </c>
      <c r="F2541" s="9">
        <v>1</v>
      </c>
    </row>
    <row r="2542" ht="31" spans="1:6">
      <c r="A2542" s="6" t="s">
        <v>5982</v>
      </c>
      <c r="B2542" s="3" t="s">
        <v>5983</v>
      </c>
      <c r="C2542" s="4" t="s">
        <v>156</v>
      </c>
      <c r="D2542" s="7">
        <v>3670.4</v>
      </c>
      <c r="E2542" s="8" t="s">
        <v>7544</v>
      </c>
      <c r="F2542" s="9">
        <v>1</v>
      </c>
    </row>
    <row r="2543" ht="31" spans="1:6">
      <c r="A2543" s="6" t="s">
        <v>5986</v>
      </c>
      <c r="B2543" s="3" t="s">
        <v>5896</v>
      </c>
      <c r="C2543" s="4" t="s">
        <v>156</v>
      </c>
      <c r="D2543" s="7">
        <v>264.6</v>
      </c>
      <c r="E2543" s="8" t="s">
        <v>7544</v>
      </c>
      <c r="F2543" s="9">
        <v>1</v>
      </c>
    </row>
    <row r="2544" ht="31" spans="1:6">
      <c r="A2544" s="6" t="s">
        <v>5987</v>
      </c>
      <c r="B2544" s="3" t="s">
        <v>5988</v>
      </c>
      <c r="C2544" s="4" t="s">
        <v>156</v>
      </c>
      <c r="D2544" s="7">
        <v>291.65</v>
      </c>
      <c r="E2544" s="8" t="s">
        <v>7544</v>
      </c>
      <c r="F2544" s="9">
        <v>1</v>
      </c>
    </row>
    <row r="2545" ht="31" spans="1:6">
      <c r="A2545" s="6" t="s">
        <v>5989</v>
      </c>
      <c r="B2545" s="3" t="s">
        <v>5900</v>
      </c>
      <c r="C2545" s="4" t="s">
        <v>156</v>
      </c>
      <c r="D2545" s="7">
        <v>337.15</v>
      </c>
      <c r="E2545" s="8" t="s">
        <v>7544</v>
      </c>
      <c r="F2545" s="9">
        <v>1</v>
      </c>
    </row>
    <row r="2546" ht="31" spans="1:6">
      <c r="A2546" s="6" t="s">
        <v>5990</v>
      </c>
      <c r="B2546" s="3" t="s">
        <v>5902</v>
      </c>
      <c r="C2546" s="4" t="s">
        <v>156</v>
      </c>
      <c r="D2546" s="7">
        <v>394.05</v>
      </c>
      <c r="E2546" s="8" t="s">
        <v>7544</v>
      </c>
      <c r="F2546" s="9">
        <v>1</v>
      </c>
    </row>
    <row r="2547" ht="31" spans="1:6">
      <c r="A2547" s="6" t="s">
        <v>5991</v>
      </c>
      <c r="B2547" s="3" t="s">
        <v>5904</v>
      </c>
      <c r="C2547" s="4" t="s">
        <v>156</v>
      </c>
      <c r="D2547" s="7">
        <v>412.55</v>
      </c>
      <c r="E2547" s="8" t="s">
        <v>7544</v>
      </c>
      <c r="F2547" s="9">
        <v>1</v>
      </c>
    </row>
    <row r="2548" ht="31" spans="1:6">
      <c r="A2548" s="6" t="s">
        <v>5992</v>
      </c>
      <c r="B2548" s="3" t="s">
        <v>5906</v>
      </c>
      <c r="C2548" s="4" t="s">
        <v>156</v>
      </c>
      <c r="D2548" s="7">
        <v>505.05</v>
      </c>
      <c r="E2548" s="8" t="s">
        <v>7544</v>
      </c>
      <c r="F2548" s="9">
        <v>1</v>
      </c>
    </row>
    <row r="2549" ht="31" spans="1:6">
      <c r="A2549" s="6" t="s">
        <v>5993</v>
      </c>
      <c r="B2549" s="3" t="s">
        <v>5912</v>
      </c>
      <c r="C2549" s="4" t="s">
        <v>156</v>
      </c>
      <c r="D2549" s="7">
        <v>640.2</v>
      </c>
      <c r="E2549" s="8" t="s">
        <v>7544</v>
      </c>
      <c r="F2549" s="9">
        <v>1</v>
      </c>
    </row>
    <row r="2550" ht="31" spans="1:6">
      <c r="A2550" s="6" t="s">
        <v>5994</v>
      </c>
      <c r="B2550" s="3" t="s">
        <v>5914</v>
      </c>
      <c r="C2550" s="4" t="s">
        <v>156</v>
      </c>
      <c r="D2550" s="7">
        <v>768.25</v>
      </c>
      <c r="E2550" s="8" t="s">
        <v>7544</v>
      </c>
      <c r="F2550" s="9">
        <v>1</v>
      </c>
    </row>
    <row r="2551" ht="31" spans="1:6">
      <c r="A2551" s="6" t="s">
        <v>5995</v>
      </c>
      <c r="B2551" s="3" t="s">
        <v>5922</v>
      </c>
      <c r="C2551" s="4" t="s">
        <v>156</v>
      </c>
      <c r="D2551" s="7">
        <v>953.15</v>
      </c>
      <c r="E2551" s="8" t="s">
        <v>7544</v>
      </c>
      <c r="F2551" s="9">
        <v>1</v>
      </c>
    </row>
    <row r="2552" ht="31" spans="1:6">
      <c r="A2552" s="6" t="s">
        <v>5996</v>
      </c>
      <c r="B2552" s="3" t="s">
        <v>5924</v>
      </c>
      <c r="C2552" s="4" t="s">
        <v>156</v>
      </c>
      <c r="D2552" s="7">
        <v>1002.95</v>
      </c>
      <c r="E2552" s="8" t="s">
        <v>7544</v>
      </c>
      <c r="F2552" s="9">
        <v>1</v>
      </c>
    </row>
    <row r="2553" ht="31" spans="1:6">
      <c r="A2553" s="6" t="s">
        <v>5997</v>
      </c>
      <c r="B2553" s="3" t="s">
        <v>5934</v>
      </c>
      <c r="C2553" s="4" t="s">
        <v>156</v>
      </c>
      <c r="D2553" s="7">
        <v>1287.5</v>
      </c>
      <c r="E2553" s="8" t="s">
        <v>7544</v>
      </c>
      <c r="F2553" s="9">
        <v>1</v>
      </c>
    </row>
    <row r="2554" ht="31" spans="1:6">
      <c r="A2554" s="6" t="s">
        <v>5998</v>
      </c>
      <c r="B2554" s="3" t="s">
        <v>5936</v>
      </c>
      <c r="C2554" s="4" t="s">
        <v>156</v>
      </c>
      <c r="D2554" s="7">
        <v>1387.05</v>
      </c>
      <c r="E2554" s="8" t="s">
        <v>7544</v>
      </c>
      <c r="F2554" s="9">
        <v>1</v>
      </c>
    </row>
    <row r="2555" ht="31" spans="1:6">
      <c r="A2555" s="6" t="s">
        <v>6000</v>
      </c>
      <c r="B2555" s="3" t="s">
        <v>6001</v>
      </c>
      <c r="C2555" s="4" t="s">
        <v>156</v>
      </c>
      <c r="D2555" s="7">
        <v>697.1</v>
      </c>
      <c r="E2555" s="8" t="s">
        <v>7544</v>
      </c>
      <c r="F2555" s="9">
        <v>1</v>
      </c>
    </row>
    <row r="2556" ht="31" spans="1:6">
      <c r="A2556" s="6" t="s">
        <v>6002</v>
      </c>
      <c r="B2556" s="3" t="s">
        <v>6003</v>
      </c>
      <c r="C2556" s="4" t="s">
        <v>156</v>
      </c>
      <c r="D2556" s="7">
        <v>782.45</v>
      </c>
      <c r="E2556" s="8" t="s">
        <v>7544</v>
      </c>
      <c r="F2556" s="9">
        <v>1</v>
      </c>
    </row>
    <row r="2557" ht="31" spans="1:6">
      <c r="A2557" s="6" t="s">
        <v>6004</v>
      </c>
      <c r="B2557" s="3" t="s">
        <v>6005</v>
      </c>
      <c r="C2557" s="4" t="s">
        <v>156</v>
      </c>
      <c r="D2557" s="7">
        <v>917.6</v>
      </c>
      <c r="E2557" s="8" t="s">
        <v>7544</v>
      </c>
      <c r="F2557" s="9">
        <v>1</v>
      </c>
    </row>
    <row r="2558" ht="31" spans="1:6">
      <c r="A2558" s="6" t="s">
        <v>6006</v>
      </c>
      <c r="B2558" s="3" t="s">
        <v>6007</v>
      </c>
      <c r="C2558" s="4" t="s">
        <v>156</v>
      </c>
      <c r="D2558" s="7">
        <v>1515.1</v>
      </c>
      <c r="E2558" s="8" t="s">
        <v>7544</v>
      </c>
      <c r="F2558" s="9">
        <v>1</v>
      </c>
    </row>
    <row r="2559" ht="31" spans="1:6">
      <c r="A2559" s="6" t="s">
        <v>6008</v>
      </c>
      <c r="B2559" s="3" t="s">
        <v>6009</v>
      </c>
      <c r="C2559" s="4" t="s">
        <v>156</v>
      </c>
      <c r="D2559" s="7">
        <v>1621.8</v>
      </c>
      <c r="E2559" s="8" t="s">
        <v>7544</v>
      </c>
      <c r="F2559" s="9">
        <v>1</v>
      </c>
    </row>
    <row r="2560" ht="31" spans="1:6">
      <c r="A2560" s="6" t="s">
        <v>6010</v>
      </c>
      <c r="B2560" s="3" t="s">
        <v>6011</v>
      </c>
      <c r="C2560" s="4" t="s">
        <v>156</v>
      </c>
      <c r="D2560" s="7">
        <v>2489.6</v>
      </c>
      <c r="E2560" s="8" t="s">
        <v>7544</v>
      </c>
      <c r="F2560" s="9">
        <v>1</v>
      </c>
    </row>
    <row r="2561" ht="31" spans="1:6">
      <c r="A2561" s="6" t="s">
        <v>6012</v>
      </c>
      <c r="B2561" s="3" t="s">
        <v>6013</v>
      </c>
      <c r="C2561" s="4" t="s">
        <v>156</v>
      </c>
      <c r="D2561" s="7">
        <v>3819.8</v>
      </c>
      <c r="E2561" s="8" t="s">
        <v>7544</v>
      </c>
      <c r="F2561" s="9">
        <v>1</v>
      </c>
    </row>
    <row r="2562" ht="31" spans="1:6">
      <c r="A2562" s="6" t="s">
        <v>6016</v>
      </c>
      <c r="B2562" s="3" t="s">
        <v>5896</v>
      </c>
      <c r="C2562" s="4" t="s">
        <v>156</v>
      </c>
      <c r="D2562" s="7">
        <v>250.4</v>
      </c>
      <c r="E2562" s="8" t="s">
        <v>7544</v>
      </c>
      <c r="F2562" s="9">
        <v>1</v>
      </c>
    </row>
    <row r="2563" ht="31" spans="1:6">
      <c r="A2563" s="6" t="s">
        <v>6017</v>
      </c>
      <c r="B2563" s="3" t="s">
        <v>5898</v>
      </c>
      <c r="C2563" s="4" t="s">
        <v>156</v>
      </c>
      <c r="D2563" s="7">
        <v>268.85</v>
      </c>
      <c r="E2563" s="8" t="s">
        <v>7544</v>
      </c>
      <c r="F2563" s="9">
        <v>1</v>
      </c>
    </row>
    <row r="2564" ht="31" spans="1:6">
      <c r="A2564" s="6" t="s">
        <v>6018</v>
      </c>
      <c r="B2564" s="3" t="s">
        <v>5900</v>
      </c>
      <c r="C2564" s="4" t="s">
        <v>156</v>
      </c>
      <c r="D2564" s="7">
        <v>300.2</v>
      </c>
      <c r="E2564" s="8" t="s">
        <v>7544</v>
      </c>
      <c r="F2564" s="9">
        <v>1</v>
      </c>
    </row>
    <row r="2565" ht="31" spans="1:6">
      <c r="A2565" s="6" t="s">
        <v>6019</v>
      </c>
      <c r="B2565" s="3" t="s">
        <v>5904</v>
      </c>
      <c r="C2565" s="4" t="s">
        <v>156</v>
      </c>
      <c r="D2565" s="7">
        <v>458.1</v>
      </c>
      <c r="E2565" s="8" t="s">
        <v>7544</v>
      </c>
      <c r="F2565" s="9">
        <v>1</v>
      </c>
    </row>
    <row r="2566" ht="31" spans="1:6">
      <c r="A2566" s="6" t="s">
        <v>6020</v>
      </c>
      <c r="B2566" s="3" t="s">
        <v>5906</v>
      </c>
      <c r="C2566" s="4" t="s">
        <v>156</v>
      </c>
      <c r="D2566" s="7">
        <v>460.95</v>
      </c>
      <c r="E2566" s="8" t="s">
        <v>7544</v>
      </c>
      <c r="F2566" s="9">
        <v>1</v>
      </c>
    </row>
    <row r="2567" ht="31" spans="1:6">
      <c r="A2567" s="6" t="s">
        <v>6021</v>
      </c>
      <c r="B2567" s="3" t="s">
        <v>5912</v>
      </c>
      <c r="C2567" s="4" t="s">
        <v>156</v>
      </c>
      <c r="D2567" s="7">
        <v>675.75</v>
      </c>
      <c r="E2567" s="8" t="s">
        <v>7544</v>
      </c>
      <c r="F2567" s="9">
        <v>1</v>
      </c>
    </row>
    <row r="2568" ht="31" spans="1:6">
      <c r="A2568" s="6" t="s">
        <v>6022</v>
      </c>
      <c r="B2568" s="3" t="s">
        <v>5914</v>
      </c>
      <c r="C2568" s="4" t="s">
        <v>156</v>
      </c>
      <c r="D2568" s="7">
        <v>803.8</v>
      </c>
      <c r="E2568" s="8" t="s">
        <v>7544</v>
      </c>
      <c r="F2568" s="9">
        <v>1</v>
      </c>
    </row>
    <row r="2569" ht="31" spans="1:6">
      <c r="A2569" s="6" t="s">
        <v>6023</v>
      </c>
      <c r="B2569" s="3" t="s">
        <v>5922</v>
      </c>
      <c r="C2569" s="4" t="s">
        <v>156</v>
      </c>
      <c r="D2569" s="7">
        <v>1017.2</v>
      </c>
      <c r="E2569" s="8" t="s">
        <v>7544</v>
      </c>
      <c r="F2569" s="9">
        <v>1</v>
      </c>
    </row>
    <row r="2570" ht="31" spans="1:6">
      <c r="A2570" s="6" t="s">
        <v>6024</v>
      </c>
      <c r="B2570" s="3" t="s">
        <v>5924</v>
      </c>
      <c r="C2570" s="4" t="s">
        <v>156</v>
      </c>
      <c r="D2570" s="7">
        <v>1038.5</v>
      </c>
      <c r="E2570" s="8" t="s">
        <v>7544</v>
      </c>
      <c r="F2570" s="9">
        <v>1</v>
      </c>
    </row>
    <row r="2571" ht="31" spans="1:6">
      <c r="A2571" s="6" t="s">
        <v>6025</v>
      </c>
      <c r="B2571" s="3" t="s">
        <v>5934</v>
      </c>
      <c r="C2571" s="4" t="s">
        <v>156</v>
      </c>
      <c r="D2571" s="7">
        <v>1330.15</v>
      </c>
      <c r="E2571" s="8" t="s">
        <v>7544</v>
      </c>
      <c r="F2571" s="9">
        <v>1</v>
      </c>
    </row>
    <row r="2572" ht="31" spans="1:6">
      <c r="A2572" s="6" t="s">
        <v>6026</v>
      </c>
      <c r="B2572" s="3" t="s">
        <v>5936</v>
      </c>
      <c r="C2572" s="4" t="s">
        <v>156</v>
      </c>
      <c r="D2572" s="7">
        <v>1621.8</v>
      </c>
      <c r="E2572" s="8" t="s">
        <v>7544</v>
      </c>
      <c r="F2572" s="9">
        <v>1</v>
      </c>
    </row>
    <row r="2573" ht="31" spans="1:6">
      <c r="A2573" s="6" t="s">
        <v>6029</v>
      </c>
      <c r="B2573" s="3" t="s">
        <v>6030</v>
      </c>
      <c r="C2573" s="4" t="s">
        <v>156</v>
      </c>
      <c r="D2573" s="7">
        <v>640.2</v>
      </c>
      <c r="E2573" s="8" t="s">
        <v>7544</v>
      </c>
      <c r="F2573" s="9">
        <v>1</v>
      </c>
    </row>
    <row r="2574" ht="31" spans="1:6">
      <c r="A2574" s="6" t="s">
        <v>6031</v>
      </c>
      <c r="B2574" s="3" t="s">
        <v>6032</v>
      </c>
      <c r="C2574" s="4" t="s">
        <v>156</v>
      </c>
      <c r="D2574" s="7">
        <v>761.1</v>
      </c>
      <c r="E2574" s="8" t="s">
        <v>7544</v>
      </c>
      <c r="F2574" s="9">
        <v>1</v>
      </c>
    </row>
    <row r="2575" ht="31" spans="1:6">
      <c r="A2575" s="6" t="s">
        <v>6033</v>
      </c>
      <c r="B2575" s="3" t="s">
        <v>6034</v>
      </c>
      <c r="C2575" s="4" t="s">
        <v>156</v>
      </c>
      <c r="D2575" s="7">
        <v>803.8</v>
      </c>
      <c r="E2575" s="8" t="s">
        <v>7544</v>
      </c>
      <c r="F2575" s="9">
        <v>1</v>
      </c>
    </row>
    <row r="2576" ht="31" spans="1:6">
      <c r="A2576" s="6" t="s">
        <v>6035</v>
      </c>
      <c r="B2576" s="3" t="s">
        <v>6007</v>
      </c>
      <c r="C2576" s="4" t="s">
        <v>156</v>
      </c>
      <c r="D2576" s="7">
        <v>1052.75</v>
      </c>
      <c r="E2576" s="8" t="s">
        <v>7544</v>
      </c>
      <c r="F2576" s="9">
        <v>1</v>
      </c>
    </row>
    <row r="2577" ht="31" spans="1:6">
      <c r="A2577" s="6" t="s">
        <v>6036</v>
      </c>
      <c r="B2577" s="3" t="s">
        <v>6009</v>
      </c>
      <c r="C2577" s="4" t="s">
        <v>156</v>
      </c>
      <c r="D2577" s="7">
        <v>1543.55</v>
      </c>
      <c r="E2577" s="8" t="s">
        <v>7544</v>
      </c>
      <c r="F2577" s="9">
        <v>1</v>
      </c>
    </row>
    <row r="2578" ht="31" spans="1:6">
      <c r="A2578" s="6" t="s">
        <v>6037</v>
      </c>
      <c r="B2578" s="3" t="s">
        <v>6038</v>
      </c>
      <c r="C2578" s="4" t="s">
        <v>156</v>
      </c>
      <c r="D2578" s="7">
        <v>2247.75</v>
      </c>
      <c r="E2578" s="8" t="s">
        <v>7544</v>
      </c>
      <c r="F2578" s="9">
        <v>1</v>
      </c>
    </row>
    <row r="2579" ht="31" spans="1:6">
      <c r="A2579" s="6" t="s">
        <v>6039</v>
      </c>
      <c r="B2579" s="3" t="s">
        <v>6013</v>
      </c>
      <c r="C2579" s="4" t="s">
        <v>156</v>
      </c>
      <c r="D2579" s="7">
        <v>3016</v>
      </c>
      <c r="E2579" s="8" t="s">
        <v>7544</v>
      </c>
      <c r="F2579" s="9">
        <v>1</v>
      </c>
    </row>
    <row r="2580" ht="31" spans="1:6">
      <c r="A2580" s="6" t="s">
        <v>6042</v>
      </c>
      <c r="B2580" s="3" t="s">
        <v>5896</v>
      </c>
      <c r="C2580" s="4" t="s">
        <v>156</v>
      </c>
      <c r="D2580" s="7">
        <v>317.25</v>
      </c>
      <c r="E2580" s="8" t="s">
        <v>7544</v>
      </c>
      <c r="F2580" s="9">
        <v>1</v>
      </c>
    </row>
    <row r="2581" ht="31" spans="1:6">
      <c r="A2581" s="6" t="s">
        <v>6043</v>
      </c>
      <c r="B2581" s="3" t="s">
        <v>5898</v>
      </c>
      <c r="C2581" s="4" t="s">
        <v>156</v>
      </c>
      <c r="D2581" s="7">
        <v>364.2</v>
      </c>
      <c r="E2581" s="8" t="s">
        <v>7544</v>
      </c>
      <c r="F2581" s="9">
        <v>1</v>
      </c>
    </row>
    <row r="2582" ht="31" spans="1:6">
      <c r="A2582" s="6" t="s">
        <v>6044</v>
      </c>
      <c r="B2582" s="3" t="s">
        <v>5900</v>
      </c>
      <c r="C2582" s="4" t="s">
        <v>156</v>
      </c>
      <c r="D2582" s="7">
        <v>395.5</v>
      </c>
      <c r="E2582" s="8" t="s">
        <v>7544</v>
      </c>
      <c r="F2582" s="9">
        <v>1</v>
      </c>
    </row>
    <row r="2583" ht="31" spans="1:6">
      <c r="A2583" s="6" t="s">
        <v>6045</v>
      </c>
      <c r="B2583" s="3" t="s">
        <v>5906</v>
      </c>
      <c r="C2583" s="4" t="s">
        <v>156</v>
      </c>
      <c r="D2583" s="7">
        <v>604.6</v>
      </c>
      <c r="E2583" s="8" t="s">
        <v>7544</v>
      </c>
      <c r="F2583" s="9">
        <v>1</v>
      </c>
    </row>
    <row r="2584" ht="31" spans="1:6">
      <c r="A2584" s="6" t="s">
        <v>6046</v>
      </c>
      <c r="B2584" s="3" t="s">
        <v>5914</v>
      </c>
      <c r="C2584" s="4" t="s">
        <v>156</v>
      </c>
      <c r="D2584" s="7">
        <v>917.6</v>
      </c>
      <c r="E2584" s="8" t="s">
        <v>7544</v>
      </c>
      <c r="F2584" s="9">
        <v>1</v>
      </c>
    </row>
    <row r="2585" ht="31" spans="1:6">
      <c r="A2585" s="6" t="s">
        <v>6047</v>
      </c>
      <c r="B2585" s="3" t="s">
        <v>5924</v>
      </c>
      <c r="C2585" s="4" t="s">
        <v>156</v>
      </c>
      <c r="D2585" s="7">
        <v>1298.85</v>
      </c>
      <c r="E2585" s="8" t="s">
        <v>7544</v>
      </c>
      <c r="F2585" s="9">
        <v>1</v>
      </c>
    </row>
    <row r="2586" ht="31" spans="1:6">
      <c r="A2586" s="6" t="s">
        <v>6048</v>
      </c>
      <c r="B2586" s="3" t="s">
        <v>5936</v>
      </c>
      <c r="C2586" s="4" t="s">
        <v>156</v>
      </c>
      <c r="D2586" s="7">
        <v>1756.95</v>
      </c>
      <c r="E2586" s="8" t="s">
        <v>7544</v>
      </c>
      <c r="F2586" s="9">
        <v>1</v>
      </c>
    </row>
    <row r="2587" ht="31" spans="1:6">
      <c r="A2587" s="6" t="s">
        <v>6051</v>
      </c>
      <c r="B2587" s="3" t="s">
        <v>5896</v>
      </c>
      <c r="C2587" s="4" t="s">
        <v>156</v>
      </c>
      <c r="D2587" s="7">
        <v>270.3</v>
      </c>
      <c r="E2587" s="8" t="s">
        <v>7544</v>
      </c>
      <c r="F2587" s="9">
        <v>1</v>
      </c>
    </row>
    <row r="2588" ht="31" spans="1:6">
      <c r="A2588" s="6" t="s">
        <v>6052</v>
      </c>
      <c r="B2588" s="3" t="s">
        <v>5898</v>
      </c>
      <c r="C2588" s="4" t="s">
        <v>156</v>
      </c>
      <c r="D2588" s="7">
        <v>305.85</v>
      </c>
      <c r="E2588" s="8" t="s">
        <v>7544</v>
      </c>
      <c r="F2588" s="9">
        <v>1</v>
      </c>
    </row>
    <row r="2589" ht="31" spans="1:6">
      <c r="A2589" s="6" t="s">
        <v>6053</v>
      </c>
      <c r="B2589" s="3" t="s">
        <v>5900</v>
      </c>
      <c r="C2589" s="4" t="s">
        <v>156</v>
      </c>
      <c r="D2589" s="7">
        <v>341.45</v>
      </c>
      <c r="E2589" s="8" t="s">
        <v>7544</v>
      </c>
      <c r="F2589" s="9">
        <v>1</v>
      </c>
    </row>
    <row r="2590" ht="31" spans="1:6">
      <c r="A2590" s="6" t="s">
        <v>6054</v>
      </c>
      <c r="B2590" s="3" t="s">
        <v>6055</v>
      </c>
      <c r="C2590" s="4" t="s">
        <v>156</v>
      </c>
      <c r="D2590" s="7">
        <v>369.9</v>
      </c>
      <c r="E2590" s="8" t="s">
        <v>7544</v>
      </c>
      <c r="F2590" s="9">
        <v>1</v>
      </c>
    </row>
    <row r="2591" ht="31" spans="1:6">
      <c r="A2591" s="6" t="s">
        <v>6056</v>
      </c>
      <c r="B2591" s="3" t="s">
        <v>5914</v>
      </c>
      <c r="C2591" s="4" t="s">
        <v>156</v>
      </c>
      <c r="D2591" s="7">
        <v>476.6</v>
      </c>
      <c r="E2591" s="8" t="s">
        <v>7544</v>
      </c>
      <c r="F2591" s="9">
        <v>1</v>
      </c>
    </row>
    <row r="2592" ht="31" spans="1:6">
      <c r="A2592" s="6" t="s">
        <v>6057</v>
      </c>
      <c r="B2592" s="3" t="s">
        <v>5922</v>
      </c>
      <c r="C2592" s="4" t="s">
        <v>156</v>
      </c>
      <c r="D2592" s="7">
        <v>754</v>
      </c>
      <c r="E2592" s="8" t="s">
        <v>7544</v>
      </c>
      <c r="F2592" s="9">
        <v>1</v>
      </c>
    </row>
    <row r="2593" ht="31" spans="1:6">
      <c r="A2593" s="6" t="s">
        <v>6058</v>
      </c>
      <c r="B2593" s="3" t="s">
        <v>5924</v>
      </c>
      <c r="C2593" s="4" t="s">
        <v>156</v>
      </c>
      <c r="D2593" s="7">
        <v>754</v>
      </c>
      <c r="E2593" s="8" t="s">
        <v>7544</v>
      </c>
      <c r="F2593" s="9">
        <v>1</v>
      </c>
    </row>
    <row r="2594" ht="31" spans="1:6">
      <c r="A2594" s="6" t="s">
        <v>6059</v>
      </c>
      <c r="B2594" s="3" t="s">
        <v>5934</v>
      </c>
      <c r="C2594" s="4" t="s">
        <v>156</v>
      </c>
      <c r="D2594" s="7">
        <v>1123.9</v>
      </c>
      <c r="E2594" s="8" t="s">
        <v>7544</v>
      </c>
      <c r="F2594" s="9">
        <v>1</v>
      </c>
    </row>
    <row r="2595" ht="31" spans="1:6">
      <c r="A2595" s="6" t="s">
        <v>6060</v>
      </c>
      <c r="B2595" s="3" t="s">
        <v>5936</v>
      </c>
      <c r="C2595" s="4" t="s">
        <v>156</v>
      </c>
      <c r="D2595" s="7">
        <v>1123.9</v>
      </c>
      <c r="E2595" s="8" t="s">
        <v>7544</v>
      </c>
      <c r="F2595" s="9">
        <v>1</v>
      </c>
    </row>
    <row r="2596" ht="31" spans="1:6">
      <c r="A2596" s="6" t="s">
        <v>6062</v>
      </c>
      <c r="B2596" s="3" t="s">
        <v>6030</v>
      </c>
      <c r="C2596" s="4" t="s">
        <v>156</v>
      </c>
      <c r="D2596" s="7">
        <v>1017.2</v>
      </c>
      <c r="E2596" s="8" t="s">
        <v>7544</v>
      </c>
      <c r="F2596" s="9">
        <v>1</v>
      </c>
    </row>
    <row r="2597" ht="31" spans="1:6">
      <c r="A2597" s="6" t="s">
        <v>6063</v>
      </c>
      <c r="B2597" s="3" t="s">
        <v>6034</v>
      </c>
      <c r="C2597" s="4" t="s">
        <v>156</v>
      </c>
      <c r="D2597" s="7">
        <v>1365.7</v>
      </c>
      <c r="E2597" s="8" t="s">
        <v>7544</v>
      </c>
      <c r="F2597" s="9">
        <v>1</v>
      </c>
    </row>
    <row r="2598" ht="31" spans="1:6">
      <c r="A2598" s="6" t="s">
        <v>6064</v>
      </c>
      <c r="B2598" s="3" t="s">
        <v>6065</v>
      </c>
      <c r="C2598" s="4" t="s">
        <v>156</v>
      </c>
      <c r="D2598" s="7">
        <v>1877.9</v>
      </c>
      <c r="E2598" s="8" t="s">
        <v>7544</v>
      </c>
      <c r="F2598" s="9">
        <v>1</v>
      </c>
    </row>
    <row r="2599" ht="31" spans="1:6">
      <c r="A2599" s="6" t="s">
        <v>6066</v>
      </c>
      <c r="B2599" s="3" t="s">
        <v>6067</v>
      </c>
      <c r="C2599" s="4" t="s">
        <v>156</v>
      </c>
      <c r="D2599" s="7">
        <v>3051.55</v>
      </c>
      <c r="E2599" s="8" t="s">
        <v>7544</v>
      </c>
      <c r="F2599" s="9">
        <v>1</v>
      </c>
    </row>
    <row r="2600" ht="31" spans="1:6">
      <c r="A2600" s="6" t="s">
        <v>6068</v>
      </c>
      <c r="B2600" s="3" t="s">
        <v>6069</v>
      </c>
      <c r="C2600" s="4" t="s">
        <v>156</v>
      </c>
      <c r="D2600" s="7">
        <v>3321.85</v>
      </c>
      <c r="E2600" s="8" t="s">
        <v>7544</v>
      </c>
      <c r="F2600" s="9">
        <v>1</v>
      </c>
    </row>
    <row r="2601" ht="31" spans="1:6">
      <c r="A2601" s="6" t="s">
        <v>6070</v>
      </c>
      <c r="B2601" s="3" t="s">
        <v>6071</v>
      </c>
      <c r="C2601" s="4" t="s">
        <v>156</v>
      </c>
      <c r="D2601" s="7">
        <v>5135.7</v>
      </c>
      <c r="E2601" s="8" t="s">
        <v>7544</v>
      </c>
      <c r="F2601" s="9">
        <v>1</v>
      </c>
    </row>
    <row r="2602" ht="31" spans="1:6">
      <c r="A2602" s="6" t="s">
        <v>6074</v>
      </c>
      <c r="B2602" s="3" t="s">
        <v>5896</v>
      </c>
      <c r="C2602" s="4" t="s">
        <v>156</v>
      </c>
      <c r="D2602" s="7">
        <v>325.8</v>
      </c>
      <c r="E2602" s="8" t="s">
        <v>7544</v>
      </c>
      <c r="F2602" s="9">
        <v>1</v>
      </c>
    </row>
    <row r="2603" ht="31" spans="1:6">
      <c r="A2603" s="6" t="s">
        <v>6075</v>
      </c>
      <c r="B2603" s="3" t="s">
        <v>5898</v>
      </c>
      <c r="C2603" s="4" t="s">
        <v>156</v>
      </c>
      <c r="D2603" s="7">
        <v>355.65</v>
      </c>
      <c r="E2603" s="8" t="s">
        <v>7544</v>
      </c>
      <c r="F2603" s="9">
        <v>1</v>
      </c>
    </row>
    <row r="2604" ht="31" spans="1:6">
      <c r="A2604" s="6" t="s">
        <v>6076</v>
      </c>
      <c r="B2604" s="3" t="s">
        <v>5900</v>
      </c>
      <c r="C2604" s="4" t="s">
        <v>156</v>
      </c>
      <c r="D2604" s="7">
        <v>377</v>
      </c>
      <c r="E2604" s="8" t="s">
        <v>7544</v>
      </c>
      <c r="F2604" s="9">
        <v>1</v>
      </c>
    </row>
    <row r="2605" ht="31" spans="1:6">
      <c r="A2605" s="6" t="s">
        <v>6077</v>
      </c>
      <c r="B2605" s="3" t="s">
        <v>5906</v>
      </c>
      <c r="C2605" s="4" t="s">
        <v>156</v>
      </c>
      <c r="D2605" s="7">
        <v>405.45</v>
      </c>
      <c r="E2605" s="8" t="s">
        <v>7544</v>
      </c>
      <c r="F2605" s="9">
        <v>1</v>
      </c>
    </row>
    <row r="2606" ht="31" spans="1:6">
      <c r="A2606" s="6" t="s">
        <v>6078</v>
      </c>
      <c r="B2606" s="3" t="s">
        <v>5912</v>
      </c>
      <c r="C2606" s="4" t="s">
        <v>156</v>
      </c>
      <c r="D2606" s="7">
        <v>448.15</v>
      </c>
      <c r="E2606" s="8" t="s">
        <v>7544</v>
      </c>
      <c r="F2606" s="9">
        <v>1</v>
      </c>
    </row>
    <row r="2607" ht="31" spans="1:6">
      <c r="A2607" s="6" t="s">
        <v>6079</v>
      </c>
      <c r="B2607" s="3" t="s">
        <v>5914</v>
      </c>
      <c r="C2607" s="4" t="s">
        <v>156</v>
      </c>
      <c r="D2607" s="7">
        <v>448.15</v>
      </c>
      <c r="E2607" s="8" t="s">
        <v>7544</v>
      </c>
      <c r="F2607" s="9">
        <v>1</v>
      </c>
    </row>
    <row r="2608" ht="31" spans="1:6">
      <c r="A2608" s="6" t="s">
        <v>6080</v>
      </c>
      <c r="B2608" s="3" t="s">
        <v>5922</v>
      </c>
      <c r="C2608" s="4" t="s">
        <v>156</v>
      </c>
      <c r="D2608" s="7">
        <v>682.85</v>
      </c>
      <c r="E2608" s="8" t="s">
        <v>7544</v>
      </c>
      <c r="F2608" s="9">
        <v>1</v>
      </c>
    </row>
    <row r="2609" ht="31" spans="1:6">
      <c r="A2609" s="6" t="s">
        <v>6081</v>
      </c>
      <c r="B2609" s="3" t="s">
        <v>5924</v>
      </c>
      <c r="C2609" s="4" t="s">
        <v>156</v>
      </c>
      <c r="D2609" s="7">
        <v>754</v>
      </c>
      <c r="E2609" s="8" t="s">
        <v>7544</v>
      </c>
      <c r="F2609" s="9">
        <v>1</v>
      </c>
    </row>
    <row r="2610" ht="31" spans="1:6">
      <c r="A2610" s="6" t="s">
        <v>6082</v>
      </c>
      <c r="B2610" s="3" t="s">
        <v>5934</v>
      </c>
      <c r="C2610" s="4" t="s">
        <v>156</v>
      </c>
      <c r="D2610" s="7">
        <v>1088.3</v>
      </c>
      <c r="E2610" s="8" t="s">
        <v>7544</v>
      </c>
      <c r="F2610" s="9">
        <v>1</v>
      </c>
    </row>
    <row r="2611" ht="31" spans="1:6">
      <c r="A2611" s="6" t="s">
        <v>6083</v>
      </c>
      <c r="B2611" s="3" t="s">
        <v>5936</v>
      </c>
      <c r="C2611" s="4" t="s">
        <v>156</v>
      </c>
      <c r="D2611" s="7">
        <v>1187.9</v>
      </c>
      <c r="E2611" s="8" t="s">
        <v>7544</v>
      </c>
      <c r="F2611" s="9">
        <v>1</v>
      </c>
    </row>
    <row r="2612" ht="31" spans="1:6">
      <c r="A2612" s="6" t="s">
        <v>6085</v>
      </c>
      <c r="B2612" s="3" t="s">
        <v>6086</v>
      </c>
      <c r="C2612" s="4" t="s">
        <v>156</v>
      </c>
      <c r="D2612" s="7">
        <v>832.25</v>
      </c>
      <c r="E2612" s="8" t="s">
        <v>7544</v>
      </c>
      <c r="F2612" s="9">
        <v>1</v>
      </c>
    </row>
    <row r="2613" ht="31" spans="1:6">
      <c r="A2613" s="6" t="s">
        <v>6087</v>
      </c>
      <c r="B2613" s="3" t="s">
        <v>6088</v>
      </c>
      <c r="C2613" s="4" t="s">
        <v>156</v>
      </c>
      <c r="D2613" s="7">
        <v>1251.95</v>
      </c>
      <c r="E2613" s="8" t="s">
        <v>7544</v>
      </c>
      <c r="F2613" s="9">
        <v>1</v>
      </c>
    </row>
    <row r="2614" ht="31" spans="1:6">
      <c r="A2614" s="6" t="s">
        <v>6089</v>
      </c>
      <c r="B2614" s="3" t="s">
        <v>6065</v>
      </c>
      <c r="C2614" s="4" t="s">
        <v>156</v>
      </c>
      <c r="D2614" s="7">
        <v>1664.5</v>
      </c>
      <c r="E2614" s="8" t="s">
        <v>7544</v>
      </c>
      <c r="F2614" s="9">
        <v>1</v>
      </c>
    </row>
    <row r="2615" ht="31" spans="1:6">
      <c r="A2615" s="6" t="s">
        <v>6090</v>
      </c>
      <c r="B2615" s="3" t="s">
        <v>6067</v>
      </c>
      <c r="C2615" s="4" t="s">
        <v>156</v>
      </c>
      <c r="D2615" s="7">
        <v>2290.45</v>
      </c>
      <c r="E2615" s="8" t="s">
        <v>7544</v>
      </c>
      <c r="F2615" s="9">
        <v>1</v>
      </c>
    </row>
    <row r="2616" ht="31" spans="1:6">
      <c r="A2616" s="6" t="s">
        <v>6091</v>
      </c>
      <c r="B2616" s="3" t="s">
        <v>6069</v>
      </c>
      <c r="C2616" s="4" t="s">
        <v>156</v>
      </c>
      <c r="D2616" s="7">
        <v>4196.8</v>
      </c>
      <c r="E2616" s="8" t="s">
        <v>7544</v>
      </c>
      <c r="F2616" s="9">
        <v>1</v>
      </c>
    </row>
    <row r="2617" ht="31" spans="1:6">
      <c r="A2617" s="6" t="s">
        <v>6092</v>
      </c>
      <c r="B2617" s="3" t="s">
        <v>6093</v>
      </c>
      <c r="C2617" s="4" t="s">
        <v>156</v>
      </c>
      <c r="D2617" s="7">
        <v>4772.95</v>
      </c>
      <c r="E2617" s="8" t="s">
        <v>7544</v>
      </c>
      <c r="F2617" s="9">
        <v>1</v>
      </c>
    </row>
    <row r="2618" ht="15.5" spans="1:6">
      <c r="A2618" s="6" t="s">
        <v>6096</v>
      </c>
      <c r="B2618" s="3" t="s">
        <v>5721</v>
      </c>
      <c r="C2618" s="4" t="s">
        <v>156</v>
      </c>
      <c r="D2618" s="7">
        <v>58.35</v>
      </c>
      <c r="E2618" s="8" t="s">
        <v>7544</v>
      </c>
      <c r="F2618" s="9">
        <v>1</v>
      </c>
    </row>
    <row r="2619" ht="15.5" spans="1:6">
      <c r="A2619" s="6" t="s">
        <v>6097</v>
      </c>
      <c r="B2619" s="3" t="s">
        <v>5723</v>
      </c>
      <c r="C2619" s="4" t="s">
        <v>156</v>
      </c>
      <c r="D2619" s="7">
        <v>85.35</v>
      </c>
      <c r="E2619" s="8" t="s">
        <v>7544</v>
      </c>
      <c r="F2619" s="9">
        <v>1</v>
      </c>
    </row>
    <row r="2620" ht="15.5" spans="1:6">
      <c r="A2620" s="6" t="s">
        <v>6098</v>
      </c>
      <c r="B2620" s="3" t="s">
        <v>5725</v>
      </c>
      <c r="C2620" s="4" t="s">
        <v>156</v>
      </c>
      <c r="D2620" s="7">
        <v>122.35</v>
      </c>
      <c r="E2620" s="8" t="s">
        <v>7544</v>
      </c>
      <c r="F2620" s="9">
        <v>1</v>
      </c>
    </row>
    <row r="2621" ht="15.5" spans="1:6">
      <c r="A2621" s="6" t="s">
        <v>6099</v>
      </c>
      <c r="B2621" s="3" t="s">
        <v>5727</v>
      </c>
      <c r="C2621" s="4" t="s">
        <v>156</v>
      </c>
      <c r="D2621" s="7">
        <v>234.75</v>
      </c>
      <c r="E2621" s="8" t="s">
        <v>7544</v>
      </c>
      <c r="F2621" s="9">
        <v>1</v>
      </c>
    </row>
    <row r="2622" ht="15.5" spans="1:6">
      <c r="A2622" s="6" t="s">
        <v>6100</v>
      </c>
      <c r="B2622" s="3" t="s">
        <v>5729</v>
      </c>
      <c r="C2622" s="4" t="s">
        <v>156</v>
      </c>
      <c r="D2622" s="7">
        <v>342.85</v>
      </c>
      <c r="E2622" s="8" t="s">
        <v>7544</v>
      </c>
      <c r="F2622" s="9">
        <v>1</v>
      </c>
    </row>
    <row r="2623" ht="15.5" spans="1:6">
      <c r="A2623" s="6" t="s">
        <v>6101</v>
      </c>
      <c r="B2623" s="3" t="s">
        <v>5731</v>
      </c>
      <c r="C2623" s="4" t="s">
        <v>156</v>
      </c>
      <c r="D2623" s="7">
        <v>426.8</v>
      </c>
      <c r="E2623" s="8" t="s">
        <v>7544</v>
      </c>
      <c r="F2623" s="9">
        <v>1</v>
      </c>
    </row>
    <row r="2624" ht="15.5" spans="1:6">
      <c r="A2624" s="6" t="s">
        <v>6103</v>
      </c>
      <c r="B2624" s="3" t="s">
        <v>5735</v>
      </c>
      <c r="C2624" s="4" t="s">
        <v>156</v>
      </c>
      <c r="D2624" s="7">
        <v>505.05</v>
      </c>
      <c r="E2624" s="8" t="s">
        <v>7544</v>
      </c>
      <c r="F2624" s="9">
        <v>1</v>
      </c>
    </row>
    <row r="2625" ht="15.5" spans="1:6">
      <c r="A2625" s="6" t="s">
        <v>6104</v>
      </c>
      <c r="B2625" s="3" t="s">
        <v>5737</v>
      </c>
      <c r="C2625" s="4" t="s">
        <v>156</v>
      </c>
      <c r="D2625" s="7">
        <v>654.4</v>
      </c>
      <c r="E2625" s="8" t="s">
        <v>7544</v>
      </c>
      <c r="F2625" s="9">
        <v>1</v>
      </c>
    </row>
    <row r="2626" ht="15.5" spans="1:6">
      <c r="A2626" s="6" t="s">
        <v>6105</v>
      </c>
      <c r="B2626" s="3" t="s">
        <v>5739</v>
      </c>
      <c r="C2626" s="4" t="s">
        <v>156</v>
      </c>
      <c r="D2626" s="7">
        <v>818</v>
      </c>
      <c r="E2626" s="8" t="s">
        <v>7544</v>
      </c>
      <c r="F2626" s="9">
        <v>1</v>
      </c>
    </row>
    <row r="2627" ht="15.5" spans="1:6">
      <c r="A2627" s="6" t="s">
        <v>6106</v>
      </c>
      <c r="B2627" s="3" t="s">
        <v>5741</v>
      </c>
      <c r="C2627" s="4" t="s">
        <v>156</v>
      </c>
      <c r="D2627" s="7">
        <v>1145.25</v>
      </c>
      <c r="E2627" s="8" t="s">
        <v>7544</v>
      </c>
      <c r="F2627" s="9">
        <v>1</v>
      </c>
    </row>
    <row r="2628" ht="15.5" spans="1:6">
      <c r="A2628" s="6" t="s">
        <v>6107</v>
      </c>
      <c r="B2628" s="3" t="s">
        <v>5743</v>
      </c>
      <c r="C2628" s="4" t="s">
        <v>156</v>
      </c>
      <c r="D2628" s="7">
        <v>2489.6</v>
      </c>
      <c r="E2628" s="8" t="s">
        <v>7544</v>
      </c>
      <c r="F2628" s="9">
        <v>1</v>
      </c>
    </row>
    <row r="2629" ht="15.5" spans="1:6">
      <c r="A2629" s="6" t="s">
        <v>6108</v>
      </c>
      <c r="B2629" s="3" t="s">
        <v>5745</v>
      </c>
      <c r="C2629" s="4" t="s">
        <v>156</v>
      </c>
      <c r="D2629" s="7">
        <v>2738.55</v>
      </c>
      <c r="E2629" s="8" t="s">
        <v>7544</v>
      </c>
      <c r="F2629" s="9">
        <v>1</v>
      </c>
    </row>
    <row r="2630" ht="15.5" spans="1:6">
      <c r="A2630" s="6" t="s">
        <v>6111</v>
      </c>
      <c r="B2630" s="3" t="s">
        <v>5721</v>
      </c>
      <c r="C2630" s="4" t="s">
        <v>156</v>
      </c>
      <c r="D2630" s="7">
        <v>136.55</v>
      </c>
      <c r="E2630" s="8" t="s">
        <v>7544</v>
      </c>
      <c r="F2630" s="9">
        <v>1</v>
      </c>
    </row>
    <row r="2631" ht="15.5" spans="1:6">
      <c r="A2631" s="6" t="s">
        <v>6112</v>
      </c>
      <c r="B2631" s="3" t="s">
        <v>5723</v>
      </c>
      <c r="C2631" s="4" t="s">
        <v>156</v>
      </c>
      <c r="D2631" s="7">
        <v>240.45</v>
      </c>
      <c r="E2631" s="8" t="s">
        <v>7544</v>
      </c>
      <c r="F2631" s="9">
        <v>1</v>
      </c>
    </row>
    <row r="2632" ht="15.5" spans="1:6">
      <c r="A2632" s="6" t="s">
        <v>6113</v>
      </c>
      <c r="B2632" s="3" t="s">
        <v>5725</v>
      </c>
      <c r="C2632" s="4" t="s">
        <v>156</v>
      </c>
      <c r="D2632" s="7">
        <v>386.95</v>
      </c>
      <c r="E2632" s="8" t="s">
        <v>7544</v>
      </c>
      <c r="F2632" s="9">
        <v>1</v>
      </c>
    </row>
    <row r="2633" ht="15.5" spans="1:6">
      <c r="A2633" s="6" t="s">
        <v>6115</v>
      </c>
      <c r="B2633" s="3" t="s">
        <v>5735</v>
      </c>
      <c r="C2633" s="4" t="s">
        <v>156</v>
      </c>
      <c r="D2633" s="7">
        <v>654.4</v>
      </c>
      <c r="E2633" s="8" t="s">
        <v>7544</v>
      </c>
      <c r="F2633" s="9">
        <v>1</v>
      </c>
    </row>
    <row r="2634" ht="15.5" spans="1:6">
      <c r="A2634" s="6" t="s">
        <v>6116</v>
      </c>
      <c r="B2634" s="3" t="s">
        <v>5737</v>
      </c>
      <c r="C2634" s="4" t="s">
        <v>156</v>
      </c>
      <c r="D2634" s="7">
        <v>1764.1</v>
      </c>
      <c r="E2634" s="8" t="s">
        <v>7544</v>
      </c>
      <c r="F2634" s="9">
        <v>1</v>
      </c>
    </row>
    <row r="2635" ht="15.5" spans="1:6">
      <c r="A2635" s="6" t="s">
        <v>6117</v>
      </c>
      <c r="B2635" s="3" t="s">
        <v>5739</v>
      </c>
      <c r="C2635" s="4" t="s">
        <v>156</v>
      </c>
      <c r="D2635" s="7">
        <v>2425.6</v>
      </c>
      <c r="E2635" s="8" t="s">
        <v>7544</v>
      </c>
      <c r="F2635" s="9">
        <v>1</v>
      </c>
    </row>
    <row r="2636" ht="31" spans="1:6">
      <c r="A2636" s="6" t="s">
        <v>6120</v>
      </c>
      <c r="B2636" s="3" t="s">
        <v>6086</v>
      </c>
      <c r="C2636" s="4" t="s">
        <v>156</v>
      </c>
      <c r="D2636" s="7">
        <v>1408.4</v>
      </c>
      <c r="E2636" s="8" t="s">
        <v>7544</v>
      </c>
      <c r="F2636" s="9">
        <v>1</v>
      </c>
    </row>
    <row r="2637" ht="31" spans="1:6">
      <c r="A2637" s="6" t="s">
        <v>6121</v>
      </c>
      <c r="B2637" s="3" t="s">
        <v>6122</v>
      </c>
      <c r="C2637" s="4" t="s">
        <v>156</v>
      </c>
      <c r="D2637" s="7">
        <v>1422.65</v>
      </c>
      <c r="E2637" s="8" t="s">
        <v>7544</v>
      </c>
      <c r="F2637" s="9">
        <v>1</v>
      </c>
    </row>
    <row r="2638" ht="31" spans="1:6">
      <c r="A2638" s="6" t="s">
        <v>6123</v>
      </c>
      <c r="B2638" s="3" t="s">
        <v>6088</v>
      </c>
      <c r="C2638" s="4" t="s">
        <v>156</v>
      </c>
      <c r="D2638" s="7">
        <v>1628.9</v>
      </c>
      <c r="E2638" s="8" t="s">
        <v>7544</v>
      </c>
      <c r="F2638" s="9">
        <v>1</v>
      </c>
    </row>
    <row r="2639" ht="31" spans="1:6">
      <c r="A2639" s="6" t="s">
        <v>6124</v>
      </c>
      <c r="B2639" s="3" t="s">
        <v>6065</v>
      </c>
      <c r="C2639" s="4" t="s">
        <v>156</v>
      </c>
      <c r="D2639" s="7">
        <v>2873.7</v>
      </c>
      <c r="E2639" s="8" t="s">
        <v>7544</v>
      </c>
      <c r="F2639" s="9">
        <v>1</v>
      </c>
    </row>
    <row r="2640" ht="31" spans="1:6">
      <c r="A2640" s="6" t="s">
        <v>6125</v>
      </c>
      <c r="B2640" s="3" t="s">
        <v>6067</v>
      </c>
      <c r="C2640" s="4" t="s">
        <v>156</v>
      </c>
      <c r="D2640" s="7">
        <v>3001.75</v>
      </c>
      <c r="E2640" s="8" t="s">
        <v>7544</v>
      </c>
      <c r="F2640" s="9">
        <v>1</v>
      </c>
    </row>
    <row r="2641" ht="31" spans="1:6">
      <c r="A2641" s="6" t="s">
        <v>6126</v>
      </c>
      <c r="B2641" s="3" t="s">
        <v>6069</v>
      </c>
      <c r="C2641" s="4" t="s">
        <v>156</v>
      </c>
      <c r="D2641" s="7">
        <v>3385.85</v>
      </c>
      <c r="E2641" s="8" t="s">
        <v>7544</v>
      </c>
      <c r="F2641" s="9">
        <v>1</v>
      </c>
    </row>
    <row r="2642" ht="31" spans="1:6">
      <c r="A2642" s="6" t="s">
        <v>6127</v>
      </c>
      <c r="B2642" s="3" t="s">
        <v>6071</v>
      </c>
      <c r="C2642" s="4" t="s">
        <v>156</v>
      </c>
      <c r="D2642" s="7">
        <v>5861.25</v>
      </c>
      <c r="E2642" s="8" t="s">
        <v>7544</v>
      </c>
      <c r="F2642" s="9">
        <v>1</v>
      </c>
    </row>
    <row r="2643" ht="31" spans="1:6">
      <c r="A2643" s="6" t="s">
        <v>6130</v>
      </c>
      <c r="B2643" s="3" t="s">
        <v>6034</v>
      </c>
      <c r="C2643" s="4" t="s">
        <v>156</v>
      </c>
      <c r="D2643" s="7">
        <v>1508</v>
      </c>
      <c r="E2643" s="8" t="s">
        <v>7544</v>
      </c>
      <c r="F2643" s="9">
        <v>1</v>
      </c>
    </row>
    <row r="2644" ht="31" spans="1:6">
      <c r="A2644" s="6" t="s">
        <v>6131</v>
      </c>
      <c r="B2644" s="3" t="s">
        <v>6065</v>
      </c>
      <c r="C2644" s="4" t="s">
        <v>156</v>
      </c>
      <c r="D2644" s="7">
        <v>2034.35</v>
      </c>
      <c r="E2644" s="8" t="s">
        <v>7544</v>
      </c>
      <c r="F2644" s="9">
        <v>1</v>
      </c>
    </row>
    <row r="2645" ht="31" spans="1:6">
      <c r="A2645" s="6" t="s">
        <v>6134</v>
      </c>
      <c r="B2645" s="3" t="s">
        <v>6086</v>
      </c>
      <c r="C2645" s="4" t="s">
        <v>156</v>
      </c>
      <c r="D2645" s="7">
        <v>1031.4</v>
      </c>
      <c r="E2645" s="8" t="s">
        <v>7544</v>
      </c>
      <c r="F2645" s="9">
        <v>1</v>
      </c>
    </row>
    <row r="2646" ht="31" spans="1:6">
      <c r="A2646" s="6" t="s">
        <v>6135</v>
      </c>
      <c r="B2646" s="3" t="s">
        <v>6122</v>
      </c>
      <c r="C2646" s="4" t="s">
        <v>156</v>
      </c>
      <c r="D2646" s="7">
        <v>1379.95</v>
      </c>
      <c r="E2646" s="8" t="s">
        <v>7544</v>
      </c>
      <c r="F2646" s="9">
        <v>1</v>
      </c>
    </row>
    <row r="2647" ht="31" spans="1:6">
      <c r="A2647" s="6" t="s">
        <v>6136</v>
      </c>
      <c r="B2647" s="3" t="s">
        <v>6088</v>
      </c>
      <c r="C2647" s="4" t="s">
        <v>156</v>
      </c>
      <c r="D2647" s="7">
        <v>1429.75</v>
      </c>
      <c r="E2647" s="8" t="s">
        <v>7544</v>
      </c>
      <c r="F2647" s="9">
        <v>1</v>
      </c>
    </row>
    <row r="2648" ht="15.5" spans="1:6">
      <c r="A2648" s="6" t="s">
        <v>204</v>
      </c>
      <c r="B2648" s="12" t="s">
        <v>2</v>
      </c>
      <c r="C2648" s="4" t="s">
        <v>3</v>
      </c>
      <c r="D2648" s="14" t="s">
        <v>4</v>
      </c>
      <c r="E2648" s="8"/>
      <c r="F2648" s="9"/>
    </row>
    <row r="2649" ht="15.5" spans="1:6">
      <c r="A2649" s="6" t="s">
        <v>6142</v>
      </c>
      <c r="B2649" s="3" t="s">
        <v>2847</v>
      </c>
      <c r="C2649" s="4" t="s">
        <v>49</v>
      </c>
      <c r="D2649" s="7">
        <v>443.6</v>
      </c>
      <c r="E2649" s="8" t="s">
        <v>7534</v>
      </c>
      <c r="F2649" s="9">
        <v>30</v>
      </c>
    </row>
    <row r="2650" ht="15.5" spans="1:6">
      <c r="A2650" s="6" t="s">
        <v>6143</v>
      </c>
      <c r="B2650" s="3" t="s">
        <v>2849</v>
      </c>
      <c r="C2650" s="4" t="s">
        <v>49</v>
      </c>
      <c r="D2650" s="7">
        <v>695.8</v>
      </c>
      <c r="E2650" s="8" t="s">
        <v>7534</v>
      </c>
      <c r="F2650" s="9">
        <v>30</v>
      </c>
    </row>
    <row r="2651" ht="15.5" spans="1:6">
      <c r="A2651" s="6" t="s">
        <v>6144</v>
      </c>
      <c r="B2651" s="3" t="s">
        <v>5166</v>
      </c>
      <c r="C2651" s="4" t="s">
        <v>49</v>
      </c>
      <c r="D2651" s="7">
        <v>970.35</v>
      </c>
      <c r="E2651" s="8" t="s">
        <v>7534</v>
      </c>
      <c r="F2651" s="9">
        <v>30</v>
      </c>
    </row>
    <row r="2652" ht="15.5" spans="1:6">
      <c r="A2652" s="6" t="s">
        <v>6145</v>
      </c>
      <c r="B2652" s="3" t="s">
        <v>5170</v>
      </c>
      <c r="C2652" s="4" t="s">
        <v>49</v>
      </c>
      <c r="D2652" s="7">
        <v>1505.6</v>
      </c>
      <c r="E2652" s="8" t="s">
        <v>7534</v>
      </c>
      <c r="F2652" s="9">
        <v>30</v>
      </c>
    </row>
    <row r="2653" ht="15.5" spans="1:6">
      <c r="A2653" s="6" t="s">
        <v>6146</v>
      </c>
      <c r="B2653" s="3" t="s">
        <v>5174</v>
      </c>
      <c r="C2653" s="4" t="s">
        <v>49</v>
      </c>
      <c r="D2653" s="7">
        <v>2064.15</v>
      </c>
      <c r="E2653" s="8" t="s">
        <v>7534</v>
      </c>
      <c r="F2653" s="9">
        <v>30</v>
      </c>
    </row>
    <row r="2654" ht="15.5" spans="1:6">
      <c r="A2654" s="6" t="s">
        <v>6149</v>
      </c>
      <c r="B2654" s="3" t="s">
        <v>6150</v>
      </c>
      <c r="C2654" s="4" t="s">
        <v>49</v>
      </c>
      <c r="D2654" s="7">
        <v>964.75</v>
      </c>
      <c r="E2654" s="8" t="s">
        <v>7388</v>
      </c>
      <c r="F2654" s="9">
        <v>10</v>
      </c>
    </row>
    <row r="2655" ht="15.5" spans="1:6">
      <c r="A2655" s="6" t="s">
        <v>6151</v>
      </c>
      <c r="B2655" s="3" t="s">
        <v>6152</v>
      </c>
      <c r="C2655" s="4" t="s">
        <v>49</v>
      </c>
      <c r="D2655" s="7">
        <v>1179.85</v>
      </c>
      <c r="E2655" s="8" t="s">
        <v>7388</v>
      </c>
      <c r="F2655" s="9">
        <v>10</v>
      </c>
    </row>
    <row r="2656" ht="15.5" spans="1:6">
      <c r="A2656" s="6" t="s">
        <v>6153</v>
      </c>
      <c r="B2656" s="3" t="s">
        <v>6154</v>
      </c>
      <c r="C2656" s="4" t="s">
        <v>49</v>
      </c>
      <c r="D2656" s="7">
        <v>1375.45</v>
      </c>
      <c r="E2656" s="8" t="s">
        <v>7388</v>
      </c>
      <c r="F2656" s="9">
        <v>10</v>
      </c>
    </row>
    <row r="2657" ht="15.5" spans="1:6">
      <c r="A2657" s="6" t="s">
        <v>6155</v>
      </c>
      <c r="B2657" s="3" t="s">
        <v>6156</v>
      </c>
      <c r="C2657" s="4" t="s">
        <v>49</v>
      </c>
      <c r="D2657" s="7">
        <v>1590.55</v>
      </c>
      <c r="E2657" s="8" t="s">
        <v>7388</v>
      </c>
      <c r="F2657" s="9">
        <v>10</v>
      </c>
    </row>
    <row r="2658" ht="15.5" spans="1:6">
      <c r="A2658" s="6" t="s">
        <v>6159</v>
      </c>
      <c r="B2658" s="3" t="s">
        <v>6150</v>
      </c>
      <c r="C2658" s="4" t="s">
        <v>49</v>
      </c>
      <c r="D2658" s="7">
        <v>458.5</v>
      </c>
      <c r="E2658" s="8" t="s">
        <v>7556</v>
      </c>
      <c r="F2658" s="9">
        <v>100</v>
      </c>
    </row>
    <row r="2659" ht="15.5" spans="1:6">
      <c r="A2659" s="6" t="s">
        <v>6160</v>
      </c>
      <c r="B2659" s="3" t="s">
        <v>6152</v>
      </c>
      <c r="C2659" s="4" t="s">
        <v>49</v>
      </c>
      <c r="D2659" s="7">
        <v>743.1</v>
      </c>
      <c r="E2659" s="8" t="s">
        <v>7388</v>
      </c>
      <c r="F2659" s="9">
        <v>10</v>
      </c>
    </row>
    <row r="2660" ht="15.5" spans="1:6">
      <c r="A2660" s="6" t="s">
        <v>6161</v>
      </c>
      <c r="B2660" s="3" t="s">
        <v>6154</v>
      </c>
      <c r="C2660" s="4" t="s">
        <v>49</v>
      </c>
      <c r="D2660" s="7">
        <v>873.5</v>
      </c>
      <c r="E2660" s="8" t="s">
        <v>7388</v>
      </c>
      <c r="F2660" s="9">
        <v>10</v>
      </c>
    </row>
    <row r="2661" ht="15.5" spans="1:6">
      <c r="A2661" s="6" t="s">
        <v>6162</v>
      </c>
      <c r="B2661" s="3" t="s">
        <v>6156</v>
      </c>
      <c r="C2661" s="4" t="s">
        <v>49</v>
      </c>
      <c r="D2661" s="7">
        <v>1016.9</v>
      </c>
      <c r="E2661" s="8" t="s">
        <v>7388</v>
      </c>
      <c r="F2661" s="9">
        <v>10</v>
      </c>
    </row>
    <row r="2662" ht="15.5" spans="1:6">
      <c r="A2662" s="6" t="s">
        <v>6163</v>
      </c>
      <c r="B2662" s="3" t="s">
        <v>6164</v>
      </c>
      <c r="C2662" s="4" t="s">
        <v>49</v>
      </c>
      <c r="D2662" s="7">
        <v>1173.35</v>
      </c>
      <c r="E2662" s="8" t="s">
        <v>7388</v>
      </c>
      <c r="F2662" s="9">
        <v>10</v>
      </c>
    </row>
    <row r="2663" ht="31" spans="1:6">
      <c r="A2663" s="6" t="s">
        <v>6169</v>
      </c>
      <c r="B2663" s="3" t="s">
        <v>3960</v>
      </c>
      <c r="C2663" s="4" t="s">
        <v>156</v>
      </c>
      <c r="D2663" s="7">
        <v>2707.65</v>
      </c>
      <c r="E2663" s="8" t="s">
        <v>7544</v>
      </c>
      <c r="F2663" s="9">
        <v>1</v>
      </c>
    </row>
    <row r="2664" ht="15.5" spans="1:6">
      <c r="A2664" s="6" t="s">
        <v>6170</v>
      </c>
      <c r="B2664" s="3" t="s">
        <v>6171</v>
      </c>
      <c r="C2664" s="4" t="s">
        <v>156</v>
      </c>
      <c r="D2664" s="7">
        <v>2685.2</v>
      </c>
      <c r="E2664" s="8" t="s">
        <v>7544</v>
      </c>
      <c r="F2664" s="9">
        <v>1</v>
      </c>
    </row>
    <row r="2665" ht="31" spans="1:6">
      <c r="A2665" s="6" t="s">
        <v>6174</v>
      </c>
      <c r="B2665" s="3" t="s">
        <v>3960</v>
      </c>
      <c r="C2665" s="4" t="s">
        <v>156</v>
      </c>
      <c r="D2665" s="7">
        <v>2734.2</v>
      </c>
      <c r="E2665" s="8" t="s">
        <v>7544</v>
      </c>
      <c r="F2665" s="9">
        <v>1</v>
      </c>
    </row>
    <row r="2666" ht="15.5" spans="1:6">
      <c r="A2666" s="6" t="s">
        <v>6175</v>
      </c>
      <c r="B2666" s="3" t="s">
        <v>6176</v>
      </c>
      <c r="C2666" s="4" t="s">
        <v>156</v>
      </c>
      <c r="D2666" s="7">
        <v>2711.7</v>
      </c>
      <c r="E2666" s="8" t="s">
        <v>7544</v>
      </c>
      <c r="F2666" s="9">
        <v>1</v>
      </c>
    </row>
    <row r="2667" ht="31" spans="1:6">
      <c r="A2667" s="6" t="s">
        <v>6179</v>
      </c>
      <c r="B2667" s="3" t="s">
        <v>3960</v>
      </c>
      <c r="C2667" s="4" t="s">
        <v>156</v>
      </c>
      <c r="D2667" s="7">
        <v>2802.15</v>
      </c>
      <c r="E2667" s="8" t="s">
        <v>7544</v>
      </c>
      <c r="F2667" s="9">
        <v>1</v>
      </c>
    </row>
    <row r="2668" ht="15.5" spans="1:6">
      <c r="A2668" s="6" t="s">
        <v>6180</v>
      </c>
      <c r="B2668" s="3" t="s">
        <v>6171</v>
      </c>
      <c r="C2668" s="4" t="s">
        <v>156</v>
      </c>
      <c r="D2668" s="7">
        <v>2779.65</v>
      </c>
      <c r="E2668" s="8" t="s">
        <v>7544</v>
      </c>
      <c r="F2668" s="9">
        <v>1</v>
      </c>
    </row>
    <row r="2669" ht="15.5" spans="1:6">
      <c r="A2669" s="6" t="s">
        <v>6183</v>
      </c>
      <c r="B2669" s="3" t="s">
        <v>2847</v>
      </c>
      <c r="C2669" s="4" t="s">
        <v>49</v>
      </c>
      <c r="D2669" s="7">
        <v>89</v>
      </c>
      <c r="E2669" s="8" t="s">
        <v>7388</v>
      </c>
      <c r="F2669" s="9">
        <v>10</v>
      </c>
    </row>
    <row r="2670" ht="15.5" spans="1:6">
      <c r="A2670" s="6" t="s">
        <v>6184</v>
      </c>
      <c r="B2670" s="3" t="s">
        <v>2849</v>
      </c>
      <c r="C2670" s="4" t="s">
        <v>49</v>
      </c>
      <c r="D2670" s="7">
        <v>98.45</v>
      </c>
      <c r="E2670" s="8" t="s">
        <v>7388</v>
      </c>
      <c r="F2670" s="9">
        <v>10</v>
      </c>
    </row>
    <row r="2671" ht="15.5" spans="1:6">
      <c r="A2671" s="6" t="s">
        <v>6185</v>
      </c>
      <c r="B2671" s="3" t="s">
        <v>5166</v>
      </c>
      <c r="C2671" s="4" t="s">
        <v>49</v>
      </c>
      <c r="D2671" s="7">
        <v>104.7</v>
      </c>
      <c r="E2671" s="8" t="s">
        <v>7388</v>
      </c>
      <c r="F2671" s="9">
        <v>10</v>
      </c>
    </row>
    <row r="2672" ht="15.5" spans="1:6">
      <c r="A2672" s="6" t="s">
        <v>6186</v>
      </c>
      <c r="B2672" s="3" t="s">
        <v>5170</v>
      </c>
      <c r="C2672" s="4" t="s">
        <v>49</v>
      </c>
      <c r="D2672" s="7">
        <v>111</v>
      </c>
      <c r="E2672" s="8" t="s">
        <v>7388</v>
      </c>
      <c r="F2672" s="9">
        <v>10</v>
      </c>
    </row>
    <row r="2673" ht="15.5" spans="1:6">
      <c r="A2673" s="6" t="s">
        <v>6187</v>
      </c>
      <c r="B2673" s="3" t="s">
        <v>5174</v>
      </c>
      <c r="C2673" s="4" t="s">
        <v>49</v>
      </c>
      <c r="D2673" s="7">
        <v>117.25</v>
      </c>
      <c r="E2673" s="8" t="s">
        <v>7388</v>
      </c>
      <c r="F2673" s="9">
        <v>10</v>
      </c>
    </row>
    <row r="2674" ht="15.5" spans="1:6">
      <c r="A2674" s="6" t="s">
        <v>6188</v>
      </c>
      <c r="B2674" s="3" t="s">
        <v>6189</v>
      </c>
      <c r="C2674" s="4" t="s">
        <v>49</v>
      </c>
      <c r="D2674" s="7">
        <v>135.05</v>
      </c>
      <c r="E2674" s="8" t="s">
        <v>7388</v>
      </c>
      <c r="F2674" s="9">
        <v>10</v>
      </c>
    </row>
    <row r="2675" ht="15.5" spans="1:6">
      <c r="A2675" s="6" t="s">
        <v>6190</v>
      </c>
      <c r="B2675" s="3" t="s">
        <v>6191</v>
      </c>
      <c r="C2675" s="4" t="s">
        <v>49</v>
      </c>
      <c r="D2675" s="7">
        <v>147.65</v>
      </c>
      <c r="E2675" s="8" t="s">
        <v>7388</v>
      </c>
      <c r="F2675" s="9">
        <v>10</v>
      </c>
    </row>
    <row r="2676" ht="15.5" spans="1:6">
      <c r="A2676" s="6" t="s">
        <v>6192</v>
      </c>
      <c r="B2676" s="3" t="s">
        <v>6193</v>
      </c>
      <c r="C2676" s="4" t="s">
        <v>49</v>
      </c>
      <c r="D2676" s="7">
        <v>153.9</v>
      </c>
      <c r="E2676" s="8" t="s">
        <v>7388</v>
      </c>
      <c r="F2676" s="9">
        <v>10</v>
      </c>
    </row>
    <row r="2677" ht="15.5" spans="1:6">
      <c r="A2677" s="6" t="s">
        <v>6196</v>
      </c>
      <c r="B2677" s="3" t="s">
        <v>6197</v>
      </c>
      <c r="C2677" s="4" t="s">
        <v>49</v>
      </c>
      <c r="D2677" s="7">
        <v>507.05</v>
      </c>
      <c r="E2677" s="8" t="s">
        <v>7388</v>
      </c>
      <c r="F2677" s="9">
        <v>10</v>
      </c>
    </row>
    <row r="2678" ht="15.5" spans="1:6">
      <c r="A2678" s="6" t="s">
        <v>6198</v>
      </c>
      <c r="B2678" s="3" t="s">
        <v>6199</v>
      </c>
      <c r="C2678" s="4" t="s">
        <v>49</v>
      </c>
      <c r="D2678" s="7">
        <v>556.45</v>
      </c>
      <c r="E2678" s="8" t="s">
        <v>7388</v>
      </c>
      <c r="F2678" s="9">
        <v>10</v>
      </c>
    </row>
    <row r="2679" ht="15.5" spans="1:6">
      <c r="A2679" s="6" t="s">
        <v>6200</v>
      </c>
      <c r="B2679" s="3" t="s">
        <v>6201</v>
      </c>
      <c r="C2679" s="4" t="s">
        <v>49</v>
      </c>
      <c r="D2679" s="7">
        <v>899.8</v>
      </c>
      <c r="E2679" s="8" t="s">
        <v>7388</v>
      </c>
      <c r="F2679" s="9">
        <v>10</v>
      </c>
    </row>
    <row r="2680" ht="15.5" spans="1:6">
      <c r="A2680" s="6" t="s">
        <v>6202</v>
      </c>
      <c r="B2680" s="3" t="s">
        <v>6203</v>
      </c>
      <c r="C2680" s="4" t="s">
        <v>49</v>
      </c>
      <c r="D2680" s="7">
        <v>994.3</v>
      </c>
      <c r="E2680" s="8" t="s">
        <v>7388</v>
      </c>
      <c r="F2680" s="9">
        <v>10</v>
      </c>
    </row>
    <row r="2681" ht="15.5" spans="1:6">
      <c r="A2681" s="6" t="s">
        <v>6204</v>
      </c>
      <c r="B2681" s="3" t="s">
        <v>6205</v>
      </c>
      <c r="C2681" s="4" t="s">
        <v>49</v>
      </c>
      <c r="D2681" s="7">
        <v>1620.95</v>
      </c>
      <c r="E2681" s="8" t="s">
        <v>7388</v>
      </c>
      <c r="F2681" s="9">
        <v>10</v>
      </c>
    </row>
    <row r="2682" ht="15.5" spans="1:6">
      <c r="A2682" s="6" t="s">
        <v>6206</v>
      </c>
      <c r="B2682" s="3" t="s">
        <v>6207</v>
      </c>
      <c r="C2682" s="4" t="s">
        <v>49</v>
      </c>
      <c r="D2682" s="7">
        <v>1918.9</v>
      </c>
      <c r="E2682" s="8" t="s">
        <v>7388</v>
      </c>
      <c r="F2682" s="9">
        <v>10</v>
      </c>
    </row>
    <row r="2683" ht="15.5" spans="1:6">
      <c r="A2683" s="6" t="s">
        <v>6208</v>
      </c>
      <c r="B2683" s="3" t="s">
        <v>6209</v>
      </c>
      <c r="C2683" s="4" t="s">
        <v>49</v>
      </c>
      <c r="D2683" s="7">
        <v>2243.4</v>
      </c>
      <c r="E2683" s="8" t="s">
        <v>7388</v>
      </c>
      <c r="F2683" s="9">
        <v>10</v>
      </c>
    </row>
    <row r="2684" ht="15.5" spans="1:6">
      <c r="A2684" s="6" t="s">
        <v>6210</v>
      </c>
      <c r="B2684" s="3" t="s">
        <v>6211</v>
      </c>
      <c r="C2684" s="4" t="s">
        <v>49</v>
      </c>
      <c r="D2684" s="7">
        <v>2932.5</v>
      </c>
      <c r="E2684" s="8" t="s">
        <v>7388</v>
      </c>
      <c r="F2684" s="9">
        <v>10</v>
      </c>
    </row>
    <row r="2685" ht="15.5" spans="1:6">
      <c r="A2685" s="6" t="s">
        <v>6212</v>
      </c>
      <c r="B2685" s="3" t="s">
        <v>6213</v>
      </c>
      <c r="C2685" s="4" t="s">
        <v>49</v>
      </c>
      <c r="D2685" s="7">
        <v>3511.95</v>
      </c>
      <c r="E2685" s="8" t="s">
        <v>7388</v>
      </c>
      <c r="F2685" s="9">
        <v>10</v>
      </c>
    </row>
    <row r="2686" ht="15.5" spans="1:6">
      <c r="A2686" s="6" t="s">
        <v>6214</v>
      </c>
      <c r="B2686" s="3" t="s">
        <v>6215</v>
      </c>
      <c r="C2686" s="4" t="s">
        <v>49</v>
      </c>
      <c r="D2686" s="7">
        <v>4750.85</v>
      </c>
      <c r="E2686" s="8" t="s">
        <v>7388</v>
      </c>
      <c r="F2686" s="9">
        <v>10</v>
      </c>
    </row>
    <row r="2687" ht="15.5" spans="1:6">
      <c r="A2687" s="6" t="s">
        <v>6216</v>
      </c>
      <c r="B2687" s="3" t="s">
        <v>6217</v>
      </c>
      <c r="C2687" s="4" t="s">
        <v>49</v>
      </c>
      <c r="D2687" s="7">
        <v>5562.6</v>
      </c>
      <c r="E2687" s="8" t="s">
        <v>7388</v>
      </c>
      <c r="F2687" s="9">
        <v>10</v>
      </c>
    </row>
    <row r="2688" ht="15.5" spans="1:6">
      <c r="A2688" s="6" t="s">
        <v>6218</v>
      </c>
      <c r="B2688" s="3" t="s">
        <v>6219</v>
      </c>
      <c r="C2688" s="4" t="s">
        <v>49</v>
      </c>
      <c r="D2688" s="7">
        <v>6276.6</v>
      </c>
      <c r="E2688" s="8" t="s">
        <v>7388</v>
      </c>
      <c r="F2688" s="9">
        <v>10</v>
      </c>
    </row>
    <row r="2689" ht="15.5" spans="1:6">
      <c r="A2689" s="6" t="s">
        <v>6220</v>
      </c>
      <c r="B2689" s="3" t="s">
        <v>6221</v>
      </c>
      <c r="C2689" s="4" t="s">
        <v>49</v>
      </c>
      <c r="D2689" s="7">
        <v>7102.15</v>
      </c>
      <c r="E2689" s="8" t="s">
        <v>7388</v>
      </c>
      <c r="F2689" s="9">
        <v>10</v>
      </c>
    </row>
    <row r="2690" ht="31" spans="1:6">
      <c r="A2690" s="6" t="s">
        <v>6226</v>
      </c>
      <c r="B2690" s="3" t="s">
        <v>3960</v>
      </c>
      <c r="C2690" s="4" t="s">
        <v>156</v>
      </c>
      <c r="D2690" s="7">
        <v>12770.55</v>
      </c>
      <c r="E2690" s="8" t="s">
        <v>7544</v>
      </c>
      <c r="F2690" s="9">
        <v>1</v>
      </c>
    </row>
    <row r="2691" ht="15.5" spans="1:6">
      <c r="A2691" s="6" t="s">
        <v>6227</v>
      </c>
      <c r="B2691" s="3" t="s">
        <v>6171</v>
      </c>
      <c r="C2691" s="4" t="s">
        <v>156</v>
      </c>
      <c r="D2691" s="7">
        <v>12711.8</v>
      </c>
      <c r="E2691" s="8" t="s">
        <v>7544</v>
      </c>
      <c r="F2691" s="9">
        <v>1</v>
      </c>
    </row>
    <row r="2692" ht="31" spans="1:6">
      <c r="A2692" s="6" t="s">
        <v>6230</v>
      </c>
      <c r="B2692" s="3" t="s">
        <v>3960</v>
      </c>
      <c r="C2692" s="4" t="s">
        <v>156</v>
      </c>
      <c r="D2692" s="7">
        <v>26405.5</v>
      </c>
      <c r="E2692" s="8" t="s">
        <v>7544</v>
      </c>
      <c r="F2692" s="9">
        <v>1</v>
      </c>
    </row>
    <row r="2693" ht="15.5" spans="1:6">
      <c r="A2693" s="6" t="s">
        <v>6231</v>
      </c>
      <c r="B2693" s="3" t="s">
        <v>6171</v>
      </c>
      <c r="C2693" s="4" t="s">
        <v>156</v>
      </c>
      <c r="D2693" s="7">
        <v>26244.7</v>
      </c>
      <c r="E2693" s="8" t="s">
        <v>7544</v>
      </c>
      <c r="F2693" s="9">
        <v>1</v>
      </c>
    </row>
    <row r="2694" ht="31" spans="1:6">
      <c r="A2694" s="6" t="s">
        <v>6234</v>
      </c>
      <c r="B2694" s="3" t="s">
        <v>3960</v>
      </c>
      <c r="C2694" s="4" t="s">
        <v>156</v>
      </c>
      <c r="D2694" s="7">
        <v>32857.85</v>
      </c>
      <c r="E2694" s="8" t="s">
        <v>7544</v>
      </c>
      <c r="F2694" s="9">
        <v>1</v>
      </c>
    </row>
    <row r="2695" ht="15.5" spans="1:6">
      <c r="A2695" s="6" t="s">
        <v>6235</v>
      </c>
      <c r="B2695" s="3" t="s">
        <v>6171</v>
      </c>
      <c r="C2695" s="4" t="s">
        <v>156</v>
      </c>
      <c r="D2695" s="7">
        <v>32719.5</v>
      </c>
      <c r="E2695" s="8" t="s">
        <v>7544</v>
      </c>
      <c r="F2695" s="9">
        <v>1</v>
      </c>
    </row>
    <row r="2696" ht="31" spans="1:6">
      <c r="A2696" s="6" t="s">
        <v>6240</v>
      </c>
      <c r="B2696" s="3" t="s">
        <v>3960</v>
      </c>
      <c r="C2696" s="4" t="s">
        <v>49</v>
      </c>
      <c r="D2696" s="7">
        <v>8825.4</v>
      </c>
      <c r="E2696" s="8" t="s">
        <v>7531</v>
      </c>
      <c r="F2696" s="9">
        <v>1</v>
      </c>
    </row>
    <row r="2697" ht="15.5" spans="1:6">
      <c r="A2697" s="6" t="s">
        <v>6241</v>
      </c>
      <c r="B2697" s="3" t="s">
        <v>6171</v>
      </c>
      <c r="C2697" s="4" t="s">
        <v>49</v>
      </c>
      <c r="D2697" s="7">
        <v>8654.25</v>
      </c>
      <c r="E2697" s="8" t="s">
        <v>7531</v>
      </c>
      <c r="F2697" s="9">
        <v>1</v>
      </c>
    </row>
    <row r="2698" ht="31" spans="1:6">
      <c r="A2698" s="6" t="s">
        <v>6244</v>
      </c>
      <c r="B2698" s="3" t="s">
        <v>3960</v>
      </c>
      <c r="C2698" s="4" t="s">
        <v>49</v>
      </c>
      <c r="D2698" s="7">
        <v>10585.5</v>
      </c>
      <c r="E2698" s="8" t="s">
        <v>7531</v>
      </c>
      <c r="F2698" s="9">
        <v>1</v>
      </c>
    </row>
    <row r="2699" ht="15.5" spans="1:6">
      <c r="A2699" s="6" t="s">
        <v>6245</v>
      </c>
      <c r="B2699" s="3" t="s">
        <v>6171</v>
      </c>
      <c r="C2699" s="4" t="s">
        <v>49</v>
      </c>
      <c r="D2699" s="7">
        <v>10381.45</v>
      </c>
      <c r="E2699" s="8" t="s">
        <v>7531</v>
      </c>
      <c r="F2699" s="9">
        <v>1</v>
      </c>
    </row>
    <row r="2700" ht="31" spans="1:6">
      <c r="A2700" s="6" t="s">
        <v>6250</v>
      </c>
      <c r="B2700" s="3" t="s">
        <v>3960</v>
      </c>
      <c r="C2700" s="4" t="s">
        <v>156</v>
      </c>
      <c r="D2700" s="7">
        <v>12725</v>
      </c>
      <c r="E2700" s="8" t="s">
        <v>7824</v>
      </c>
      <c r="F2700" s="9">
        <v>1</v>
      </c>
    </row>
    <row r="2701" ht="15.5" spans="1:6">
      <c r="A2701" s="6" t="s">
        <v>6251</v>
      </c>
      <c r="B2701" s="3" t="s">
        <v>6171</v>
      </c>
      <c r="C2701" s="4" t="s">
        <v>156</v>
      </c>
      <c r="D2701" s="7">
        <v>12600.4</v>
      </c>
      <c r="E2701" s="8" t="s">
        <v>7824</v>
      </c>
      <c r="F2701" s="9">
        <v>1</v>
      </c>
    </row>
    <row r="2702" ht="31" spans="1:6">
      <c r="A2702" s="6" t="s">
        <v>6254</v>
      </c>
      <c r="B2702" s="3" t="s">
        <v>3960</v>
      </c>
      <c r="C2702" s="4" t="s">
        <v>49</v>
      </c>
      <c r="D2702" s="7">
        <v>7591.8</v>
      </c>
      <c r="E2702" s="8" t="s">
        <v>7836</v>
      </c>
      <c r="F2702" s="9">
        <v>0.76</v>
      </c>
    </row>
    <row r="2703" ht="15.5" spans="1:6">
      <c r="A2703" s="6" t="s">
        <v>6255</v>
      </c>
      <c r="B2703" s="3" t="s">
        <v>6256</v>
      </c>
      <c r="C2703" s="4" t="s">
        <v>49</v>
      </c>
      <c r="D2703" s="7">
        <v>7448.45</v>
      </c>
      <c r="E2703" s="8" t="s">
        <v>7836</v>
      </c>
      <c r="F2703" s="9">
        <v>0.76</v>
      </c>
    </row>
    <row r="2704" ht="31" spans="1:6">
      <c r="A2704" s="6" t="s">
        <v>6261</v>
      </c>
      <c r="B2704" s="3" t="s">
        <v>3960</v>
      </c>
      <c r="C2704" s="4" t="s">
        <v>156</v>
      </c>
      <c r="D2704" s="7">
        <v>24702.75</v>
      </c>
      <c r="E2704" s="8" t="s">
        <v>7824</v>
      </c>
      <c r="F2704" s="9">
        <v>1</v>
      </c>
    </row>
    <row r="2705" ht="15.5" spans="1:6">
      <c r="A2705" s="6" t="s">
        <v>6262</v>
      </c>
      <c r="B2705" s="3" t="s">
        <v>6256</v>
      </c>
      <c r="C2705" s="4" t="s">
        <v>156</v>
      </c>
      <c r="D2705" s="7">
        <v>24446.7</v>
      </c>
      <c r="E2705" s="8" t="s">
        <v>7824</v>
      </c>
      <c r="F2705" s="9">
        <v>1</v>
      </c>
    </row>
    <row r="2706" ht="31" spans="1:6">
      <c r="A2706" s="6" t="s">
        <v>6265</v>
      </c>
      <c r="B2706" s="3" t="s">
        <v>3960</v>
      </c>
      <c r="C2706" s="4" t="s">
        <v>49</v>
      </c>
      <c r="D2706" s="7">
        <v>9861.45</v>
      </c>
      <c r="E2706" s="8" t="s">
        <v>7837</v>
      </c>
      <c r="F2706" s="9">
        <v>0.61</v>
      </c>
    </row>
    <row r="2707" ht="15.5" spans="1:6">
      <c r="A2707" s="6" t="s">
        <v>6266</v>
      </c>
      <c r="B2707" s="3" t="s">
        <v>6256</v>
      </c>
      <c r="C2707" s="4" t="s">
        <v>49</v>
      </c>
      <c r="D2707" s="7">
        <v>9674.4</v>
      </c>
      <c r="E2707" s="8" t="s">
        <v>7837</v>
      </c>
      <c r="F2707" s="9">
        <v>0.61</v>
      </c>
    </row>
    <row r="2708" ht="31" spans="1:6">
      <c r="A2708" s="6" t="s">
        <v>6271</v>
      </c>
      <c r="B2708" s="3" t="s">
        <v>3960</v>
      </c>
      <c r="C2708" s="4" t="s">
        <v>156</v>
      </c>
      <c r="D2708" s="7">
        <v>52969.1</v>
      </c>
      <c r="E2708" s="8" t="s">
        <v>7824</v>
      </c>
      <c r="F2708" s="9">
        <v>1</v>
      </c>
    </row>
    <row r="2709" ht="15.5" spans="1:6">
      <c r="A2709" s="6" t="s">
        <v>6272</v>
      </c>
      <c r="B2709" s="3" t="s">
        <v>6256</v>
      </c>
      <c r="C2709" s="4" t="s">
        <v>156</v>
      </c>
      <c r="D2709" s="7">
        <v>52266.8</v>
      </c>
      <c r="E2709" s="8" t="s">
        <v>7824</v>
      </c>
      <c r="F2709" s="9">
        <v>1</v>
      </c>
    </row>
    <row r="2710" ht="31" spans="1:6">
      <c r="A2710" s="6" t="s">
        <v>6275</v>
      </c>
      <c r="B2710" s="3" t="s">
        <v>3960</v>
      </c>
      <c r="C2710" s="4" t="s">
        <v>49</v>
      </c>
      <c r="D2710" s="7">
        <v>22771.85</v>
      </c>
      <c r="E2710" s="8" t="s">
        <v>7838</v>
      </c>
      <c r="F2710" s="9">
        <v>1.88</v>
      </c>
    </row>
    <row r="2711" ht="15.5" spans="1:6">
      <c r="A2711" s="6" t="s">
        <v>6276</v>
      </c>
      <c r="B2711" s="3" t="s">
        <v>6256</v>
      </c>
      <c r="C2711" s="4" t="s">
        <v>49</v>
      </c>
      <c r="D2711" s="7">
        <v>22288.1</v>
      </c>
      <c r="E2711" s="8" t="s">
        <v>7838</v>
      </c>
      <c r="F2711" s="9">
        <v>1.88</v>
      </c>
    </row>
    <row r="2712" ht="15.5" spans="1:6">
      <c r="A2712" s="6" t="s">
        <v>6279</v>
      </c>
      <c r="B2712" s="3" t="s">
        <v>6280</v>
      </c>
      <c r="C2712" s="4" t="s">
        <v>156</v>
      </c>
      <c r="D2712" s="7">
        <v>544.7</v>
      </c>
      <c r="E2712" s="8" t="s">
        <v>7544</v>
      </c>
      <c r="F2712" s="9">
        <v>1</v>
      </c>
    </row>
    <row r="2713" ht="15.5" spans="1:6">
      <c r="A2713" s="6" t="s">
        <v>6281</v>
      </c>
      <c r="B2713" s="3" t="s">
        <v>6282</v>
      </c>
      <c r="C2713" s="4" t="s">
        <v>156</v>
      </c>
      <c r="D2713" s="7">
        <v>496.5</v>
      </c>
      <c r="E2713" s="8" t="s">
        <v>7544</v>
      </c>
      <c r="F2713" s="9">
        <v>1</v>
      </c>
    </row>
    <row r="2714" ht="341" spans="1:6">
      <c r="A2714" s="6" t="s">
        <v>6283</v>
      </c>
      <c r="B2714" s="12" t="s">
        <v>6284</v>
      </c>
      <c r="C2714" s="4" t="s">
        <v>156</v>
      </c>
      <c r="D2714" s="7">
        <v>553.7</v>
      </c>
      <c r="E2714" s="8" t="s">
        <v>7544</v>
      </c>
      <c r="F2714" s="9">
        <v>1</v>
      </c>
    </row>
    <row r="2715" ht="15.5" spans="1:6">
      <c r="A2715" s="6" t="s">
        <v>6287</v>
      </c>
      <c r="B2715" s="3" t="s">
        <v>6280</v>
      </c>
      <c r="C2715" s="4" t="s">
        <v>156</v>
      </c>
      <c r="D2715" s="7">
        <v>670.2</v>
      </c>
      <c r="E2715" s="8" t="s">
        <v>7544</v>
      </c>
      <c r="F2715" s="9">
        <v>1</v>
      </c>
    </row>
    <row r="2716" ht="15.5" spans="1:6">
      <c r="A2716" s="6" t="s">
        <v>6288</v>
      </c>
      <c r="B2716" s="3" t="s">
        <v>6282</v>
      </c>
      <c r="C2716" s="4" t="s">
        <v>156</v>
      </c>
      <c r="D2716" s="7">
        <v>621.95</v>
      </c>
      <c r="E2716" s="8" t="s">
        <v>7544</v>
      </c>
      <c r="F2716" s="9">
        <v>1</v>
      </c>
    </row>
    <row r="2717" ht="46.5" spans="1:6">
      <c r="A2717" s="6" t="s">
        <v>6291</v>
      </c>
      <c r="B2717" s="3" t="s">
        <v>6292</v>
      </c>
      <c r="C2717" s="4" t="s">
        <v>156</v>
      </c>
      <c r="D2717" s="7">
        <v>1358</v>
      </c>
      <c r="E2717" s="8" t="s">
        <v>7839</v>
      </c>
      <c r="F2717" s="9">
        <v>1</v>
      </c>
    </row>
    <row r="2718" ht="46.5" spans="1:6">
      <c r="A2718" s="6" t="s">
        <v>6293</v>
      </c>
      <c r="B2718" s="3" t="s">
        <v>6294</v>
      </c>
      <c r="C2718" s="4" t="s">
        <v>156</v>
      </c>
      <c r="D2718" s="7">
        <v>3441.2</v>
      </c>
      <c r="E2718" s="8" t="s">
        <v>7544</v>
      </c>
      <c r="F2718" s="9">
        <v>1</v>
      </c>
    </row>
    <row r="2719" ht="46.5" spans="1:6">
      <c r="A2719" s="6" t="s">
        <v>6295</v>
      </c>
      <c r="B2719" s="3" t="s">
        <v>6296</v>
      </c>
      <c r="C2719" s="4" t="s">
        <v>156</v>
      </c>
      <c r="D2719" s="7">
        <v>7575.4</v>
      </c>
      <c r="E2719" s="8" t="s">
        <v>7544</v>
      </c>
      <c r="F2719" s="9">
        <v>1</v>
      </c>
    </row>
    <row r="2720" ht="31" spans="1:6">
      <c r="A2720" s="6" t="s">
        <v>6301</v>
      </c>
      <c r="B2720" s="3" t="s">
        <v>6302</v>
      </c>
      <c r="C2720" s="4" t="s">
        <v>156</v>
      </c>
      <c r="D2720" s="7">
        <v>1437.65</v>
      </c>
      <c r="E2720" s="8" t="s">
        <v>7544</v>
      </c>
      <c r="F2720" s="9">
        <v>1</v>
      </c>
    </row>
    <row r="2721" ht="31" spans="1:6">
      <c r="A2721" s="6" t="s">
        <v>6303</v>
      </c>
      <c r="B2721" s="3" t="s">
        <v>6304</v>
      </c>
      <c r="C2721" s="4" t="s">
        <v>156</v>
      </c>
      <c r="D2721" s="7">
        <v>1155.45</v>
      </c>
      <c r="E2721" s="8" t="s">
        <v>7544</v>
      </c>
      <c r="F2721" s="9">
        <v>1</v>
      </c>
    </row>
    <row r="2722" ht="15.5" spans="1:6">
      <c r="A2722" s="6" t="s">
        <v>6305</v>
      </c>
      <c r="B2722" s="3" t="s">
        <v>6306</v>
      </c>
      <c r="C2722" s="4" t="s">
        <v>156</v>
      </c>
      <c r="D2722" s="7">
        <v>1169.65</v>
      </c>
      <c r="E2722" s="8" t="s">
        <v>7544</v>
      </c>
      <c r="F2722" s="9">
        <v>1</v>
      </c>
    </row>
    <row r="2723" ht="15.5" spans="1:6">
      <c r="A2723" s="6" t="s">
        <v>6309</v>
      </c>
      <c r="B2723" s="3" t="s">
        <v>6310</v>
      </c>
      <c r="C2723" s="4" t="s">
        <v>156</v>
      </c>
      <c r="D2723" s="7">
        <v>1386.55</v>
      </c>
      <c r="E2723" s="8" t="s">
        <v>7544</v>
      </c>
      <c r="F2723" s="9">
        <v>1</v>
      </c>
    </row>
    <row r="2724" ht="15.5" spans="1:6">
      <c r="A2724" s="6" t="s">
        <v>6311</v>
      </c>
      <c r="B2724" s="3" t="s">
        <v>6312</v>
      </c>
      <c r="C2724" s="4" t="s">
        <v>156</v>
      </c>
      <c r="D2724" s="7">
        <v>1172.6</v>
      </c>
      <c r="E2724" s="8" t="s">
        <v>7544</v>
      </c>
      <c r="F2724" s="9">
        <v>1</v>
      </c>
    </row>
    <row r="2725" ht="15.5" spans="1:6">
      <c r="A2725" s="6" t="s">
        <v>6315</v>
      </c>
      <c r="B2725" s="3" t="s">
        <v>6316</v>
      </c>
      <c r="C2725" s="4" t="s">
        <v>156</v>
      </c>
      <c r="D2725" s="7">
        <v>1675.7</v>
      </c>
      <c r="E2725" s="8" t="s">
        <v>7544</v>
      </c>
      <c r="F2725" s="9">
        <v>1</v>
      </c>
    </row>
    <row r="2726" ht="15.5" spans="1:6">
      <c r="A2726" s="6" t="s">
        <v>6319</v>
      </c>
      <c r="B2726" s="3" t="s">
        <v>6320</v>
      </c>
      <c r="C2726" s="4" t="s">
        <v>156</v>
      </c>
      <c r="D2726" s="7">
        <v>2123.8</v>
      </c>
      <c r="E2726" s="8" t="s">
        <v>7544</v>
      </c>
      <c r="F2726" s="9">
        <v>1</v>
      </c>
    </row>
    <row r="2727" ht="62" spans="1:6">
      <c r="A2727" s="6" t="s">
        <v>6321</v>
      </c>
      <c r="B2727" s="12" t="s">
        <v>6322</v>
      </c>
      <c r="C2727" s="4" t="s">
        <v>156</v>
      </c>
      <c r="D2727" s="7">
        <v>787</v>
      </c>
      <c r="E2727" s="8" t="s">
        <v>7839</v>
      </c>
      <c r="F2727" s="9">
        <v>1</v>
      </c>
    </row>
    <row r="2728" ht="15.5" spans="1:6">
      <c r="A2728" s="6" t="s">
        <v>6325</v>
      </c>
      <c r="B2728" s="3" t="s">
        <v>6326</v>
      </c>
      <c r="C2728" s="4" t="s">
        <v>156</v>
      </c>
      <c r="D2728" s="7">
        <v>810.45</v>
      </c>
      <c r="E2728" s="8" t="s">
        <v>7818</v>
      </c>
      <c r="F2728" s="9">
        <v>1</v>
      </c>
    </row>
    <row r="2729" ht="15.5" spans="1:6">
      <c r="A2729" s="6" t="s">
        <v>6327</v>
      </c>
      <c r="B2729" s="3" t="s">
        <v>6328</v>
      </c>
      <c r="C2729" s="4" t="s">
        <v>156</v>
      </c>
      <c r="D2729" s="7">
        <v>922.4</v>
      </c>
      <c r="E2729" s="8" t="s">
        <v>7818</v>
      </c>
      <c r="F2729" s="9">
        <v>1</v>
      </c>
    </row>
    <row r="2730" ht="15.5" spans="1:6">
      <c r="A2730" s="6" t="s">
        <v>6329</v>
      </c>
      <c r="B2730" s="3" t="s">
        <v>6330</v>
      </c>
      <c r="C2730" s="4" t="s">
        <v>156</v>
      </c>
      <c r="D2730" s="7">
        <v>1328.45</v>
      </c>
      <c r="E2730" s="8" t="s">
        <v>7818</v>
      </c>
      <c r="F2730" s="9">
        <v>1</v>
      </c>
    </row>
    <row r="2731" ht="31" spans="1:6">
      <c r="A2731" s="6" t="s">
        <v>6333</v>
      </c>
      <c r="B2731" s="3" t="s">
        <v>6334</v>
      </c>
      <c r="C2731" s="4" t="s">
        <v>156</v>
      </c>
      <c r="D2731" s="7">
        <v>12172.05</v>
      </c>
      <c r="E2731" s="8" t="s">
        <v>7840</v>
      </c>
      <c r="F2731" s="9">
        <v>1</v>
      </c>
    </row>
    <row r="2732" ht="31" spans="1:6">
      <c r="A2732" s="6" t="s">
        <v>6335</v>
      </c>
      <c r="B2732" s="3" t="s">
        <v>6336</v>
      </c>
      <c r="C2732" s="4" t="s">
        <v>156</v>
      </c>
      <c r="D2732" s="7">
        <v>16577.8</v>
      </c>
      <c r="E2732" s="8" t="s">
        <v>7840</v>
      </c>
      <c r="F2732" s="9">
        <v>1</v>
      </c>
    </row>
    <row r="2733" ht="31" spans="1:6">
      <c r="A2733" s="6" t="s">
        <v>6339</v>
      </c>
      <c r="B2733" s="3" t="s">
        <v>6340</v>
      </c>
      <c r="C2733" s="4" t="s">
        <v>49</v>
      </c>
      <c r="D2733" s="7">
        <v>3240.45</v>
      </c>
      <c r="E2733" s="8" t="s">
        <v>7531</v>
      </c>
      <c r="F2733" s="9">
        <v>1</v>
      </c>
    </row>
    <row r="2734" ht="31" spans="1:6">
      <c r="A2734" s="6" t="s">
        <v>6341</v>
      </c>
      <c r="B2734" s="3" t="s">
        <v>6342</v>
      </c>
      <c r="C2734" s="4" t="s">
        <v>49</v>
      </c>
      <c r="D2734" s="7">
        <v>4126.9</v>
      </c>
      <c r="E2734" s="8" t="s">
        <v>7531</v>
      </c>
      <c r="F2734" s="9">
        <v>1</v>
      </c>
    </row>
    <row r="2735" ht="31" spans="1:6">
      <c r="A2735" s="6" t="s">
        <v>6345</v>
      </c>
      <c r="B2735" s="3" t="s">
        <v>6346</v>
      </c>
      <c r="C2735" s="4" t="s">
        <v>156</v>
      </c>
      <c r="D2735" s="7">
        <v>2540.85</v>
      </c>
      <c r="E2735" s="8" t="s">
        <v>7544</v>
      </c>
      <c r="F2735" s="9">
        <v>1</v>
      </c>
    </row>
    <row r="2736" ht="31" spans="1:6">
      <c r="A2736" s="6" t="s">
        <v>6347</v>
      </c>
      <c r="B2736" s="3" t="s">
        <v>6348</v>
      </c>
      <c r="C2736" s="4" t="s">
        <v>156</v>
      </c>
      <c r="D2736" s="7">
        <v>4475.5</v>
      </c>
      <c r="E2736" s="8" t="s">
        <v>7544</v>
      </c>
      <c r="F2736" s="9">
        <v>1</v>
      </c>
    </row>
    <row r="2737" ht="31" spans="1:6">
      <c r="A2737" s="6" t="s">
        <v>6349</v>
      </c>
      <c r="B2737" s="3" t="s">
        <v>6350</v>
      </c>
      <c r="C2737" s="4" t="s">
        <v>156</v>
      </c>
      <c r="D2737" s="7">
        <v>8466.4</v>
      </c>
      <c r="E2737" s="8" t="s">
        <v>7544</v>
      </c>
      <c r="F2737" s="9">
        <v>1</v>
      </c>
    </row>
    <row r="2738" ht="31" spans="1:6">
      <c r="A2738" s="6" t="s">
        <v>6351</v>
      </c>
      <c r="B2738" s="3" t="s">
        <v>6352</v>
      </c>
      <c r="C2738" s="4" t="s">
        <v>156</v>
      </c>
      <c r="D2738" s="7">
        <v>6472.4</v>
      </c>
      <c r="E2738" s="8" t="s">
        <v>7544</v>
      </c>
      <c r="F2738" s="9">
        <v>1</v>
      </c>
    </row>
    <row r="2739" ht="31" spans="1:6">
      <c r="A2739" s="6" t="s">
        <v>6355</v>
      </c>
      <c r="B2739" s="3" t="s">
        <v>6356</v>
      </c>
      <c r="C2739" s="4" t="s">
        <v>49</v>
      </c>
      <c r="D2739" s="7">
        <v>2045.5</v>
      </c>
      <c r="E2739" s="8" t="s">
        <v>7531</v>
      </c>
      <c r="F2739" s="9">
        <v>1</v>
      </c>
    </row>
    <row r="2740" ht="31" spans="1:6">
      <c r="A2740" s="6" t="s">
        <v>6357</v>
      </c>
      <c r="B2740" s="3" t="s">
        <v>6358</v>
      </c>
      <c r="C2740" s="4" t="s">
        <v>49</v>
      </c>
      <c r="D2740" s="7">
        <v>2436.9</v>
      </c>
      <c r="E2740" s="8" t="s">
        <v>7531</v>
      </c>
      <c r="F2740" s="9">
        <v>1</v>
      </c>
    </row>
    <row r="2741" ht="46.5" spans="1:6">
      <c r="A2741" s="6" t="s">
        <v>6359</v>
      </c>
      <c r="B2741" s="3" t="s">
        <v>6360</v>
      </c>
      <c r="C2741" s="4" t="s">
        <v>49</v>
      </c>
      <c r="D2741" s="7">
        <v>1975.85</v>
      </c>
      <c r="E2741" s="8" t="s">
        <v>7841</v>
      </c>
      <c r="F2741" s="9">
        <v>1.8</v>
      </c>
    </row>
    <row r="2742" ht="46.5" spans="1:6">
      <c r="A2742" s="6" t="s">
        <v>6361</v>
      </c>
      <c r="B2742" s="3" t="s">
        <v>6362</v>
      </c>
      <c r="C2742" s="4" t="s">
        <v>49</v>
      </c>
      <c r="D2742" s="7">
        <v>2229.2</v>
      </c>
      <c r="E2742" s="8" t="s">
        <v>7842</v>
      </c>
      <c r="F2742" s="9">
        <v>0.61</v>
      </c>
    </row>
    <row r="2743" ht="46.5" spans="1:6">
      <c r="A2743" s="6" t="s">
        <v>6365</v>
      </c>
      <c r="B2743" s="3" t="s">
        <v>6366</v>
      </c>
      <c r="C2743" s="4" t="s">
        <v>156</v>
      </c>
      <c r="D2743" s="7">
        <v>2625.5</v>
      </c>
      <c r="E2743" s="8" t="s">
        <v>7544</v>
      </c>
      <c r="F2743" s="9">
        <v>1</v>
      </c>
    </row>
    <row r="2744" ht="46.5" spans="1:6">
      <c r="A2744" s="6" t="s">
        <v>6367</v>
      </c>
      <c r="B2744" s="3" t="s">
        <v>6368</v>
      </c>
      <c r="C2744" s="4" t="s">
        <v>156</v>
      </c>
      <c r="D2744" s="7">
        <v>4168.05</v>
      </c>
      <c r="E2744" s="8" t="s">
        <v>7544</v>
      </c>
      <c r="F2744" s="9">
        <v>1</v>
      </c>
    </row>
    <row r="2745" ht="46.5" spans="1:6">
      <c r="A2745" s="6" t="s">
        <v>6369</v>
      </c>
      <c r="B2745" s="3" t="s">
        <v>6370</v>
      </c>
      <c r="C2745" s="4" t="s">
        <v>156</v>
      </c>
      <c r="D2745" s="7">
        <v>3881.5</v>
      </c>
      <c r="E2745" s="8" t="s">
        <v>7544</v>
      </c>
      <c r="F2745" s="9">
        <v>1</v>
      </c>
    </row>
    <row r="2746" ht="31" spans="1:6">
      <c r="A2746" s="6" t="s">
        <v>6371</v>
      </c>
      <c r="B2746" s="3" t="s">
        <v>6372</v>
      </c>
      <c r="C2746" s="4" t="s">
        <v>156</v>
      </c>
      <c r="D2746" s="7">
        <v>320.15</v>
      </c>
      <c r="E2746" s="8" t="s">
        <v>7544</v>
      </c>
      <c r="F2746" s="9">
        <v>1</v>
      </c>
    </row>
    <row r="2747" ht="31" spans="1:6">
      <c r="A2747" s="6" t="s">
        <v>6375</v>
      </c>
      <c r="B2747" s="3" t="s">
        <v>3960</v>
      </c>
      <c r="C2747" s="4" t="s">
        <v>156</v>
      </c>
      <c r="D2747" s="7">
        <v>5957.9</v>
      </c>
      <c r="E2747" s="8" t="s">
        <v>7843</v>
      </c>
      <c r="F2747" s="9">
        <v>1</v>
      </c>
    </row>
    <row r="2748" ht="31" spans="1:6">
      <c r="A2748" s="6" t="s">
        <v>6378</v>
      </c>
      <c r="B2748" s="3" t="s">
        <v>3960</v>
      </c>
      <c r="C2748" s="4" t="s">
        <v>156</v>
      </c>
      <c r="D2748" s="7">
        <v>6889.8</v>
      </c>
      <c r="E2748" s="8" t="s">
        <v>7843</v>
      </c>
      <c r="F2748" s="9">
        <v>1</v>
      </c>
    </row>
    <row r="2749" ht="31" spans="1:6">
      <c r="A2749" s="6" t="s">
        <v>6381</v>
      </c>
      <c r="B2749" s="3" t="s">
        <v>3960</v>
      </c>
      <c r="C2749" s="4" t="s">
        <v>156</v>
      </c>
      <c r="D2749" s="7">
        <v>11520.55</v>
      </c>
      <c r="E2749" s="8" t="s">
        <v>7843</v>
      </c>
      <c r="F2749" s="9">
        <v>1</v>
      </c>
    </row>
    <row r="2750" ht="31" spans="1:6">
      <c r="A2750" s="6" t="s">
        <v>6386</v>
      </c>
      <c r="B2750" s="3" t="s">
        <v>3960</v>
      </c>
      <c r="C2750" s="4" t="s">
        <v>156</v>
      </c>
      <c r="D2750" s="7">
        <v>6937.9</v>
      </c>
      <c r="E2750" s="8" t="s">
        <v>7843</v>
      </c>
      <c r="F2750" s="9">
        <v>1</v>
      </c>
    </row>
    <row r="2751" ht="31" spans="1:6">
      <c r="A2751" s="6" t="s">
        <v>6389</v>
      </c>
      <c r="B2751" s="3" t="s">
        <v>3960</v>
      </c>
      <c r="C2751" s="4" t="s">
        <v>156</v>
      </c>
      <c r="D2751" s="7">
        <v>8150.5</v>
      </c>
      <c r="E2751" s="8" t="s">
        <v>7843</v>
      </c>
      <c r="F2751" s="9">
        <v>1</v>
      </c>
    </row>
    <row r="2752" ht="31" spans="1:6">
      <c r="A2752" s="6" t="s">
        <v>6392</v>
      </c>
      <c r="B2752" s="3" t="s">
        <v>3960</v>
      </c>
      <c r="C2752" s="4" t="s">
        <v>156</v>
      </c>
      <c r="D2752" s="7">
        <v>9594.35</v>
      </c>
      <c r="E2752" s="8" t="s">
        <v>7843</v>
      </c>
      <c r="F2752" s="9">
        <v>1</v>
      </c>
    </row>
    <row r="2753" ht="31" spans="1:6">
      <c r="A2753" s="6" t="s">
        <v>6397</v>
      </c>
      <c r="B2753" s="3" t="s">
        <v>3960</v>
      </c>
      <c r="C2753" s="4" t="s">
        <v>49</v>
      </c>
      <c r="D2753" s="7">
        <v>6117</v>
      </c>
      <c r="E2753" s="8" t="s">
        <v>7531</v>
      </c>
      <c r="F2753" s="9">
        <v>1</v>
      </c>
    </row>
    <row r="2754" ht="31" spans="1:6">
      <c r="A2754" s="6" t="s">
        <v>6400</v>
      </c>
      <c r="B2754" s="3" t="s">
        <v>3960</v>
      </c>
      <c r="C2754" s="4" t="s">
        <v>49</v>
      </c>
      <c r="D2754" s="7">
        <v>6680.6</v>
      </c>
      <c r="E2754" s="8" t="s">
        <v>7531</v>
      </c>
      <c r="F2754" s="9">
        <v>1</v>
      </c>
    </row>
    <row r="2755" ht="31" spans="1:6">
      <c r="A2755" s="6" t="s">
        <v>6403</v>
      </c>
      <c r="B2755" s="3" t="s">
        <v>3960</v>
      </c>
      <c r="C2755" s="4" t="s">
        <v>49</v>
      </c>
      <c r="D2755" s="7">
        <v>7789.85</v>
      </c>
      <c r="E2755" s="8" t="s">
        <v>7531</v>
      </c>
      <c r="F2755" s="9">
        <v>1</v>
      </c>
    </row>
    <row r="2756" ht="31" spans="1:6">
      <c r="A2756" s="6" t="s">
        <v>6406</v>
      </c>
      <c r="B2756" s="3" t="s">
        <v>3960</v>
      </c>
      <c r="C2756" s="4" t="s">
        <v>156</v>
      </c>
      <c r="D2756" s="7">
        <v>26861.9</v>
      </c>
      <c r="E2756" s="8" t="s">
        <v>7844</v>
      </c>
      <c r="F2756" s="9">
        <v>1</v>
      </c>
    </row>
    <row r="2757" ht="62" spans="1:6">
      <c r="A2757" s="6" t="s">
        <v>6407</v>
      </c>
      <c r="B2757" s="12" t="s">
        <v>6408</v>
      </c>
      <c r="C2757" s="4" t="s">
        <v>156</v>
      </c>
      <c r="D2757" s="7">
        <v>2890.1</v>
      </c>
      <c r="E2757" s="8" t="s">
        <v>7844</v>
      </c>
      <c r="F2757" s="9">
        <v>1</v>
      </c>
    </row>
    <row r="2758" ht="15.5" spans="1:6">
      <c r="A2758" s="6" t="s">
        <v>6411</v>
      </c>
      <c r="B2758" s="3" t="s">
        <v>4504</v>
      </c>
      <c r="C2758" s="4" t="s">
        <v>156</v>
      </c>
      <c r="D2758" s="7">
        <v>441.4</v>
      </c>
      <c r="E2758" s="8" t="s">
        <v>7576</v>
      </c>
      <c r="F2758" s="9">
        <v>10</v>
      </c>
    </row>
    <row r="2759" ht="15.5" spans="1:6">
      <c r="A2759" s="6" t="s">
        <v>6412</v>
      </c>
      <c r="B2759" s="3" t="s">
        <v>5362</v>
      </c>
      <c r="C2759" s="4" t="s">
        <v>156</v>
      </c>
      <c r="D2759" s="7">
        <v>602.66</v>
      </c>
      <c r="E2759" s="8" t="s">
        <v>7576</v>
      </c>
      <c r="F2759" s="9">
        <v>10</v>
      </c>
    </row>
    <row r="2760" ht="15.5" spans="1:6">
      <c r="A2760" s="6" t="s">
        <v>6415</v>
      </c>
      <c r="B2760" s="3" t="s">
        <v>6416</v>
      </c>
      <c r="C2760" s="4" t="s">
        <v>49</v>
      </c>
      <c r="D2760" s="7">
        <v>2676.55</v>
      </c>
      <c r="E2760" s="8" t="s">
        <v>7552</v>
      </c>
      <c r="F2760" s="9">
        <v>10</v>
      </c>
    </row>
    <row r="2761" ht="15.5" spans="1:6">
      <c r="A2761" s="6" t="s">
        <v>6417</v>
      </c>
      <c r="B2761" s="3" t="s">
        <v>6418</v>
      </c>
      <c r="C2761" s="4" t="s">
        <v>49</v>
      </c>
      <c r="D2761" s="7">
        <v>3401.25</v>
      </c>
      <c r="E2761" s="8" t="s">
        <v>7552</v>
      </c>
      <c r="F2761" s="9">
        <v>10</v>
      </c>
    </row>
    <row r="2762" ht="15.5" spans="1:6">
      <c r="A2762" s="6" t="s">
        <v>6419</v>
      </c>
      <c r="B2762" s="3" t="s">
        <v>6420</v>
      </c>
      <c r="C2762" s="4" t="s">
        <v>49</v>
      </c>
      <c r="D2762" s="7">
        <v>5377.25</v>
      </c>
      <c r="E2762" s="8" t="s">
        <v>7552</v>
      </c>
      <c r="F2762" s="9">
        <v>10</v>
      </c>
    </row>
    <row r="2763" ht="31" spans="1:6">
      <c r="A2763" s="6" t="s">
        <v>6421</v>
      </c>
      <c r="B2763" s="3" t="s">
        <v>6422</v>
      </c>
      <c r="C2763" s="4" t="s">
        <v>49</v>
      </c>
      <c r="D2763" s="7">
        <v>6656.55</v>
      </c>
      <c r="E2763" s="8" t="s">
        <v>7552</v>
      </c>
      <c r="F2763" s="9">
        <v>10</v>
      </c>
    </row>
    <row r="2764" ht="31" spans="1:6">
      <c r="A2764" s="6" t="s">
        <v>6423</v>
      </c>
      <c r="B2764" s="3" t="s">
        <v>6424</v>
      </c>
      <c r="C2764" s="4" t="s">
        <v>49</v>
      </c>
      <c r="D2764" s="7">
        <v>9126.2</v>
      </c>
      <c r="E2764" s="8" t="s">
        <v>7552</v>
      </c>
      <c r="F2764" s="9">
        <v>10</v>
      </c>
    </row>
    <row r="2765" ht="31" spans="1:6">
      <c r="A2765" s="6" t="s">
        <v>6425</v>
      </c>
      <c r="B2765" s="3" t="s">
        <v>6426</v>
      </c>
      <c r="C2765" s="4" t="s">
        <v>49</v>
      </c>
      <c r="D2765" s="7">
        <v>16184</v>
      </c>
      <c r="E2765" s="8" t="s">
        <v>7552</v>
      </c>
      <c r="F2765" s="9">
        <v>10</v>
      </c>
    </row>
    <row r="2766" ht="15.5" spans="1:6">
      <c r="A2766" s="6" t="s">
        <v>6429</v>
      </c>
      <c r="B2766" s="3" t="s">
        <v>6416</v>
      </c>
      <c r="C2766" s="4" t="s">
        <v>49</v>
      </c>
      <c r="D2766" s="7">
        <v>3053.55</v>
      </c>
      <c r="E2766" s="8" t="s">
        <v>7552</v>
      </c>
      <c r="F2766" s="9">
        <v>10</v>
      </c>
    </row>
    <row r="2767" ht="15.5" spans="1:6">
      <c r="A2767" s="6" t="s">
        <v>6430</v>
      </c>
      <c r="B2767" s="3" t="s">
        <v>6418</v>
      </c>
      <c r="C2767" s="4" t="s">
        <v>49</v>
      </c>
      <c r="D2767" s="7">
        <v>3934.75</v>
      </c>
      <c r="E2767" s="8" t="s">
        <v>7552</v>
      </c>
      <c r="F2767" s="9">
        <v>10</v>
      </c>
    </row>
    <row r="2768" ht="15.5" spans="1:6">
      <c r="A2768" s="6" t="s">
        <v>6431</v>
      </c>
      <c r="B2768" s="3" t="s">
        <v>6420</v>
      </c>
      <c r="C2768" s="4" t="s">
        <v>49</v>
      </c>
      <c r="D2768" s="7">
        <v>7397.4</v>
      </c>
      <c r="E2768" s="8" t="s">
        <v>7552</v>
      </c>
      <c r="F2768" s="9">
        <v>10</v>
      </c>
    </row>
    <row r="2769" ht="31" spans="1:6">
      <c r="A2769" s="6" t="s">
        <v>6432</v>
      </c>
      <c r="B2769" s="3" t="s">
        <v>6422</v>
      </c>
      <c r="C2769" s="4" t="s">
        <v>49</v>
      </c>
      <c r="D2769" s="7">
        <v>9181.75</v>
      </c>
      <c r="E2769" s="8" t="s">
        <v>7552</v>
      </c>
      <c r="F2769" s="9">
        <v>10</v>
      </c>
    </row>
    <row r="2770" ht="31" spans="1:6">
      <c r="A2770" s="6" t="s">
        <v>6433</v>
      </c>
      <c r="B2770" s="3" t="s">
        <v>6424</v>
      </c>
      <c r="C2770" s="4" t="s">
        <v>49</v>
      </c>
      <c r="D2770" s="7">
        <v>11119.35</v>
      </c>
      <c r="E2770" s="8" t="s">
        <v>7552</v>
      </c>
      <c r="F2770" s="9">
        <v>10</v>
      </c>
    </row>
    <row r="2771" ht="31" spans="1:6">
      <c r="A2771" s="6" t="s">
        <v>6434</v>
      </c>
      <c r="B2771" s="3" t="s">
        <v>6435</v>
      </c>
      <c r="C2771" s="4" t="s">
        <v>49</v>
      </c>
      <c r="D2771" s="7">
        <v>22578.75</v>
      </c>
      <c r="E2771" s="8" t="s">
        <v>7552</v>
      </c>
      <c r="F2771" s="9">
        <v>10</v>
      </c>
    </row>
    <row r="2772" ht="15.5" spans="1:6">
      <c r="A2772" s="6" t="s">
        <v>204</v>
      </c>
      <c r="B2772" s="12" t="s">
        <v>2</v>
      </c>
      <c r="C2772" s="4" t="s">
        <v>3</v>
      </c>
      <c r="D2772" s="14" t="s">
        <v>4</v>
      </c>
    </row>
    <row r="2773" ht="15.5" spans="1:6">
      <c r="A2773" s="6" t="s">
        <v>6439</v>
      </c>
      <c r="B2773" s="12" t="s">
        <v>6440</v>
      </c>
      <c r="C2773" s="4" t="s">
        <v>49</v>
      </c>
      <c r="D2773" s="7">
        <v>2767</v>
      </c>
      <c r="E2773" s="8" t="s">
        <v>7845</v>
      </c>
      <c r="F2773" s="9">
        <v>20</v>
      </c>
    </row>
    <row r="2774" ht="15.5" spans="1:6">
      <c r="A2774" s="6" t="s">
        <v>6441</v>
      </c>
      <c r="B2774" s="12" t="s">
        <v>6442</v>
      </c>
      <c r="C2774" s="4" t="s">
        <v>49</v>
      </c>
      <c r="D2774" s="7">
        <v>3430.65</v>
      </c>
      <c r="E2774" s="8" t="s">
        <v>7845</v>
      </c>
      <c r="F2774" s="9">
        <v>20</v>
      </c>
    </row>
    <row r="2775" ht="15.5" spans="1:6">
      <c r="A2775" s="6" t="s">
        <v>6443</v>
      </c>
      <c r="B2775" s="12" t="s">
        <v>6444</v>
      </c>
      <c r="C2775" s="4" t="s">
        <v>49</v>
      </c>
      <c r="D2775" s="7">
        <v>4129.95</v>
      </c>
      <c r="E2775" s="8" t="s">
        <v>7845</v>
      </c>
      <c r="F2775" s="9">
        <v>20</v>
      </c>
    </row>
    <row r="2776" ht="15.5" spans="1:6">
      <c r="A2776" s="6" t="s">
        <v>6445</v>
      </c>
      <c r="B2776" s="12" t="s">
        <v>6446</v>
      </c>
      <c r="C2776" s="4" t="s">
        <v>49</v>
      </c>
      <c r="D2776" s="7">
        <v>4530.9</v>
      </c>
      <c r="E2776" s="8" t="s">
        <v>7845</v>
      </c>
      <c r="F2776" s="9">
        <v>20</v>
      </c>
    </row>
    <row r="2777" ht="15.5" spans="1:6">
      <c r="A2777" s="6" t="s">
        <v>6447</v>
      </c>
      <c r="B2777" s="12" t="s">
        <v>6448</v>
      </c>
      <c r="C2777" s="4" t="s">
        <v>49</v>
      </c>
      <c r="D2777" s="7">
        <v>7738.55</v>
      </c>
      <c r="E2777" s="8" t="s">
        <v>7846</v>
      </c>
      <c r="F2777" s="9">
        <v>15</v>
      </c>
    </row>
    <row r="2778" ht="15.5" spans="1:6">
      <c r="A2778" s="6" t="s">
        <v>6449</v>
      </c>
      <c r="B2778" s="12" t="s">
        <v>6450</v>
      </c>
      <c r="C2778" s="4" t="s">
        <v>49</v>
      </c>
      <c r="D2778" s="7">
        <v>12748.45</v>
      </c>
      <c r="E2778" s="8" t="s">
        <v>7847</v>
      </c>
      <c r="F2778" s="9">
        <v>10</v>
      </c>
    </row>
    <row r="2779" ht="15.5" spans="1:6">
      <c r="A2779" s="6" t="s">
        <v>6451</v>
      </c>
      <c r="B2779" s="12" t="s">
        <v>6452</v>
      </c>
      <c r="C2779" s="4" t="s">
        <v>49</v>
      </c>
      <c r="D2779" s="7">
        <v>16671.05</v>
      </c>
      <c r="E2779" s="8" t="s">
        <v>7848</v>
      </c>
      <c r="F2779" s="9">
        <v>9</v>
      </c>
    </row>
    <row r="2780" ht="15.5" spans="1:6">
      <c r="A2780" s="6" t="s">
        <v>6453</v>
      </c>
      <c r="B2780" s="12" t="s">
        <v>6454</v>
      </c>
      <c r="C2780" s="4" t="s">
        <v>49</v>
      </c>
      <c r="D2780" s="7">
        <v>23577.75</v>
      </c>
      <c r="E2780" s="8" t="s">
        <v>7848</v>
      </c>
      <c r="F2780" s="9">
        <v>9</v>
      </c>
    </row>
    <row r="2781" ht="15.5" spans="1:6">
      <c r="A2781" s="6" t="s">
        <v>6457</v>
      </c>
      <c r="B2781" s="12" t="s">
        <v>6442</v>
      </c>
      <c r="C2781" s="4" t="s">
        <v>49</v>
      </c>
      <c r="D2781" s="7">
        <v>2278.3</v>
      </c>
      <c r="E2781" s="8" t="s">
        <v>7845</v>
      </c>
      <c r="F2781" s="9">
        <v>20</v>
      </c>
    </row>
    <row r="2782" ht="15.5" spans="1:6">
      <c r="A2782" s="6" t="s">
        <v>6458</v>
      </c>
      <c r="B2782" s="12" t="s">
        <v>6444</v>
      </c>
      <c r="C2782" s="4" t="s">
        <v>49</v>
      </c>
      <c r="D2782" s="7">
        <v>2703.25</v>
      </c>
      <c r="E2782" s="8" t="s">
        <v>7845</v>
      </c>
      <c r="F2782" s="9">
        <v>20</v>
      </c>
    </row>
    <row r="2783" ht="15.5" spans="1:6">
      <c r="A2783" s="6" t="s">
        <v>6459</v>
      </c>
      <c r="B2783" s="12" t="s">
        <v>6460</v>
      </c>
      <c r="C2783" s="4" t="s">
        <v>49</v>
      </c>
      <c r="D2783" s="7">
        <v>3637.2</v>
      </c>
      <c r="E2783" s="8" t="s">
        <v>7845</v>
      </c>
      <c r="F2783" s="9">
        <v>20</v>
      </c>
    </row>
    <row r="2784" ht="15.5" spans="1:6">
      <c r="A2784" s="6" t="s">
        <v>6461</v>
      </c>
      <c r="B2784" s="12" t="s">
        <v>6448</v>
      </c>
      <c r="C2784" s="4" t="s">
        <v>49</v>
      </c>
      <c r="D2784" s="7">
        <v>5581.2</v>
      </c>
      <c r="E2784" s="8" t="s">
        <v>7846</v>
      </c>
      <c r="F2784" s="9">
        <v>15</v>
      </c>
    </row>
    <row r="2785" ht="15.5" spans="1:6">
      <c r="A2785" s="6" t="s">
        <v>6465</v>
      </c>
      <c r="B2785" s="12" t="s">
        <v>6460</v>
      </c>
      <c r="C2785" s="4" t="s">
        <v>49</v>
      </c>
      <c r="D2785" s="7">
        <v>5386.25</v>
      </c>
      <c r="E2785" s="8" t="s">
        <v>7845</v>
      </c>
      <c r="F2785" s="9">
        <v>20</v>
      </c>
    </row>
    <row r="2786" ht="15.5" spans="1:6">
      <c r="A2786" s="6" t="s">
        <v>6466</v>
      </c>
      <c r="B2786" s="12" t="s">
        <v>6448</v>
      </c>
      <c r="C2786" s="4" t="s">
        <v>49</v>
      </c>
      <c r="D2786" s="7">
        <v>7758.75</v>
      </c>
      <c r="E2786" s="8" t="s">
        <v>7846</v>
      </c>
      <c r="F2786" s="9">
        <v>15</v>
      </c>
    </row>
    <row r="2787" ht="15.5" spans="1:6">
      <c r="A2787" s="6" t="s">
        <v>6467</v>
      </c>
      <c r="B2787" s="12" t="s">
        <v>6450</v>
      </c>
      <c r="C2787" s="4" t="s">
        <v>49</v>
      </c>
      <c r="D2787" s="7">
        <v>12990.8</v>
      </c>
      <c r="E2787" s="8" t="s">
        <v>7847</v>
      </c>
      <c r="F2787" s="9">
        <v>10</v>
      </c>
    </row>
    <row r="2788" ht="15.5" spans="1:6">
      <c r="A2788" s="6" t="s">
        <v>6468</v>
      </c>
      <c r="B2788" s="12" t="s">
        <v>6452</v>
      </c>
      <c r="C2788" s="4" t="s">
        <v>49</v>
      </c>
      <c r="D2788" s="7">
        <v>17025.75</v>
      </c>
      <c r="E2788" s="8" t="s">
        <v>7848</v>
      </c>
      <c r="F2788" s="9">
        <v>9</v>
      </c>
    </row>
    <row r="2789" ht="15.5" spans="1:6">
      <c r="A2789" s="6" t="s">
        <v>6469</v>
      </c>
      <c r="B2789" s="12" t="s">
        <v>6454</v>
      </c>
      <c r="C2789" s="4" t="s">
        <v>49</v>
      </c>
      <c r="D2789" s="7">
        <v>24408.8</v>
      </c>
      <c r="E2789" s="8" t="s">
        <v>7848</v>
      </c>
      <c r="F2789" s="9">
        <v>9</v>
      </c>
    </row>
    <row r="2790" ht="15.5" spans="1:6">
      <c r="A2790" s="6" t="s">
        <v>6472</v>
      </c>
      <c r="B2790" s="12" t="s">
        <v>6473</v>
      </c>
      <c r="C2790" s="4" t="s">
        <v>49</v>
      </c>
      <c r="D2790" s="7">
        <v>3065.6</v>
      </c>
      <c r="E2790" s="8" t="s">
        <v>7847</v>
      </c>
      <c r="F2790" s="9">
        <v>10</v>
      </c>
    </row>
    <row r="2791" ht="15.5" spans="1:6">
      <c r="A2791" s="6" t="s">
        <v>6474</v>
      </c>
      <c r="B2791" s="12" t="s">
        <v>6440</v>
      </c>
      <c r="C2791" s="4" t="s">
        <v>49</v>
      </c>
      <c r="D2791" s="7">
        <v>3797.3</v>
      </c>
      <c r="E2791" s="8" t="s">
        <v>7847</v>
      </c>
      <c r="F2791" s="9">
        <v>10</v>
      </c>
    </row>
    <row r="2792" ht="15.5" spans="1:6">
      <c r="A2792" s="6" t="s">
        <v>6475</v>
      </c>
      <c r="B2792" s="12" t="s">
        <v>6442</v>
      </c>
      <c r="C2792" s="4" t="s">
        <v>49</v>
      </c>
      <c r="D2792" s="7">
        <v>4232.75</v>
      </c>
      <c r="E2792" s="8" t="s">
        <v>7847</v>
      </c>
      <c r="F2792" s="9">
        <v>10</v>
      </c>
    </row>
    <row r="2793" ht="15.5" spans="1:6">
      <c r="A2793" s="6" t="s">
        <v>6476</v>
      </c>
      <c r="B2793" s="12" t="s">
        <v>6446</v>
      </c>
      <c r="C2793" s="4" t="s">
        <v>49</v>
      </c>
      <c r="D2793" s="7">
        <v>4721.15</v>
      </c>
      <c r="E2793" s="8" t="s">
        <v>7847</v>
      </c>
      <c r="F2793" s="9">
        <v>10</v>
      </c>
    </row>
    <row r="2794" ht="15.5" spans="1:6">
      <c r="A2794" s="6" t="s">
        <v>6479</v>
      </c>
      <c r="B2794" s="12" t="s">
        <v>6473</v>
      </c>
      <c r="C2794" s="4" t="s">
        <v>49</v>
      </c>
      <c r="D2794" s="7">
        <v>2626.3</v>
      </c>
      <c r="E2794" s="8" t="s">
        <v>7849</v>
      </c>
      <c r="F2794" s="9">
        <v>1</v>
      </c>
    </row>
    <row r="2795" ht="15.5" spans="1:6">
      <c r="A2795" s="6" t="s">
        <v>6480</v>
      </c>
      <c r="B2795" s="12" t="s">
        <v>6440</v>
      </c>
      <c r="C2795" s="4" t="s">
        <v>49</v>
      </c>
      <c r="D2795" s="7">
        <v>2924.45</v>
      </c>
      <c r="E2795" s="8" t="s">
        <v>7849</v>
      </c>
      <c r="F2795" s="9">
        <v>1</v>
      </c>
    </row>
    <row r="2796" ht="15.5" spans="1:6">
      <c r="A2796" s="6" t="s">
        <v>6481</v>
      </c>
      <c r="B2796" s="12" t="s">
        <v>6442</v>
      </c>
      <c r="C2796" s="4" t="s">
        <v>49</v>
      </c>
      <c r="D2796" s="7">
        <v>3104.2</v>
      </c>
      <c r="E2796" s="8" t="s">
        <v>7849</v>
      </c>
      <c r="F2796" s="9">
        <v>1</v>
      </c>
    </row>
    <row r="2797" ht="15.5" spans="1:6">
      <c r="A2797" s="6" t="s">
        <v>6482</v>
      </c>
      <c r="B2797" s="12" t="s">
        <v>6446</v>
      </c>
      <c r="C2797" s="4" t="s">
        <v>49</v>
      </c>
      <c r="D2797" s="7">
        <v>3360.15</v>
      </c>
      <c r="E2797" s="8" t="s">
        <v>7849</v>
      </c>
      <c r="F2797" s="9">
        <v>1</v>
      </c>
    </row>
    <row r="2798" ht="15.5" spans="1:6">
      <c r="A2798" s="6" t="s">
        <v>6485</v>
      </c>
      <c r="B2798" s="12" t="s">
        <v>6440</v>
      </c>
      <c r="C2798" s="4" t="s">
        <v>49</v>
      </c>
      <c r="D2798" s="7">
        <v>3727.8</v>
      </c>
      <c r="E2798" s="8" t="s">
        <v>7845</v>
      </c>
      <c r="F2798" s="9">
        <v>20</v>
      </c>
    </row>
    <row r="2799" ht="15.5" spans="1:6">
      <c r="A2799" s="6" t="s">
        <v>6486</v>
      </c>
      <c r="B2799" s="12" t="s">
        <v>6442</v>
      </c>
      <c r="C2799" s="4" t="s">
        <v>49</v>
      </c>
      <c r="D2799" s="7">
        <v>4766.25</v>
      </c>
      <c r="E2799" s="8" t="s">
        <v>7845</v>
      </c>
      <c r="F2799" s="9">
        <v>20</v>
      </c>
    </row>
    <row r="2800" ht="15.5" spans="1:6">
      <c r="A2800" s="6" t="s">
        <v>6487</v>
      </c>
      <c r="B2800" s="12" t="s">
        <v>6444</v>
      </c>
      <c r="C2800" s="4" t="s">
        <v>49</v>
      </c>
      <c r="D2800" s="7">
        <v>4931.35</v>
      </c>
      <c r="E2800" s="8" t="s">
        <v>7845</v>
      </c>
      <c r="F2800" s="9">
        <v>20</v>
      </c>
    </row>
    <row r="2801" ht="15.5" spans="1:6">
      <c r="A2801" s="6" t="s">
        <v>6488</v>
      </c>
      <c r="B2801" s="12" t="s">
        <v>6446</v>
      </c>
      <c r="C2801" s="4" t="s">
        <v>49</v>
      </c>
      <c r="D2801" s="7">
        <v>5633</v>
      </c>
      <c r="E2801" s="8" t="s">
        <v>7845</v>
      </c>
      <c r="F2801" s="9">
        <v>20</v>
      </c>
    </row>
    <row r="2802" ht="15.5" spans="1:6">
      <c r="A2802" s="6" t="s">
        <v>6489</v>
      </c>
      <c r="B2802" s="12" t="s">
        <v>6448</v>
      </c>
      <c r="C2802" s="4" t="s">
        <v>49</v>
      </c>
      <c r="D2802" s="7">
        <v>10846.8</v>
      </c>
      <c r="E2802" s="8" t="s">
        <v>7845</v>
      </c>
      <c r="F2802" s="9">
        <v>20</v>
      </c>
    </row>
    <row r="2803" ht="15.5" spans="1:6">
      <c r="A2803" s="6" t="s">
        <v>6490</v>
      </c>
      <c r="B2803" s="12" t="s">
        <v>6450</v>
      </c>
      <c r="C2803" s="4" t="s">
        <v>49</v>
      </c>
      <c r="D2803" s="7">
        <v>14946.4</v>
      </c>
      <c r="E2803" s="8" t="s">
        <v>7845</v>
      </c>
      <c r="F2803" s="9">
        <v>20</v>
      </c>
    </row>
    <row r="2804" ht="31" spans="1:6">
      <c r="A2804" s="6" t="s">
        <v>6497</v>
      </c>
      <c r="B2804" s="3" t="s">
        <v>6498</v>
      </c>
      <c r="C2804" s="4" t="s">
        <v>6499</v>
      </c>
      <c r="D2804" s="7">
        <v>54771.5</v>
      </c>
      <c r="E2804" s="8" t="s">
        <v>7850</v>
      </c>
      <c r="F2804" s="9">
        <v>1</v>
      </c>
    </row>
    <row r="2805" ht="31" spans="1:6">
      <c r="A2805" s="6" t="s">
        <v>6500</v>
      </c>
      <c r="B2805" s="3" t="s">
        <v>6501</v>
      </c>
      <c r="C2805" s="4" t="s">
        <v>6499</v>
      </c>
      <c r="D2805" s="7">
        <v>19632.4</v>
      </c>
      <c r="E2805" s="8" t="s">
        <v>7850</v>
      </c>
      <c r="F2805" s="9">
        <v>1</v>
      </c>
    </row>
    <row r="2806" ht="31" spans="1:6">
      <c r="A2806" s="6" t="s">
        <v>6504</v>
      </c>
      <c r="B2806" s="3" t="s">
        <v>6498</v>
      </c>
      <c r="C2806" s="4" t="s">
        <v>6499</v>
      </c>
      <c r="D2806" s="7">
        <v>61173.35</v>
      </c>
      <c r="E2806" s="8" t="s">
        <v>7850</v>
      </c>
      <c r="F2806" s="9">
        <v>1</v>
      </c>
    </row>
    <row r="2807" ht="31" spans="1:6">
      <c r="A2807" s="6" t="s">
        <v>6505</v>
      </c>
      <c r="B2807" s="3" t="s">
        <v>6501</v>
      </c>
      <c r="C2807" s="4" t="s">
        <v>6499</v>
      </c>
      <c r="D2807" s="7">
        <v>32436.1</v>
      </c>
      <c r="E2807" s="8" t="s">
        <v>7850</v>
      </c>
      <c r="F2807" s="9">
        <v>1</v>
      </c>
    </row>
    <row r="2808" ht="31" spans="1:6">
      <c r="A2808" s="6" t="s">
        <v>6508</v>
      </c>
      <c r="B2808" s="3" t="s">
        <v>6498</v>
      </c>
      <c r="C2808" s="4" t="s">
        <v>6499</v>
      </c>
      <c r="D2808" s="7">
        <v>70420.5</v>
      </c>
      <c r="E2808" s="8" t="s">
        <v>7850</v>
      </c>
      <c r="F2808" s="9">
        <v>1</v>
      </c>
    </row>
    <row r="2809" ht="31" spans="1:6">
      <c r="A2809" s="6" t="s">
        <v>6509</v>
      </c>
      <c r="B2809" s="3" t="s">
        <v>6501</v>
      </c>
      <c r="C2809" s="4" t="s">
        <v>6499</v>
      </c>
      <c r="D2809" s="7">
        <v>40545.15</v>
      </c>
      <c r="E2809" s="8" t="s">
        <v>7850</v>
      </c>
      <c r="F2809" s="9">
        <v>1</v>
      </c>
    </row>
    <row r="2810" ht="15.5" spans="1:6">
      <c r="A2810" s="6" t="s">
        <v>6514</v>
      </c>
      <c r="B2810" s="3" t="s">
        <v>6515</v>
      </c>
      <c r="C2810" s="4" t="s">
        <v>6499</v>
      </c>
      <c r="D2810" s="7">
        <v>19632.4</v>
      </c>
      <c r="E2810" s="8" t="s">
        <v>7850</v>
      </c>
      <c r="F2810" s="9">
        <v>1</v>
      </c>
    </row>
    <row r="2811" ht="31" spans="1:6">
      <c r="A2811" s="6" t="s">
        <v>6516</v>
      </c>
      <c r="B2811" s="3" t="s">
        <v>6517</v>
      </c>
      <c r="C2811" s="4" t="s">
        <v>6499</v>
      </c>
      <c r="D2811" s="7">
        <v>32436.1</v>
      </c>
      <c r="E2811" s="8" t="s">
        <v>7850</v>
      </c>
      <c r="F2811" s="9">
        <v>1</v>
      </c>
    </row>
    <row r="2812" ht="15.5" spans="1:6">
      <c r="A2812" s="6" t="s">
        <v>6520</v>
      </c>
      <c r="B2812" s="3" t="s">
        <v>6521</v>
      </c>
      <c r="C2812" s="4" t="s">
        <v>6499</v>
      </c>
      <c r="D2812" s="7">
        <v>40545.15</v>
      </c>
      <c r="E2812" s="8" t="s">
        <v>7850</v>
      </c>
      <c r="F2812" s="9">
        <v>1</v>
      </c>
    </row>
    <row r="2813" ht="15.5" spans="1:6">
      <c r="A2813" s="6" t="s">
        <v>6524</v>
      </c>
      <c r="B2813" s="3" t="s">
        <v>6525</v>
      </c>
      <c r="C2813" s="4" t="s">
        <v>6499</v>
      </c>
      <c r="D2813" s="7">
        <v>19632.4</v>
      </c>
      <c r="E2813" s="8" t="s">
        <v>7850</v>
      </c>
      <c r="F2813" s="9">
        <v>1</v>
      </c>
    </row>
    <row r="2814" ht="31" spans="1:6">
      <c r="A2814" s="6" t="s">
        <v>6526</v>
      </c>
      <c r="B2814" s="3" t="s">
        <v>6527</v>
      </c>
      <c r="C2814" s="4" t="s">
        <v>6499</v>
      </c>
      <c r="D2814" s="7">
        <v>32862.9</v>
      </c>
      <c r="E2814" s="8" t="s">
        <v>7850</v>
      </c>
      <c r="F2814" s="9">
        <v>1</v>
      </c>
    </row>
    <row r="2815" ht="155" spans="1:6">
      <c r="A2815" s="6" t="s">
        <v>6528</v>
      </c>
      <c r="B2815" s="12" t="s">
        <v>6529</v>
      </c>
      <c r="C2815" s="4" t="s">
        <v>6499</v>
      </c>
      <c r="D2815" s="7">
        <v>1153.2</v>
      </c>
      <c r="E2815" s="8" t="s">
        <v>7850</v>
      </c>
      <c r="F2815" s="9">
        <v>1</v>
      </c>
    </row>
    <row r="2816" ht="15.5" spans="1:6">
      <c r="A2816" s="6" t="s">
        <v>204</v>
      </c>
      <c r="B2816" s="12" t="s">
        <v>2</v>
      </c>
      <c r="C2816" s="4" t="s">
        <v>3</v>
      </c>
      <c r="D2816" s="14" t="s">
        <v>4</v>
      </c>
    </row>
    <row r="2817" ht="62" spans="1:6">
      <c r="A2817" s="6" t="s">
        <v>6536</v>
      </c>
      <c r="B2817" s="3" t="s">
        <v>6537</v>
      </c>
      <c r="C2817" s="4" t="s">
        <v>575</v>
      </c>
      <c r="D2817" s="7">
        <v>495.05</v>
      </c>
      <c r="E2817" s="8" t="s">
        <v>7851</v>
      </c>
      <c r="F2817" s="9">
        <v>40.02</v>
      </c>
    </row>
    <row r="2818" ht="31" spans="1:6">
      <c r="A2818" s="6" t="s">
        <v>6538</v>
      </c>
      <c r="B2818" s="3" t="s">
        <v>6539</v>
      </c>
      <c r="C2818" s="4" t="s">
        <v>575</v>
      </c>
      <c r="D2818" s="7">
        <v>530.9</v>
      </c>
      <c r="E2818" s="8" t="s">
        <v>7851</v>
      </c>
      <c r="F2818" s="9">
        <v>40.02</v>
      </c>
    </row>
    <row r="2819" ht="46.5" spans="1:6">
      <c r="A2819" s="6" t="s">
        <v>6541</v>
      </c>
      <c r="B2819" s="3" t="s">
        <v>6542</v>
      </c>
      <c r="C2819" s="4" t="s">
        <v>575</v>
      </c>
      <c r="D2819" s="7">
        <v>539.85</v>
      </c>
      <c r="E2819" s="8" t="s">
        <v>7851</v>
      </c>
      <c r="F2819" s="9">
        <v>40.02</v>
      </c>
    </row>
    <row r="2820" ht="62" spans="1:6">
      <c r="A2820" s="6" t="s">
        <v>6545</v>
      </c>
      <c r="B2820" s="3" t="s">
        <v>6537</v>
      </c>
      <c r="C2820" s="4" t="s">
        <v>575</v>
      </c>
      <c r="D2820" s="7">
        <v>598.6</v>
      </c>
      <c r="E2820" s="8" t="s">
        <v>7852</v>
      </c>
      <c r="F2820" s="9">
        <v>20.62</v>
      </c>
    </row>
    <row r="2821" ht="31" spans="1:6">
      <c r="A2821" s="6" t="s">
        <v>6546</v>
      </c>
      <c r="B2821" s="3" t="s">
        <v>6539</v>
      </c>
      <c r="C2821" s="4" t="s">
        <v>575</v>
      </c>
      <c r="D2821" s="7">
        <v>634.45</v>
      </c>
      <c r="E2821" s="8" t="s">
        <v>7852</v>
      </c>
      <c r="F2821" s="9">
        <v>20.62</v>
      </c>
    </row>
    <row r="2822" ht="46.5" spans="1:6">
      <c r="A2822" s="6" t="s">
        <v>6547</v>
      </c>
      <c r="B2822" s="3" t="s">
        <v>6542</v>
      </c>
      <c r="C2822" s="4" t="s">
        <v>575</v>
      </c>
      <c r="D2822" s="7">
        <v>643.45</v>
      </c>
      <c r="E2822" s="8" t="s">
        <v>7852</v>
      </c>
      <c r="F2822" s="9">
        <v>20.62</v>
      </c>
    </row>
    <row r="2823" ht="46.5" spans="1:6">
      <c r="A2823" s="6" t="s">
        <v>6550</v>
      </c>
      <c r="B2823" s="3" t="s">
        <v>6551</v>
      </c>
      <c r="C2823" s="4" t="s">
        <v>12</v>
      </c>
      <c r="D2823" s="7">
        <v>1139.3</v>
      </c>
      <c r="E2823" s="8" t="s">
        <v>7590</v>
      </c>
      <c r="F2823" s="9">
        <v>7</v>
      </c>
    </row>
    <row r="2824" ht="31" spans="1:6">
      <c r="A2824" s="6" t="s">
        <v>6552</v>
      </c>
      <c r="B2824" s="3" t="s">
        <v>6553</v>
      </c>
      <c r="C2824" s="4" t="s">
        <v>12</v>
      </c>
      <c r="D2824" s="7">
        <v>1115.4</v>
      </c>
      <c r="E2824" s="8" t="s">
        <v>7590</v>
      </c>
      <c r="F2824" s="9">
        <v>7</v>
      </c>
    </row>
    <row r="2825" ht="31" spans="1:6">
      <c r="A2825" s="6" t="s">
        <v>6556</v>
      </c>
      <c r="B2825" s="3" t="s">
        <v>6557</v>
      </c>
      <c r="C2825" s="4" t="s">
        <v>12</v>
      </c>
      <c r="D2825" s="7">
        <v>1176.8</v>
      </c>
      <c r="E2825" s="8" t="s">
        <v>7554</v>
      </c>
      <c r="F2825" s="9">
        <v>1</v>
      </c>
    </row>
    <row r="2826" ht="31" spans="1:6">
      <c r="A2826" s="6" t="s">
        <v>6558</v>
      </c>
      <c r="B2826" s="3" t="s">
        <v>6559</v>
      </c>
      <c r="C2826" s="4" t="s">
        <v>12</v>
      </c>
      <c r="D2826" s="7">
        <v>1505.25</v>
      </c>
      <c r="E2826" s="8" t="s">
        <v>7554</v>
      </c>
      <c r="F2826" s="9">
        <v>1</v>
      </c>
    </row>
    <row r="2827" ht="31" spans="1:6">
      <c r="A2827" s="6" t="s">
        <v>6560</v>
      </c>
      <c r="B2827" s="3" t="s">
        <v>6561</v>
      </c>
      <c r="C2827" s="4" t="s">
        <v>12</v>
      </c>
      <c r="D2827" s="7">
        <v>1685.4</v>
      </c>
      <c r="E2827" s="8" t="s">
        <v>7554</v>
      </c>
      <c r="F2827" s="9">
        <v>1</v>
      </c>
    </row>
    <row r="2828" ht="31" spans="1:6">
      <c r="A2828" s="6" t="s">
        <v>6564</v>
      </c>
      <c r="B2828" s="3" t="s">
        <v>6565</v>
      </c>
      <c r="C2828" s="4" t="s">
        <v>156</v>
      </c>
      <c r="D2828" s="7">
        <v>2823.85</v>
      </c>
      <c r="E2828" s="8" t="s">
        <v>7544</v>
      </c>
      <c r="F2828" s="9">
        <v>1</v>
      </c>
    </row>
    <row r="2829" ht="31" spans="1:6">
      <c r="A2829" s="6" t="s">
        <v>6566</v>
      </c>
      <c r="B2829" s="3" t="s">
        <v>6567</v>
      </c>
      <c r="C2829" s="4" t="s">
        <v>156</v>
      </c>
      <c r="D2829" s="7">
        <v>2966.1</v>
      </c>
      <c r="E2829" s="8" t="s">
        <v>7544</v>
      </c>
      <c r="F2829" s="9">
        <v>1</v>
      </c>
    </row>
    <row r="2830" ht="279" spans="1:6">
      <c r="A2830" s="6" t="s">
        <v>6568</v>
      </c>
      <c r="B2830" s="12" t="s">
        <v>6569</v>
      </c>
      <c r="C2830" s="4" t="s">
        <v>575</v>
      </c>
      <c r="D2830" s="7">
        <v>817.15</v>
      </c>
      <c r="E2830" s="8" t="s">
        <v>7853</v>
      </c>
      <c r="F2830" s="9">
        <v>6.35</v>
      </c>
    </row>
    <row r="2831" ht="124" spans="1:6">
      <c r="A2831" s="6" t="s">
        <v>6570</v>
      </c>
      <c r="B2831" s="12" t="s">
        <v>6571</v>
      </c>
      <c r="C2831" s="4" t="s">
        <v>156</v>
      </c>
      <c r="D2831" s="7">
        <v>82.45</v>
      </c>
      <c r="E2831" s="8" t="s">
        <v>7854</v>
      </c>
      <c r="F2831" s="9">
        <v>23</v>
      </c>
    </row>
    <row r="2832" ht="62" spans="1:6">
      <c r="A2832" s="6" t="s">
        <v>6574</v>
      </c>
      <c r="B2832" s="3" t="s">
        <v>6575</v>
      </c>
      <c r="C2832" s="4" t="s">
        <v>575</v>
      </c>
      <c r="D2832" s="7">
        <v>680.55</v>
      </c>
      <c r="E2832" s="8" t="s">
        <v>7855</v>
      </c>
      <c r="F2832" s="9">
        <v>7</v>
      </c>
    </row>
    <row r="2833" ht="46.5" spans="1:6">
      <c r="A2833" s="6" t="s">
        <v>6576</v>
      </c>
      <c r="B2833" s="3" t="s">
        <v>6577</v>
      </c>
      <c r="C2833" s="4" t="s">
        <v>575</v>
      </c>
      <c r="D2833" s="7">
        <v>716.4</v>
      </c>
      <c r="E2833" s="8" t="s">
        <v>7855</v>
      </c>
      <c r="F2833" s="9">
        <v>7</v>
      </c>
    </row>
    <row r="2834" ht="15.5" spans="1:6">
      <c r="A2834" s="6" t="s">
        <v>6580</v>
      </c>
      <c r="B2834" s="3" t="s">
        <v>6581</v>
      </c>
      <c r="C2834" s="4" t="s">
        <v>49</v>
      </c>
      <c r="D2834" s="7">
        <v>96.75</v>
      </c>
      <c r="E2834" s="8" t="s">
        <v>7531</v>
      </c>
      <c r="F2834" s="9">
        <v>1</v>
      </c>
    </row>
    <row r="2835" ht="15.5" spans="1:6">
      <c r="A2835" s="6" t="s">
        <v>6584</v>
      </c>
      <c r="B2835" s="3" t="s">
        <v>6535</v>
      </c>
      <c r="C2835" s="4" t="s">
        <v>575</v>
      </c>
      <c r="D2835" s="7">
        <v>12.8</v>
      </c>
      <c r="E2835" s="8" t="s">
        <v>7856</v>
      </c>
      <c r="F2835" s="9">
        <v>41.09</v>
      </c>
    </row>
    <row r="2836" ht="31" spans="1:6">
      <c r="A2836" s="6" t="s">
        <v>6585</v>
      </c>
      <c r="B2836" s="3" t="s">
        <v>6586</v>
      </c>
      <c r="C2836" s="4" t="s">
        <v>575</v>
      </c>
      <c r="D2836" s="7">
        <v>12.8</v>
      </c>
      <c r="E2836" s="8" t="s">
        <v>7857</v>
      </c>
      <c r="F2836" s="9">
        <v>21.65</v>
      </c>
    </row>
    <row r="2837" ht="155" spans="1:6">
      <c r="A2837" s="6" t="s">
        <v>6587</v>
      </c>
      <c r="B2837" s="12" t="s">
        <v>6588</v>
      </c>
      <c r="C2837" s="4" t="s">
        <v>12</v>
      </c>
      <c r="D2837" s="7">
        <v>4997.7</v>
      </c>
      <c r="E2837" s="8" t="s">
        <v>7554</v>
      </c>
      <c r="F2837" s="9">
        <v>1</v>
      </c>
    </row>
    <row r="2838" ht="15.5" spans="1:6">
      <c r="A2838" s="6" t="s">
        <v>6591</v>
      </c>
      <c r="B2838" s="3" t="s">
        <v>6592</v>
      </c>
      <c r="C2838" s="4" t="s">
        <v>156</v>
      </c>
      <c r="D2838" s="7">
        <v>344.3</v>
      </c>
      <c r="E2838" s="8" t="s">
        <v>7576</v>
      </c>
      <c r="F2838" s="9">
        <v>10</v>
      </c>
    </row>
    <row r="2839" ht="15.5" spans="1:6">
      <c r="A2839" s="6" t="s">
        <v>6593</v>
      </c>
      <c r="B2839" s="3" t="s">
        <v>6594</v>
      </c>
      <c r="C2839" s="4" t="s">
        <v>156</v>
      </c>
      <c r="D2839" s="7">
        <v>387</v>
      </c>
      <c r="E2839" s="8" t="s">
        <v>7576</v>
      </c>
      <c r="F2839" s="9">
        <v>10</v>
      </c>
    </row>
    <row r="2840" ht="15.5" spans="1:6">
      <c r="A2840" s="6" t="s">
        <v>6595</v>
      </c>
      <c r="B2840" s="3" t="s">
        <v>6596</v>
      </c>
      <c r="C2840" s="4" t="s">
        <v>156</v>
      </c>
      <c r="D2840" s="7">
        <v>325.8</v>
      </c>
      <c r="E2840" s="8" t="s">
        <v>7576</v>
      </c>
      <c r="F2840" s="9">
        <v>10</v>
      </c>
    </row>
    <row r="2841" ht="15.5" spans="1:6">
      <c r="A2841" s="6" t="s">
        <v>6597</v>
      </c>
      <c r="B2841" s="3" t="s">
        <v>6598</v>
      </c>
      <c r="C2841" s="4" t="s">
        <v>156</v>
      </c>
      <c r="D2841" s="7">
        <v>802.4</v>
      </c>
      <c r="E2841" s="8" t="s">
        <v>7576</v>
      </c>
      <c r="F2841" s="9">
        <v>10</v>
      </c>
    </row>
    <row r="2842" ht="15.5" spans="1:6">
      <c r="A2842" s="6" t="s">
        <v>6599</v>
      </c>
      <c r="B2842" s="3" t="s">
        <v>6600</v>
      </c>
      <c r="C2842" s="4" t="s">
        <v>156</v>
      </c>
      <c r="D2842" s="7">
        <v>1478.15</v>
      </c>
      <c r="E2842" s="8" t="s">
        <v>7576</v>
      </c>
      <c r="F2842" s="9">
        <v>10</v>
      </c>
    </row>
    <row r="2843" ht="31" spans="1:6">
      <c r="A2843" s="6" t="s">
        <v>6603</v>
      </c>
      <c r="B2843" s="3" t="s">
        <v>6604</v>
      </c>
      <c r="C2843" s="4" t="s">
        <v>156</v>
      </c>
      <c r="D2843" s="7">
        <v>575.75</v>
      </c>
      <c r="E2843" s="8" t="s">
        <v>7576</v>
      </c>
      <c r="F2843" s="9">
        <v>10</v>
      </c>
    </row>
    <row r="2844" ht="31" spans="1:6">
      <c r="A2844" s="6" t="s">
        <v>6605</v>
      </c>
      <c r="B2844" s="3" t="s">
        <v>6606</v>
      </c>
      <c r="C2844" s="4" t="s">
        <v>156</v>
      </c>
      <c r="D2844" s="7">
        <v>631.55</v>
      </c>
      <c r="E2844" s="8" t="s">
        <v>7576</v>
      </c>
      <c r="F2844" s="9">
        <v>10</v>
      </c>
    </row>
    <row r="2845" ht="46.5" spans="1:6">
      <c r="A2845" s="6" t="s">
        <v>6607</v>
      </c>
      <c r="B2845" s="3" t="s">
        <v>6608</v>
      </c>
      <c r="C2845" s="4" t="s">
        <v>156</v>
      </c>
      <c r="D2845" s="7">
        <v>645.5</v>
      </c>
      <c r="E2845" s="8" t="s">
        <v>7576</v>
      </c>
      <c r="F2845" s="9">
        <v>10</v>
      </c>
    </row>
    <row r="2846" ht="77.5" spans="1:6">
      <c r="A2846" s="6" t="s">
        <v>6609</v>
      </c>
      <c r="B2846" s="12" t="s">
        <v>6610</v>
      </c>
      <c r="C2846" s="4" t="s">
        <v>156</v>
      </c>
      <c r="D2846" s="7">
        <v>528.85</v>
      </c>
      <c r="E2846" s="8" t="s">
        <v>7544</v>
      </c>
      <c r="F2846" s="9">
        <v>1</v>
      </c>
    </row>
    <row r="2847" ht="155" spans="1:6">
      <c r="A2847" s="6" t="s">
        <v>6611</v>
      </c>
      <c r="B2847" s="12" t="s">
        <v>6612</v>
      </c>
      <c r="C2847" s="4" t="s">
        <v>575</v>
      </c>
      <c r="D2847" s="7">
        <v>402.8</v>
      </c>
      <c r="E2847" s="8" t="s">
        <v>7858</v>
      </c>
      <c r="F2847" s="9">
        <v>4.082</v>
      </c>
    </row>
    <row r="2848" ht="15.5" spans="1:6">
      <c r="A2848" s="6" t="s">
        <v>6615</v>
      </c>
      <c r="B2848" s="3" t="s">
        <v>6616</v>
      </c>
      <c r="C2848" s="4" t="s">
        <v>156</v>
      </c>
      <c r="D2848" s="7">
        <v>89.4</v>
      </c>
      <c r="E2848" s="8" t="s">
        <v>7576</v>
      </c>
      <c r="F2848" s="9">
        <v>10</v>
      </c>
    </row>
    <row r="2849" ht="31" spans="1:6">
      <c r="A2849" s="6" t="s">
        <v>6617</v>
      </c>
      <c r="B2849" s="3" t="s">
        <v>6618</v>
      </c>
      <c r="C2849" s="4" t="s">
        <v>156</v>
      </c>
      <c r="D2849" s="7">
        <v>97.95</v>
      </c>
      <c r="E2849" s="8" t="s">
        <v>7576</v>
      </c>
      <c r="F2849" s="9">
        <v>10</v>
      </c>
    </row>
    <row r="2850" ht="31" spans="1:6">
      <c r="A2850" s="6" t="s">
        <v>6619</v>
      </c>
      <c r="B2850" s="3" t="s">
        <v>6620</v>
      </c>
      <c r="C2850" s="4" t="s">
        <v>156</v>
      </c>
      <c r="D2850" s="7">
        <v>95.1</v>
      </c>
      <c r="E2850" s="8" t="s">
        <v>7576</v>
      </c>
      <c r="F2850" s="9">
        <v>10</v>
      </c>
    </row>
    <row r="2851" ht="15.5" spans="1:6">
      <c r="A2851" s="6" t="s">
        <v>6623</v>
      </c>
      <c r="B2851" s="3" t="s">
        <v>6624</v>
      </c>
      <c r="C2851" s="4" t="s">
        <v>156</v>
      </c>
      <c r="D2851" s="7">
        <v>107.9</v>
      </c>
      <c r="E2851" s="8" t="s">
        <v>7576</v>
      </c>
      <c r="F2851" s="9">
        <v>10</v>
      </c>
    </row>
    <row r="2852" ht="31" spans="1:6">
      <c r="A2852" s="6" t="s">
        <v>6625</v>
      </c>
      <c r="B2852" s="3" t="s">
        <v>6618</v>
      </c>
      <c r="C2852" s="4" t="s">
        <v>156</v>
      </c>
      <c r="D2852" s="7">
        <v>109.3</v>
      </c>
      <c r="E2852" s="8" t="s">
        <v>7576</v>
      </c>
      <c r="F2852" s="9">
        <v>10</v>
      </c>
    </row>
    <row r="2853" ht="31" spans="1:6">
      <c r="A2853" s="6" t="s">
        <v>6626</v>
      </c>
      <c r="B2853" s="3" t="s">
        <v>6620</v>
      </c>
      <c r="C2853" s="4" t="s">
        <v>156</v>
      </c>
      <c r="D2853" s="7">
        <v>112.15</v>
      </c>
      <c r="E2853" s="8" t="s">
        <v>7576</v>
      </c>
      <c r="F2853" s="9">
        <v>10</v>
      </c>
    </row>
    <row r="2854" ht="248" spans="1:6">
      <c r="A2854" s="6" t="s">
        <v>6627</v>
      </c>
      <c r="B2854" s="12" t="s">
        <v>6628</v>
      </c>
      <c r="C2854" s="4" t="s">
        <v>575</v>
      </c>
      <c r="D2854" s="7">
        <v>638.35</v>
      </c>
      <c r="E2854" s="8" t="s">
        <v>7859</v>
      </c>
      <c r="F2854" s="9">
        <v>10</v>
      </c>
    </row>
    <row r="2855" ht="170.5" spans="1:6">
      <c r="A2855" s="6" t="s">
        <v>6629</v>
      </c>
      <c r="B2855" s="12" t="s">
        <v>6630</v>
      </c>
      <c r="C2855" s="4" t="s">
        <v>12</v>
      </c>
      <c r="D2855" s="7">
        <v>5325.9</v>
      </c>
      <c r="E2855" s="8" t="s">
        <v>7602</v>
      </c>
      <c r="F2855" s="9">
        <v>2.1</v>
      </c>
    </row>
    <row r="2856" ht="15.5" spans="1:6">
      <c r="A2856" s="6" t="s">
        <v>6633</v>
      </c>
      <c r="B2856" s="3" t="s">
        <v>6634</v>
      </c>
      <c r="C2856" s="4" t="s">
        <v>49</v>
      </c>
      <c r="D2856" s="7">
        <v>148.1</v>
      </c>
      <c r="E2856" s="8" t="s">
        <v>7552</v>
      </c>
      <c r="F2856" s="9">
        <v>10</v>
      </c>
    </row>
    <row r="2857" ht="15.5" spans="1:6">
      <c r="A2857" s="6" t="s">
        <v>6635</v>
      </c>
      <c r="B2857" s="3" t="s">
        <v>6636</v>
      </c>
      <c r="C2857" s="4" t="s">
        <v>49</v>
      </c>
      <c r="D2857" s="7">
        <v>200.95</v>
      </c>
      <c r="E2857" s="8" t="s">
        <v>7552</v>
      </c>
      <c r="F2857" s="9">
        <v>10</v>
      </c>
    </row>
    <row r="2858" ht="15.5" spans="1:6">
      <c r="A2858" s="6" t="s">
        <v>6637</v>
      </c>
      <c r="B2858" s="3" t="s">
        <v>6638</v>
      </c>
      <c r="C2858" s="4" t="s">
        <v>49</v>
      </c>
      <c r="D2858" s="7">
        <v>363.2</v>
      </c>
      <c r="E2858" s="8" t="s">
        <v>7552</v>
      </c>
      <c r="F2858" s="9">
        <v>10</v>
      </c>
    </row>
    <row r="2859" ht="15.5" spans="1:6">
      <c r="A2859" s="6" t="s">
        <v>204</v>
      </c>
      <c r="B2859" s="12" t="s">
        <v>2</v>
      </c>
      <c r="C2859" s="4" t="s">
        <v>3</v>
      </c>
      <c r="D2859" s="14" t="s">
        <v>4</v>
      </c>
    </row>
    <row r="2860" ht="15.5" spans="1:6">
      <c r="A2860" s="6" t="s">
        <v>6642</v>
      </c>
      <c r="B2860" s="3" t="s">
        <v>7860</v>
      </c>
      <c r="C2860" s="4" t="s">
        <v>12</v>
      </c>
      <c r="D2860" s="7">
        <v>1515.6</v>
      </c>
      <c r="E2860" s="8" t="s">
        <v>7397</v>
      </c>
      <c r="F2860" s="9">
        <v>10</v>
      </c>
    </row>
    <row r="2861" ht="15.5" spans="1:6">
      <c r="A2861" s="6" t="s">
        <v>6646</v>
      </c>
      <c r="B2861" s="3" t="s">
        <v>6647</v>
      </c>
      <c r="C2861" s="4" t="s">
        <v>12</v>
      </c>
      <c r="D2861" s="7">
        <v>2024.7</v>
      </c>
      <c r="E2861" s="8" t="s">
        <v>7397</v>
      </c>
      <c r="F2861" s="9">
        <v>10</v>
      </c>
    </row>
    <row r="2862" ht="356.5" spans="1:6">
      <c r="A2862" s="6" t="s">
        <v>6648</v>
      </c>
      <c r="B2862" s="12" t="s">
        <v>6649</v>
      </c>
      <c r="C2862" s="4" t="s">
        <v>12</v>
      </c>
      <c r="D2862" s="14">
        <v>769.6</v>
      </c>
      <c r="E2862" s="8" t="s">
        <v>7397</v>
      </c>
      <c r="F2862" s="9">
        <v>10</v>
      </c>
    </row>
    <row r="2863" ht="31" spans="1:6">
      <c r="A2863" s="6" t="s">
        <v>6652</v>
      </c>
      <c r="B2863" s="3" t="s">
        <v>6653</v>
      </c>
      <c r="C2863" s="4" t="s">
        <v>49</v>
      </c>
      <c r="D2863" s="7">
        <v>327.65</v>
      </c>
      <c r="E2863" s="8" t="s">
        <v>7556</v>
      </c>
      <c r="F2863" s="9">
        <v>100</v>
      </c>
    </row>
    <row r="2864" ht="31" spans="1:6">
      <c r="A2864" s="6" t="s">
        <v>6654</v>
      </c>
      <c r="B2864" s="3" t="s">
        <v>6655</v>
      </c>
      <c r="C2864" s="4" t="s">
        <v>49</v>
      </c>
      <c r="D2864" s="7">
        <v>267.9</v>
      </c>
      <c r="E2864" s="8" t="s">
        <v>7556</v>
      </c>
      <c r="F2864" s="9">
        <v>100</v>
      </c>
    </row>
    <row r="2865" ht="15.5" spans="1:6">
      <c r="A2865" s="6" t="s">
        <v>6656</v>
      </c>
      <c r="B2865" s="3" t="s">
        <v>6657</v>
      </c>
      <c r="C2865" s="4" t="s">
        <v>49</v>
      </c>
      <c r="D2865" s="7">
        <v>263.65</v>
      </c>
      <c r="E2865" s="8" t="s">
        <v>7556</v>
      </c>
      <c r="F2865" s="9">
        <v>100</v>
      </c>
    </row>
    <row r="2866" ht="294.5" spans="1:6">
      <c r="A2866" s="6" t="s">
        <v>6658</v>
      </c>
      <c r="B2866" s="12" t="s">
        <v>6659</v>
      </c>
      <c r="C2866" s="4" t="s">
        <v>12</v>
      </c>
      <c r="D2866" s="14">
        <v>617.05</v>
      </c>
      <c r="E2866" s="8" t="s">
        <v>7397</v>
      </c>
      <c r="F2866" s="9">
        <v>10</v>
      </c>
    </row>
    <row r="2867" ht="409.5" spans="1:6">
      <c r="A2867" s="6" t="s">
        <v>6660</v>
      </c>
      <c r="B2867" s="12" t="s">
        <v>6661</v>
      </c>
      <c r="C2867" s="4" t="s">
        <v>12</v>
      </c>
      <c r="D2867" s="7">
        <v>688.9</v>
      </c>
      <c r="E2867" s="8" t="s">
        <v>7397</v>
      </c>
      <c r="F2867" s="9">
        <v>10</v>
      </c>
    </row>
    <row r="2868" ht="31" spans="1:6">
      <c r="A2868" s="6" t="s">
        <v>6664</v>
      </c>
      <c r="B2868" s="3" t="s">
        <v>6665</v>
      </c>
      <c r="C2868" s="4" t="s">
        <v>12</v>
      </c>
      <c r="D2868" s="7">
        <v>1684.6</v>
      </c>
      <c r="E2868" s="8" t="s">
        <v>7332</v>
      </c>
      <c r="F2868" s="9">
        <v>100</v>
      </c>
    </row>
    <row r="2869" ht="31" spans="1:6">
      <c r="A2869" s="6" t="s">
        <v>6668</v>
      </c>
      <c r="B2869" s="3" t="s">
        <v>6669</v>
      </c>
      <c r="C2869" s="4" t="s">
        <v>12</v>
      </c>
      <c r="D2869" s="7">
        <v>515.05</v>
      </c>
      <c r="E2869" s="8" t="s">
        <v>7861</v>
      </c>
      <c r="F2869" s="9">
        <v>30</v>
      </c>
    </row>
    <row r="2870" ht="232.5" spans="1:6">
      <c r="A2870" s="6" t="s">
        <v>6670</v>
      </c>
      <c r="B2870" s="12" t="s">
        <v>6671</v>
      </c>
      <c r="C2870" s="4" t="s">
        <v>12</v>
      </c>
      <c r="D2870" s="7">
        <v>806.45</v>
      </c>
      <c r="E2870" s="8" t="s">
        <v>7861</v>
      </c>
      <c r="F2870" s="9">
        <v>30</v>
      </c>
    </row>
    <row r="2871" ht="201.5" spans="1:6">
      <c r="A2871" s="6" t="s">
        <v>6672</v>
      </c>
      <c r="B2871" s="12" t="s">
        <v>6673</v>
      </c>
      <c r="C2871" s="4" t="s">
        <v>12</v>
      </c>
      <c r="D2871" s="7">
        <v>910.85</v>
      </c>
      <c r="E2871" s="8" t="s">
        <v>7861</v>
      </c>
      <c r="F2871" s="9">
        <v>30</v>
      </c>
    </row>
    <row r="2872" ht="217" spans="1:6">
      <c r="A2872" s="6" t="s">
        <v>6674</v>
      </c>
      <c r="B2872" s="12" t="s">
        <v>6675</v>
      </c>
      <c r="C2872" s="4" t="s">
        <v>12</v>
      </c>
      <c r="D2872" s="7">
        <v>910.85</v>
      </c>
      <c r="E2872" s="8" t="s">
        <v>7861</v>
      </c>
      <c r="F2872" s="9">
        <v>30</v>
      </c>
    </row>
    <row r="2873" ht="46.5" spans="1:6">
      <c r="A2873" s="6" t="s">
        <v>6676</v>
      </c>
      <c r="B2873" s="12" t="s">
        <v>6677</v>
      </c>
      <c r="C2873" s="4" t="s">
        <v>12</v>
      </c>
      <c r="D2873" s="7">
        <v>59.45</v>
      </c>
      <c r="E2873" s="8" t="s">
        <v>7397</v>
      </c>
      <c r="F2873" s="9">
        <v>10</v>
      </c>
    </row>
    <row r="2874" ht="15.5" spans="1:6">
      <c r="A2874" s="6" t="s">
        <v>6680</v>
      </c>
      <c r="B2874" s="3" t="s">
        <v>6681</v>
      </c>
      <c r="C2874" s="4" t="s">
        <v>12</v>
      </c>
      <c r="D2874" s="7">
        <v>17.55</v>
      </c>
      <c r="E2874" s="8" t="s">
        <v>7397</v>
      </c>
      <c r="F2874" s="9">
        <v>10</v>
      </c>
    </row>
    <row r="2875" ht="15.5" spans="1:6">
      <c r="A2875" s="6" t="s">
        <v>6682</v>
      </c>
      <c r="B2875" s="3" t="s">
        <v>6683</v>
      </c>
      <c r="C2875" s="4" t="s">
        <v>12</v>
      </c>
      <c r="D2875" s="7">
        <v>22.1</v>
      </c>
      <c r="E2875" s="8" t="s">
        <v>7397</v>
      </c>
      <c r="F2875" s="9">
        <v>10</v>
      </c>
    </row>
    <row r="2876" ht="46.5" spans="1:6">
      <c r="A2876" s="6" t="s">
        <v>6686</v>
      </c>
      <c r="B2876" s="3" t="s">
        <v>6687</v>
      </c>
      <c r="C2876" s="4" t="s">
        <v>16</v>
      </c>
      <c r="D2876" s="7">
        <v>8042.3</v>
      </c>
      <c r="E2876" s="8" t="s">
        <v>7394</v>
      </c>
      <c r="F2876" s="9">
        <v>1</v>
      </c>
    </row>
    <row r="2877" ht="31" spans="1:6">
      <c r="A2877" s="6" t="s">
        <v>6688</v>
      </c>
      <c r="B2877" s="3" t="s">
        <v>788</v>
      </c>
      <c r="C2877" s="4" t="s">
        <v>16</v>
      </c>
      <c r="D2877" s="7">
        <v>16112.1</v>
      </c>
      <c r="E2877" s="8" t="s">
        <v>7394</v>
      </c>
      <c r="F2877" s="9">
        <v>1</v>
      </c>
    </row>
    <row r="2878" ht="31" spans="1:6">
      <c r="A2878" s="6" t="s">
        <v>6689</v>
      </c>
      <c r="B2878" s="3" t="s">
        <v>6690</v>
      </c>
      <c r="C2878" s="4" t="s">
        <v>16</v>
      </c>
      <c r="D2878" s="7">
        <v>15155.6</v>
      </c>
      <c r="E2878" s="8" t="s">
        <v>7394</v>
      </c>
      <c r="F2878" s="9">
        <v>1</v>
      </c>
    </row>
    <row r="2879" ht="409.5" spans="1:6">
      <c r="A2879" s="6" t="s">
        <v>6691</v>
      </c>
      <c r="B2879" s="12" t="s">
        <v>6692</v>
      </c>
      <c r="C2879" s="4" t="s">
        <v>575</v>
      </c>
      <c r="D2879" s="7">
        <v>388</v>
      </c>
      <c r="E2879" s="8" t="s">
        <v>7862</v>
      </c>
      <c r="F2879" s="9">
        <v>1</v>
      </c>
    </row>
    <row r="2880" ht="263.5" spans="1:6">
      <c r="A2880" s="6" t="s">
        <v>6693</v>
      </c>
      <c r="B2880" s="12" t="s">
        <v>6694</v>
      </c>
      <c r="C2880" s="4" t="s">
        <v>12</v>
      </c>
      <c r="D2880" s="7">
        <v>563.1</v>
      </c>
      <c r="E2880" s="8" t="s">
        <v>7397</v>
      </c>
      <c r="F2880" s="9">
        <v>10</v>
      </c>
    </row>
    <row r="2881" ht="31" spans="1:6">
      <c r="A2881" s="6" t="s">
        <v>6697</v>
      </c>
      <c r="B2881" s="3" t="s">
        <v>6698</v>
      </c>
      <c r="C2881" s="4" t="s">
        <v>12</v>
      </c>
      <c r="D2881" s="7">
        <v>472.9</v>
      </c>
      <c r="E2881" s="8" t="s">
        <v>7554</v>
      </c>
      <c r="F2881" s="9">
        <v>1</v>
      </c>
    </row>
    <row r="2882" ht="31" spans="1:6">
      <c r="A2882" s="6" t="s">
        <v>6699</v>
      </c>
      <c r="B2882" s="3" t="s">
        <v>6700</v>
      </c>
      <c r="C2882" s="4" t="s">
        <v>12</v>
      </c>
      <c r="D2882" s="7">
        <v>362.8</v>
      </c>
      <c r="E2882" s="8" t="s">
        <v>7554</v>
      </c>
      <c r="F2882" s="9">
        <v>1</v>
      </c>
    </row>
    <row r="2883" ht="248" spans="1:6">
      <c r="A2883" s="6" t="s">
        <v>6701</v>
      </c>
      <c r="B2883" s="12" t="s">
        <v>6702</v>
      </c>
      <c r="C2883" s="4" t="s">
        <v>12</v>
      </c>
      <c r="D2883" s="7">
        <v>447.35</v>
      </c>
      <c r="E2883" s="8" t="s">
        <v>7397</v>
      </c>
      <c r="F2883" s="9">
        <v>10</v>
      </c>
    </row>
    <row r="2884" ht="387.5" spans="1:6">
      <c r="A2884" s="6" t="s">
        <v>6703</v>
      </c>
      <c r="B2884" s="12" t="s">
        <v>6704</v>
      </c>
      <c r="C2884" s="4" t="s">
        <v>12</v>
      </c>
      <c r="D2884" s="7">
        <v>309.6</v>
      </c>
      <c r="E2884" s="8" t="s">
        <v>7554</v>
      </c>
      <c r="F2884" s="9">
        <v>1</v>
      </c>
    </row>
    <row r="2885" ht="232.5" spans="1:6">
      <c r="A2885" s="6" t="s">
        <v>6705</v>
      </c>
      <c r="B2885" s="12" t="s">
        <v>6706</v>
      </c>
      <c r="C2885" s="4" t="s">
        <v>12</v>
      </c>
      <c r="D2885" s="7">
        <v>597</v>
      </c>
      <c r="E2885" s="8" t="s">
        <v>7397</v>
      </c>
      <c r="F2885" s="9">
        <v>10</v>
      </c>
    </row>
    <row r="2886" ht="170.5" spans="1:6">
      <c r="A2886" s="6" t="s">
        <v>6709</v>
      </c>
      <c r="B2886" s="3" t="s">
        <v>6710</v>
      </c>
      <c r="C2886" s="4" t="s">
        <v>49</v>
      </c>
      <c r="D2886" s="7">
        <v>547.7</v>
      </c>
      <c r="E2886" s="8" t="s">
        <v>7531</v>
      </c>
      <c r="F2886" s="9">
        <v>1</v>
      </c>
    </row>
    <row r="2887" ht="155" spans="1:6">
      <c r="A2887" s="6" t="s">
        <v>6711</v>
      </c>
      <c r="B2887" s="3" t="s">
        <v>6712</v>
      </c>
      <c r="C2887" s="4" t="s">
        <v>6713</v>
      </c>
      <c r="D2887" s="7">
        <v>23.05</v>
      </c>
      <c r="E2887" s="8" t="s">
        <v>7863</v>
      </c>
      <c r="F2887" s="9">
        <v>1</v>
      </c>
    </row>
    <row r="2888" ht="294.5" spans="1:6">
      <c r="A2888" s="6" t="s">
        <v>6714</v>
      </c>
      <c r="B2888" s="12" t="s">
        <v>6715</v>
      </c>
      <c r="C2888" s="4" t="s">
        <v>49</v>
      </c>
      <c r="D2888" s="7">
        <v>573.45</v>
      </c>
      <c r="E2888" s="8" t="s">
        <v>7531</v>
      </c>
      <c r="F2888" s="9">
        <v>1</v>
      </c>
    </row>
    <row r="2889" ht="15.5" spans="1:6">
      <c r="A2889" s="6" t="s">
        <v>204</v>
      </c>
      <c r="B2889" s="12" t="s">
        <v>2</v>
      </c>
      <c r="C2889" s="4" t="s">
        <v>3</v>
      </c>
      <c r="D2889" s="14" t="s">
        <v>4</v>
      </c>
      <c r="E2889" s="8"/>
      <c r="F2889" s="9"/>
    </row>
    <row r="2890" ht="15.5" spans="1:6">
      <c r="A2890" s="6" t="s">
        <v>6721</v>
      </c>
      <c r="B2890" s="3" t="s">
        <v>6722</v>
      </c>
      <c r="C2890" s="4" t="s">
        <v>49</v>
      </c>
      <c r="D2890" s="7">
        <v>707.75</v>
      </c>
      <c r="E2890" s="8" t="s">
        <v>7864</v>
      </c>
      <c r="F2890" s="9">
        <v>35</v>
      </c>
    </row>
    <row r="2891" ht="15.5" spans="1:6">
      <c r="A2891" s="6" t="s">
        <v>6723</v>
      </c>
      <c r="B2891" s="3" t="s">
        <v>6724</v>
      </c>
      <c r="C2891" s="4" t="s">
        <v>49</v>
      </c>
      <c r="D2891" s="7">
        <v>774.05</v>
      </c>
      <c r="E2891" s="8" t="s">
        <v>7865</v>
      </c>
      <c r="F2891" s="9">
        <v>32</v>
      </c>
    </row>
    <row r="2892" ht="15.5" spans="1:6">
      <c r="A2892" s="6" t="s">
        <v>6725</v>
      </c>
      <c r="B2892" s="3" t="s">
        <v>6726</v>
      </c>
      <c r="C2892" s="4" t="s">
        <v>49</v>
      </c>
      <c r="D2892" s="7">
        <v>990.8</v>
      </c>
      <c r="E2892" s="8" t="s">
        <v>7866</v>
      </c>
      <c r="F2892" s="9">
        <v>25</v>
      </c>
    </row>
    <row r="2893" ht="15.5" spans="1:6">
      <c r="A2893" s="6" t="s">
        <v>6729</v>
      </c>
      <c r="B2893" s="3" t="s">
        <v>6722</v>
      </c>
      <c r="C2893" s="4" t="s">
        <v>49</v>
      </c>
      <c r="D2893" s="7">
        <v>1695.1</v>
      </c>
      <c r="E2893" s="8" t="s">
        <v>7867</v>
      </c>
      <c r="F2893" s="9">
        <v>16</v>
      </c>
    </row>
    <row r="2894" ht="15.5" spans="1:6">
      <c r="A2894" s="6" t="s">
        <v>6730</v>
      </c>
      <c r="B2894" s="3" t="s">
        <v>6724</v>
      </c>
      <c r="C2894" s="4" t="s">
        <v>49</v>
      </c>
      <c r="D2894" s="7">
        <v>1792.85</v>
      </c>
      <c r="E2894" s="8" t="s">
        <v>7867</v>
      </c>
      <c r="F2894" s="9">
        <v>16</v>
      </c>
    </row>
    <row r="2895" ht="15.5" spans="1:6">
      <c r="A2895" s="6" t="s">
        <v>6731</v>
      </c>
      <c r="B2895" s="3" t="s">
        <v>6726</v>
      </c>
      <c r="C2895" s="4" t="s">
        <v>49</v>
      </c>
      <c r="D2895" s="7">
        <v>2131.45</v>
      </c>
      <c r="E2895" s="8" t="s">
        <v>7867</v>
      </c>
      <c r="F2895" s="9">
        <v>16</v>
      </c>
    </row>
    <row r="2896" ht="15.5" spans="1:6">
      <c r="A2896" s="6" t="s">
        <v>6735</v>
      </c>
      <c r="B2896" s="3" t="s">
        <v>6722</v>
      </c>
      <c r="C2896" s="4" t="s">
        <v>49</v>
      </c>
      <c r="D2896" s="7">
        <v>825.7</v>
      </c>
      <c r="E2896" s="8" t="s">
        <v>7534</v>
      </c>
      <c r="F2896" s="9">
        <v>30</v>
      </c>
    </row>
    <row r="2897" ht="15.5" spans="1:6">
      <c r="A2897" s="6" t="s">
        <v>6736</v>
      </c>
      <c r="B2897" s="3" t="s">
        <v>6724</v>
      </c>
      <c r="C2897" s="4" t="s">
        <v>49</v>
      </c>
      <c r="D2897" s="7">
        <v>917.4</v>
      </c>
      <c r="E2897" s="8" t="s">
        <v>7868</v>
      </c>
      <c r="F2897" s="9">
        <v>27</v>
      </c>
    </row>
    <row r="2898" ht="15.5" spans="1:6">
      <c r="A2898" s="6" t="s">
        <v>6737</v>
      </c>
      <c r="B2898" s="3" t="s">
        <v>6726</v>
      </c>
      <c r="C2898" s="4" t="s">
        <v>49</v>
      </c>
      <c r="D2898" s="7">
        <v>1238.5</v>
      </c>
      <c r="E2898" s="8" t="s">
        <v>7869</v>
      </c>
      <c r="F2898" s="9">
        <v>20</v>
      </c>
    </row>
    <row r="2899" ht="15.5" spans="1:6">
      <c r="A2899" s="6" t="s">
        <v>6739</v>
      </c>
      <c r="B2899" s="3" t="s">
        <v>6722</v>
      </c>
      <c r="C2899" s="4" t="s">
        <v>49</v>
      </c>
      <c r="D2899" s="7">
        <v>1870.6</v>
      </c>
      <c r="E2899" s="8" t="s">
        <v>7867</v>
      </c>
      <c r="F2899" s="9">
        <v>16</v>
      </c>
    </row>
    <row r="2900" ht="15.5" spans="1:6">
      <c r="A2900" s="6" t="s">
        <v>6740</v>
      </c>
      <c r="B2900" s="3" t="s">
        <v>6724</v>
      </c>
      <c r="C2900" s="4" t="s">
        <v>49</v>
      </c>
      <c r="D2900" s="7">
        <v>1955.6</v>
      </c>
      <c r="E2900" s="8" t="s">
        <v>7867</v>
      </c>
      <c r="F2900" s="9">
        <v>16</v>
      </c>
    </row>
    <row r="2901" ht="15.5" spans="1:6">
      <c r="A2901" s="6" t="s">
        <v>6741</v>
      </c>
      <c r="B2901" s="3" t="s">
        <v>6726</v>
      </c>
      <c r="C2901" s="4" t="s">
        <v>49</v>
      </c>
      <c r="D2901" s="7">
        <v>2496.55</v>
      </c>
      <c r="E2901" s="8" t="s">
        <v>7870</v>
      </c>
      <c r="F2901" s="9">
        <v>14</v>
      </c>
    </row>
    <row r="2902" ht="15.5" spans="1:6">
      <c r="A2902" s="6" t="s">
        <v>6744</v>
      </c>
      <c r="B2902" s="3" t="s">
        <v>6745</v>
      </c>
      <c r="C2902" s="4" t="s">
        <v>49</v>
      </c>
      <c r="D2902" s="7">
        <v>672.3</v>
      </c>
      <c r="E2902" s="8" t="s">
        <v>7556</v>
      </c>
      <c r="F2902" s="9">
        <v>100</v>
      </c>
    </row>
    <row r="2903" ht="15.5" spans="1:6">
      <c r="A2903" s="6" t="s">
        <v>6746</v>
      </c>
      <c r="B2903" s="3" t="s">
        <v>6747</v>
      </c>
      <c r="C2903" s="4" t="s">
        <v>49</v>
      </c>
      <c r="D2903" s="7">
        <v>793.25</v>
      </c>
      <c r="E2903" s="8" t="s">
        <v>7556</v>
      </c>
      <c r="F2903" s="9">
        <v>100</v>
      </c>
    </row>
    <row r="2904" ht="15.5" spans="1:6">
      <c r="A2904" s="6" t="s">
        <v>6748</v>
      </c>
      <c r="B2904" s="3" t="s">
        <v>6749</v>
      </c>
      <c r="C2904" s="4" t="s">
        <v>49</v>
      </c>
      <c r="D2904" s="7">
        <v>1113.35</v>
      </c>
      <c r="E2904" s="8" t="s">
        <v>7556</v>
      </c>
      <c r="F2904" s="9">
        <v>100</v>
      </c>
    </row>
    <row r="2905" ht="15.5" spans="1:6">
      <c r="A2905" s="6" t="s">
        <v>6752</v>
      </c>
      <c r="B2905" s="3" t="s">
        <v>6745</v>
      </c>
      <c r="C2905" s="4" t="s">
        <v>49</v>
      </c>
      <c r="D2905" s="7">
        <v>686.55</v>
      </c>
      <c r="E2905" s="8" t="s">
        <v>7556</v>
      </c>
      <c r="F2905" s="9">
        <v>100</v>
      </c>
    </row>
    <row r="2906" ht="15.5" spans="1:6">
      <c r="A2906" s="6" t="s">
        <v>6753</v>
      </c>
      <c r="B2906" s="3" t="s">
        <v>6747</v>
      </c>
      <c r="C2906" s="4" t="s">
        <v>49</v>
      </c>
      <c r="D2906" s="7">
        <v>807.45</v>
      </c>
      <c r="E2906" s="8" t="s">
        <v>7556</v>
      </c>
      <c r="F2906" s="9">
        <v>100</v>
      </c>
    </row>
    <row r="2907" ht="15.5" spans="1:6">
      <c r="A2907" s="6" t="s">
        <v>6754</v>
      </c>
      <c r="B2907" s="3" t="s">
        <v>6749</v>
      </c>
      <c r="C2907" s="4" t="s">
        <v>49</v>
      </c>
      <c r="D2907" s="7">
        <v>1255.7</v>
      </c>
      <c r="E2907" s="8" t="s">
        <v>7556</v>
      </c>
      <c r="F2907" s="9">
        <v>100</v>
      </c>
    </row>
    <row r="2908" ht="77.5" spans="1:6">
      <c r="A2908" s="6" t="s">
        <v>6755</v>
      </c>
      <c r="B2908" s="12" t="s">
        <v>6756</v>
      </c>
      <c r="C2908" s="4" t="s">
        <v>16</v>
      </c>
      <c r="D2908" s="7">
        <v>1509.8</v>
      </c>
      <c r="E2908" s="8" t="s">
        <v>7394</v>
      </c>
      <c r="F2908" s="9">
        <v>1</v>
      </c>
    </row>
    <row r="2909" ht="93" spans="1:6">
      <c r="A2909" s="6" t="s">
        <v>6757</v>
      </c>
      <c r="B2909" s="12" t="s">
        <v>6758</v>
      </c>
      <c r="C2909" s="4" t="s">
        <v>16</v>
      </c>
      <c r="D2909" s="7">
        <v>1538.25</v>
      </c>
      <c r="E2909" s="8" t="s">
        <v>7394</v>
      </c>
      <c r="F2909" s="9">
        <v>1</v>
      </c>
    </row>
    <row r="2910" ht="93" spans="1:6">
      <c r="A2910" s="6" t="s">
        <v>6759</v>
      </c>
      <c r="B2910" s="12" t="s">
        <v>6760</v>
      </c>
      <c r="C2910" s="4" t="s">
        <v>16</v>
      </c>
      <c r="D2910" s="7">
        <v>1538.25</v>
      </c>
      <c r="E2910" s="8" t="s">
        <v>7394</v>
      </c>
      <c r="F2910" s="9">
        <v>1</v>
      </c>
    </row>
    <row r="2911" ht="93" spans="1:6">
      <c r="A2911" s="6" t="s">
        <v>6761</v>
      </c>
      <c r="B2911" s="12" t="s">
        <v>6762</v>
      </c>
      <c r="C2911" s="4" t="s">
        <v>16</v>
      </c>
      <c r="D2911" s="7">
        <v>2024.5</v>
      </c>
      <c r="E2911" s="8" t="s">
        <v>7394</v>
      </c>
      <c r="F2911" s="9">
        <v>1</v>
      </c>
    </row>
    <row r="2912" ht="186" spans="1:6">
      <c r="A2912" s="6" t="s">
        <v>6763</v>
      </c>
      <c r="B2912" s="12" t="s">
        <v>6764</v>
      </c>
      <c r="C2912" s="4" t="s">
        <v>156</v>
      </c>
      <c r="D2912" s="7">
        <v>1399.95</v>
      </c>
      <c r="E2912" s="8" t="s">
        <v>7544</v>
      </c>
      <c r="F2912" s="9">
        <v>1</v>
      </c>
    </row>
    <row r="2913" ht="31" spans="1:6">
      <c r="A2913" s="6" t="s">
        <v>6767</v>
      </c>
      <c r="B2913" s="3" t="s">
        <v>6768</v>
      </c>
      <c r="C2913" s="4" t="s">
        <v>49</v>
      </c>
      <c r="D2913" s="7">
        <v>1359.25</v>
      </c>
      <c r="E2913" s="8" t="s">
        <v>7534</v>
      </c>
      <c r="F2913" s="9">
        <v>30</v>
      </c>
    </row>
    <row r="2914" ht="31" spans="1:6">
      <c r="A2914" s="6" t="s">
        <v>6769</v>
      </c>
      <c r="B2914" s="3" t="s">
        <v>6770</v>
      </c>
      <c r="C2914" s="4" t="s">
        <v>49</v>
      </c>
      <c r="D2914" s="7">
        <v>1972.25</v>
      </c>
      <c r="E2914" s="8" t="s">
        <v>7534</v>
      </c>
      <c r="F2914" s="9">
        <v>30</v>
      </c>
    </row>
    <row r="2915" ht="31" spans="1:6">
      <c r="A2915" s="6" t="s">
        <v>6771</v>
      </c>
      <c r="B2915" s="3" t="s">
        <v>6772</v>
      </c>
      <c r="C2915" s="4" t="s">
        <v>49</v>
      </c>
      <c r="D2915" s="7">
        <v>2442.75</v>
      </c>
      <c r="E2915" s="8" t="s">
        <v>7534</v>
      </c>
      <c r="F2915" s="9">
        <v>30</v>
      </c>
    </row>
    <row r="2916" ht="15.5" spans="1:6">
      <c r="A2916" s="6" t="s">
        <v>6775</v>
      </c>
      <c r="B2916" s="3" t="s">
        <v>6745</v>
      </c>
      <c r="C2916" s="4" t="s">
        <v>49</v>
      </c>
      <c r="D2916" s="7">
        <v>1456.8</v>
      </c>
      <c r="E2916" s="8" t="s">
        <v>7534</v>
      </c>
      <c r="F2916" s="9">
        <v>30</v>
      </c>
    </row>
    <row r="2917" ht="15.5" spans="1:6">
      <c r="A2917" s="6" t="s">
        <v>6776</v>
      </c>
      <c r="B2917" s="3" t="s">
        <v>6747</v>
      </c>
      <c r="C2917" s="4" t="s">
        <v>49</v>
      </c>
      <c r="D2917" s="7">
        <v>2102.25</v>
      </c>
      <c r="E2917" s="8" t="s">
        <v>7534</v>
      </c>
      <c r="F2917" s="9">
        <v>30</v>
      </c>
    </row>
    <row r="2918" ht="15.5" spans="1:6">
      <c r="A2918" s="6" t="s">
        <v>6777</v>
      </c>
      <c r="B2918" s="3" t="s">
        <v>6749</v>
      </c>
      <c r="C2918" s="4" t="s">
        <v>49</v>
      </c>
      <c r="D2918" s="7">
        <v>2571.05</v>
      </c>
      <c r="E2918" s="8" t="s">
        <v>7534</v>
      </c>
      <c r="F2918" s="9">
        <v>30</v>
      </c>
    </row>
    <row r="2919" ht="263.5" spans="1:6">
      <c r="A2919" s="6" t="s">
        <v>6778</v>
      </c>
      <c r="B2919" s="12" t="s">
        <v>6779</v>
      </c>
      <c r="C2919" s="4" t="s">
        <v>6780</v>
      </c>
      <c r="D2919" s="7">
        <v>1085.05</v>
      </c>
      <c r="E2919" s="8" t="s">
        <v>7871</v>
      </c>
      <c r="F2919" s="9">
        <v>8</v>
      </c>
    </row>
    <row r="2920" ht="15.5" spans="1:6">
      <c r="A2920" s="6" t="s">
        <v>6783</v>
      </c>
      <c r="B2920" s="3" t="s">
        <v>4504</v>
      </c>
      <c r="C2920" s="4" t="s">
        <v>156</v>
      </c>
      <c r="D2920" s="7">
        <v>224.1</v>
      </c>
      <c r="E2920" s="8" t="s">
        <v>7544</v>
      </c>
      <c r="F2920" s="9">
        <v>1</v>
      </c>
    </row>
    <row r="2921" ht="15.5" spans="1:6">
      <c r="A2921" s="6" t="s">
        <v>6784</v>
      </c>
      <c r="B2921" s="3" t="s">
        <v>5362</v>
      </c>
      <c r="C2921" s="4" t="s">
        <v>156</v>
      </c>
      <c r="D2921" s="7">
        <v>246.45</v>
      </c>
      <c r="E2921" s="8" t="s">
        <v>7544</v>
      </c>
      <c r="F2921" s="9">
        <v>1</v>
      </c>
    </row>
    <row r="2922" ht="15.5" spans="1:6">
      <c r="A2922" s="6" t="s">
        <v>6785</v>
      </c>
      <c r="B2922" s="3" t="s">
        <v>5364</v>
      </c>
      <c r="C2922" s="4" t="s">
        <v>156</v>
      </c>
      <c r="D2922" s="7">
        <v>321.15</v>
      </c>
      <c r="E2922" s="8" t="s">
        <v>7544</v>
      </c>
      <c r="F2922" s="9">
        <v>1</v>
      </c>
    </row>
    <row r="2923" ht="15.5" spans="1:6">
      <c r="A2923" s="6" t="s">
        <v>6788</v>
      </c>
      <c r="B2923" s="3" t="s">
        <v>6789</v>
      </c>
      <c r="C2923" s="4" t="s">
        <v>156</v>
      </c>
      <c r="D2923" s="7">
        <v>1911.4</v>
      </c>
      <c r="E2923" s="8" t="s">
        <v>7544</v>
      </c>
      <c r="F2923" s="9">
        <v>1</v>
      </c>
    </row>
    <row r="2924" ht="15.5" spans="1:6">
      <c r="A2924" s="6" t="s">
        <v>6790</v>
      </c>
      <c r="B2924" s="3" t="s">
        <v>6791</v>
      </c>
      <c r="C2924" s="4" t="s">
        <v>156</v>
      </c>
      <c r="D2924" s="7">
        <v>2019.05</v>
      </c>
      <c r="E2924" s="8" t="s">
        <v>7544</v>
      </c>
      <c r="F2924" s="9">
        <v>1</v>
      </c>
    </row>
    <row r="2925" ht="15.5" spans="1:6">
      <c r="A2925" s="6" t="s">
        <v>6792</v>
      </c>
      <c r="B2925" s="3" t="s">
        <v>6793</v>
      </c>
      <c r="C2925" s="4" t="s">
        <v>156</v>
      </c>
      <c r="D2925" s="7">
        <v>2293.65</v>
      </c>
      <c r="E2925" s="8" t="s">
        <v>7544</v>
      </c>
      <c r="F2925" s="9">
        <v>1</v>
      </c>
    </row>
    <row r="2926" ht="15.5" spans="1:6">
      <c r="A2926" s="6" t="s">
        <v>6796</v>
      </c>
      <c r="B2926" s="3" t="s">
        <v>4504</v>
      </c>
      <c r="C2926" s="4" t="s">
        <v>156</v>
      </c>
      <c r="D2926" s="7">
        <v>265.1</v>
      </c>
      <c r="E2926" s="8" t="s">
        <v>7544</v>
      </c>
      <c r="F2926" s="9">
        <v>1</v>
      </c>
    </row>
    <row r="2927" ht="15.5" spans="1:6">
      <c r="A2927" s="6" t="s">
        <v>6797</v>
      </c>
      <c r="B2927" s="3" t="s">
        <v>5362</v>
      </c>
      <c r="C2927" s="4" t="s">
        <v>156</v>
      </c>
      <c r="D2927" s="7">
        <v>322</v>
      </c>
      <c r="E2927" s="8" t="s">
        <v>7544</v>
      </c>
      <c r="F2927" s="9">
        <v>1</v>
      </c>
    </row>
    <row r="2928" ht="15.5" spans="1:6">
      <c r="A2928" s="6" t="s">
        <v>6798</v>
      </c>
      <c r="B2928" s="3" t="s">
        <v>5364</v>
      </c>
      <c r="C2928" s="4" t="s">
        <v>156</v>
      </c>
      <c r="D2928" s="7">
        <v>357.6</v>
      </c>
      <c r="E2928" s="8" t="s">
        <v>7544</v>
      </c>
      <c r="F2928" s="9">
        <v>1</v>
      </c>
    </row>
    <row r="2929" ht="15.5" spans="1:6">
      <c r="A2929" s="6" t="s">
        <v>204</v>
      </c>
      <c r="B2929" s="12" t="s">
        <v>2</v>
      </c>
      <c r="C2929" s="4" t="s">
        <v>3</v>
      </c>
      <c r="D2929" s="14" t="s">
        <v>4</v>
      </c>
      <c r="E2929" s="8"/>
      <c r="F2929" s="9"/>
    </row>
    <row r="2930" ht="124" spans="1:6">
      <c r="A2930" s="6" t="s">
        <v>6800</v>
      </c>
      <c r="B2930" s="12" t="s">
        <v>6801</v>
      </c>
      <c r="C2930" s="4" t="s">
        <v>12</v>
      </c>
      <c r="D2930" s="7">
        <v>72.45</v>
      </c>
      <c r="E2930" s="8" t="s">
        <v>7397</v>
      </c>
      <c r="F2930" s="9">
        <v>10</v>
      </c>
    </row>
    <row r="2931" ht="409.5" spans="1:6">
      <c r="A2931" s="6" t="s">
        <v>6802</v>
      </c>
      <c r="B2931" s="12" t="s">
        <v>6803</v>
      </c>
      <c r="C2931" s="4" t="s">
        <v>12</v>
      </c>
      <c r="D2931" s="7">
        <v>338.25</v>
      </c>
      <c r="E2931" s="8" t="s">
        <v>7751</v>
      </c>
      <c r="F2931" s="9">
        <v>202.5</v>
      </c>
    </row>
    <row r="2932" ht="387.5" spans="1:6">
      <c r="A2932" s="6" t="s">
        <v>6804</v>
      </c>
      <c r="B2932" s="12" t="s">
        <v>6805</v>
      </c>
      <c r="C2932" s="4" t="s">
        <v>12</v>
      </c>
      <c r="D2932" s="7">
        <v>211.05</v>
      </c>
      <c r="E2932" s="8" t="s">
        <v>7397</v>
      </c>
      <c r="F2932" s="9">
        <v>10</v>
      </c>
    </row>
    <row r="2933" ht="124" spans="1:6">
      <c r="A2933" s="6" t="s">
        <v>6806</v>
      </c>
      <c r="B2933" s="12" t="s">
        <v>6807</v>
      </c>
      <c r="C2933" s="4" t="s">
        <v>12</v>
      </c>
      <c r="D2933" s="7">
        <v>77.9</v>
      </c>
      <c r="E2933" s="8" t="s">
        <v>7397</v>
      </c>
      <c r="F2933" s="9">
        <v>10</v>
      </c>
    </row>
    <row r="2934" ht="108.5" spans="1:6">
      <c r="A2934" s="6" t="s">
        <v>6808</v>
      </c>
      <c r="B2934" s="12" t="s">
        <v>6809</v>
      </c>
      <c r="C2934" s="4" t="s">
        <v>12</v>
      </c>
      <c r="D2934" s="7">
        <v>374.3</v>
      </c>
      <c r="E2934" s="8" t="s">
        <v>7397</v>
      </c>
      <c r="F2934" s="9">
        <v>10</v>
      </c>
    </row>
    <row r="2935" ht="124" spans="1:6">
      <c r="A2935" s="6" t="s">
        <v>6810</v>
      </c>
      <c r="B2935" s="12" t="s">
        <v>6811</v>
      </c>
      <c r="C2935" s="4" t="s">
        <v>12</v>
      </c>
      <c r="D2935" s="7">
        <v>374.3</v>
      </c>
      <c r="E2935" s="8" t="s">
        <v>7397</v>
      </c>
      <c r="F2935" s="9">
        <v>10</v>
      </c>
    </row>
    <row r="2936" ht="201.5" spans="1:6">
      <c r="A2936" s="6" t="s">
        <v>6812</v>
      </c>
      <c r="B2936" s="12" t="s">
        <v>6813</v>
      </c>
      <c r="C2936" s="4" t="s">
        <v>12</v>
      </c>
      <c r="D2936" s="7">
        <v>329.05</v>
      </c>
      <c r="E2936" s="8" t="s">
        <v>7609</v>
      </c>
      <c r="F2936" s="9">
        <v>5</v>
      </c>
    </row>
    <row r="2937" ht="232.5" spans="1:6">
      <c r="A2937" s="6" t="s">
        <v>6814</v>
      </c>
      <c r="B2937" s="12" t="s">
        <v>6815</v>
      </c>
      <c r="C2937" s="4" t="s">
        <v>12</v>
      </c>
      <c r="D2937" s="7">
        <v>109.9</v>
      </c>
      <c r="E2937" s="8" t="s">
        <v>7872</v>
      </c>
      <c r="F2937" s="9">
        <v>45</v>
      </c>
    </row>
    <row r="2938" ht="15.5" spans="1:6">
      <c r="A2938" s="6" t="s">
        <v>204</v>
      </c>
      <c r="B2938" s="12" t="s">
        <v>2</v>
      </c>
      <c r="C2938" s="4" t="s">
        <v>3</v>
      </c>
      <c r="D2938" s="14" t="s">
        <v>4</v>
      </c>
    </row>
    <row r="2939" ht="248" spans="1:6">
      <c r="A2939" s="6" t="s">
        <v>6817</v>
      </c>
      <c r="B2939" s="12" t="s">
        <v>6818</v>
      </c>
      <c r="C2939" s="4" t="s">
        <v>575</v>
      </c>
      <c r="D2939" s="7">
        <v>414.3</v>
      </c>
      <c r="E2939" s="8" t="s">
        <v>7873</v>
      </c>
      <c r="F2939" s="9">
        <v>6.5</v>
      </c>
    </row>
    <row r="2940" ht="409.5" spans="1:6">
      <c r="A2940" s="6" t="s">
        <v>6819</v>
      </c>
      <c r="B2940" s="12" t="s">
        <v>6820</v>
      </c>
      <c r="C2940" s="4" t="s">
        <v>12</v>
      </c>
      <c r="D2940" s="7">
        <v>3510.5</v>
      </c>
      <c r="E2940" s="8" t="s">
        <v>7581</v>
      </c>
      <c r="F2940" s="9">
        <v>6.72</v>
      </c>
    </row>
    <row r="2941" ht="409.5" spans="1:6">
      <c r="A2941" s="6" t="s">
        <v>6821</v>
      </c>
      <c r="B2941" s="12" t="s">
        <v>6822</v>
      </c>
      <c r="C2941" s="4" t="s">
        <v>12</v>
      </c>
      <c r="D2941" s="7">
        <v>3718.7</v>
      </c>
      <c r="E2941" s="8" t="s">
        <v>7581</v>
      </c>
      <c r="F2941" s="9">
        <v>6.72</v>
      </c>
    </row>
    <row r="2942" ht="232.5" spans="1:6">
      <c r="A2942" s="6" t="s">
        <v>6823</v>
      </c>
      <c r="B2942" s="12" t="s">
        <v>6824</v>
      </c>
      <c r="C2942" s="4" t="s">
        <v>12</v>
      </c>
      <c r="D2942" s="7">
        <v>3671.5</v>
      </c>
      <c r="E2942" s="8" t="s">
        <v>7874</v>
      </c>
      <c r="F2942" s="9">
        <v>1.76</v>
      </c>
    </row>
    <row r="2943" ht="310" spans="1:6">
      <c r="A2943" s="6" t="s">
        <v>6825</v>
      </c>
      <c r="B2943" s="12" t="s">
        <v>6826</v>
      </c>
      <c r="C2943" s="4" t="s">
        <v>12</v>
      </c>
      <c r="D2943" s="7">
        <v>2159.65</v>
      </c>
      <c r="E2943" s="8" t="s">
        <v>7875</v>
      </c>
      <c r="F2943" s="9">
        <v>3.23</v>
      </c>
    </row>
    <row r="2944" ht="409.5" spans="1:6">
      <c r="A2944" s="6" t="s">
        <v>6827</v>
      </c>
      <c r="B2944" s="12" t="s">
        <v>6828</v>
      </c>
      <c r="C2944" s="4" t="s">
        <v>12</v>
      </c>
      <c r="D2944" s="7">
        <v>2450.15</v>
      </c>
      <c r="E2944" s="8" t="s">
        <v>7875</v>
      </c>
      <c r="F2944" s="9">
        <v>3.23</v>
      </c>
    </row>
    <row r="2945" ht="409.5" spans="1:6">
      <c r="A2945" s="6" t="s">
        <v>6829</v>
      </c>
      <c r="B2945" s="12" t="s">
        <v>6830</v>
      </c>
      <c r="C2945" s="4" t="s">
        <v>12</v>
      </c>
      <c r="D2945" s="7">
        <v>9502.35</v>
      </c>
      <c r="E2945" s="8" t="s">
        <v>7876</v>
      </c>
      <c r="F2945" s="9">
        <v>35.28</v>
      </c>
    </row>
    <row r="2946" ht="15.5" spans="1:6">
      <c r="A2946" s="6" t="s">
        <v>204</v>
      </c>
      <c r="B2946" s="12" t="s">
        <v>2</v>
      </c>
      <c r="C2946" s="4" t="s">
        <v>3</v>
      </c>
      <c r="D2946" s="14" t="s">
        <v>4</v>
      </c>
    </row>
    <row r="2947" ht="325.5" spans="1:6">
      <c r="A2947" s="6" t="s">
        <v>6832</v>
      </c>
      <c r="B2947" s="12" t="s">
        <v>6833</v>
      </c>
      <c r="C2947" s="4" t="s">
        <v>12</v>
      </c>
      <c r="D2947" s="7">
        <v>6145.85</v>
      </c>
      <c r="E2947" s="8" t="s">
        <v>7332</v>
      </c>
      <c r="F2947" s="9">
        <v>100</v>
      </c>
    </row>
    <row r="2948" ht="279" spans="1:6">
      <c r="A2948" s="6" t="s">
        <v>6834</v>
      </c>
      <c r="B2948" s="12" t="s">
        <v>6835</v>
      </c>
      <c r="C2948" s="4" t="s">
        <v>12</v>
      </c>
      <c r="D2948" s="7">
        <v>6033.55</v>
      </c>
      <c r="E2948" s="8" t="s">
        <v>7397</v>
      </c>
      <c r="F2948" s="9">
        <v>10</v>
      </c>
    </row>
    <row r="2949" ht="387.5" spans="1:6">
      <c r="A2949" s="6" t="s">
        <v>6836</v>
      </c>
      <c r="B2949" s="12" t="s">
        <v>6837</v>
      </c>
      <c r="C2949" s="4" t="s">
        <v>12</v>
      </c>
      <c r="D2949" s="7">
        <v>6283.85</v>
      </c>
      <c r="E2949" s="8" t="s">
        <v>7877</v>
      </c>
      <c r="F2949" s="9">
        <v>95</v>
      </c>
    </row>
    <row r="2950" ht="232.5" spans="1:6">
      <c r="A2950" s="6" t="s">
        <v>6838</v>
      </c>
      <c r="B2950" s="12" t="s">
        <v>6839</v>
      </c>
      <c r="C2950" s="4" t="s">
        <v>12</v>
      </c>
      <c r="D2950" s="7">
        <v>6935.75</v>
      </c>
      <c r="E2950" s="8" t="s">
        <v>7587</v>
      </c>
      <c r="F2950" s="9">
        <v>2.16</v>
      </c>
    </row>
    <row r="2951" ht="232.5" spans="1:6">
      <c r="A2951" s="6" t="s">
        <v>6840</v>
      </c>
      <c r="B2951" s="12" t="s">
        <v>6841</v>
      </c>
      <c r="C2951" s="4" t="s">
        <v>12</v>
      </c>
      <c r="D2951" s="7">
        <v>4555.75</v>
      </c>
      <c r="E2951" s="8" t="s">
        <v>7589</v>
      </c>
      <c r="F2951" s="9">
        <v>0.66</v>
      </c>
    </row>
    <row r="2952" ht="186" spans="1:6">
      <c r="A2952" s="6" t="s">
        <v>6842</v>
      </c>
      <c r="B2952" s="12" t="s">
        <v>6843</v>
      </c>
      <c r="C2952" s="4" t="s">
        <v>6844</v>
      </c>
      <c r="D2952" s="7">
        <v>325.95</v>
      </c>
      <c r="E2952" s="8" t="s">
        <v>7878</v>
      </c>
      <c r="F2952" s="9">
        <v>33</v>
      </c>
    </row>
    <row r="2953" ht="139.5" spans="1:6">
      <c r="A2953" s="6" t="s">
        <v>6845</v>
      </c>
      <c r="B2953" s="12" t="s">
        <v>6846</v>
      </c>
      <c r="C2953" s="4" t="s">
        <v>12</v>
      </c>
      <c r="D2953" s="7">
        <v>6012.1</v>
      </c>
      <c r="E2953" s="8" t="s">
        <v>7879</v>
      </c>
      <c r="F2953" s="9">
        <v>181.3</v>
      </c>
    </row>
    <row r="2954" ht="124" spans="1:6">
      <c r="A2954" s="6" t="s">
        <v>6847</v>
      </c>
      <c r="B2954" s="12" t="s">
        <v>6848</v>
      </c>
      <c r="C2954" s="4" t="s">
        <v>49</v>
      </c>
      <c r="D2954" s="7">
        <v>4830.1</v>
      </c>
      <c r="E2954" s="8" t="s">
        <v>7880</v>
      </c>
      <c r="F2954" s="9">
        <v>18.5</v>
      </c>
    </row>
    <row r="2955" ht="294.5" spans="1:6">
      <c r="A2955" s="6" t="s">
        <v>6849</v>
      </c>
      <c r="B2955" s="12" t="s">
        <v>6850</v>
      </c>
      <c r="C2955" s="4" t="s">
        <v>12</v>
      </c>
      <c r="D2955" s="7">
        <v>4039.1</v>
      </c>
      <c r="E2955" s="8" t="s">
        <v>7332</v>
      </c>
      <c r="F2955" s="9">
        <v>100</v>
      </c>
    </row>
    <row r="2956" ht="15.5" spans="1:6">
      <c r="A2956" s="6" t="s">
        <v>6853</v>
      </c>
      <c r="B2956" s="3" t="s">
        <v>6854</v>
      </c>
      <c r="C2956" s="4" t="s">
        <v>12</v>
      </c>
      <c r="D2956" s="7">
        <v>2942</v>
      </c>
      <c r="E2956" s="8" t="s">
        <v>7590</v>
      </c>
      <c r="F2956" s="9">
        <v>7</v>
      </c>
    </row>
    <row r="2957" ht="15.5" spans="1:6">
      <c r="A2957" s="6" t="s">
        <v>6855</v>
      </c>
      <c r="B2957" s="3" t="s">
        <v>6856</v>
      </c>
      <c r="C2957" s="4" t="s">
        <v>12</v>
      </c>
      <c r="D2957" s="7">
        <v>3332</v>
      </c>
      <c r="E2957" s="8" t="s">
        <v>7590</v>
      </c>
      <c r="F2957" s="9">
        <v>7</v>
      </c>
    </row>
    <row r="2958" ht="15.5" spans="1:6">
      <c r="A2958" s="6" t="s">
        <v>6857</v>
      </c>
      <c r="B2958" s="3" t="s">
        <v>6858</v>
      </c>
      <c r="C2958" s="4" t="s">
        <v>12</v>
      </c>
      <c r="D2958" s="7">
        <v>3923.65</v>
      </c>
      <c r="E2958" s="8" t="s">
        <v>7590</v>
      </c>
      <c r="F2958" s="9">
        <v>7</v>
      </c>
    </row>
    <row r="2959" ht="15.5" spans="1:6">
      <c r="A2959" s="6" t="s">
        <v>6859</v>
      </c>
      <c r="B2959" s="3" t="s">
        <v>6860</v>
      </c>
      <c r="C2959" s="4" t="s">
        <v>12</v>
      </c>
      <c r="D2959" s="7">
        <v>4906.8</v>
      </c>
      <c r="E2959" s="8" t="s">
        <v>7590</v>
      </c>
      <c r="F2959" s="9">
        <v>7</v>
      </c>
    </row>
    <row r="2960" ht="15.5" spans="1:6">
      <c r="A2960" s="6" t="s">
        <v>6861</v>
      </c>
      <c r="B2960" s="3" t="s">
        <v>6862</v>
      </c>
      <c r="C2960" s="4" t="s">
        <v>12</v>
      </c>
      <c r="D2960" s="7">
        <v>5601.55</v>
      </c>
      <c r="E2960" s="8" t="s">
        <v>7590</v>
      </c>
      <c r="F2960" s="9">
        <v>7</v>
      </c>
    </row>
    <row r="2961" ht="15.5" spans="1:6">
      <c r="A2961" s="6" t="s">
        <v>6865</v>
      </c>
      <c r="B2961" s="3" t="s">
        <v>6860</v>
      </c>
      <c r="C2961" s="4" t="s">
        <v>12</v>
      </c>
      <c r="D2961" s="7">
        <v>5127.6</v>
      </c>
      <c r="E2961" s="8" t="s">
        <v>7881</v>
      </c>
      <c r="F2961" s="9">
        <v>20</v>
      </c>
    </row>
    <row r="2962" ht="15.5" spans="1:6">
      <c r="A2962" s="6" t="s">
        <v>6866</v>
      </c>
      <c r="B2962" s="3" t="s">
        <v>6862</v>
      </c>
      <c r="C2962" s="4" t="s">
        <v>12</v>
      </c>
      <c r="D2962" s="7">
        <v>5824.1</v>
      </c>
      <c r="E2962" s="8" t="s">
        <v>7881</v>
      </c>
      <c r="F2962" s="9">
        <v>20</v>
      </c>
    </row>
    <row r="2963" ht="310" spans="1:6">
      <c r="A2963" s="6" t="s">
        <v>6867</v>
      </c>
      <c r="B2963" s="12" t="s">
        <v>6868</v>
      </c>
      <c r="C2963" s="4" t="s">
        <v>12</v>
      </c>
      <c r="D2963" s="7">
        <v>1004.55</v>
      </c>
      <c r="E2963" s="8" t="s">
        <v>7397</v>
      </c>
      <c r="F2963" s="9">
        <v>10</v>
      </c>
    </row>
    <row r="2964" ht="310" spans="1:6">
      <c r="A2964" s="6" t="s">
        <v>6869</v>
      </c>
      <c r="B2964" s="12" t="s">
        <v>6870</v>
      </c>
      <c r="C2964" s="4" t="s">
        <v>12</v>
      </c>
      <c r="D2964" s="7">
        <v>1091.65</v>
      </c>
      <c r="E2964" s="8" t="s">
        <v>7397</v>
      </c>
      <c r="F2964" s="9">
        <v>10</v>
      </c>
    </row>
    <row r="2965" ht="232.5" spans="1:6">
      <c r="A2965" s="6" t="s">
        <v>6871</v>
      </c>
      <c r="B2965" s="12" t="s">
        <v>6872</v>
      </c>
      <c r="C2965" s="4" t="s">
        <v>49</v>
      </c>
      <c r="D2965" s="7">
        <v>450.95</v>
      </c>
      <c r="E2965" s="8" t="s">
        <v>7882</v>
      </c>
      <c r="F2965" s="9">
        <v>2.13</v>
      </c>
    </row>
    <row r="2966" ht="232.5" spans="1:6">
      <c r="A2966" s="6" t="s">
        <v>6873</v>
      </c>
      <c r="B2966" s="12" t="s">
        <v>6874</v>
      </c>
      <c r="C2966" s="4" t="s">
        <v>12</v>
      </c>
      <c r="D2966" s="7">
        <v>5350.55</v>
      </c>
      <c r="E2966" s="8" t="s">
        <v>7883</v>
      </c>
      <c r="F2966" s="9">
        <v>0.281</v>
      </c>
    </row>
    <row r="2967" ht="46.5" spans="1:6">
      <c r="A2967" s="6" t="s">
        <v>6875</v>
      </c>
      <c r="B2967" s="12" t="s">
        <v>6876</v>
      </c>
      <c r="C2967" s="4" t="s">
        <v>156</v>
      </c>
      <c r="D2967" s="7">
        <v>144.05</v>
      </c>
      <c r="E2967" s="8" t="s">
        <v>7576</v>
      </c>
      <c r="F2967" s="9">
        <v>10</v>
      </c>
    </row>
    <row r="2968" ht="170.5" spans="1:6">
      <c r="A2968" s="6" t="s">
        <v>6877</v>
      </c>
      <c r="B2968" s="12" t="s">
        <v>6878</v>
      </c>
      <c r="C2968" s="4" t="s">
        <v>12</v>
      </c>
      <c r="D2968" s="7">
        <v>249.9</v>
      </c>
      <c r="E2968" s="8" t="s">
        <v>7786</v>
      </c>
      <c r="F2968" s="9">
        <v>300</v>
      </c>
    </row>
    <row r="2969" ht="170.5" spans="1:6">
      <c r="A2969" s="6" t="s">
        <v>6879</v>
      </c>
      <c r="B2969" s="12" t="s">
        <v>6880</v>
      </c>
      <c r="C2969" s="4" t="s">
        <v>12</v>
      </c>
      <c r="D2969" s="7">
        <v>276.5</v>
      </c>
      <c r="E2969" s="8" t="s">
        <v>7786</v>
      </c>
      <c r="F2969" s="9">
        <v>300</v>
      </c>
    </row>
    <row r="2970" ht="170.5" spans="1:6">
      <c r="A2970" s="6" t="s">
        <v>6881</v>
      </c>
      <c r="B2970" s="12" t="s">
        <v>6882</v>
      </c>
      <c r="C2970" s="4" t="s">
        <v>12</v>
      </c>
      <c r="D2970" s="7">
        <v>401.7</v>
      </c>
      <c r="E2970" s="8" t="s">
        <v>7786</v>
      </c>
      <c r="F2970" s="9">
        <v>300</v>
      </c>
    </row>
    <row r="2971" ht="170.5" spans="1:6">
      <c r="A2971" s="6" t="s">
        <v>6883</v>
      </c>
      <c r="B2971" s="12" t="s">
        <v>6884</v>
      </c>
      <c r="C2971" s="4" t="s">
        <v>12</v>
      </c>
      <c r="D2971" s="7">
        <v>555.05</v>
      </c>
      <c r="E2971" s="8" t="s">
        <v>7786</v>
      </c>
      <c r="F2971" s="9">
        <v>300</v>
      </c>
    </row>
    <row r="2972" ht="409.5" spans="1:6">
      <c r="A2972" s="6" t="s">
        <v>6885</v>
      </c>
      <c r="B2972" s="12" t="s">
        <v>6886</v>
      </c>
      <c r="C2972" s="4" t="s">
        <v>12</v>
      </c>
      <c r="D2972" s="7">
        <v>986.95</v>
      </c>
      <c r="E2972" s="8" t="s">
        <v>7786</v>
      </c>
      <c r="F2972" s="9">
        <v>300</v>
      </c>
    </row>
    <row r="2973" ht="341" spans="1:6">
      <c r="A2973" s="6" t="s">
        <v>6887</v>
      </c>
      <c r="B2973" s="12" t="s">
        <v>6888</v>
      </c>
      <c r="C2973" s="4" t="s">
        <v>12</v>
      </c>
      <c r="D2973" s="7">
        <v>1166.95</v>
      </c>
      <c r="E2973" s="8" t="s">
        <v>7786</v>
      </c>
      <c r="F2973" s="9">
        <v>300</v>
      </c>
    </row>
    <row r="2974" ht="15.5" spans="1:6">
      <c r="A2974" s="6" t="s">
        <v>6891</v>
      </c>
      <c r="B2974" s="3" t="s">
        <v>6892</v>
      </c>
      <c r="C2974" s="4" t="s">
        <v>12</v>
      </c>
      <c r="D2974" s="7">
        <v>393.85</v>
      </c>
      <c r="E2974" s="8" t="s">
        <v>7786</v>
      </c>
      <c r="F2974" s="9">
        <v>300</v>
      </c>
    </row>
    <row r="2975" ht="15.5" spans="1:6">
      <c r="A2975" s="6" t="s">
        <v>6893</v>
      </c>
      <c r="B2975" s="3" t="s">
        <v>6894</v>
      </c>
      <c r="C2975" s="4" t="s">
        <v>12</v>
      </c>
      <c r="D2975" s="7">
        <v>411.1</v>
      </c>
      <c r="E2975" s="8" t="s">
        <v>7786</v>
      </c>
      <c r="F2975" s="9">
        <v>300</v>
      </c>
    </row>
    <row r="2976" ht="15.5" spans="1:6">
      <c r="A2976" s="6" t="s">
        <v>6895</v>
      </c>
      <c r="B2976" s="3" t="s">
        <v>6896</v>
      </c>
      <c r="C2976" s="4" t="s">
        <v>12</v>
      </c>
      <c r="D2976" s="7">
        <v>645.8</v>
      </c>
      <c r="E2976" s="8" t="s">
        <v>7786</v>
      </c>
      <c r="F2976" s="9">
        <v>300</v>
      </c>
    </row>
    <row r="2977" ht="15.5" spans="1:6">
      <c r="A2977" s="6" t="s">
        <v>6897</v>
      </c>
      <c r="B2977" s="3" t="s">
        <v>6898</v>
      </c>
      <c r="C2977" s="4" t="s">
        <v>12</v>
      </c>
      <c r="D2977" s="7">
        <v>663.05</v>
      </c>
      <c r="E2977" s="8" t="s">
        <v>7786</v>
      </c>
      <c r="F2977" s="9">
        <v>300</v>
      </c>
    </row>
    <row r="2978" ht="15.5" spans="1:6">
      <c r="A2978" s="6" t="s">
        <v>6899</v>
      </c>
      <c r="B2978" s="3" t="s">
        <v>6900</v>
      </c>
      <c r="C2978" s="4" t="s">
        <v>12</v>
      </c>
      <c r="D2978" s="7">
        <v>681.8</v>
      </c>
      <c r="E2978" s="8" t="s">
        <v>7786</v>
      </c>
      <c r="F2978" s="9">
        <v>300</v>
      </c>
    </row>
    <row r="2979" ht="15.5" spans="1:6">
      <c r="A2979" s="6" t="s">
        <v>6901</v>
      </c>
      <c r="B2979" s="3" t="s">
        <v>6902</v>
      </c>
      <c r="C2979" s="4" t="s">
        <v>12</v>
      </c>
      <c r="D2979" s="7">
        <v>699.05</v>
      </c>
      <c r="E2979" s="8" t="s">
        <v>7786</v>
      </c>
      <c r="F2979" s="9">
        <v>300</v>
      </c>
    </row>
    <row r="2980" ht="15.5" spans="1:6">
      <c r="A2980" s="6" t="s">
        <v>6903</v>
      </c>
      <c r="B2980" s="3" t="s">
        <v>6904</v>
      </c>
      <c r="C2980" s="4" t="s">
        <v>12</v>
      </c>
      <c r="D2980" s="7">
        <v>843</v>
      </c>
      <c r="E2980" s="8" t="s">
        <v>7786</v>
      </c>
      <c r="F2980" s="9">
        <v>300</v>
      </c>
    </row>
    <row r="2981" ht="15.5" spans="1:6">
      <c r="A2981" s="6" t="s">
        <v>6905</v>
      </c>
      <c r="B2981" s="3" t="s">
        <v>6906</v>
      </c>
      <c r="C2981" s="4" t="s">
        <v>12</v>
      </c>
      <c r="D2981" s="7">
        <v>933.75</v>
      </c>
      <c r="E2981" s="8" t="s">
        <v>7786</v>
      </c>
      <c r="F2981" s="9">
        <v>300</v>
      </c>
    </row>
    <row r="2982" ht="15.5" spans="1:6">
      <c r="A2982" s="6" t="s">
        <v>6907</v>
      </c>
      <c r="B2982" s="3" t="s">
        <v>6908</v>
      </c>
      <c r="C2982" s="4" t="s">
        <v>12</v>
      </c>
      <c r="D2982" s="7">
        <v>1022.95</v>
      </c>
      <c r="E2982" s="8" t="s">
        <v>7786</v>
      </c>
      <c r="F2982" s="9">
        <v>300</v>
      </c>
    </row>
    <row r="2983" ht="15.5" spans="1:6">
      <c r="A2983" s="6" t="s">
        <v>6909</v>
      </c>
      <c r="B2983" s="3" t="s">
        <v>6910</v>
      </c>
      <c r="C2983" s="4" t="s">
        <v>12</v>
      </c>
      <c r="D2983" s="7">
        <v>1202.9</v>
      </c>
      <c r="E2983" s="8" t="s">
        <v>7786</v>
      </c>
      <c r="F2983" s="9">
        <v>300</v>
      </c>
    </row>
    <row r="2984" ht="15.5" spans="1:6">
      <c r="A2984" s="6" t="s">
        <v>6911</v>
      </c>
      <c r="B2984" s="3" t="s">
        <v>6912</v>
      </c>
      <c r="C2984" s="4" t="s">
        <v>12</v>
      </c>
      <c r="D2984" s="7">
        <v>1337.5</v>
      </c>
      <c r="E2984" s="8" t="s">
        <v>7786</v>
      </c>
      <c r="F2984" s="9">
        <v>300</v>
      </c>
    </row>
    <row r="2985" ht="15.5" spans="1:6">
      <c r="A2985" s="6" t="s">
        <v>6913</v>
      </c>
      <c r="B2985" s="3" t="s">
        <v>6914</v>
      </c>
      <c r="C2985" s="4" t="s">
        <v>12</v>
      </c>
      <c r="D2985" s="7">
        <v>1562.85</v>
      </c>
      <c r="E2985" s="8" t="s">
        <v>7786</v>
      </c>
      <c r="F2985" s="9">
        <v>300</v>
      </c>
    </row>
    <row r="2986" ht="15.5" spans="1:6">
      <c r="A2986" s="6" t="s">
        <v>6915</v>
      </c>
      <c r="B2986" s="3" t="s">
        <v>6916</v>
      </c>
      <c r="C2986" s="4" t="s">
        <v>12</v>
      </c>
      <c r="D2986" s="7">
        <v>1742.8</v>
      </c>
      <c r="E2986" s="8" t="s">
        <v>7786</v>
      </c>
      <c r="F2986" s="9">
        <v>300</v>
      </c>
    </row>
    <row r="2987" ht="15.5" spans="1:6">
      <c r="A2987" s="6" t="s">
        <v>6917</v>
      </c>
      <c r="B2987" s="3" t="s">
        <v>6918</v>
      </c>
      <c r="C2987" s="4" t="s">
        <v>12</v>
      </c>
      <c r="D2987" s="7">
        <v>1833.6</v>
      </c>
      <c r="E2987" s="8" t="s">
        <v>7786</v>
      </c>
      <c r="F2987" s="9">
        <v>300</v>
      </c>
    </row>
    <row r="2988" ht="15.5" spans="1:6">
      <c r="A2988" s="6" t="s">
        <v>6919</v>
      </c>
      <c r="B2988" s="3" t="s">
        <v>6920</v>
      </c>
      <c r="C2988" s="4" t="s">
        <v>12</v>
      </c>
      <c r="D2988" s="7">
        <v>1922.8</v>
      </c>
      <c r="E2988" s="8" t="s">
        <v>7786</v>
      </c>
      <c r="F2988" s="9">
        <v>300</v>
      </c>
    </row>
    <row r="2989" ht="31" spans="1:6">
      <c r="A2989" s="6" t="s">
        <v>6923</v>
      </c>
      <c r="B2989" s="3" t="s">
        <v>6924</v>
      </c>
      <c r="C2989" s="4" t="s">
        <v>12</v>
      </c>
      <c r="D2989" s="7">
        <v>1153.95</v>
      </c>
      <c r="E2989" s="8" t="s">
        <v>7700</v>
      </c>
      <c r="F2989" s="9">
        <v>216.14</v>
      </c>
    </row>
    <row r="2990" ht="31" spans="1:6">
      <c r="A2990" s="6" t="s">
        <v>6925</v>
      </c>
      <c r="B2990" s="3" t="s">
        <v>6926</v>
      </c>
      <c r="C2990" s="4" t="s">
        <v>12</v>
      </c>
      <c r="D2990" s="7">
        <v>1462.9</v>
      </c>
      <c r="E2990" s="8" t="s">
        <v>7700</v>
      </c>
      <c r="F2990" s="9">
        <v>216.14</v>
      </c>
    </row>
    <row r="2991" ht="31" spans="1:6">
      <c r="A2991" s="6" t="s">
        <v>6929</v>
      </c>
      <c r="B2991" s="12" t="s">
        <v>6930</v>
      </c>
      <c r="C2991" s="4" t="s">
        <v>12</v>
      </c>
      <c r="D2991" s="7">
        <v>2207</v>
      </c>
      <c r="E2991" s="8" t="s">
        <v>7332</v>
      </c>
      <c r="F2991" s="9">
        <v>100</v>
      </c>
    </row>
    <row r="2992" ht="77.5" spans="1:6">
      <c r="A2992" s="6" t="s">
        <v>6931</v>
      </c>
      <c r="B2992" s="12" t="s">
        <v>6932</v>
      </c>
      <c r="C2992" s="4" t="s">
        <v>12</v>
      </c>
      <c r="D2992" s="7">
        <v>2301.1</v>
      </c>
      <c r="E2992" s="8" t="s">
        <v>7332</v>
      </c>
      <c r="F2992" s="9">
        <v>100</v>
      </c>
    </row>
    <row r="2993" ht="46.5" spans="1:6">
      <c r="A2993" s="6" t="s">
        <v>6935</v>
      </c>
      <c r="B2993" s="3" t="s">
        <v>6936</v>
      </c>
      <c r="C2993" s="4" t="s">
        <v>12</v>
      </c>
      <c r="D2993" s="7">
        <v>2630.4</v>
      </c>
      <c r="E2993" s="8" t="s">
        <v>7332</v>
      </c>
      <c r="F2993" s="9">
        <v>100</v>
      </c>
    </row>
    <row r="2994" ht="46.5" spans="1:6">
      <c r="A2994" s="6" t="s">
        <v>6939</v>
      </c>
      <c r="B2994" s="3" t="s">
        <v>6940</v>
      </c>
      <c r="C2994" s="4" t="s">
        <v>12</v>
      </c>
      <c r="D2994" s="7">
        <v>3117.6</v>
      </c>
      <c r="E2994" s="8" t="s">
        <v>7601</v>
      </c>
      <c r="F2994" s="9">
        <v>21.9</v>
      </c>
    </row>
    <row r="2995" ht="263.5" spans="1:6">
      <c r="A2995" s="6" t="s">
        <v>6941</v>
      </c>
      <c r="B2995" s="12" t="s">
        <v>6942</v>
      </c>
      <c r="C2995" s="4" t="s">
        <v>12</v>
      </c>
      <c r="D2995" s="7">
        <v>1781.2</v>
      </c>
      <c r="E2995" s="8" t="s">
        <v>7397</v>
      </c>
      <c r="F2995" s="9">
        <v>10</v>
      </c>
    </row>
    <row r="2996" ht="31" spans="1:6">
      <c r="A2996" s="6" t="s">
        <v>6945</v>
      </c>
      <c r="B2996" s="3" t="s">
        <v>6946</v>
      </c>
      <c r="C2996" s="4" t="s">
        <v>12</v>
      </c>
      <c r="D2996" s="7">
        <v>1852.05</v>
      </c>
      <c r="E2996" s="8" t="s">
        <v>7332</v>
      </c>
      <c r="F2996" s="9">
        <v>100</v>
      </c>
    </row>
    <row r="2997" ht="46.5" spans="1:6">
      <c r="A2997" s="6" t="s">
        <v>6947</v>
      </c>
      <c r="B2997" s="3" t="s">
        <v>6948</v>
      </c>
      <c r="C2997" s="4" t="s">
        <v>12</v>
      </c>
      <c r="D2997" s="7">
        <v>1907.35</v>
      </c>
      <c r="E2997" s="8" t="s">
        <v>7332</v>
      </c>
      <c r="F2997" s="9">
        <v>100</v>
      </c>
    </row>
    <row r="2998" ht="31" spans="1:6">
      <c r="A2998" s="6" t="s">
        <v>6951</v>
      </c>
      <c r="B2998" s="3" t="s">
        <v>6952</v>
      </c>
      <c r="C2998" s="4" t="s">
        <v>12</v>
      </c>
      <c r="D2998" s="7">
        <v>2333.6</v>
      </c>
      <c r="E2998" s="8" t="s">
        <v>7332</v>
      </c>
      <c r="F2998" s="9">
        <v>100</v>
      </c>
    </row>
    <row r="2999" ht="31" spans="1:6">
      <c r="A2999" s="6" t="s">
        <v>6953</v>
      </c>
      <c r="B2999" s="3" t="s">
        <v>6954</v>
      </c>
      <c r="C2999" s="4" t="s">
        <v>12</v>
      </c>
      <c r="D2999" s="7">
        <v>2671.2</v>
      </c>
      <c r="E2999" s="8" t="s">
        <v>7332</v>
      </c>
      <c r="F2999" s="9">
        <v>100</v>
      </c>
    </row>
    <row r="3000" ht="62" spans="1:6">
      <c r="A3000" s="6" t="s">
        <v>6955</v>
      </c>
      <c r="B3000" s="3" t="s">
        <v>6956</v>
      </c>
      <c r="C3000" s="4" t="s">
        <v>12</v>
      </c>
      <c r="D3000" s="7">
        <v>2447.15</v>
      </c>
      <c r="E3000" s="8" t="s">
        <v>7332</v>
      </c>
      <c r="F3000" s="9">
        <v>100</v>
      </c>
    </row>
    <row r="3001" ht="15.5" spans="1:6">
      <c r="A3001" s="6" t="s">
        <v>6960</v>
      </c>
      <c r="B3001" s="3" t="s">
        <v>6961</v>
      </c>
      <c r="C3001" s="4" t="s">
        <v>12</v>
      </c>
      <c r="D3001" s="7">
        <v>378</v>
      </c>
      <c r="E3001" s="8" t="s">
        <v>7686</v>
      </c>
      <c r="F3001" s="9">
        <v>1</v>
      </c>
    </row>
    <row r="3002" ht="15.5" spans="1:6">
      <c r="A3002" s="6" t="s">
        <v>6962</v>
      </c>
      <c r="B3002" s="3" t="s">
        <v>6963</v>
      </c>
      <c r="C3002" s="4" t="s">
        <v>12</v>
      </c>
      <c r="D3002" s="7">
        <v>256.35</v>
      </c>
      <c r="E3002" s="8" t="s">
        <v>7686</v>
      </c>
      <c r="F3002" s="9">
        <v>1</v>
      </c>
    </row>
    <row r="3003" ht="15.5" spans="1:6">
      <c r="A3003" s="6" t="s">
        <v>6964</v>
      </c>
      <c r="B3003" s="3" t="s">
        <v>6965</v>
      </c>
      <c r="C3003" s="4" t="s">
        <v>12</v>
      </c>
      <c r="D3003" s="7">
        <v>126.75</v>
      </c>
      <c r="E3003" s="8" t="s">
        <v>7686</v>
      </c>
      <c r="F3003" s="9">
        <v>1</v>
      </c>
    </row>
    <row r="3004" ht="15.5" spans="1:6">
      <c r="A3004" s="6" t="s">
        <v>6968</v>
      </c>
      <c r="B3004" s="3" t="s">
        <v>6969</v>
      </c>
      <c r="C3004" s="4" t="s">
        <v>49</v>
      </c>
      <c r="D3004" s="7">
        <v>8.25</v>
      </c>
      <c r="E3004" s="8" t="s">
        <v>7884</v>
      </c>
      <c r="F3004" s="9">
        <v>95.54</v>
      </c>
    </row>
    <row r="3005" ht="15.5" spans="1:6">
      <c r="A3005" s="6" t="s">
        <v>6970</v>
      </c>
      <c r="B3005" s="3" t="s">
        <v>6971</v>
      </c>
      <c r="C3005" s="4" t="s">
        <v>49</v>
      </c>
      <c r="D3005" s="7">
        <v>16.45</v>
      </c>
      <c r="E3005" s="8" t="s">
        <v>7885</v>
      </c>
      <c r="F3005" s="9">
        <v>47.78</v>
      </c>
    </row>
    <row r="3006" ht="15.5" spans="1:6">
      <c r="A3006" s="6" t="s">
        <v>6974</v>
      </c>
      <c r="B3006" s="3" t="s">
        <v>6975</v>
      </c>
      <c r="C3006" s="4" t="s">
        <v>156</v>
      </c>
      <c r="D3006" s="7">
        <v>141.2</v>
      </c>
      <c r="E3006" s="8" t="s">
        <v>7379</v>
      </c>
      <c r="F3006" s="9">
        <v>10</v>
      </c>
    </row>
    <row r="3007" ht="77.5" spans="1:6">
      <c r="A3007" s="6" t="s">
        <v>6978</v>
      </c>
      <c r="B3007" s="3" t="s">
        <v>6979</v>
      </c>
      <c r="C3007" s="4" t="s">
        <v>12</v>
      </c>
      <c r="D3007" s="7">
        <v>141.2</v>
      </c>
      <c r="E3007" s="8" t="s">
        <v>7397</v>
      </c>
      <c r="F3007" s="9">
        <v>10</v>
      </c>
    </row>
    <row r="3008" ht="31" spans="1:6">
      <c r="A3008" s="6" t="s">
        <v>6980</v>
      </c>
      <c r="B3008" s="3" t="s">
        <v>6981</v>
      </c>
      <c r="C3008" s="4" t="s">
        <v>12</v>
      </c>
      <c r="D3008" s="7">
        <v>285.2</v>
      </c>
      <c r="E3008" s="8" t="s">
        <v>7592</v>
      </c>
      <c r="F3008" s="9">
        <v>2.2</v>
      </c>
    </row>
    <row r="3009" ht="15.5" spans="1:6">
      <c r="A3009" s="6" t="s">
        <v>6985</v>
      </c>
      <c r="B3009" s="3" t="s">
        <v>6986</v>
      </c>
      <c r="C3009" s="4" t="s">
        <v>12</v>
      </c>
      <c r="D3009" s="7">
        <v>388.65</v>
      </c>
      <c r="E3009" s="8" t="s">
        <v>7397</v>
      </c>
      <c r="F3009" s="9">
        <v>10</v>
      </c>
    </row>
    <row r="3010" ht="15.5" spans="1:6">
      <c r="A3010" s="6" t="s">
        <v>6987</v>
      </c>
      <c r="B3010" s="3" t="s">
        <v>6988</v>
      </c>
      <c r="C3010" s="4" t="s">
        <v>12</v>
      </c>
      <c r="D3010" s="7">
        <v>587.35</v>
      </c>
      <c r="E3010" s="8" t="s">
        <v>7397</v>
      </c>
      <c r="F3010" s="9">
        <v>10</v>
      </c>
    </row>
    <row r="3011" ht="15.5" spans="1:6">
      <c r="A3011" s="6" t="s">
        <v>6989</v>
      </c>
      <c r="B3011" s="3" t="s">
        <v>6990</v>
      </c>
      <c r="C3011" s="4" t="s">
        <v>12</v>
      </c>
      <c r="D3011" s="7">
        <v>1174.7</v>
      </c>
      <c r="E3011" s="8" t="s">
        <v>7397</v>
      </c>
      <c r="F3011" s="9">
        <v>10</v>
      </c>
    </row>
    <row r="3012" ht="31" spans="1:6">
      <c r="A3012" s="6" t="s">
        <v>6994</v>
      </c>
      <c r="B3012" s="3" t="s">
        <v>6995</v>
      </c>
      <c r="C3012" s="4" t="s">
        <v>12</v>
      </c>
      <c r="D3012" s="7">
        <v>569.15</v>
      </c>
      <c r="E3012" s="8" t="s">
        <v>7397</v>
      </c>
      <c r="F3012" s="9">
        <v>10</v>
      </c>
    </row>
    <row r="3013" ht="31" spans="1:6">
      <c r="A3013" s="6" t="s">
        <v>6996</v>
      </c>
      <c r="B3013" s="3" t="s">
        <v>6997</v>
      </c>
      <c r="C3013" s="4" t="s">
        <v>12</v>
      </c>
      <c r="D3013" s="7">
        <v>853.7</v>
      </c>
      <c r="E3013" s="8" t="s">
        <v>7397</v>
      </c>
      <c r="F3013" s="9">
        <v>10</v>
      </c>
    </row>
    <row r="3014" ht="31" spans="1:6">
      <c r="A3014" s="6" t="s">
        <v>7001</v>
      </c>
      <c r="B3014" s="3" t="s">
        <v>6995</v>
      </c>
      <c r="C3014" s="4" t="s">
        <v>12</v>
      </c>
      <c r="D3014" s="7">
        <v>569.15</v>
      </c>
      <c r="E3014" s="8" t="s">
        <v>7397</v>
      </c>
      <c r="F3014" s="9">
        <v>10</v>
      </c>
    </row>
    <row r="3015" ht="31" spans="1:6">
      <c r="A3015" s="6" t="s">
        <v>7002</v>
      </c>
      <c r="B3015" s="3" t="s">
        <v>6997</v>
      </c>
      <c r="C3015" s="4" t="s">
        <v>12</v>
      </c>
      <c r="D3015" s="7">
        <v>853.7</v>
      </c>
      <c r="E3015" s="8" t="s">
        <v>7397</v>
      </c>
      <c r="F3015" s="9">
        <v>10</v>
      </c>
    </row>
    <row r="3016" ht="31" spans="1:6">
      <c r="A3016" s="6" t="s">
        <v>7003</v>
      </c>
      <c r="B3016" s="3" t="s">
        <v>7004</v>
      </c>
      <c r="C3016" s="4" t="s">
        <v>12</v>
      </c>
      <c r="D3016" s="7">
        <v>1138.25</v>
      </c>
      <c r="E3016" s="8" t="s">
        <v>7397</v>
      </c>
      <c r="F3016" s="9">
        <v>10</v>
      </c>
    </row>
    <row r="3017" ht="62" spans="1:6">
      <c r="A3017" s="6" t="s">
        <v>7008</v>
      </c>
      <c r="B3017" s="3" t="s">
        <v>7009</v>
      </c>
      <c r="C3017" s="4" t="s">
        <v>575</v>
      </c>
      <c r="D3017" s="7">
        <v>119.3</v>
      </c>
      <c r="E3017" s="8" t="s">
        <v>7886</v>
      </c>
      <c r="F3017" s="9">
        <v>100</v>
      </c>
    </row>
    <row r="3018" ht="62" spans="1:6">
      <c r="A3018" s="6" t="s">
        <v>7010</v>
      </c>
      <c r="B3018" s="3" t="s">
        <v>7011</v>
      </c>
      <c r="C3018" s="4" t="s">
        <v>575</v>
      </c>
      <c r="D3018" s="7">
        <v>124</v>
      </c>
      <c r="E3018" s="8" t="s">
        <v>7886</v>
      </c>
      <c r="F3018" s="9">
        <v>100</v>
      </c>
    </row>
    <row r="3019" ht="31" spans="1:6">
      <c r="A3019" s="6" t="s">
        <v>7012</v>
      </c>
      <c r="B3019" s="3" t="s">
        <v>7013</v>
      </c>
      <c r="C3019" s="4" t="s">
        <v>575</v>
      </c>
      <c r="D3019" s="7">
        <v>553.4</v>
      </c>
      <c r="E3019" s="8" t="s">
        <v>7859</v>
      </c>
      <c r="F3019" s="9">
        <v>10</v>
      </c>
    </row>
    <row r="3020" ht="15.5" spans="1:6">
      <c r="A3020" s="6" t="s">
        <v>7016</v>
      </c>
      <c r="B3020" s="3" t="s">
        <v>7017</v>
      </c>
      <c r="C3020" s="4" t="s">
        <v>12</v>
      </c>
      <c r="D3020" s="7">
        <v>54.25</v>
      </c>
      <c r="E3020" s="8" t="s">
        <v>7397</v>
      </c>
      <c r="F3020" s="9">
        <v>10</v>
      </c>
    </row>
    <row r="3021" ht="93" spans="1:6">
      <c r="A3021" s="6" t="s">
        <v>7018</v>
      </c>
      <c r="B3021" s="12" t="s">
        <v>7019</v>
      </c>
      <c r="C3021" s="4" t="s">
        <v>12</v>
      </c>
      <c r="D3021" s="7">
        <v>382.4</v>
      </c>
      <c r="E3021" s="8" t="s">
        <v>7397</v>
      </c>
      <c r="F3021" s="9">
        <v>10</v>
      </c>
    </row>
    <row r="3022" ht="31" spans="1:6">
      <c r="A3022" s="6" t="s">
        <v>7023</v>
      </c>
      <c r="B3022" s="3" t="s">
        <v>7024</v>
      </c>
      <c r="C3022" s="4" t="s">
        <v>12</v>
      </c>
      <c r="D3022" s="7">
        <v>746.9</v>
      </c>
      <c r="E3022" s="8" t="s">
        <v>7332</v>
      </c>
      <c r="F3022" s="9">
        <v>100</v>
      </c>
    </row>
    <row r="3023" ht="31" spans="1:6">
      <c r="A3023" s="6" t="s">
        <v>7025</v>
      </c>
      <c r="B3023" s="3" t="s">
        <v>6995</v>
      </c>
      <c r="C3023" s="4" t="s">
        <v>12</v>
      </c>
      <c r="D3023" s="7">
        <v>1151.05</v>
      </c>
      <c r="E3023" s="8" t="s">
        <v>7397</v>
      </c>
      <c r="F3023" s="9">
        <v>10</v>
      </c>
    </row>
    <row r="3024" ht="31" spans="1:6">
      <c r="A3024" s="6" t="s">
        <v>7026</v>
      </c>
      <c r="B3024" s="3" t="s">
        <v>6997</v>
      </c>
      <c r="C3024" s="4" t="s">
        <v>12</v>
      </c>
      <c r="D3024" s="7">
        <v>1628.85</v>
      </c>
      <c r="E3024" s="8" t="s">
        <v>7332</v>
      </c>
      <c r="F3024" s="9">
        <v>100</v>
      </c>
    </row>
    <row r="3025" ht="77.5" spans="1:6">
      <c r="A3025" s="6" t="s">
        <v>7027</v>
      </c>
      <c r="B3025" s="12" t="s">
        <v>7028</v>
      </c>
      <c r="C3025" s="4" t="s">
        <v>156</v>
      </c>
      <c r="D3025" s="7">
        <v>236.9</v>
      </c>
      <c r="E3025" s="8" t="s">
        <v>7887</v>
      </c>
      <c r="F3025" s="9">
        <v>20</v>
      </c>
    </row>
    <row r="3026" ht="139.5" spans="1:6">
      <c r="A3026" s="6" t="s">
        <v>7029</v>
      </c>
      <c r="B3026" s="12" t="s">
        <v>7030</v>
      </c>
      <c r="C3026" s="4" t="s">
        <v>12</v>
      </c>
      <c r="D3026" s="7">
        <v>902.55</v>
      </c>
      <c r="E3026" s="8" t="s">
        <v>7397</v>
      </c>
      <c r="F3026" s="9">
        <v>10</v>
      </c>
    </row>
    <row r="3027" ht="409.5" spans="1:6">
      <c r="A3027" s="6" t="s">
        <v>7032</v>
      </c>
      <c r="B3027" s="12" t="s">
        <v>7033</v>
      </c>
      <c r="C3027" s="4" t="s">
        <v>575</v>
      </c>
      <c r="D3027" s="7">
        <v>285.9</v>
      </c>
      <c r="E3027" s="8" t="s">
        <v>7862</v>
      </c>
      <c r="F3027" s="9">
        <v>1</v>
      </c>
    </row>
    <row r="3028" ht="170.5" spans="1:6">
      <c r="A3028" s="6" t="s">
        <v>7036</v>
      </c>
      <c r="B3028" s="3" t="s">
        <v>7037</v>
      </c>
      <c r="C3028" s="4" t="s">
        <v>12</v>
      </c>
      <c r="D3028" s="7">
        <v>3903.35</v>
      </c>
      <c r="E3028" s="8" t="s">
        <v>7397</v>
      </c>
      <c r="F3028" s="9">
        <v>10</v>
      </c>
    </row>
    <row r="3029" ht="170.5" spans="1:6">
      <c r="A3029" s="6" t="s">
        <v>7038</v>
      </c>
      <c r="B3029" s="3" t="s">
        <v>7039</v>
      </c>
      <c r="C3029" s="4" t="s">
        <v>12</v>
      </c>
      <c r="D3029" s="7">
        <v>2901.8</v>
      </c>
      <c r="E3029" s="8" t="s">
        <v>7397</v>
      </c>
      <c r="F3029" s="9">
        <v>10</v>
      </c>
    </row>
    <row r="3030" ht="155" spans="1:6">
      <c r="A3030" s="6" t="s">
        <v>7040</v>
      </c>
      <c r="B3030" s="3" t="s">
        <v>7041</v>
      </c>
      <c r="C3030" s="4" t="s">
        <v>12</v>
      </c>
      <c r="D3030" s="7">
        <v>3167.85</v>
      </c>
      <c r="E3030" s="8" t="s">
        <v>7397</v>
      </c>
      <c r="F3030" s="9">
        <v>10</v>
      </c>
    </row>
    <row r="3031" ht="46.5" spans="1:6">
      <c r="A3031" s="6" t="s">
        <v>7044</v>
      </c>
      <c r="B3031" s="3" t="s">
        <v>7045</v>
      </c>
      <c r="C3031" s="4" t="s">
        <v>12</v>
      </c>
      <c r="D3031" s="7">
        <v>2221.05</v>
      </c>
      <c r="E3031" s="8" t="s">
        <v>7397</v>
      </c>
      <c r="F3031" s="9">
        <v>10</v>
      </c>
    </row>
    <row r="3032" ht="46.5" spans="1:6">
      <c r="A3032" s="6" t="s">
        <v>7046</v>
      </c>
      <c r="B3032" s="3" t="s">
        <v>7047</v>
      </c>
      <c r="C3032" s="4" t="s">
        <v>12</v>
      </c>
      <c r="D3032" s="7">
        <v>2189.75</v>
      </c>
      <c r="E3032" s="8" t="s">
        <v>7397</v>
      </c>
      <c r="F3032" s="9">
        <v>10</v>
      </c>
    </row>
    <row r="3033" ht="77.5" spans="1:6">
      <c r="A3033" s="6" t="s">
        <v>7048</v>
      </c>
      <c r="B3033" s="12" t="s">
        <v>7049</v>
      </c>
      <c r="C3033" s="4" t="s">
        <v>12</v>
      </c>
      <c r="D3033" s="7">
        <v>298.75</v>
      </c>
      <c r="E3033" s="8" t="s">
        <v>7397</v>
      </c>
      <c r="F3033" s="9">
        <v>10</v>
      </c>
    </row>
    <row r="3034" ht="46.5" spans="1:6">
      <c r="A3034" s="6" t="s">
        <v>7052</v>
      </c>
      <c r="B3034" s="3" t="s">
        <v>7053</v>
      </c>
      <c r="C3034" s="4" t="s">
        <v>12</v>
      </c>
      <c r="D3034" s="7">
        <v>1430.15</v>
      </c>
      <c r="E3034" s="8" t="s">
        <v>7397</v>
      </c>
      <c r="F3034" s="9">
        <v>10</v>
      </c>
    </row>
    <row r="3035" ht="46.5" spans="1:6">
      <c r="A3035" s="6" t="s">
        <v>7054</v>
      </c>
      <c r="B3035" s="3" t="s">
        <v>7055</v>
      </c>
      <c r="C3035" s="4" t="s">
        <v>12</v>
      </c>
      <c r="D3035" s="7">
        <v>991.95</v>
      </c>
      <c r="E3035" s="8" t="s">
        <v>7397</v>
      </c>
      <c r="F3035" s="9">
        <v>10</v>
      </c>
    </row>
    <row r="3036" ht="409.5" spans="1:6">
      <c r="A3036" s="6" t="s">
        <v>7056</v>
      </c>
      <c r="B3036" s="12" t="s">
        <v>7057</v>
      </c>
      <c r="C3036" s="4" t="s">
        <v>12</v>
      </c>
      <c r="D3036" s="7">
        <v>4347.15</v>
      </c>
      <c r="E3036" s="8" t="s">
        <v>7667</v>
      </c>
      <c r="F3036" s="9">
        <v>3.6</v>
      </c>
    </row>
    <row r="3037" ht="409.5" spans="1:6">
      <c r="A3037" s="6" t="s">
        <v>7058</v>
      </c>
      <c r="B3037" s="12" t="s">
        <v>7059</v>
      </c>
      <c r="C3037" s="4" t="s">
        <v>12</v>
      </c>
      <c r="D3037" s="7">
        <v>4701.6</v>
      </c>
      <c r="E3037" s="8" t="s">
        <v>7667</v>
      </c>
      <c r="F3037" s="9">
        <v>3.6</v>
      </c>
    </row>
    <row r="3038" ht="409.5" spans="1:6">
      <c r="A3038" s="6" t="s">
        <v>7060</v>
      </c>
      <c r="B3038" s="12" t="s">
        <v>7061</v>
      </c>
      <c r="C3038" s="4" t="s">
        <v>12</v>
      </c>
      <c r="D3038" s="7">
        <v>451.35</v>
      </c>
      <c r="E3038" s="8" t="s">
        <v>7332</v>
      </c>
      <c r="F3038" s="9">
        <v>100</v>
      </c>
    </row>
    <row r="3039" ht="31" spans="1:6">
      <c r="A3039" s="6" t="s">
        <v>7064</v>
      </c>
      <c r="B3039" s="3" t="s">
        <v>7065</v>
      </c>
      <c r="C3039" s="4" t="s">
        <v>12</v>
      </c>
      <c r="D3039" s="7">
        <v>1315.7</v>
      </c>
      <c r="E3039" s="8" t="s">
        <v>7397</v>
      </c>
      <c r="F3039" s="9">
        <v>10</v>
      </c>
    </row>
    <row r="3040" ht="31" spans="1:6">
      <c r="A3040" s="6" t="s">
        <v>7066</v>
      </c>
      <c r="B3040" s="3" t="s">
        <v>7067</v>
      </c>
      <c r="C3040" s="4" t="s">
        <v>12</v>
      </c>
      <c r="D3040" s="7">
        <v>1487.5</v>
      </c>
      <c r="E3040" s="8" t="s">
        <v>7397</v>
      </c>
      <c r="F3040" s="9">
        <v>10</v>
      </c>
    </row>
    <row r="3041" ht="31" spans="1:6">
      <c r="A3041" s="6" t="s">
        <v>7068</v>
      </c>
      <c r="B3041" s="3" t="s">
        <v>7069</v>
      </c>
      <c r="C3041" s="4" t="s">
        <v>12</v>
      </c>
      <c r="D3041" s="7">
        <v>1840.05</v>
      </c>
      <c r="E3041" s="8" t="s">
        <v>7397</v>
      </c>
      <c r="F3041" s="9">
        <v>10</v>
      </c>
    </row>
    <row r="3042" ht="31" spans="1:6">
      <c r="A3042" s="6" t="s">
        <v>7070</v>
      </c>
      <c r="B3042" s="3" t="s">
        <v>7071</v>
      </c>
      <c r="C3042" s="4" t="s">
        <v>12</v>
      </c>
      <c r="D3042" s="7">
        <v>2141.8</v>
      </c>
      <c r="E3042" s="8" t="s">
        <v>7397</v>
      </c>
      <c r="F3042" s="9">
        <v>10</v>
      </c>
    </row>
    <row r="3043" ht="31" spans="1:6">
      <c r="A3043" s="6" t="s">
        <v>7072</v>
      </c>
      <c r="B3043" s="3" t="s">
        <v>7073</v>
      </c>
      <c r="C3043" s="4" t="s">
        <v>12</v>
      </c>
      <c r="D3043" s="7">
        <v>2518.2</v>
      </c>
      <c r="E3043" s="8" t="s">
        <v>7397</v>
      </c>
      <c r="F3043" s="9">
        <v>10</v>
      </c>
    </row>
    <row r="3044" ht="62" spans="1:6">
      <c r="A3044" s="6" t="s">
        <v>7076</v>
      </c>
      <c r="B3044" s="3" t="s">
        <v>7077</v>
      </c>
      <c r="C3044" s="4" t="s">
        <v>12</v>
      </c>
      <c r="D3044" s="7">
        <v>1527.5</v>
      </c>
      <c r="E3044" s="8" t="s">
        <v>7397</v>
      </c>
      <c r="F3044" s="9">
        <v>10</v>
      </c>
    </row>
    <row r="3045" ht="62" spans="1:6">
      <c r="A3045" s="6" t="s">
        <v>7078</v>
      </c>
      <c r="B3045" s="3" t="s">
        <v>7079</v>
      </c>
      <c r="C3045" s="4" t="s">
        <v>12</v>
      </c>
      <c r="D3045" s="7">
        <v>1635.05</v>
      </c>
      <c r="E3045" s="8" t="s">
        <v>7397</v>
      </c>
      <c r="F3045" s="9">
        <v>10</v>
      </c>
    </row>
    <row r="3046" ht="62" spans="1:6">
      <c r="A3046" s="6" t="s">
        <v>7080</v>
      </c>
      <c r="B3046" s="3" t="s">
        <v>7081</v>
      </c>
      <c r="C3046" s="4" t="s">
        <v>12</v>
      </c>
      <c r="D3046" s="7">
        <v>2068.25</v>
      </c>
      <c r="E3046" s="8" t="s">
        <v>7397</v>
      </c>
      <c r="F3046" s="9">
        <v>10</v>
      </c>
    </row>
    <row r="3047" ht="62" spans="1:6">
      <c r="A3047" s="6" t="s">
        <v>7082</v>
      </c>
      <c r="B3047" s="3" t="s">
        <v>7083</v>
      </c>
      <c r="C3047" s="4" t="s">
        <v>12</v>
      </c>
      <c r="D3047" s="7">
        <v>1841.2</v>
      </c>
      <c r="E3047" s="8" t="s">
        <v>7397</v>
      </c>
      <c r="F3047" s="9">
        <v>10</v>
      </c>
    </row>
    <row r="3048" ht="62" spans="1:6">
      <c r="A3048" s="6" t="s">
        <v>7084</v>
      </c>
      <c r="B3048" s="3" t="s">
        <v>7085</v>
      </c>
      <c r="C3048" s="4" t="s">
        <v>12</v>
      </c>
      <c r="D3048" s="7">
        <v>1784.4</v>
      </c>
      <c r="E3048" s="8" t="s">
        <v>7397</v>
      </c>
      <c r="F3048" s="9">
        <v>10</v>
      </c>
    </row>
    <row r="3049" ht="62" spans="1:6">
      <c r="A3049" s="6" t="s">
        <v>7086</v>
      </c>
      <c r="B3049" s="3" t="s">
        <v>7087</v>
      </c>
      <c r="C3049" s="4" t="s">
        <v>12</v>
      </c>
      <c r="D3049" s="7">
        <v>2326.65</v>
      </c>
      <c r="E3049" s="8" t="s">
        <v>7397</v>
      </c>
      <c r="F3049" s="9">
        <v>10</v>
      </c>
    </row>
    <row r="3050" ht="372" spans="1:6">
      <c r="A3050" s="6" t="s">
        <v>7088</v>
      </c>
      <c r="B3050" s="12" t="s">
        <v>7089</v>
      </c>
      <c r="C3050" s="4" t="s">
        <v>12</v>
      </c>
      <c r="D3050" s="7">
        <v>1477.3</v>
      </c>
      <c r="E3050" s="8" t="s">
        <v>7554</v>
      </c>
      <c r="F3050" s="9">
        <v>1</v>
      </c>
    </row>
    <row r="3051" ht="409.5" spans="1:6">
      <c r="A3051" s="6" t="s">
        <v>7090</v>
      </c>
      <c r="B3051" s="12" t="s">
        <v>7091</v>
      </c>
      <c r="C3051" s="4" t="s">
        <v>12</v>
      </c>
      <c r="D3051" s="7">
        <v>283.25</v>
      </c>
      <c r="E3051" s="8" t="s">
        <v>7779</v>
      </c>
      <c r="F3051" s="9">
        <v>36</v>
      </c>
    </row>
    <row r="3052" ht="409.5" spans="1:6">
      <c r="A3052" s="6" t="s">
        <v>7092</v>
      </c>
      <c r="B3052" s="12" t="s">
        <v>7093</v>
      </c>
      <c r="C3052" s="4" t="s">
        <v>16</v>
      </c>
      <c r="D3052" s="7">
        <v>2604.3</v>
      </c>
      <c r="E3052" s="8" t="s">
        <v>7888</v>
      </c>
      <c r="F3052" s="9">
        <v>0.85</v>
      </c>
    </row>
    <row r="3053" ht="403" spans="1:6">
      <c r="A3053" s="6" t="s">
        <v>7094</v>
      </c>
      <c r="B3053" s="12" t="s">
        <v>7095</v>
      </c>
      <c r="C3053" s="4" t="s">
        <v>12</v>
      </c>
      <c r="D3053" s="7">
        <v>287.4</v>
      </c>
      <c r="E3053" s="8" t="s">
        <v>7889</v>
      </c>
      <c r="F3053" s="9">
        <v>9</v>
      </c>
    </row>
    <row r="3054" ht="77.5" spans="1:6">
      <c r="A3054" s="6" t="s">
        <v>7096</v>
      </c>
      <c r="B3054" s="12" t="s">
        <v>7097</v>
      </c>
      <c r="C3054" s="4" t="s">
        <v>12</v>
      </c>
      <c r="D3054" s="7">
        <v>254.75</v>
      </c>
      <c r="E3054" s="8" t="s">
        <v>7889</v>
      </c>
      <c r="F3054" s="9">
        <v>9</v>
      </c>
    </row>
    <row r="3055" ht="217" spans="1:6">
      <c r="A3055" s="6" t="s">
        <v>7098</v>
      </c>
      <c r="B3055" s="12" t="s">
        <v>7099</v>
      </c>
      <c r="C3055" s="4" t="s">
        <v>12</v>
      </c>
      <c r="D3055" s="7">
        <v>371.25</v>
      </c>
      <c r="E3055" s="8" t="s">
        <v>7890</v>
      </c>
      <c r="F3055" s="9">
        <v>122</v>
      </c>
    </row>
    <row r="3056" ht="217" spans="1:6">
      <c r="A3056" s="6" t="s">
        <v>7100</v>
      </c>
      <c r="B3056" s="12" t="s">
        <v>7101</v>
      </c>
      <c r="C3056" s="4" t="s">
        <v>49</v>
      </c>
      <c r="D3056" s="7">
        <v>92.45</v>
      </c>
      <c r="E3056" s="8" t="s">
        <v>7534</v>
      </c>
      <c r="F3056" s="9">
        <v>30</v>
      </c>
    </row>
    <row r="3057" ht="186" spans="1:6">
      <c r="A3057" s="6" t="s">
        <v>7102</v>
      </c>
      <c r="B3057" s="12" t="s">
        <v>7103</v>
      </c>
      <c r="C3057" s="4" t="s">
        <v>49</v>
      </c>
      <c r="D3057" s="7">
        <v>49.3</v>
      </c>
      <c r="E3057" s="8" t="s">
        <v>7891</v>
      </c>
      <c r="F3057" s="9">
        <v>48</v>
      </c>
    </row>
    <row r="3058" ht="139.5" spans="1:6">
      <c r="A3058" s="6" t="s">
        <v>7104</v>
      </c>
      <c r="B3058" s="12" t="s">
        <v>7105</v>
      </c>
      <c r="C3058" s="4" t="s">
        <v>49</v>
      </c>
      <c r="D3058" s="7">
        <v>49.95</v>
      </c>
      <c r="E3058" s="8" t="s">
        <v>7892</v>
      </c>
      <c r="F3058" s="9">
        <v>4000</v>
      </c>
    </row>
    <row r="3059" ht="155" spans="1:6">
      <c r="A3059" s="6" t="s">
        <v>7106</v>
      </c>
      <c r="B3059" s="12" t="s">
        <v>7107</v>
      </c>
      <c r="C3059" s="4" t="s">
        <v>12</v>
      </c>
      <c r="D3059" s="7">
        <v>136.45</v>
      </c>
      <c r="E3059" s="8" t="s">
        <v>7472</v>
      </c>
      <c r="F3059" s="9">
        <v>40</v>
      </c>
    </row>
    <row r="3060" ht="124" spans="1:6">
      <c r="A3060" s="6" t="s">
        <v>7108</v>
      </c>
      <c r="B3060" s="12" t="s">
        <v>7109</v>
      </c>
      <c r="C3060" s="4" t="s">
        <v>49</v>
      </c>
      <c r="D3060" s="7">
        <v>49.93</v>
      </c>
      <c r="E3060" s="8" t="s">
        <v>7892</v>
      </c>
      <c r="F3060" s="9">
        <v>4000</v>
      </c>
    </row>
    <row r="3061" ht="170.5" spans="1:6">
      <c r="A3061" s="6" t="s">
        <v>7110</v>
      </c>
      <c r="B3061" s="12" t="s">
        <v>7111</v>
      </c>
      <c r="C3061" s="4" t="s">
        <v>575</v>
      </c>
      <c r="D3061" s="7">
        <v>182.05</v>
      </c>
      <c r="E3061" s="8" t="s">
        <v>7893</v>
      </c>
      <c r="F3061" s="9">
        <v>212.816</v>
      </c>
    </row>
    <row r="3062" ht="77.5" spans="1:6">
      <c r="A3062" s="6" t="s">
        <v>7112</v>
      </c>
      <c r="B3062" s="12" t="s">
        <v>7113</v>
      </c>
      <c r="C3062" s="4" t="s">
        <v>575</v>
      </c>
      <c r="D3062" s="7">
        <v>27.1</v>
      </c>
      <c r="E3062" s="8" t="s">
        <v>7894</v>
      </c>
      <c r="F3062" s="9">
        <v>298.75</v>
      </c>
    </row>
    <row r="3063" ht="31" spans="1:6">
      <c r="A3063" s="6" t="s">
        <v>7116</v>
      </c>
      <c r="B3063" s="3" t="s">
        <v>7117</v>
      </c>
      <c r="C3063" s="4" t="s">
        <v>12</v>
      </c>
      <c r="D3063" s="7">
        <v>106.8</v>
      </c>
      <c r="E3063" s="8" t="s">
        <v>7446</v>
      </c>
      <c r="F3063" s="9">
        <v>135</v>
      </c>
    </row>
    <row r="3064" ht="186" spans="1:6">
      <c r="A3064" s="6" t="s">
        <v>7118</v>
      </c>
      <c r="B3064" s="12" t="s">
        <v>7119</v>
      </c>
      <c r="C3064" s="4" t="s">
        <v>12</v>
      </c>
      <c r="D3064" s="7">
        <v>1525.6</v>
      </c>
      <c r="E3064" s="8" t="s">
        <v>7397</v>
      </c>
      <c r="F3064" s="9">
        <v>10</v>
      </c>
    </row>
    <row r="3065" ht="409.5" spans="1:6">
      <c r="A3065" s="6" t="s">
        <v>7120</v>
      </c>
      <c r="B3065" s="12" t="s">
        <v>7121</v>
      </c>
      <c r="C3065" s="4" t="s">
        <v>12</v>
      </c>
      <c r="D3065" s="7">
        <v>2673.7</v>
      </c>
      <c r="E3065" s="8" t="s">
        <v>7895</v>
      </c>
      <c r="F3065" s="9">
        <v>3.6</v>
      </c>
    </row>
    <row r="3066" ht="409.5" spans="1:6">
      <c r="A3066" s="6" t="s">
        <v>7122</v>
      </c>
      <c r="B3066" s="12" t="s">
        <v>7123</v>
      </c>
      <c r="C3066" s="4" t="s">
        <v>12</v>
      </c>
      <c r="D3066" s="7">
        <v>3935.35</v>
      </c>
      <c r="E3066" s="8" t="s">
        <v>7397</v>
      </c>
      <c r="F3066" s="9">
        <v>10</v>
      </c>
    </row>
    <row r="3067" ht="31" spans="1:6">
      <c r="A3067" s="6" t="s">
        <v>7126</v>
      </c>
      <c r="B3067" s="3" t="s">
        <v>754</v>
      </c>
      <c r="C3067" s="4" t="s">
        <v>16</v>
      </c>
      <c r="D3067" s="7">
        <v>7387.25</v>
      </c>
      <c r="E3067" s="8" t="s">
        <v>7334</v>
      </c>
      <c r="F3067" s="9">
        <v>10</v>
      </c>
    </row>
    <row r="3068" ht="31" spans="1:6">
      <c r="A3068" s="6" t="s">
        <v>7129</v>
      </c>
      <c r="B3068" s="3" t="s">
        <v>754</v>
      </c>
      <c r="C3068" s="4" t="s">
        <v>16</v>
      </c>
      <c r="D3068" s="7">
        <v>9844.65</v>
      </c>
      <c r="E3068" s="8" t="s">
        <v>7334</v>
      </c>
      <c r="F3068" s="9">
        <v>10</v>
      </c>
    </row>
    <row r="3069" ht="31" spans="1:6">
      <c r="A3069" s="6" t="s">
        <v>7132</v>
      </c>
      <c r="B3069" s="3" t="s">
        <v>7133</v>
      </c>
      <c r="C3069" s="4" t="s">
        <v>12</v>
      </c>
      <c r="D3069" s="7">
        <v>897.15</v>
      </c>
      <c r="E3069" s="8" t="s">
        <v>7332</v>
      </c>
      <c r="F3069" s="9">
        <v>100</v>
      </c>
    </row>
    <row r="3070" ht="31" spans="1:6">
      <c r="A3070" s="6" t="s">
        <v>7136</v>
      </c>
      <c r="B3070" s="3" t="s">
        <v>752</v>
      </c>
      <c r="C3070" s="4" t="s">
        <v>12</v>
      </c>
      <c r="D3070" s="7">
        <v>1099.15</v>
      </c>
      <c r="E3070" s="8" t="s">
        <v>7332</v>
      </c>
      <c r="F3070" s="9">
        <v>100</v>
      </c>
    </row>
    <row r="3071" ht="155" spans="1:6">
      <c r="A3071" s="6" t="s">
        <v>7137</v>
      </c>
      <c r="B3071" s="12" t="s">
        <v>7138</v>
      </c>
      <c r="C3071" s="4" t="s">
        <v>12</v>
      </c>
      <c r="D3071" s="7">
        <v>829.75</v>
      </c>
      <c r="E3071" s="8" t="s">
        <v>7397</v>
      </c>
      <c r="F3071" s="9">
        <v>10</v>
      </c>
    </row>
    <row r="3072" ht="15.5" spans="1:6">
      <c r="A3072" s="6" t="s">
        <v>7145</v>
      </c>
      <c r="B3072" s="3" t="s">
        <v>7146</v>
      </c>
      <c r="C3072" s="4" t="s">
        <v>49</v>
      </c>
      <c r="D3072" s="7">
        <v>1287.25</v>
      </c>
      <c r="E3072" s="8" t="s">
        <v>7470</v>
      </c>
      <c r="F3072" s="9">
        <v>120</v>
      </c>
    </row>
    <row r="3073" ht="15.5" spans="1:6">
      <c r="A3073" s="6" t="s">
        <v>7147</v>
      </c>
      <c r="B3073" s="3" t="s">
        <v>7148</v>
      </c>
      <c r="C3073" s="4" t="s">
        <v>49</v>
      </c>
      <c r="D3073" s="7">
        <v>1501.4</v>
      </c>
      <c r="E3073" s="8" t="s">
        <v>7470</v>
      </c>
      <c r="F3073" s="9">
        <v>120</v>
      </c>
    </row>
    <row r="3074" ht="15.5" spans="1:6">
      <c r="A3074" s="6" t="s">
        <v>7149</v>
      </c>
      <c r="B3074" s="3" t="s">
        <v>7150</v>
      </c>
      <c r="C3074" s="4" t="s">
        <v>49</v>
      </c>
      <c r="D3074" s="7">
        <v>1822.6</v>
      </c>
      <c r="E3074" s="8" t="s">
        <v>7470</v>
      </c>
      <c r="F3074" s="9">
        <v>120</v>
      </c>
    </row>
    <row r="3075" ht="15.5" spans="1:6">
      <c r="A3075" s="6" t="s">
        <v>7151</v>
      </c>
      <c r="B3075" s="3" t="s">
        <v>7152</v>
      </c>
      <c r="C3075" s="4" t="s">
        <v>49</v>
      </c>
      <c r="D3075" s="7">
        <v>2217</v>
      </c>
      <c r="E3075" s="8" t="s">
        <v>7470</v>
      </c>
      <c r="F3075" s="9">
        <v>120</v>
      </c>
    </row>
    <row r="3076" ht="15.5" spans="1:6">
      <c r="A3076" s="6" t="s">
        <v>7153</v>
      </c>
      <c r="B3076" s="3" t="s">
        <v>7154</v>
      </c>
      <c r="C3076" s="4" t="s">
        <v>49</v>
      </c>
      <c r="D3076" s="7">
        <v>2717.1</v>
      </c>
      <c r="E3076" s="8" t="s">
        <v>7470</v>
      </c>
      <c r="F3076" s="9">
        <v>120</v>
      </c>
    </row>
    <row r="3077" ht="15.5" spans="1:6">
      <c r="A3077" s="6" t="s">
        <v>7155</v>
      </c>
      <c r="B3077" s="3" t="s">
        <v>7156</v>
      </c>
      <c r="C3077" s="4" t="s">
        <v>49</v>
      </c>
      <c r="D3077" s="7">
        <v>3217.2</v>
      </c>
      <c r="E3077" s="8" t="s">
        <v>7470</v>
      </c>
      <c r="F3077" s="9">
        <v>120</v>
      </c>
    </row>
    <row r="3078" ht="15.5" spans="1:6">
      <c r="A3078" s="6" t="s">
        <v>7157</v>
      </c>
      <c r="B3078" s="3" t="s">
        <v>7158</v>
      </c>
      <c r="C3078" s="4" t="s">
        <v>49</v>
      </c>
      <c r="D3078" s="7">
        <v>3717.25</v>
      </c>
      <c r="E3078" s="8" t="s">
        <v>7470</v>
      </c>
      <c r="F3078" s="9">
        <v>120</v>
      </c>
    </row>
    <row r="3079" ht="15.5" spans="1:6">
      <c r="A3079" s="6" t="s">
        <v>7159</v>
      </c>
      <c r="B3079" s="3" t="s">
        <v>7160</v>
      </c>
      <c r="C3079" s="4" t="s">
        <v>49</v>
      </c>
      <c r="D3079" s="7">
        <v>4217.35</v>
      </c>
      <c r="E3079" s="8" t="s">
        <v>7470</v>
      </c>
      <c r="F3079" s="9">
        <v>120</v>
      </c>
    </row>
    <row r="3080" ht="15.5" spans="1:6">
      <c r="A3080" s="6" t="s">
        <v>7163</v>
      </c>
      <c r="B3080" s="3" t="s">
        <v>7164</v>
      </c>
      <c r="C3080" s="4" t="s">
        <v>49</v>
      </c>
      <c r="D3080" s="7">
        <v>18.4</v>
      </c>
      <c r="E3080" s="8" t="s">
        <v>7470</v>
      </c>
      <c r="F3080" s="9">
        <v>120</v>
      </c>
    </row>
    <row r="3081" ht="15.5" spans="1:6">
      <c r="A3081" s="6" t="s">
        <v>7165</v>
      </c>
      <c r="B3081" s="3" t="s">
        <v>7166</v>
      </c>
      <c r="C3081" s="4" t="s">
        <v>49</v>
      </c>
      <c r="D3081" s="7">
        <v>22.1</v>
      </c>
      <c r="E3081" s="8" t="s">
        <v>7470</v>
      </c>
      <c r="F3081" s="9">
        <v>120</v>
      </c>
    </row>
    <row r="3082" ht="15.5" spans="1:6">
      <c r="A3082" s="6" t="s">
        <v>7167</v>
      </c>
      <c r="B3082" s="3" t="s">
        <v>7168</v>
      </c>
      <c r="C3082" s="4" t="s">
        <v>49</v>
      </c>
      <c r="D3082" s="7">
        <v>27.65</v>
      </c>
      <c r="E3082" s="8" t="s">
        <v>7470</v>
      </c>
      <c r="F3082" s="9">
        <v>120</v>
      </c>
    </row>
    <row r="3083" ht="15.5" spans="1:6">
      <c r="A3083" s="6" t="s">
        <v>7169</v>
      </c>
      <c r="B3083" s="3" t="s">
        <v>7170</v>
      </c>
      <c r="C3083" s="4" t="s">
        <v>49</v>
      </c>
      <c r="D3083" s="7">
        <v>34.4</v>
      </c>
      <c r="E3083" s="8" t="s">
        <v>7470</v>
      </c>
      <c r="F3083" s="9">
        <v>120</v>
      </c>
    </row>
    <row r="3084" ht="15.5" spans="1:6">
      <c r="A3084" s="6" t="s">
        <v>7171</v>
      </c>
      <c r="B3084" s="3" t="s">
        <v>7172</v>
      </c>
      <c r="C3084" s="4" t="s">
        <v>49</v>
      </c>
      <c r="D3084" s="7">
        <v>43</v>
      </c>
      <c r="E3084" s="8" t="s">
        <v>7470</v>
      </c>
      <c r="F3084" s="9">
        <v>120</v>
      </c>
    </row>
    <row r="3085" ht="15.5" spans="1:6">
      <c r="A3085" s="6" t="s">
        <v>7173</v>
      </c>
      <c r="B3085" s="3" t="s">
        <v>7174</v>
      </c>
      <c r="C3085" s="4" t="s">
        <v>49</v>
      </c>
      <c r="D3085" s="7">
        <v>51.6</v>
      </c>
      <c r="E3085" s="8" t="s">
        <v>7470</v>
      </c>
      <c r="F3085" s="9">
        <v>120</v>
      </c>
    </row>
    <row r="3086" ht="15.5" spans="1:6">
      <c r="A3086" s="6" t="s">
        <v>7175</v>
      </c>
      <c r="B3086" s="3" t="s">
        <v>7176</v>
      </c>
      <c r="C3086" s="4" t="s">
        <v>49</v>
      </c>
      <c r="D3086" s="7">
        <v>60.2</v>
      </c>
      <c r="E3086" s="8" t="s">
        <v>7470</v>
      </c>
      <c r="F3086" s="9">
        <v>120</v>
      </c>
    </row>
    <row r="3087" ht="15.5" spans="1:6">
      <c r="A3087" s="6" t="s">
        <v>7177</v>
      </c>
      <c r="B3087" s="3" t="s">
        <v>7178</v>
      </c>
      <c r="C3087" s="4" t="s">
        <v>49</v>
      </c>
      <c r="D3087" s="7">
        <v>68.8</v>
      </c>
      <c r="E3087" s="8" t="s">
        <v>7470</v>
      </c>
      <c r="F3087" s="9">
        <v>120</v>
      </c>
    </row>
    <row r="3088" ht="15.5" spans="1:6">
      <c r="A3088" s="6" t="s">
        <v>7181</v>
      </c>
      <c r="B3088" s="3" t="s">
        <v>7164</v>
      </c>
      <c r="C3088" s="4" t="s">
        <v>49</v>
      </c>
      <c r="D3088" s="7">
        <v>29.5</v>
      </c>
      <c r="E3088" s="8" t="s">
        <v>7470</v>
      </c>
      <c r="F3088" s="9">
        <v>120</v>
      </c>
    </row>
    <row r="3089" ht="15.5" spans="1:6">
      <c r="A3089" s="6" t="s">
        <v>7182</v>
      </c>
      <c r="B3089" s="3" t="s">
        <v>7166</v>
      </c>
      <c r="C3089" s="4" t="s">
        <v>49</v>
      </c>
      <c r="D3089" s="7">
        <v>35.35</v>
      </c>
      <c r="E3089" s="8" t="s">
        <v>7470</v>
      </c>
      <c r="F3089" s="9">
        <v>120</v>
      </c>
    </row>
    <row r="3090" ht="15.5" spans="1:6">
      <c r="A3090" s="6" t="s">
        <v>7183</v>
      </c>
      <c r="B3090" s="3" t="s">
        <v>7168</v>
      </c>
      <c r="C3090" s="4" t="s">
        <v>49</v>
      </c>
      <c r="D3090" s="7">
        <v>44.2</v>
      </c>
      <c r="E3090" s="8" t="s">
        <v>7470</v>
      </c>
      <c r="F3090" s="9">
        <v>120</v>
      </c>
    </row>
    <row r="3091" ht="15.5" spans="1:6">
      <c r="A3091" s="6" t="s">
        <v>7184</v>
      </c>
      <c r="B3091" s="3" t="s">
        <v>7170</v>
      </c>
      <c r="C3091" s="4" t="s">
        <v>49</v>
      </c>
      <c r="D3091" s="7">
        <v>55</v>
      </c>
      <c r="E3091" s="8" t="s">
        <v>7470</v>
      </c>
      <c r="F3091" s="9">
        <v>120</v>
      </c>
    </row>
    <row r="3092" ht="15.5" spans="1:6">
      <c r="A3092" s="6" t="s">
        <v>7185</v>
      </c>
      <c r="B3092" s="3" t="s">
        <v>7172</v>
      </c>
      <c r="C3092" s="4" t="s">
        <v>49</v>
      </c>
      <c r="D3092" s="7">
        <v>68.8</v>
      </c>
      <c r="E3092" s="8" t="s">
        <v>7470</v>
      </c>
      <c r="F3092" s="9">
        <v>120</v>
      </c>
    </row>
    <row r="3093" ht="15.5" spans="1:6">
      <c r="A3093" s="6" t="s">
        <v>7186</v>
      </c>
      <c r="B3093" s="3" t="s">
        <v>7174</v>
      </c>
      <c r="C3093" s="4" t="s">
        <v>49</v>
      </c>
      <c r="D3093" s="7">
        <v>82.55</v>
      </c>
      <c r="E3093" s="8" t="s">
        <v>7470</v>
      </c>
      <c r="F3093" s="9">
        <v>120</v>
      </c>
    </row>
    <row r="3094" ht="15.5" spans="1:6">
      <c r="A3094" s="6" t="s">
        <v>7187</v>
      </c>
      <c r="B3094" s="3" t="s">
        <v>7176</v>
      </c>
      <c r="C3094" s="4" t="s">
        <v>49</v>
      </c>
      <c r="D3094" s="7">
        <v>96.3</v>
      </c>
      <c r="E3094" s="8" t="s">
        <v>7470</v>
      </c>
      <c r="F3094" s="9">
        <v>120</v>
      </c>
    </row>
    <row r="3095" ht="15.5" spans="1:6">
      <c r="A3095" s="6" t="s">
        <v>7188</v>
      </c>
      <c r="B3095" s="3" t="s">
        <v>7178</v>
      </c>
      <c r="C3095" s="4" t="s">
        <v>49</v>
      </c>
      <c r="D3095" s="7">
        <v>110.05</v>
      </c>
      <c r="E3095" s="8" t="s">
        <v>7470</v>
      </c>
      <c r="F3095" s="9">
        <v>120</v>
      </c>
    </row>
    <row r="3096" ht="31" spans="1:6">
      <c r="A3096" s="6" t="s">
        <v>7191</v>
      </c>
      <c r="B3096" s="3" t="s">
        <v>7192</v>
      </c>
      <c r="C3096" s="4" t="s">
        <v>16</v>
      </c>
      <c r="D3096" s="7">
        <v>20928.7</v>
      </c>
      <c r="E3096" s="8" t="s">
        <v>7896</v>
      </c>
      <c r="F3096" s="9">
        <v>1.26</v>
      </c>
    </row>
    <row r="3097" ht="31" spans="1:6">
      <c r="A3097" s="6" t="s">
        <v>7193</v>
      </c>
      <c r="B3097" s="3" t="s">
        <v>7194</v>
      </c>
      <c r="C3097" s="4" t="s">
        <v>16</v>
      </c>
      <c r="D3097" s="7">
        <v>245.65</v>
      </c>
      <c r="E3097" s="8" t="s">
        <v>7394</v>
      </c>
      <c r="F3097" s="9">
        <v>1</v>
      </c>
    </row>
    <row r="3098" ht="31" spans="1:6">
      <c r="A3098" s="6" t="s">
        <v>7195</v>
      </c>
      <c r="B3098" s="3" t="s">
        <v>7196</v>
      </c>
      <c r="C3098" s="4" t="s">
        <v>16</v>
      </c>
      <c r="D3098" s="7">
        <v>450.4</v>
      </c>
      <c r="E3098" s="8" t="s">
        <v>7394</v>
      </c>
      <c r="F3098" s="9">
        <v>1</v>
      </c>
    </row>
    <row r="3099" ht="31" spans="1:6">
      <c r="A3099" s="6" t="s">
        <v>7197</v>
      </c>
      <c r="B3099" s="3" t="s">
        <v>7198</v>
      </c>
      <c r="C3099" s="4" t="s">
        <v>16</v>
      </c>
      <c r="D3099" s="7">
        <v>573.2</v>
      </c>
      <c r="E3099" s="8" t="s">
        <v>7394</v>
      </c>
      <c r="F3099" s="9">
        <v>1</v>
      </c>
    </row>
    <row r="3100" ht="139.5" spans="1:6">
      <c r="A3100" s="6" t="s">
        <v>7199</v>
      </c>
      <c r="B3100" s="12" t="s">
        <v>7200</v>
      </c>
      <c r="C3100" s="4" t="s">
        <v>575</v>
      </c>
      <c r="D3100" s="7">
        <v>192.35</v>
      </c>
      <c r="E3100" s="8" t="s">
        <v>7897</v>
      </c>
      <c r="F3100" s="9">
        <v>1740</v>
      </c>
    </row>
    <row r="3101" ht="15.5" spans="1:6">
      <c r="A3101" s="6" t="s">
        <v>7203</v>
      </c>
      <c r="B3101" s="3" t="s">
        <v>7204</v>
      </c>
      <c r="C3101" s="4" t="s">
        <v>7898</v>
      </c>
      <c r="D3101" s="7">
        <v>540.85</v>
      </c>
      <c r="E3101" s="8" t="s">
        <v>7899</v>
      </c>
      <c r="F3101" s="9">
        <v>22</v>
      </c>
    </row>
    <row r="3102" ht="31" spans="1:6">
      <c r="A3102" s="6" t="s">
        <v>7206</v>
      </c>
      <c r="B3102" s="3" t="s">
        <v>7207</v>
      </c>
      <c r="C3102" s="4" t="s">
        <v>7898</v>
      </c>
      <c r="D3102" s="7">
        <v>117.3</v>
      </c>
      <c r="E3102" s="8" t="s">
        <v>7899</v>
      </c>
      <c r="F3102" s="9">
        <v>22</v>
      </c>
    </row>
    <row r="3103" ht="31" spans="1:6">
      <c r="A3103" s="6" t="s">
        <v>7210</v>
      </c>
      <c r="B3103" s="3" t="s">
        <v>7211</v>
      </c>
      <c r="C3103" s="4" t="s">
        <v>12</v>
      </c>
      <c r="D3103" s="7">
        <v>203.5</v>
      </c>
      <c r="E3103" s="8" t="s">
        <v>7900</v>
      </c>
      <c r="F3103" s="9">
        <v>150</v>
      </c>
    </row>
    <row r="3104" ht="31" spans="1:6">
      <c r="A3104" s="6" t="s">
        <v>7212</v>
      </c>
      <c r="B3104" s="3" t="s">
        <v>7213</v>
      </c>
      <c r="C3104" s="4" t="s">
        <v>12</v>
      </c>
      <c r="D3104" s="7">
        <v>345.15</v>
      </c>
      <c r="E3104" s="8" t="s">
        <v>7901</v>
      </c>
      <c r="F3104" s="9">
        <v>120</v>
      </c>
    </row>
    <row r="3105" ht="15.5" spans="1:6">
      <c r="A3105" s="6" t="s">
        <v>7214</v>
      </c>
      <c r="B3105" s="3" t="s">
        <v>7215</v>
      </c>
      <c r="C3105" s="4" t="s">
        <v>16</v>
      </c>
      <c r="D3105" s="7">
        <v>2720.3</v>
      </c>
      <c r="E3105" s="8" t="s">
        <v>7902</v>
      </c>
      <c r="F3105" s="9">
        <v>18</v>
      </c>
    </row>
    <row r="3106" ht="15.5" spans="1:6">
      <c r="A3106" s="6" t="s">
        <v>7218</v>
      </c>
      <c r="B3106" s="3" t="s">
        <v>7219</v>
      </c>
      <c r="C3106" s="4" t="s">
        <v>49</v>
      </c>
      <c r="D3106" s="7">
        <v>178.95</v>
      </c>
      <c r="E3106" s="8" t="s">
        <v>7531</v>
      </c>
      <c r="F3106" s="9">
        <v>1</v>
      </c>
    </row>
    <row r="3107" ht="15.5" spans="1:6">
      <c r="A3107" s="6" t="s">
        <v>7222</v>
      </c>
      <c r="B3107" s="3" t="s">
        <v>7223</v>
      </c>
      <c r="C3107" s="4" t="s">
        <v>156</v>
      </c>
      <c r="D3107" s="7">
        <v>28.9</v>
      </c>
      <c r="E3107" s="8" t="s">
        <v>7903</v>
      </c>
      <c r="F3107" s="9">
        <v>100</v>
      </c>
    </row>
    <row r="3108" ht="15.5" spans="1:6">
      <c r="A3108" s="6" t="s">
        <v>7224</v>
      </c>
      <c r="B3108" s="3" t="s">
        <v>7225</v>
      </c>
      <c r="C3108" s="4" t="s">
        <v>156</v>
      </c>
      <c r="D3108" s="7">
        <v>36</v>
      </c>
      <c r="E3108" s="8" t="s">
        <v>7903</v>
      </c>
      <c r="F3108" s="9">
        <v>100</v>
      </c>
    </row>
    <row r="3109" ht="15.5" spans="1:6">
      <c r="A3109" s="6" t="s">
        <v>7226</v>
      </c>
      <c r="B3109" s="3" t="s">
        <v>7227</v>
      </c>
      <c r="C3109" s="4" t="s">
        <v>156</v>
      </c>
      <c r="D3109" s="7">
        <v>51.65</v>
      </c>
      <c r="E3109" s="8" t="s">
        <v>7903</v>
      </c>
      <c r="F3109" s="9">
        <v>100</v>
      </c>
    </row>
    <row r="3110" ht="46.5" spans="1:6">
      <c r="A3110" s="6" t="s">
        <v>7230</v>
      </c>
      <c r="B3110" s="3" t="s">
        <v>7231</v>
      </c>
      <c r="C3110" s="4" t="s">
        <v>575</v>
      </c>
      <c r="D3110" s="7">
        <v>85.05</v>
      </c>
      <c r="E3110" s="8" t="s">
        <v>7904</v>
      </c>
      <c r="F3110" s="9">
        <v>250</v>
      </c>
    </row>
    <row r="3111" ht="263.5" spans="1:6">
      <c r="A3111" s="6" t="s">
        <v>7232</v>
      </c>
      <c r="B3111" s="12" t="s">
        <v>7233</v>
      </c>
      <c r="C3111" s="4" t="s">
        <v>12</v>
      </c>
      <c r="D3111" s="7">
        <v>29.25</v>
      </c>
      <c r="E3111" s="8" t="s">
        <v>7786</v>
      </c>
      <c r="F3111" s="9">
        <v>300</v>
      </c>
    </row>
    <row r="3112" ht="409.5" spans="1:6">
      <c r="A3112" s="6" t="s">
        <v>7234</v>
      </c>
      <c r="B3112" s="12" t="s">
        <v>7235</v>
      </c>
      <c r="C3112" s="4" t="s">
        <v>12</v>
      </c>
      <c r="D3112" s="7">
        <v>2293.3</v>
      </c>
      <c r="E3112" s="8" t="s">
        <v>7905</v>
      </c>
      <c r="F3112" s="9">
        <v>134.4</v>
      </c>
    </row>
    <row r="3113" ht="409.5" spans="1:6">
      <c r="A3113" s="6" t="s">
        <v>7236</v>
      </c>
      <c r="B3113" s="12" t="s">
        <v>7237</v>
      </c>
      <c r="C3113" s="4" t="s">
        <v>12</v>
      </c>
      <c r="D3113" s="7">
        <v>762.75</v>
      </c>
      <c r="E3113" s="8" t="s">
        <v>7332</v>
      </c>
      <c r="F3113" s="9">
        <v>100</v>
      </c>
    </row>
    <row r="3114" ht="62" spans="1:6">
      <c r="A3114" s="6" t="s">
        <v>7240</v>
      </c>
      <c r="B3114" s="3" t="s">
        <v>7241</v>
      </c>
      <c r="C3114" s="4" t="s">
        <v>12</v>
      </c>
      <c r="D3114" s="7">
        <v>271.45</v>
      </c>
      <c r="E3114" s="8" t="s">
        <v>7786</v>
      </c>
      <c r="F3114" s="9">
        <v>300</v>
      </c>
    </row>
    <row r="3115" ht="62" spans="1:6">
      <c r="A3115" s="6" t="s">
        <v>7242</v>
      </c>
      <c r="B3115" s="3" t="s">
        <v>7243</v>
      </c>
      <c r="C3115" s="4" t="s">
        <v>12</v>
      </c>
      <c r="D3115" s="7">
        <v>310.3</v>
      </c>
      <c r="E3115" s="8" t="s">
        <v>7786</v>
      </c>
      <c r="F3115" s="9">
        <v>300</v>
      </c>
    </row>
    <row r="3116" ht="62" spans="1:6">
      <c r="A3116" s="6" t="s">
        <v>7244</v>
      </c>
      <c r="B3116" s="3" t="s">
        <v>7245</v>
      </c>
      <c r="C3116" s="4" t="s">
        <v>12</v>
      </c>
      <c r="D3116" s="7">
        <v>385</v>
      </c>
      <c r="E3116" s="8" t="s">
        <v>7786</v>
      </c>
      <c r="F3116" s="9">
        <v>300</v>
      </c>
    </row>
    <row r="3117" ht="62" spans="1:6">
      <c r="A3117" s="6" t="s">
        <v>7246</v>
      </c>
      <c r="B3117" s="3" t="s">
        <v>7247</v>
      </c>
      <c r="C3117" s="4" t="s">
        <v>12</v>
      </c>
      <c r="D3117" s="7">
        <v>440.25</v>
      </c>
      <c r="E3117" s="8" t="s">
        <v>7786</v>
      </c>
      <c r="F3117" s="9">
        <v>300</v>
      </c>
    </row>
    <row r="3118" ht="62" spans="1:6">
      <c r="A3118" s="6" t="s">
        <v>7248</v>
      </c>
      <c r="B3118" s="3" t="s">
        <v>7249</v>
      </c>
      <c r="C3118" s="4" t="s">
        <v>12</v>
      </c>
      <c r="D3118" s="7">
        <v>470.1</v>
      </c>
      <c r="E3118" s="8" t="s">
        <v>7786</v>
      </c>
      <c r="F3118" s="9">
        <v>300</v>
      </c>
    </row>
    <row r="3119" ht="62" spans="1:6">
      <c r="A3119" s="6" t="s">
        <v>7250</v>
      </c>
      <c r="B3119" s="3" t="s">
        <v>7251</v>
      </c>
      <c r="C3119" s="4" t="s">
        <v>12</v>
      </c>
      <c r="D3119" s="7">
        <v>580.65</v>
      </c>
      <c r="E3119" s="8" t="s">
        <v>7786</v>
      </c>
      <c r="F3119" s="9">
        <v>300</v>
      </c>
    </row>
    <row r="3120" ht="62" spans="1:6">
      <c r="A3120" s="6" t="s">
        <v>7252</v>
      </c>
      <c r="B3120" s="3" t="s">
        <v>7253</v>
      </c>
      <c r="C3120" s="4" t="s">
        <v>12</v>
      </c>
      <c r="D3120" s="7">
        <v>677.75</v>
      </c>
      <c r="E3120" s="8" t="s">
        <v>7786</v>
      </c>
      <c r="F3120" s="9">
        <v>300</v>
      </c>
    </row>
    <row r="3121" ht="62" spans="1:6">
      <c r="A3121" s="6" t="s">
        <v>7254</v>
      </c>
      <c r="B3121" s="3" t="s">
        <v>7255</v>
      </c>
      <c r="C3121" s="4" t="s">
        <v>12</v>
      </c>
      <c r="D3121" s="7">
        <v>819.65</v>
      </c>
      <c r="E3121" s="8" t="s">
        <v>7786</v>
      </c>
      <c r="F3121" s="9">
        <v>300</v>
      </c>
    </row>
    <row r="3122" ht="62" spans="1:6">
      <c r="A3122" s="6" t="s">
        <v>7256</v>
      </c>
      <c r="B3122" s="3" t="s">
        <v>7257</v>
      </c>
      <c r="C3122" s="4" t="s">
        <v>12</v>
      </c>
      <c r="D3122" s="7">
        <v>942.15</v>
      </c>
      <c r="E3122" s="8" t="s">
        <v>7786</v>
      </c>
      <c r="F3122" s="9">
        <v>300</v>
      </c>
    </row>
    <row r="3123" ht="46.5" spans="1:6">
      <c r="A3123" s="6" t="s">
        <v>7260</v>
      </c>
      <c r="B3123" s="3" t="s">
        <v>7261</v>
      </c>
      <c r="C3123" s="4" t="s">
        <v>12</v>
      </c>
      <c r="D3123" s="7">
        <v>229.65</v>
      </c>
      <c r="E3123" s="8" t="s">
        <v>7786</v>
      </c>
      <c r="F3123" s="9">
        <v>300</v>
      </c>
    </row>
    <row r="3124" ht="46.5" spans="1:6">
      <c r="A3124" s="6" t="s">
        <v>7262</v>
      </c>
      <c r="B3124" s="3" t="s">
        <v>7263</v>
      </c>
      <c r="C3124" s="4" t="s">
        <v>12</v>
      </c>
      <c r="D3124" s="7">
        <v>329.7</v>
      </c>
      <c r="E3124" s="8" t="s">
        <v>7786</v>
      </c>
      <c r="F3124" s="9">
        <v>300</v>
      </c>
    </row>
    <row r="3125" ht="46.5" spans="1:6">
      <c r="A3125" s="6" t="s">
        <v>7264</v>
      </c>
      <c r="B3125" s="3" t="s">
        <v>7265</v>
      </c>
      <c r="C3125" s="4" t="s">
        <v>12</v>
      </c>
      <c r="D3125" s="7">
        <v>416.35</v>
      </c>
      <c r="E3125" s="8" t="s">
        <v>7786</v>
      </c>
      <c r="F3125" s="9">
        <v>300</v>
      </c>
    </row>
    <row r="3126" ht="15.5" spans="1:6">
      <c r="A3126" s="6" t="s">
        <v>7269</v>
      </c>
      <c r="B3126" s="3" t="s">
        <v>7270</v>
      </c>
      <c r="C3126" s="4" t="s">
        <v>49</v>
      </c>
      <c r="D3126" s="7">
        <v>705.85</v>
      </c>
      <c r="E3126" s="8" t="s">
        <v>7906</v>
      </c>
      <c r="F3126" s="9">
        <v>5.2</v>
      </c>
    </row>
    <row r="3127" ht="15.5" spans="1:6">
      <c r="A3127" s="6" t="s">
        <v>7271</v>
      </c>
      <c r="B3127" s="3" t="s">
        <v>7272</v>
      </c>
      <c r="C3127" s="4" t="s">
        <v>49</v>
      </c>
      <c r="D3127" s="7">
        <v>926.35</v>
      </c>
      <c r="E3127" s="8" t="s">
        <v>7906</v>
      </c>
      <c r="F3127" s="9">
        <v>5.2</v>
      </c>
    </row>
    <row r="3128" ht="15.5" spans="1:6">
      <c r="A3128" s="6" t="s">
        <v>7273</v>
      </c>
      <c r="B3128" s="3" t="s">
        <v>7274</v>
      </c>
      <c r="C3128" s="4" t="s">
        <v>49</v>
      </c>
      <c r="D3128" s="7">
        <v>947.7</v>
      </c>
      <c r="E3128" s="8" t="s">
        <v>7906</v>
      </c>
      <c r="F3128" s="9">
        <v>5.2</v>
      </c>
    </row>
    <row r="3129" ht="15.5" spans="1:6">
      <c r="A3129" s="6" t="s">
        <v>7275</v>
      </c>
      <c r="B3129" s="3" t="s">
        <v>7276</v>
      </c>
      <c r="C3129" s="4" t="s">
        <v>49</v>
      </c>
      <c r="D3129" s="7">
        <v>1075.7</v>
      </c>
      <c r="E3129" s="8" t="s">
        <v>7906</v>
      </c>
      <c r="F3129" s="9">
        <v>5.2</v>
      </c>
    </row>
    <row r="3130" ht="15.5" spans="1:6">
      <c r="A3130" s="6" t="s">
        <v>7277</v>
      </c>
      <c r="B3130" s="3" t="s">
        <v>7278</v>
      </c>
      <c r="C3130" s="4" t="s">
        <v>49</v>
      </c>
      <c r="D3130" s="7">
        <v>1111.3</v>
      </c>
      <c r="E3130" s="8" t="s">
        <v>7906</v>
      </c>
      <c r="F3130" s="9">
        <v>5.2</v>
      </c>
    </row>
    <row r="3131" ht="15.5" spans="1:6">
      <c r="A3131" s="6" t="s">
        <v>7279</v>
      </c>
      <c r="B3131" s="3" t="s">
        <v>7280</v>
      </c>
      <c r="C3131" s="4" t="s">
        <v>49</v>
      </c>
      <c r="D3131" s="7">
        <v>1381.6</v>
      </c>
      <c r="E3131" s="8" t="s">
        <v>7906</v>
      </c>
      <c r="F3131" s="9">
        <v>5.2</v>
      </c>
    </row>
    <row r="3132" ht="15.5" spans="1:6">
      <c r="A3132" s="6" t="s">
        <v>7281</v>
      </c>
      <c r="B3132" s="3" t="s">
        <v>7282</v>
      </c>
      <c r="C3132" s="4" t="s">
        <v>49</v>
      </c>
      <c r="D3132" s="7">
        <v>1637.65</v>
      </c>
      <c r="E3132" s="8" t="s">
        <v>7906</v>
      </c>
      <c r="F3132" s="9">
        <v>5.2</v>
      </c>
    </row>
    <row r="3133" ht="15.5" spans="1:6">
      <c r="A3133" s="6" t="s">
        <v>7285</v>
      </c>
      <c r="B3133" s="3" t="s">
        <v>1111</v>
      </c>
      <c r="C3133" s="4" t="s">
        <v>12</v>
      </c>
      <c r="D3133" s="7">
        <v>4346.7</v>
      </c>
      <c r="E3133" s="8" t="s">
        <v>7592</v>
      </c>
      <c r="F3133" s="9">
        <v>2.2</v>
      </c>
    </row>
    <row r="3134" ht="15.5" spans="1:6">
      <c r="A3134" s="6" t="s">
        <v>7286</v>
      </c>
      <c r="B3134" s="3" t="s">
        <v>1331</v>
      </c>
      <c r="C3134" s="4" t="s">
        <v>12</v>
      </c>
      <c r="D3134" s="7">
        <v>5015.35</v>
      </c>
      <c r="E3134" s="8" t="s">
        <v>7592</v>
      </c>
      <c r="F3134" s="9">
        <v>2.2</v>
      </c>
    </row>
    <row r="3135" ht="15.5" spans="1:6">
      <c r="A3135" s="6" t="s">
        <v>7289</v>
      </c>
      <c r="B3135" s="3" t="s">
        <v>1111</v>
      </c>
      <c r="C3135" s="4" t="s">
        <v>12</v>
      </c>
      <c r="D3135" s="7">
        <v>4764.2</v>
      </c>
      <c r="E3135" s="8" t="s">
        <v>7592</v>
      </c>
      <c r="F3135" s="9">
        <v>2.2</v>
      </c>
    </row>
    <row r="3136" ht="15.5" spans="1:6">
      <c r="A3136" s="6" t="s">
        <v>7290</v>
      </c>
      <c r="B3136" s="3" t="s">
        <v>1331</v>
      </c>
      <c r="C3136" s="4" t="s">
        <v>12</v>
      </c>
      <c r="D3136" s="7">
        <v>5432.85</v>
      </c>
      <c r="E3136" s="8" t="s">
        <v>7592</v>
      </c>
      <c r="F3136" s="9">
        <v>2.2</v>
      </c>
    </row>
    <row r="3137" ht="15.5" spans="1:6">
      <c r="A3137" s="6" t="s">
        <v>7293</v>
      </c>
      <c r="B3137" s="3" t="s">
        <v>1222</v>
      </c>
      <c r="C3137" s="4" t="s">
        <v>12</v>
      </c>
      <c r="D3137" s="7">
        <v>2992.9</v>
      </c>
      <c r="E3137" s="8" t="s">
        <v>7587</v>
      </c>
      <c r="F3137" s="9">
        <v>2.16</v>
      </c>
    </row>
    <row r="3138" ht="15.5" spans="1:6">
      <c r="A3138" s="6" t="s">
        <v>7294</v>
      </c>
      <c r="B3138" s="3" t="s">
        <v>558</v>
      </c>
      <c r="C3138" s="4" t="s">
        <v>12</v>
      </c>
      <c r="D3138" s="7">
        <v>3889.15</v>
      </c>
      <c r="E3138" s="8" t="s">
        <v>7587</v>
      </c>
      <c r="F3138" s="9">
        <v>2.16</v>
      </c>
    </row>
    <row r="3139" ht="15.5" spans="1:6">
      <c r="A3139" s="6" t="s">
        <v>7297</v>
      </c>
      <c r="B3139" s="3" t="s">
        <v>7298</v>
      </c>
      <c r="C3139" s="4" t="s">
        <v>12</v>
      </c>
      <c r="D3139" s="7">
        <v>1099.35</v>
      </c>
      <c r="E3139" s="8" t="s">
        <v>7587</v>
      </c>
      <c r="F3139" s="9">
        <v>2.16</v>
      </c>
    </row>
    <row r="3140" ht="15.5" spans="1:6">
      <c r="A3140" s="6" t="s">
        <v>7299</v>
      </c>
      <c r="B3140" s="3" t="s">
        <v>1215</v>
      </c>
      <c r="C3140" s="4" t="s">
        <v>12</v>
      </c>
      <c r="D3140" s="7">
        <v>1711.1</v>
      </c>
      <c r="E3140" s="8" t="s">
        <v>7587</v>
      </c>
      <c r="F3140" s="9">
        <v>2.16</v>
      </c>
    </row>
    <row r="3141" ht="409.5" spans="1:6">
      <c r="A3141" s="6" t="s">
        <v>7300</v>
      </c>
      <c r="B3141" s="12" t="s">
        <v>7301</v>
      </c>
      <c r="C3141" s="4" t="s">
        <v>12</v>
      </c>
      <c r="D3141" s="7">
        <v>3437.15</v>
      </c>
      <c r="E3141" s="8" t="s">
        <v>7907</v>
      </c>
      <c r="F3141" s="9">
        <v>4.32</v>
      </c>
    </row>
    <row r="3142" ht="31" spans="1:6">
      <c r="A3142" s="6" t="s">
        <v>7304</v>
      </c>
      <c r="B3142" s="3" t="s">
        <v>7305</v>
      </c>
      <c r="C3142" s="4" t="s">
        <v>12</v>
      </c>
      <c r="D3142" s="7">
        <v>6320</v>
      </c>
      <c r="E3142" s="8" t="s">
        <v>7633</v>
      </c>
      <c r="F3142" s="9">
        <v>10.8</v>
      </c>
    </row>
    <row r="3143" ht="31" spans="1:6">
      <c r="A3143" s="6" t="s">
        <v>7306</v>
      </c>
      <c r="B3143" s="3" t="s">
        <v>7307</v>
      </c>
      <c r="C3143" s="4" t="s">
        <v>12</v>
      </c>
      <c r="D3143" s="7">
        <v>5991.4</v>
      </c>
      <c r="E3143" s="8" t="s">
        <v>7633</v>
      </c>
      <c r="F3143" s="9">
        <v>10.8</v>
      </c>
    </row>
    <row r="3144" ht="31" spans="1:6">
      <c r="A3144" s="6" t="s">
        <v>7310</v>
      </c>
      <c r="B3144" s="3" t="s">
        <v>7311</v>
      </c>
      <c r="C3144" s="4" t="s">
        <v>12</v>
      </c>
      <c r="D3144" s="7">
        <v>6230.9</v>
      </c>
      <c r="E3144" s="8" t="s">
        <v>7908</v>
      </c>
      <c r="F3144" s="9">
        <v>12.6</v>
      </c>
    </row>
    <row r="3145" ht="31" spans="1:6">
      <c r="A3145" s="6" t="s">
        <v>7312</v>
      </c>
      <c r="B3145" s="3" t="s">
        <v>7313</v>
      </c>
      <c r="C3145" s="4" t="s">
        <v>12</v>
      </c>
      <c r="D3145" s="7">
        <v>5842.5</v>
      </c>
      <c r="E3145" s="8" t="s">
        <v>7908</v>
      </c>
      <c r="F3145" s="9">
        <v>12.6</v>
      </c>
    </row>
    <row r="3146" ht="409.5" spans="1:6">
      <c r="A3146" s="6" t="s">
        <v>7314</v>
      </c>
      <c r="B3146" s="12" t="s">
        <v>7315</v>
      </c>
      <c r="C3146" s="4" t="s">
        <v>12</v>
      </c>
      <c r="D3146" s="7">
        <v>269.4</v>
      </c>
      <c r="E3146" s="8" t="s">
        <v>7909</v>
      </c>
      <c r="F3146" s="9">
        <v>530</v>
      </c>
    </row>
    <row r="3147" ht="62" spans="1:6">
      <c r="A3147" s="6" t="s">
        <v>7318</v>
      </c>
      <c r="B3147" s="12" t="s">
        <v>7319</v>
      </c>
      <c r="C3147" s="4" t="s">
        <v>12</v>
      </c>
      <c r="D3147" s="7">
        <v>3189.1</v>
      </c>
      <c r="E3147" s="8" t="s">
        <v>7364</v>
      </c>
      <c r="F3147" s="9">
        <v>450</v>
      </c>
    </row>
    <row r="3148" ht="62" spans="1:6">
      <c r="A3148" s="6" t="s">
        <v>7320</v>
      </c>
      <c r="B3148" s="12" t="s">
        <v>7321</v>
      </c>
      <c r="C3148" s="4" t="s">
        <v>12</v>
      </c>
      <c r="D3148" s="7">
        <v>1713.55</v>
      </c>
      <c r="E3148" s="8" t="s">
        <v>7910</v>
      </c>
      <c r="F3148" s="9">
        <v>15</v>
      </c>
    </row>
    <row r="3149" ht="62" spans="1:6">
      <c r="A3149" s="6" t="s">
        <v>7324</v>
      </c>
      <c r="B3149" s="12" t="s">
        <v>7325</v>
      </c>
      <c r="C3149" s="4" t="s">
        <v>12</v>
      </c>
      <c r="D3149" s="7">
        <v>2926.7</v>
      </c>
      <c r="E3149" s="8" t="s">
        <v>7881</v>
      </c>
      <c r="F3149" s="9">
        <v>20</v>
      </c>
    </row>
    <row r="3150" ht="62" spans="1:6">
      <c r="A3150" s="6" t="s">
        <v>7326</v>
      </c>
      <c r="B3150" s="12" t="s">
        <v>7327</v>
      </c>
      <c r="C3150" s="4" t="s">
        <v>12</v>
      </c>
      <c r="D3150" s="7">
        <v>3805.05</v>
      </c>
      <c r="E3150" s="8" t="s">
        <v>7881</v>
      </c>
      <c r="F3150" s="9">
        <v>20</v>
      </c>
    </row>
  </sheetData>
  <autoFilter xmlns:etc="http://www.wps.cn/officeDocument/2017/etCustomData" ref="A1:A3150"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DSR Vol 1 and II</vt:lpstr>
      <vt:lpstr>DSR Vol 1 and II _Upd and 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A2E_Engine</dc:creator>
  <cp:lastModifiedBy>Tatyasaheb Gaikwad</cp:lastModifiedBy>
  <dcterms:created xsi:type="dcterms:W3CDTF">2016-11-30T01:22:00Z</dcterms:created>
  <cp:lastPrinted>2023-11-24T10:35:00Z</cp:lastPrinted>
  <dcterms:modified xsi:type="dcterms:W3CDTF">2026-10-26T18:43:12Z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546BFFA792914C47B9BE3F1E79B1D0E2_13</vt:lpwstr>
  </property>
  <property fmtid="{D5CDD505-2E9C-101B-9397-08002B2CF9AE}" pid="3" name="KSOProductBuildVer">
    <vt:lpwstr>1033-12.1.0.29162</vt:lpwstr>
  </property>
  <property fmtid="{D5CDD505-2E9C-101B-9397-08002B2CF9AE}" pid="4" name="KSOReadingLayout">
    <vt:bool>false</vt:bool>
  </property>
  <property fmtid="{D5CDD505-2E9C-101B-9397-08002B2CF9AE}" pid="5" name="CalculationRule">
    <vt:i4>0</vt:i4>
  </property>
</Properties>
</file>